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3"/>
  </bookViews>
  <sheets>
    <sheet name="汇总" sheetId="1" r:id="rId1"/>
    <sheet name="支出小计" sheetId="2" r:id="rId2"/>
    <sheet name="当日汇总" sheetId="3" r:id="rId3"/>
    <sheet name="PH09" sheetId="4" r:id="rId4"/>
    <sheet name="PH25" sheetId="5" r:id="rId5"/>
    <sheet name="PH18" sheetId="6" r:id="rId6"/>
    <sheet name="PH30" sheetId="7" r:id="rId7"/>
    <sheet name="PH35" sheetId="8" r:id="rId8"/>
    <sheet name="单价汇总" sheetId="9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<sst xmlns="http://schemas.openxmlformats.org/spreadsheetml/2006/main" count="5637" uniqueCount="388">
  <si>
    <t>菲律宾  07月01-</t>
  </si>
  <si>
    <t>菲律宾  06月01-</t>
  </si>
  <si>
    <t>菲律宾  05月01-</t>
  </si>
  <si>
    <t>菲律宾  04月01-</t>
  </si>
  <si>
    <t>菲律宾  03月01-</t>
  </si>
  <si>
    <t>菲律宾  02月01 -</t>
  </si>
  <si>
    <t>菲律宾  01月01 -</t>
  </si>
  <si>
    <t>天成 12月01 -</t>
  </si>
  <si>
    <t>天成 11月01 -</t>
  </si>
  <si>
    <t>天成 10月01 -</t>
  </si>
  <si>
    <t>天成 9月01-</t>
  </si>
  <si>
    <t>天成 8月01-</t>
  </si>
  <si>
    <t>天成 7月01 - 7月</t>
  </si>
  <si>
    <t>天成 6月01 - 6月</t>
  </si>
  <si>
    <t>天成 5月01 - 5月31</t>
  </si>
  <si>
    <t>天成 4月1-30</t>
  </si>
  <si>
    <t>天成 3月1-31</t>
  </si>
  <si>
    <t>2月1-28</t>
  </si>
  <si>
    <t>天成 1月1-31</t>
  </si>
  <si>
    <t>天成 12月1-31</t>
  </si>
  <si>
    <t>平台</t>
  </si>
  <si>
    <t>现场人数</t>
  </si>
  <si>
    <t>转线上人数</t>
  </si>
  <si>
    <t>线上人数</t>
  </si>
  <si>
    <t>人均开发</t>
  </si>
  <si>
    <t>总注册</t>
  </si>
  <si>
    <t>总开发人数</t>
  </si>
  <si>
    <t>首存金额</t>
  </si>
  <si>
    <t>首存总金额</t>
  </si>
  <si>
    <t>首提总金额</t>
  </si>
  <si>
    <t>新客总存</t>
  </si>
  <si>
    <t>新客总提</t>
  </si>
  <si>
    <t>新客存提差</t>
  </si>
  <si>
    <t>一级首存</t>
  </si>
  <si>
    <t>一级存款</t>
  </si>
  <si>
    <t>一级提款</t>
  </si>
  <si>
    <t>充值人数</t>
  </si>
  <si>
    <t>复存人数</t>
  </si>
  <si>
    <t>存款</t>
  </si>
  <si>
    <t>提款</t>
  </si>
  <si>
    <t>存提差</t>
  </si>
  <si>
    <t>线上员工资</t>
  </si>
  <si>
    <t>平台盈亏</t>
  </si>
  <si>
    <t>充值
手续费3.5%</t>
  </si>
  <si>
    <t>平台
服务费20%</t>
  </si>
  <si>
    <t>现场员工资</t>
  </si>
  <si>
    <t>转线上员工资</t>
  </si>
  <si>
    <t>净利润</t>
  </si>
  <si>
    <t>新客单价</t>
  </si>
  <si>
    <t>客单价</t>
  </si>
  <si>
    <t>支出回报率</t>
  </si>
  <si>
    <t>投产比</t>
  </si>
  <si>
    <t>充值手续费3.5%</t>
  </si>
  <si>
    <t>平台服务费20%</t>
  </si>
  <si>
    <t>注册</t>
  </si>
  <si>
    <t>首存</t>
  </si>
  <si>
    <t>新客首存总金额</t>
  </si>
  <si>
    <t>新客首提总金额</t>
  </si>
  <si>
    <t>外部人员工资</t>
  </si>
  <si>
    <t>现场人员工资</t>
  </si>
  <si>
    <t>新款客单价</t>
  </si>
  <si>
    <t>人均客单价</t>
  </si>
  <si>
    <t>人数</t>
  </si>
  <si>
    <t>首存/总存金额</t>
  </si>
  <si>
    <t>平台服务费10%</t>
  </si>
  <si>
    <t>-</t>
  </si>
  <si>
    <t>充值手续费4%</t>
  </si>
  <si>
    <t>Platform</t>
  </si>
  <si>
    <t>Onsite HC</t>
  </si>
  <si>
    <t>Transfer HC</t>
  </si>
  <si>
    <t>Online HC</t>
  </si>
  <si>
    <t>Avg FTD</t>
  </si>
  <si>
    <t>Total Reg</t>
  </si>
  <si>
    <t>Total FTD</t>
  </si>
  <si>
    <t>FTD Amt</t>
  </si>
  <si>
    <t>Total FTD Amt</t>
  </si>
  <si>
    <t>Total WD Amt</t>
  </si>
  <si>
    <t>New Dep</t>
  </si>
  <si>
    <t>New WD</t>
  </si>
  <si>
    <t>New Net</t>
  </si>
  <si>
    <t>L1 FTD</t>
  </si>
  <si>
    <t>L1 Dep</t>
  </si>
  <si>
    <t>L1 WD</t>
  </si>
  <si>
    <t>Dep Users</t>
  </si>
  <si>
    <t>Re-Dep Users</t>
  </si>
  <si>
    <t>Dep</t>
  </si>
  <si>
    <t>WD</t>
  </si>
  <si>
    <t>Net Dep</t>
  </si>
  <si>
    <t>Online Salary</t>
  </si>
  <si>
    <t>Platform P/L</t>
  </si>
  <si>
    <t>Dep Fee 3.5%</t>
  </si>
  <si>
    <t>Platform Fee 20%</t>
  </si>
  <si>
    <t>Onsite Salary</t>
  </si>
  <si>
    <t>Transfer Salary</t>
  </si>
  <si>
    <t>Net Profit</t>
  </si>
  <si>
    <t>New AOV</t>
  </si>
  <si>
    <t>AOV</t>
  </si>
  <si>
    <t>ROAS</t>
  </si>
  <si>
    <t>ROI</t>
  </si>
  <si>
    <t>异常提款</t>
  </si>
  <si>
    <t>Mainpower</t>
  </si>
  <si>
    <t>Register</t>
  </si>
  <si>
    <t>FTD</t>
  </si>
  <si>
    <t>Ftd Total All DPS Amount</t>
  </si>
  <si>
    <t>Depositors</t>
  </si>
  <si>
    <t>Deposit</t>
  </si>
  <si>
    <t>Withdraw</t>
  </si>
  <si>
    <t>Different</t>
  </si>
  <si>
    <t>WFH Staff Salary</t>
  </si>
  <si>
    <t>Platform Profit</t>
  </si>
  <si>
    <t>Deposit Fee 3.5%</t>
  </si>
  <si>
    <t>Platform Service Fee 10%</t>
  </si>
  <si>
    <t>Office Staff Salary</t>
  </si>
  <si>
    <t>Average Spend per Customer</t>
  </si>
  <si>
    <t>Return on 
Advertising Spend</t>
  </si>
  <si>
    <t>Return on 
Investment %</t>
  </si>
  <si>
    <t>玩家异常提款：</t>
  </si>
  <si>
    <t>PH09</t>
  </si>
  <si>
    <t>披索</t>
  </si>
  <si>
    <t>5-01玩家提款：31,751.17/ 5-14玩家提款：273,883.59 + 109,767.49/ 5-16大客提款：25,021.73/ 5-24玩家提款：85,500.93 + 20,943.89 + 20,106.13/ 5-28玩家提款：105,574.71 总提款= 672,549.64</t>
  </si>
  <si>
    <t>PH09-2</t>
  </si>
  <si>
    <t>5-01玩家提款：65,094.67/ 5-08玩家提款：77,014.39/ 5-22玩家提款：252,050.63/ 5-23玩家提款：721,994.11/ 5-24玩家提款：60,033.37/ 5-26玩家提款：106,918.90/ 5-28玩家提款：304,456.94 + 22,787.90 + 19,658.99 + 11,607.59 总提款：1,641,617.49</t>
  </si>
  <si>
    <t>1月11-31</t>
  </si>
  <si>
    <t>未开始</t>
  </si>
  <si>
    <t>PH25</t>
  </si>
  <si>
    <t>5-18玩家提款：10,236.73/ 5-23玩家提款：21,365.99/ 5-27玩家提款：20,993.34 总提款：52,596.06</t>
  </si>
  <si>
    <t>12月25-31</t>
  </si>
  <si>
    <t>PH18</t>
  </si>
  <si>
    <t>5-04玩家提款：40,637.04 / 5-08玩家提款：36,102.51/ 5-20玩家提款：30,655.35/ 5-26玩家提款：27,304.14/ 5-28玩家提款：18,587.40/ 5-29玩家提款：33,497.90/ 5-30玩家提款：60,132.61 总提款：246,916.95</t>
  </si>
  <si>
    <t>12月12-31</t>
  </si>
  <si>
    <t>PH21</t>
  </si>
  <si>
    <t>5月1停推</t>
  </si>
  <si>
    <t>1月08-31</t>
  </si>
  <si>
    <t>PH22</t>
  </si>
  <si>
    <t>6月23停推</t>
  </si>
  <si>
    <t>5-16玩家提款：37,491.90/ 5-19玩家提款：500,007.78/ 5-21玩家提款：190,108.14/ 5-22玩家提款：34,891.94/ 5-26玩家提款：33,699.77/ 5-30玩家提款：99,080.73/ 5-31玩家提款：822,814.42 总提款：1,718,094.68</t>
  </si>
  <si>
    <t>1月18-31</t>
  </si>
  <si>
    <t>PH30</t>
  </si>
  <si>
    <t>5-01玩家提款：28,635.82/ 5-17玩家异常提款取消：73,167.23/  5-21玩家提款：39,171.99/ 5-25玩家提款：13,839.36 + 10,261.20 + 14,073.59/ 5-27玩家提款：24,501.68 + 10,755.22 + 17,500.16/ 5-28玩家提款：60,148.75/ 5-31玩家提款：15,767.88 + 9,385.48 总提款：317,208.36（包含5/17玩家异常提款取消 73,167.23）</t>
  </si>
  <si>
    <t>2月11-28</t>
  </si>
  <si>
    <t>PH05</t>
  </si>
  <si>
    <r>
      <rPr>
        <b/>
        <sz val="12"/>
        <color theme="1"/>
        <rFont val="Calibri"/>
        <charset val="134"/>
      </rPr>
      <t>5</t>
    </r>
    <r>
      <rPr>
        <b/>
        <sz val="12"/>
        <color theme="1"/>
        <rFont val="宋体"/>
        <charset val="134"/>
      </rPr>
      <t>月</t>
    </r>
    <r>
      <rPr>
        <b/>
        <sz val="12"/>
        <color theme="1"/>
        <rFont val="Calibri"/>
        <charset val="134"/>
      </rPr>
      <t>10</t>
    </r>
    <r>
      <rPr>
        <b/>
        <sz val="12"/>
        <color theme="1"/>
        <rFont val="宋体"/>
        <charset val="134"/>
      </rPr>
      <t>停</t>
    </r>
  </si>
  <si>
    <t>5-01玩家提款：82,928.97 / 5-03玩家提款：31,280.07 /5-04玩家提款：49,559.63 / 5-05玩家提款：55,009.54 / 5-11玩家提款：54,836.15 / 5-14玩家提款：49,219 / 5-19玩家提款：43,151.31/  5-21玩家提款：67,556.89 + 30,727.83/ 5-30玩家提款：13,792.44 + 28,239.11/ 5-31玩家提款：32,084.01 + 23,036.23 + 17,894.50 + 49,546.24 总提款：628,861.92</t>
  </si>
  <si>
    <t>4月9开始</t>
  </si>
  <si>
    <t>PH05-2</t>
  </si>
  <si>
    <t>5月10停推</t>
  </si>
  <si>
    <t>12月20-31</t>
  </si>
  <si>
    <t>PH16</t>
  </si>
  <si>
    <t>5-19玩家提款：25,750.01 总提款：25,750.01</t>
  </si>
  <si>
    <t>4月12开始</t>
  </si>
  <si>
    <t>PH35</t>
  </si>
  <si>
    <t>PH11</t>
  </si>
  <si>
    <t>8月6号开始</t>
  </si>
  <si>
    <t>总</t>
  </si>
  <si>
    <t>现场转线上</t>
  </si>
  <si>
    <t>线上人员工资</t>
  </si>
  <si>
    <t>充值手续费5.5%</t>
  </si>
  <si>
    <t>新客客单价</t>
  </si>
  <si>
    <t>投资回报率</t>
  </si>
  <si>
    <t>首存总存金额</t>
  </si>
  <si>
    <t>总赠金</t>
  </si>
  <si>
    <t>BD09</t>
  </si>
  <si>
    <t>停推9月2</t>
  </si>
  <si>
    <t>停推8月31</t>
  </si>
  <si>
    <t>5-12玩家提款：30,408.71 + 34,015.90/ 5-13玩家提款：30,998.20 + 16,136.42/ 5-21玩家提款：25,895.98/ 5-23玩家提款：50,894.72 总提款：188,349.9</t>
  </si>
  <si>
    <t>BD02</t>
  </si>
  <si>
    <t>1月9开导盈亏有问题</t>
  </si>
  <si>
    <t>5-06玩家提款：19,227.16/ 5-09玩家提款：19,517.40/ 5-11玩家提款：18,399.31/ 5-22玩家提款：34,310.49/ 5-24玩家提款：45,921.57 总提款：137,375.93</t>
  </si>
  <si>
    <t>12月24-31</t>
  </si>
  <si>
    <t>BD18</t>
  </si>
  <si>
    <t>5-11玩家提款：24,699.68/ 5-31玩家提款：15,945.21 总提款：40,644.89</t>
  </si>
  <si>
    <t>12月15-31</t>
  </si>
  <si>
    <t>BD07</t>
  </si>
  <si>
    <t>停推8月28</t>
  </si>
  <si>
    <t>5-01玩家提款：10,835.53 / 5-06玩家提款：41,653.71 / 5-10玩家提款：11,933.30 / 5-18玩家提款：27,199.84/ 5-28玩家提款：15,099.95 总提款：106,722.33</t>
  </si>
  <si>
    <t>1月14-31</t>
  </si>
  <si>
    <t>BD05</t>
  </si>
  <si>
    <t>停推</t>
  </si>
  <si>
    <t>5-07玩家提款：113,603.11 / 5-14玩家提款：79,966.38/ 5-24玩家提款：50,135.13/ 5-28玩家提款：63,400.58/ 5-30玩家提款：12,319.82 总提款：319,425.02</t>
  </si>
  <si>
    <t>BD16</t>
  </si>
  <si>
    <t>塔卡</t>
  </si>
  <si>
    <t>5-03大客提款：42,013 / 5-12大客提款：21,074.30 /  5-15大客提款：29,978.90 / 5-16大客提款：20,135.27/ 5-28大客提款：43,459.27/ 5-30大客提款：12,026.50 + 13,007.63 总提款：181,694.87</t>
  </si>
  <si>
    <t>BD01</t>
  </si>
  <si>
    <t>MM01</t>
  </si>
  <si>
    <t>8月5号开始</t>
  </si>
  <si>
    <t>充值手续费8%</t>
  </si>
  <si>
    <t>IN05</t>
  </si>
  <si>
    <t>9月3开始</t>
  </si>
  <si>
    <t>TH18</t>
  </si>
  <si>
    <t>5月16停推</t>
  </si>
  <si>
    <t>泰铢</t>
  </si>
  <si>
    <t>OCMS 6月01 - 6月21</t>
  </si>
  <si>
    <t>OCMS 5月01 - 5月31</t>
  </si>
  <si>
    <t>OCMS 4月1-30</t>
  </si>
  <si>
    <t>OCMS 3月1-31</t>
  </si>
  <si>
    <t>OCMS 2月1-28</t>
  </si>
  <si>
    <t>OCMS 1月1-31</t>
  </si>
  <si>
    <t>OCMS 12月1-31</t>
  </si>
  <si>
    <t>总首存/总存金额</t>
  </si>
  <si>
    <t>PH01</t>
  </si>
  <si>
    <t>4月25停推</t>
  </si>
  <si>
    <t>1月02-31</t>
  </si>
  <si>
    <t>PH03</t>
  </si>
  <si>
    <t>12月30-31</t>
  </si>
  <si>
    <t>PH04</t>
  </si>
  <si>
    <t>12月27-31</t>
  </si>
  <si>
    <t>PH06</t>
  </si>
  <si>
    <t>7月 新客数据汇总</t>
  </si>
  <si>
    <t>6月 新客数据汇总</t>
  </si>
  <si>
    <t>05月 新客数据汇总</t>
  </si>
  <si>
    <t>04月 新客数据汇总</t>
  </si>
  <si>
    <t>03月 新客数据汇总</t>
  </si>
  <si>
    <t>02月 新客数据汇总</t>
  </si>
  <si>
    <t>01月 新客数据汇总</t>
  </si>
  <si>
    <t>12月 新客数据汇总</t>
  </si>
  <si>
    <t>11月 新客数据汇总</t>
  </si>
  <si>
    <t>10月 老客数据汇总</t>
  </si>
  <si>
    <t>9月 新客数据汇总</t>
  </si>
  <si>
    <t>8月 新客数据汇总</t>
  </si>
  <si>
    <t>首存人数</t>
  </si>
  <si>
    <t>新客存提差占比</t>
  </si>
  <si>
    <t>老客总存款</t>
  </si>
  <si>
    <t>老客总提款</t>
  </si>
  <si>
    <t>老客存提差</t>
  </si>
  <si>
    <t>老客存提差占比</t>
  </si>
  <si>
    <t>老客客单价</t>
  </si>
  <si>
    <t>PH12</t>
  </si>
  <si>
    <t>7月 老客数据汇总</t>
  </si>
  <si>
    <t>6月 老客数据汇总</t>
  </si>
  <si>
    <t>05月 老客数据汇总</t>
  </si>
  <si>
    <t>04月 老客数据汇总</t>
  </si>
  <si>
    <t>02月 老客数据汇总</t>
  </si>
  <si>
    <t>01月 老客数据汇总</t>
  </si>
  <si>
    <t>12月 老客数据汇总</t>
  </si>
  <si>
    <t>11月 老客数据汇总</t>
  </si>
  <si>
    <t>INR换算</t>
  </si>
  <si>
    <t>美金99汇率</t>
  </si>
  <si>
    <t>MMK换算</t>
  </si>
  <si>
    <t>菲律宾黑市80 汇率</t>
  </si>
  <si>
    <t>CNY换算</t>
  </si>
  <si>
    <t>菲律宾8 汇率</t>
  </si>
  <si>
    <t>孟加拉17 汇率</t>
  </si>
  <si>
    <t>缅甸300 汇率</t>
  </si>
  <si>
    <t>期间</t>
  </si>
  <si>
    <t>汇总</t>
  </si>
  <si>
    <t>现场人数 + 转线上</t>
  </si>
  <si>
    <t>USD换算</t>
  </si>
  <si>
    <t>菲律宾57 汇率</t>
  </si>
  <si>
    <t>孟加拉120 汇率</t>
  </si>
  <si>
    <t>缅甸2100 汇率</t>
  </si>
  <si>
    <t>黑市4700 汇率</t>
  </si>
  <si>
    <t>广告部4680 汇率</t>
  </si>
  <si>
    <t>收入小计</t>
  </si>
  <si>
    <t>平台费20%</t>
  </si>
  <si>
    <t>三方费3.5%</t>
  </si>
  <si>
    <t>线上人员费用</t>
  </si>
  <si>
    <t>线上人员奖金</t>
  </si>
  <si>
    <t>现场人员费用</t>
  </si>
  <si>
    <t>现场转线上人员费用</t>
  </si>
  <si>
    <t>现场人员奖金</t>
  </si>
  <si>
    <t>现场人员佣金</t>
  </si>
  <si>
    <t>现场维护人员奖金</t>
  </si>
  <si>
    <t>支出小计</t>
  </si>
  <si>
    <r>
      <rPr>
        <b/>
        <sz val="10"/>
        <color theme="1"/>
        <rFont val="宋体"/>
        <charset val="134"/>
      </rPr>
      <t>累计利润（</t>
    </r>
    <r>
      <rPr>
        <b/>
        <sz val="10"/>
        <color theme="1"/>
        <rFont val="Calibri"/>
        <charset val="134"/>
      </rPr>
      <t>PESO</t>
    </r>
    <r>
      <rPr>
        <b/>
        <sz val="10"/>
        <color theme="1"/>
        <rFont val="宋体"/>
        <charset val="134"/>
      </rPr>
      <t>）</t>
    </r>
  </si>
  <si>
    <r>
      <rPr>
        <b/>
        <sz val="10"/>
        <color theme="1"/>
        <rFont val="宋体"/>
        <charset val="134"/>
      </rPr>
      <t>累计利润</t>
    </r>
    <r>
      <rPr>
        <b/>
        <sz val="10"/>
        <color theme="1"/>
        <rFont val="Calibri"/>
        <charset val="134"/>
      </rPr>
      <t>(USD)</t>
    </r>
  </si>
  <si>
    <t>平台费</t>
  </si>
  <si>
    <t>三方费</t>
  </si>
  <si>
    <r>
      <rPr>
        <b/>
        <sz val="10"/>
        <color theme="1"/>
        <rFont val="宋体"/>
        <charset val="134"/>
      </rPr>
      <t>累计利润（</t>
    </r>
    <r>
      <rPr>
        <b/>
        <sz val="10"/>
        <color theme="1"/>
        <rFont val="Calibri"/>
        <charset val="134"/>
      </rPr>
      <t>TAKA</t>
    </r>
    <r>
      <rPr>
        <b/>
        <sz val="10"/>
        <color theme="1"/>
        <rFont val="宋体"/>
        <charset val="134"/>
      </rPr>
      <t>）</t>
    </r>
  </si>
  <si>
    <t>三方费5.5%</t>
  </si>
  <si>
    <t>三方费4%</t>
  </si>
  <si>
    <t>累计利润（MMK=P）</t>
  </si>
  <si>
    <t>累计利润(USD)</t>
  </si>
  <si>
    <t>INR05</t>
  </si>
  <si>
    <t>三方费8%</t>
  </si>
  <si>
    <t>累计利润（INR）</t>
  </si>
  <si>
    <t>每日劫持数据 天成</t>
  </si>
  <si>
    <t>菲律宾天成 07月</t>
  </si>
  <si>
    <t>日期</t>
  </si>
  <si>
    <t>现场人员</t>
  </si>
  <si>
    <t>线上人员</t>
  </si>
  <si>
    <t>投放费用(U)</t>
  </si>
  <si>
    <t>注册人数</t>
  </si>
  <si>
    <t>转化率%</t>
  </si>
  <si>
    <t>注册成本(U)</t>
  </si>
  <si>
    <t>首存成本(U)</t>
  </si>
  <si>
    <t>有效投注</t>
  </si>
  <si>
    <t>当天存款</t>
  </si>
  <si>
    <t>当天提款</t>
  </si>
  <si>
    <t>存提差(P)</t>
  </si>
  <si>
    <t>总人数</t>
  </si>
  <si>
    <t>支出
回报率%</t>
  </si>
  <si>
    <t>投资
回报率%</t>
  </si>
  <si>
    <t>打码倍数</t>
  </si>
  <si>
    <t>DATE</t>
  </si>
  <si>
    <t>OFFICE STAFF PAYMENT</t>
  </si>
  <si>
    <t>OFFICE STAFF TRANSFER WFH PAYMENT</t>
  </si>
  <si>
    <t>INVERSMENT COST</t>
  </si>
  <si>
    <t>PER CAPITA DEVELOPMENT</t>
  </si>
  <si>
    <t>RST TOTAL PPL</t>
  </si>
  <si>
    <t>FTD TOTAL PPL</t>
  </si>
  <si>
    <t>CONVERS ION RATE</t>
  </si>
  <si>
    <t>TOTAL DPS PPL</t>
  </si>
  <si>
    <t>SCN DPS</t>
  </si>
  <si>
    <t>TOTAL RST COST</t>
  </si>
  <si>
    <t>TOTAL DPS COST</t>
  </si>
  <si>
    <t>NEW CUSTOMER AVERAGE ORDER VALUE</t>
  </si>
  <si>
    <t>AVERAGE ORDER VALUE (AOV)</t>
  </si>
  <si>
    <t>Valid bets</t>
  </si>
  <si>
    <t>FTD DPS AMOUNT</t>
  </si>
  <si>
    <t>TOTAL DPS AMOUNT</t>
  </si>
  <si>
    <t>THE DAY TOTAL WDR AMOUNT</t>
  </si>
  <si>
    <t>TOTAL WDR AMOUNT</t>
  </si>
  <si>
    <t>DPSWDR DIFFERENCE</t>
  </si>
  <si>
    <t>TOTAL PPL</t>
  </si>
  <si>
    <t>Turn Over</t>
  </si>
  <si>
    <t>孟加拉天成 06月</t>
  </si>
  <si>
    <r>
      <rPr>
        <b/>
        <sz val="8"/>
        <color theme="1"/>
        <rFont val="宋体"/>
        <charset val="134"/>
      </rPr>
      <t>投放费用</t>
    </r>
    <r>
      <rPr>
        <b/>
        <sz val="8"/>
        <color theme="1"/>
        <rFont val="Calibri"/>
        <charset val="134"/>
      </rPr>
      <t>(U)</t>
    </r>
  </si>
  <si>
    <r>
      <rPr>
        <b/>
        <sz val="8"/>
        <rFont val="宋体"/>
        <charset val="134"/>
      </rPr>
      <t>转化率</t>
    </r>
    <r>
      <rPr>
        <b/>
        <sz val="8"/>
        <rFont val="Calibri"/>
        <charset val="134"/>
      </rPr>
      <t>%</t>
    </r>
  </si>
  <si>
    <r>
      <rPr>
        <b/>
        <sz val="8"/>
        <color theme="1"/>
        <rFont val="宋体"/>
        <charset val="134"/>
      </rPr>
      <t>注册成本</t>
    </r>
    <r>
      <rPr>
        <b/>
        <sz val="8"/>
        <color theme="1"/>
        <rFont val="Calibri"/>
        <charset val="134"/>
      </rPr>
      <t>(U)</t>
    </r>
  </si>
  <si>
    <r>
      <rPr>
        <b/>
        <sz val="8"/>
        <color theme="1"/>
        <rFont val="宋体"/>
        <charset val="134"/>
      </rPr>
      <t>首存成本</t>
    </r>
    <r>
      <rPr>
        <b/>
        <sz val="8"/>
        <color theme="1"/>
        <rFont val="Calibri"/>
        <charset val="134"/>
      </rPr>
      <t>(U)</t>
    </r>
  </si>
  <si>
    <r>
      <rPr>
        <b/>
        <sz val="8"/>
        <color theme="1"/>
        <rFont val="宋体"/>
        <charset val="134"/>
      </rPr>
      <t>存提差</t>
    </r>
    <r>
      <rPr>
        <b/>
        <sz val="8"/>
        <color theme="1"/>
        <rFont val="Calibri"/>
        <charset val="134"/>
      </rPr>
      <t>(P)</t>
    </r>
  </si>
  <si>
    <r>
      <rPr>
        <b/>
        <sz val="8"/>
        <color theme="1"/>
        <rFont val="宋体"/>
        <charset val="134"/>
      </rPr>
      <t>支出</t>
    </r>
    <r>
      <rPr>
        <b/>
        <sz val="8"/>
        <color theme="1"/>
        <rFont val="Calibri"/>
        <charset val="134"/>
      </rPr>
      <t xml:space="preserve">
</t>
    </r>
    <r>
      <rPr>
        <b/>
        <sz val="8"/>
        <color theme="1"/>
        <rFont val="宋体"/>
        <charset val="134"/>
      </rPr>
      <t>回报率</t>
    </r>
    <r>
      <rPr>
        <b/>
        <sz val="8"/>
        <color theme="1"/>
        <rFont val="Calibri"/>
        <charset val="134"/>
      </rPr>
      <t>%</t>
    </r>
  </si>
  <si>
    <r>
      <rPr>
        <b/>
        <sz val="8"/>
        <color theme="1"/>
        <rFont val="宋体"/>
        <charset val="134"/>
      </rPr>
      <t>投资</t>
    </r>
    <r>
      <rPr>
        <b/>
        <sz val="8"/>
        <color theme="1"/>
        <rFont val="Calibri"/>
        <charset val="134"/>
      </rPr>
      <t xml:space="preserve">
</t>
    </r>
    <r>
      <rPr>
        <b/>
        <sz val="8"/>
        <color theme="1"/>
        <rFont val="宋体"/>
        <charset val="134"/>
      </rPr>
      <t>回报率</t>
    </r>
    <r>
      <rPr>
        <b/>
        <sz val="8"/>
        <color theme="1"/>
        <rFont val="Calibri"/>
        <charset val="134"/>
      </rPr>
      <t>%</t>
    </r>
  </si>
  <si>
    <t>缅甸天成 06月</t>
  </si>
  <si>
    <t>印度天成 04月</t>
  </si>
  <si>
    <t>PH09 -90JILI（90xsldx） 每日总报表</t>
  </si>
  <si>
    <t>现场人员费用(P)</t>
  </si>
  <si>
    <t>现场转线上人员（P）</t>
  </si>
  <si>
    <t>线上人员费用(P)</t>
  </si>
  <si>
    <t>应聘人数</t>
  </si>
  <si>
    <t>入职人数</t>
  </si>
  <si>
    <t>离职人数</t>
  </si>
  <si>
    <t>不达标人数</t>
  </si>
  <si>
    <t>总招聘人数</t>
  </si>
  <si>
    <t>当天在岗</t>
  </si>
  <si>
    <t>总/Total</t>
  </si>
  <si>
    <t>Date</t>
  </si>
  <si>
    <t>Onsite Cost(P)</t>
  </si>
  <si>
    <t>Onsite→Online(P)</t>
  </si>
  <si>
    <t>Online Cost(P)</t>
  </si>
  <si>
    <t>Ad Cost(U)</t>
  </si>
  <si>
    <t>Reg Users</t>
  </si>
  <si>
    <t>FTD Users</t>
  </si>
  <si>
    <t>Conv.%</t>
  </si>
  <si>
    <t>Reg CPA(U)</t>
  </si>
  <si>
    <t>FTD CPA(U)</t>
  </si>
  <si>
    <t>Avg AOV</t>
  </si>
  <si>
    <t>Valid Bet</t>
  </si>
  <si>
    <t>New FTD Amt</t>
  </si>
  <si>
    <t>New WD Amt</t>
  </si>
  <si>
    <t>Daily Dep</t>
  </si>
  <si>
    <t>Daily WD</t>
  </si>
  <si>
    <t>Net Dep(P)</t>
  </si>
  <si>
    <t>Applicants</t>
  </si>
  <si>
    <t>Hired</t>
  </si>
  <si>
    <t>Onboarded</t>
  </si>
  <si>
    <t>Resigned</t>
  </si>
  <si>
    <t>Below KPI</t>
  </si>
  <si>
    <t>Total HC</t>
  </si>
  <si>
    <t>Total Hires</t>
  </si>
  <si>
    <t>ROAS%</t>
  </si>
  <si>
    <t>ROI%</t>
  </si>
  <si>
    <t>Turnover x</t>
  </si>
  <si>
    <t>On Duty</t>
  </si>
  <si>
    <t>6,500人民币换算披索 8汇率: 1,733一人/天</t>
  </si>
  <si>
    <t>12,000人民币换算披索 8汇率: 3,200一人/天</t>
  </si>
  <si>
    <t>PH25-JILILIVE （ph25xsldx） 每日总报表</t>
  </si>
  <si>
    <t>PH18 -WJ2 （ph18xsldx） 每日总报表</t>
  </si>
  <si>
    <r>
      <rPr>
        <b/>
        <sz val="10"/>
        <color rgb="FFFF0000"/>
        <rFont val="Calibri"/>
        <charset val="134"/>
      </rPr>
      <t xml:space="preserve">PH30- PH90 </t>
    </r>
    <r>
      <rPr>
        <b/>
        <sz val="10"/>
        <color rgb="FFFF0000"/>
        <rFont val="宋体"/>
        <charset val="134"/>
      </rPr>
      <t>（</t>
    </r>
    <r>
      <rPr>
        <b/>
        <sz val="10"/>
        <color rgb="FFFF0000"/>
        <rFont val="Calibri"/>
        <charset val="134"/>
      </rPr>
      <t>30xsldx</t>
    </r>
    <r>
      <rPr>
        <b/>
        <sz val="10"/>
        <color rgb="FFFF0000"/>
        <rFont val="宋体"/>
        <charset val="134"/>
      </rPr>
      <t>）</t>
    </r>
    <r>
      <rPr>
        <b/>
        <sz val="10"/>
        <color rgb="FFFF0000"/>
        <rFont val="Calibri"/>
        <charset val="134"/>
      </rPr>
      <t xml:space="preserve"> </t>
    </r>
    <r>
      <rPr>
        <b/>
        <sz val="10"/>
        <color rgb="FFFF0000"/>
        <rFont val="宋体"/>
        <charset val="134"/>
      </rPr>
      <t>每日总报表</t>
    </r>
  </si>
  <si>
    <r>
      <rPr>
        <b/>
        <sz val="10"/>
        <color rgb="FFFF0000"/>
        <rFont val="Calibri"/>
        <charset val="134"/>
      </rPr>
      <t xml:space="preserve">PH30- PH90 </t>
    </r>
    <r>
      <rPr>
        <b/>
        <sz val="10"/>
        <color rgb="FFFF0000"/>
        <rFont val="宋体"/>
        <charset val="134"/>
      </rPr>
      <t>（</t>
    </r>
    <r>
      <rPr>
        <b/>
        <sz val="10"/>
        <color rgb="FFFF0000"/>
        <rFont val="Calibri"/>
        <charset val="134"/>
      </rPr>
      <t>35xsldx</t>
    </r>
    <r>
      <rPr>
        <b/>
        <sz val="10"/>
        <color rgb="FFFF0000"/>
        <rFont val="宋体"/>
        <charset val="134"/>
      </rPr>
      <t>）</t>
    </r>
    <r>
      <rPr>
        <b/>
        <sz val="10"/>
        <color rgb="FFFF0000"/>
        <rFont val="Calibri"/>
        <charset val="134"/>
      </rPr>
      <t xml:space="preserve"> </t>
    </r>
    <r>
      <rPr>
        <b/>
        <sz val="10"/>
        <color rgb="FFFF0000"/>
        <rFont val="宋体"/>
        <charset val="134"/>
      </rPr>
      <t>每日总报表</t>
    </r>
  </si>
  <si>
    <t>线上办公部门数据汇总</t>
  </si>
  <si>
    <t>2026/07/</t>
  </si>
  <si>
    <t>线上办公部门</t>
  </si>
  <si>
    <t>内部人数：菲律宾-</t>
  </si>
  <si>
    <t>菲律宾线上人数:</t>
  </si>
  <si>
    <t>线上办公部门业绩情况（初始目标：人均首存 10）</t>
  </si>
  <si>
    <t>—————————————————-</t>
  </si>
  <si>
    <t>菲律宾开发：</t>
  </si>
  <si>
    <t>平均开发：</t>
  </si>
  <si>
    <t>菲律宾</t>
  </si>
  <si>
    <t>菲09（开发）</t>
  </si>
  <si>
    <t>首充数量:</t>
  </si>
  <si>
    <t>新客单价:</t>
  </si>
  <si>
    <t>菲25（开发）</t>
  </si>
  <si>
    <t>菲18（开发）</t>
  </si>
  <si>
    <t>菲30（开发）</t>
  </si>
  <si>
    <t>菲35（开发）</t>
  </si>
  <si>
    <t>菲律宾首存汇总: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</si>
</sst>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_ "/>
    <numFmt numFmtId="180" formatCode="#,##0.0"/>
    <numFmt numFmtId="181" formatCode="0.00_ "/>
    <numFmt numFmtId="182" formatCode="yyyy/mm/dd;@"/>
    <numFmt numFmtId="183" formatCode="dd/mm/yyyy;@"/>
    <numFmt numFmtId="184" formatCode="yyyy&quot;年&quot;m&quot;月&quot;;@"/>
    <numFmt numFmtId="185" formatCode="#,##0_ ;[Red]\-#,##0\ "/>
  </numFmts>
  <fonts count="64">
    <font>
      <sz val="11"/>
      <color theme="1"/>
      <name val="Calibri"/>
      <charset val="134"/>
      <scheme val="minor"/>
    </font>
    <font>
      <b/>
      <sz val="10.5"/>
      <color theme="1"/>
      <name val="宋体"/>
      <charset val="134"/>
    </font>
    <font>
      <sz val="10.5"/>
      <color theme="1"/>
      <name val="宋体"/>
      <charset val="134"/>
    </font>
    <font>
      <b/>
      <sz val="10"/>
      <color rgb="FFFF0000"/>
      <name val="Calibri"/>
      <charset val="134"/>
    </font>
    <font>
      <b/>
      <sz val="11"/>
      <color theme="1"/>
      <name val="Calibri"/>
      <charset val="134"/>
    </font>
    <font>
      <b/>
      <sz val="8"/>
      <color theme="1"/>
      <name val="黑体"/>
      <charset val="134"/>
    </font>
    <font>
      <b/>
      <sz val="8"/>
      <name val="黑体"/>
      <charset val="134"/>
    </font>
    <font>
      <b/>
      <sz val="8"/>
      <name val="宋体"/>
      <charset val="134"/>
    </font>
    <font>
      <b/>
      <sz val="8"/>
      <color rgb="FFFF0000"/>
      <name val="黑体"/>
      <charset val="134"/>
    </font>
    <font>
      <b/>
      <sz val="10"/>
      <color theme="1"/>
      <name val="Calibri Light"/>
      <charset val="134"/>
      <scheme val="major"/>
    </font>
    <font>
      <b/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name val="Calibri"/>
      <charset val="134"/>
    </font>
    <font>
      <b/>
      <sz val="8"/>
      <color theme="1"/>
      <name val="Calibri"/>
      <charset val="134"/>
    </font>
    <font>
      <b/>
      <sz val="8"/>
      <name val="Calibri"/>
      <charset val="134"/>
    </font>
    <font>
      <b/>
      <sz val="8"/>
      <color rgb="FFFF0000"/>
      <name val="Calibri"/>
      <charset val="134"/>
    </font>
    <font>
      <b/>
      <sz val="8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8"/>
      <color theme="1"/>
      <name val="宋体"/>
      <charset val="134"/>
    </font>
    <font>
      <b/>
      <sz val="8"/>
      <name val="Calibri"/>
      <charset val="134"/>
      <scheme val="minor"/>
    </font>
    <font>
      <b/>
      <sz val="12"/>
      <color theme="1"/>
      <name val="Calibri"/>
      <charset val="134"/>
    </font>
    <font>
      <sz val="13"/>
      <color theme="1"/>
      <name val="Calibri"/>
      <charset val="134"/>
      <scheme val="minor"/>
    </font>
    <font>
      <b/>
      <sz val="13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 Light"/>
      <charset val="134"/>
    </font>
    <font>
      <b/>
      <sz val="11"/>
      <color theme="1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黑体"/>
      <charset val="134"/>
    </font>
    <font>
      <sz val="9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2"/>
      <color theme="1"/>
      <name val="宋体"/>
      <charset val="134"/>
    </font>
    <font>
      <b/>
      <sz val="10"/>
      <name val="Calibri"/>
      <charset val="134"/>
      <scheme val="minor"/>
    </font>
    <font>
      <b/>
      <sz val="9"/>
      <name val="Calibri"/>
      <charset val="134"/>
      <scheme val="minor"/>
    </font>
    <font>
      <b/>
      <sz val="7.85"/>
      <color theme="1"/>
      <name val="Arial"/>
      <charset val="134"/>
    </font>
    <font>
      <sz val="12"/>
      <color theme="1"/>
      <name val="Calibri"/>
      <charset val="134"/>
    </font>
    <font>
      <b/>
      <sz val="10"/>
      <color rgb="FFFF0000"/>
      <name val="Calibri"/>
      <charset val="134"/>
      <scheme val="minor"/>
    </font>
    <font>
      <b/>
      <sz val="12"/>
      <name val="Calibri"/>
      <charset val="134"/>
    </font>
    <font>
      <sz val="8.25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2"/>
      <name val="宋体"/>
      <charset val="134"/>
    </font>
    <font>
      <b/>
      <sz val="9"/>
      <color rgb="FFFF0000"/>
      <name val="Calibri"/>
      <charset val="134"/>
      <scheme val="minor"/>
    </font>
    <font>
      <b/>
      <sz val="12"/>
      <color rgb="FFFF0000"/>
      <name val="Calibri"/>
      <charset val="134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15" borderId="11" applyNumberFormat="0" applyAlignment="0" applyProtection="0">
      <alignment vertical="center"/>
    </xf>
    <xf numFmtId="0" fontId="53" fillId="16" borderId="12" applyNumberFormat="0" applyAlignment="0" applyProtection="0">
      <alignment vertical="center"/>
    </xf>
    <xf numFmtId="0" fontId="54" fillId="16" borderId="11" applyNumberFormat="0" applyAlignment="0" applyProtection="0">
      <alignment vertical="center"/>
    </xf>
    <xf numFmtId="0" fontId="55" fillId="17" borderId="13" applyNumberFormat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0" borderId="15" applyNumberFormat="0" applyFill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2" fillId="30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2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2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1" fillId="44" borderId="0" applyNumberFormat="0" applyBorder="0" applyAlignment="0" applyProtection="0">
      <alignment vertical="center"/>
    </xf>
  </cellStyleXfs>
  <cellXfs count="362">
    <xf numFmtId="0" fontId="0" fillId="0" borderId="0" xfId="0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58" fontId="0" fillId="0" borderId="0" xfId="0" applyNumberFormat="1" applyFill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178" fontId="0" fillId="0" borderId="0" xfId="0" applyNumberFormat="1" applyFill="1" applyAlignment="1">
      <alignment horizontal="left" vertical="center"/>
    </xf>
    <xf numFmtId="179" fontId="0" fillId="0" borderId="0" xfId="0" applyNumberForma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/>
    <xf numFmtId="0" fontId="3" fillId="2" borderId="0" xfId="0" applyFont="1" applyFill="1" applyAlignment="1">
      <alignment horizontal="center" vertical="center"/>
    </xf>
    <xf numFmtId="0" fontId="0" fillId="0" borderId="1" xfId="0" applyFill="1" applyBorder="1" applyAlignment="1"/>
    <xf numFmtId="0" fontId="5" fillId="3" borderId="2" xfId="0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center" vertical="center" wrapText="1"/>
    </xf>
    <xf numFmtId="3" fontId="11" fillId="4" borderId="2" xfId="0" applyNumberFormat="1" applyFont="1" applyFill="1" applyBorder="1" applyAlignment="1">
      <alignment horizontal="center" vertical="center"/>
    </xf>
    <xf numFmtId="9" fontId="12" fillId="4" borderId="2" xfId="3" applyFont="1" applyFill="1" applyBorder="1" applyAlignment="1" applyProtection="1">
      <alignment horizontal="center" vertical="center" wrapText="1"/>
    </xf>
    <xf numFmtId="180" fontId="10" fillId="4" borderId="2" xfId="0" applyNumberFormat="1" applyFont="1" applyFill="1" applyBorder="1" applyAlignment="1">
      <alignment horizontal="center" vertical="center" wrapText="1"/>
    </xf>
    <xf numFmtId="9" fontId="11" fillId="4" borderId="2" xfId="3" applyFont="1" applyFill="1" applyBorder="1" applyAlignment="1" applyProtection="1">
      <alignment horizontal="center" vertical="center"/>
    </xf>
    <xf numFmtId="9" fontId="4" fillId="4" borderId="2" xfId="3" applyFont="1" applyFill="1" applyBorder="1" applyAlignment="1" applyProtection="1">
      <alignment horizontal="center" vertical="center"/>
    </xf>
    <xf numFmtId="181" fontId="4" fillId="4" borderId="2" xfId="3" applyNumberFormat="1" applyFont="1" applyFill="1" applyBorder="1" applyAlignment="1" applyProtection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3" fontId="13" fillId="3" borderId="2" xfId="0" applyNumberFormat="1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182" fontId="16" fillId="5" borderId="2" xfId="0" applyNumberFormat="1" applyFont="1" applyFill="1" applyBorder="1" applyAlignment="1">
      <alignment horizontal="center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9" fontId="4" fillId="4" borderId="2" xfId="3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0" fontId="17" fillId="0" borderId="0" xfId="0" applyFont="1">
      <alignment vertical="center"/>
    </xf>
    <xf numFmtId="0" fontId="18" fillId="2" borderId="3" xfId="0" applyFont="1" applyFill="1" applyBorder="1" applyAlignment="1">
      <alignment horizontal="right" vertical="center" wrapText="1"/>
    </xf>
    <xf numFmtId="0" fontId="17" fillId="0" borderId="3" xfId="0" applyFont="1" applyFill="1" applyBorder="1" applyAlignment="1"/>
    <xf numFmtId="183" fontId="18" fillId="2" borderId="3" xfId="0" applyNumberFormat="1" applyFont="1" applyFill="1" applyBorder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16" fillId="3" borderId="2" xfId="0" applyFont="1" applyFill="1" applyBorder="1" applyAlignment="1">
      <alignment horizontal="center" vertical="center" wrapText="1"/>
    </xf>
    <xf numFmtId="3" fontId="16" fillId="3" borderId="2" xfId="0" applyNumberFormat="1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/>
    </xf>
    <xf numFmtId="0" fontId="13" fillId="0" borderId="2" xfId="0" applyFont="1" applyFill="1" applyBorder="1" applyAlignment="1">
      <alignment horizontal="center" vertical="center"/>
    </xf>
    <xf numFmtId="3" fontId="16" fillId="0" borderId="2" xfId="0" applyNumberFormat="1" applyFont="1" applyFill="1" applyBorder="1" applyAlignment="1">
      <alignment horizontal="center" vertical="center"/>
    </xf>
    <xf numFmtId="3" fontId="16" fillId="4" borderId="2" xfId="0" applyNumberFormat="1" applyFont="1" applyFill="1" applyBorder="1" applyAlignment="1">
      <alignment horizontal="center" vertical="center"/>
    </xf>
    <xf numFmtId="9" fontId="16" fillId="4" borderId="2" xfId="3" applyFont="1" applyFill="1" applyBorder="1" applyAlignment="1" applyProtection="1">
      <alignment horizontal="center" vertical="center"/>
    </xf>
    <xf numFmtId="180" fontId="13" fillId="4" borderId="2" xfId="0" applyNumberFormat="1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181" fontId="13" fillId="4" borderId="2" xfId="3" applyNumberFormat="1" applyFont="1" applyFill="1" applyBorder="1" applyAlignment="1" applyProtection="1">
      <alignment horizontal="center" vertical="center"/>
    </xf>
    <xf numFmtId="0" fontId="17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0" borderId="0" xfId="0" applyFont="1" applyFill="1" applyAlignment="1">
      <alignment vertical="center"/>
    </xf>
    <xf numFmtId="0" fontId="18" fillId="2" borderId="2" xfId="0" applyFont="1" applyFill="1" applyBorder="1" applyAlignment="1">
      <alignment horizontal="center" vertical="center"/>
    </xf>
    <xf numFmtId="3" fontId="16" fillId="2" borderId="2" xfId="0" applyNumberFormat="1" applyFont="1" applyFill="1" applyBorder="1" applyAlignment="1">
      <alignment horizontal="center" vertical="center"/>
    </xf>
    <xf numFmtId="9" fontId="16" fillId="2" borderId="2" xfId="3" applyFont="1" applyFill="1" applyBorder="1" applyAlignment="1" applyProtection="1">
      <alignment horizontal="center" vertical="center"/>
    </xf>
    <xf numFmtId="180" fontId="16" fillId="2" borderId="2" xfId="0" applyNumberFormat="1" applyFont="1" applyFill="1" applyBorder="1" applyAlignment="1">
      <alignment horizontal="center" vertical="center"/>
    </xf>
    <xf numFmtId="180" fontId="13" fillId="2" borderId="2" xfId="0" applyNumberFormat="1" applyFont="1" applyFill="1" applyBorder="1" applyAlignment="1">
      <alignment horizontal="center" vertical="center" wrapText="1"/>
    </xf>
    <xf numFmtId="181" fontId="13" fillId="2" borderId="2" xfId="3" applyNumberFormat="1" applyFont="1" applyFill="1" applyBorder="1" applyAlignment="1" applyProtection="1">
      <alignment horizontal="center" vertical="center"/>
    </xf>
    <xf numFmtId="0" fontId="17" fillId="0" borderId="0" xfId="0" applyFont="1" applyFill="1" applyAlignment="1"/>
    <xf numFmtId="0" fontId="7" fillId="2" borderId="4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righ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 wrapText="1"/>
    </xf>
    <xf numFmtId="3" fontId="18" fillId="3" borderId="2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3" fontId="18" fillId="3" borderId="7" xfId="0" applyNumberFormat="1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4" fontId="16" fillId="2" borderId="2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1" fillId="0" borderId="0" xfId="0" applyFont="1" applyFill="1" applyAlignment="1">
      <alignment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Alignment="1">
      <alignment vertical="center"/>
    </xf>
    <xf numFmtId="0" fontId="25" fillId="6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5" fillId="3" borderId="0" xfId="0" applyFont="1" applyFill="1" applyAlignment="1">
      <alignment vertical="center"/>
    </xf>
    <xf numFmtId="0" fontId="27" fillId="2" borderId="2" xfId="0" applyFont="1" applyFill="1" applyBorder="1" applyAlignment="1">
      <alignment horizontal="center" vertical="center"/>
    </xf>
    <xf numFmtId="184" fontId="10" fillId="2" borderId="2" xfId="0" applyNumberFormat="1" applyFont="1" applyFill="1" applyBorder="1" applyAlignment="1">
      <alignment horizontal="center" vertical="center"/>
    </xf>
    <xf numFmtId="184" fontId="10" fillId="7" borderId="2" xfId="0" applyNumberFormat="1" applyFont="1" applyFill="1" applyBorder="1" applyAlignment="1">
      <alignment horizontal="center" vertical="center"/>
    </xf>
    <xf numFmtId="184" fontId="10" fillId="8" borderId="2" xfId="0" applyNumberFormat="1" applyFont="1" applyFill="1" applyBorder="1" applyAlignment="1">
      <alignment horizontal="center" vertical="center"/>
    </xf>
    <xf numFmtId="184" fontId="27" fillId="8" borderId="2" xfId="0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5" fillId="9" borderId="0" xfId="0" applyFont="1" applyFill="1" applyAlignment="1">
      <alignment vertical="center"/>
    </xf>
    <xf numFmtId="0" fontId="10" fillId="1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right" vertical="center"/>
    </xf>
    <xf numFmtId="0" fontId="27" fillId="11" borderId="2" xfId="0" applyFont="1" applyFill="1" applyBorder="1" applyAlignment="1">
      <alignment horizontal="center" vertical="center"/>
    </xf>
    <xf numFmtId="3" fontId="10" fillId="11" borderId="2" xfId="3" applyNumberFormat="1" applyFont="1" applyFill="1" applyBorder="1" applyAlignment="1" applyProtection="1">
      <alignment horizontal="right" vertical="center"/>
    </xf>
    <xf numFmtId="185" fontId="10" fillId="11" borderId="2" xfId="0" applyNumberFormat="1" applyFont="1" applyFill="1" applyBorder="1" applyAlignment="1">
      <alignment horizontal="right" vertical="center"/>
    </xf>
    <xf numFmtId="9" fontId="24" fillId="0" borderId="2" xfId="3" applyFont="1" applyFill="1" applyBorder="1" applyAlignment="1" applyProtection="1">
      <alignment horizontal="center" vertical="center"/>
    </xf>
    <xf numFmtId="0" fontId="28" fillId="11" borderId="2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right" vertical="center"/>
    </xf>
    <xf numFmtId="185" fontId="10" fillId="5" borderId="2" xfId="0" applyNumberFormat="1" applyFont="1" applyFill="1" applyBorder="1" applyAlignment="1">
      <alignment horizontal="right" vertical="center"/>
    </xf>
    <xf numFmtId="3" fontId="10" fillId="5" borderId="2" xfId="3" applyNumberFormat="1" applyFont="1" applyFill="1" applyBorder="1" applyAlignment="1" applyProtection="1">
      <alignment horizontal="right" vertical="center"/>
    </xf>
    <xf numFmtId="185" fontId="10" fillId="2" borderId="2" xfId="0" applyNumberFormat="1" applyFont="1" applyFill="1" applyBorder="1" applyAlignment="1">
      <alignment horizontal="right" vertical="center"/>
    </xf>
    <xf numFmtId="0" fontId="10" fillId="5" borderId="4" xfId="0" applyFont="1" applyFill="1" applyBorder="1" applyAlignment="1">
      <alignment horizontal="center" vertical="center"/>
    </xf>
    <xf numFmtId="185" fontId="10" fillId="5" borderId="5" xfId="0" applyNumberFormat="1" applyFont="1" applyFill="1" applyBorder="1" applyAlignment="1">
      <alignment horizontal="right" vertical="center"/>
    </xf>
    <xf numFmtId="185" fontId="10" fillId="5" borderId="6" xfId="0" applyNumberFormat="1" applyFont="1" applyFill="1" applyBorder="1" applyAlignment="1">
      <alignment horizontal="right" vertical="center"/>
    </xf>
    <xf numFmtId="0" fontId="10" fillId="10" borderId="2" xfId="0" applyFont="1" applyFill="1" applyBorder="1" applyAlignment="1">
      <alignment horizontal="center" vertical="center"/>
    </xf>
    <xf numFmtId="0" fontId="23" fillId="0" borderId="5" xfId="0" applyFont="1" applyFill="1" applyBorder="1" applyAlignment="1"/>
    <xf numFmtId="0" fontId="23" fillId="0" borderId="6" xfId="0" applyFont="1" applyFill="1" applyBorder="1" applyAlignment="1"/>
    <xf numFmtId="184" fontId="10" fillId="2" borderId="2" xfId="0" applyNumberFormat="1" applyFont="1" applyFill="1" applyBorder="1" applyAlignment="1">
      <alignment horizontal="right" vertical="center"/>
    </xf>
    <xf numFmtId="0" fontId="28" fillId="0" borderId="0" xfId="0" applyFont="1" applyFill="1" applyAlignment="1">
      <alignment horizontal="center" vertical="center"/>
    </xf>
    <xf numFmtId="185" fontId="10" fillId="11" borderId="2" xfId="3" applyNumberFormat="1" applyFont="1" applyFill="1" applyBorder="1" applyAlignment="1" applyProtection="1">
      <alignment horizontal="right" vertical="center"/>
    </xf>
    <xf numFmtId="184" fontId="10" fillId="12" borderId="2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30" fillId="2" borderId="4" xfId="0" applyFont="1" applyFill="1" applyBorder="1" applyAlignment="1">
      <alignment horizontal="right" vertical="center" wrapText="1"/>
    </xf>
    <xf numFmtId="0" fontId="30" fillId="2" borderId="5" xfId="0" applyFont="1" applyFill="1" applyBorder="1" applyAlignment="1">
      <alignment horizontal="right" vertical="center" wrapText="1"/>
    </xf>
    <xf numFmtId="0" fontId="30" fillId="2" borderId="5" xfId="0" applyFont="1" applyFill="1" applyBorder="1" applyAlignment="1">
      <alignment horizontal="left" vertical="center" wrapText="1"/>
    </xf>
    <xf numFmtId="0" fontId="30" fillId="2" borderId="6" xfId="0" applyFont="1" applyFill="1" applyBorder="1" applyAlignment="1">
      <alignment horizontal="left" vertical="center" wrapText="1"/>
    </xf>
    <xf numFmtId="0" fontId="24" fillId="2" borderId="4" xfId="0" applyFont="1" applyFill="1" applyBorder="1" applyAlignment="1">
      <alignment horizontal="right" vertical="center" wrapText="1"/>
    </xf>
    <xf numFmtId="0" fontId="24" fillId="2" borderId="5" xfId="0" applyFont="1" applyFill="1" applyBorder="1" applyAlignment="1">
      <alignment horizontal="right" vertical="center" wrapText="1"/>
    </xf>
    <xf numFmtId="0" fontId="24" fillId="2" borderId="5" xfId="0" applyFont="1" applyFill="1" applyBorder="1" applyAlignment="1">
      <alignment horizontal="left" vertical="center" wrapText="1"/>
    </xf>
    <xf numFmtId="0" fontId="24" fillId="2" borderId="6" xfId="0" applyFont="1" applyFill="1" applyBorder="1" applyAlignment="1">
      <alignment horizontal="left" vertical="center" wrapText="1"/>
    </xf>
    <xf numFmtId="0" fontId="29" fillId="0" borderId="5" xfId="0" applyFont="1" applyFill="1" applyBorder="1" applyAlignment="1"/>
    <xf numFmtId="0" fontId="29" fillId="0" borderId="6" xfId="0" applyFont="1" applyFill="1" applyBorder="1" applyAlignment="1"/>
    <xf numFmtId="0" fontId="26" fillId="2" borderId="4" xfId="0" applyFont="1" applyFill="1" applyBorder="1" applyAlignment="1">
      <alignment horizontal="right" vertical="center" wrapText="1"/>
    </xf>
    <xf numFmtId="0" fontId="0" fillId="0" borderId="5" xfId="0" applyFill="1" applyBorder="1" applyAlignment="1"/>
    <xf numFmtId="0" fontId="27" fillId="2" borderId="6" xfId="0" applyFont="1" applyFill="1" applyBorder="1" applyAlignment="1">
      <alignment horizontal="left" vertical="center" wrapText="1"/>
    </xf>
    <xf numFmtId="0" fontId="0" fillId="0" borderId="6" xfId="0" applyFill="1" applyBorder="1" applyAlignment="1"/>
    <xf numFmtId="0" fontId="31" fillId="2" borderId="4" xfId="0" applyFont="1" applyFill="1" applyBorder="1" applyAlignment="1">
      <alignment horizontal="right" vertical="center" wrapText="1"/>
    </xf>
    <xf numFmtId="0" fontId="31" fillId="2" borderId="5" xfId="0" applyFont="1" applyFill="1" applyBorder="1" applyAlignment="1">
      <alignment horizontal="right" vertical="center" wrapText="1"/>
    </xf>
    <xf numFmtId="0" fontId="31" fillId="2" borderId="5" xfId="0" applyFont="1" applyFill="1" applyBorder="1" applyAlignment="1">
      <alignment horizontal="left" vertical="center" wrapText="1"/>
    </xf>
    <xf numFmtId="0" fontId="31" fillId="2" borderId="6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right" vertical="center"/>
    </xf>
    <xf numFmtId="0" fontId="26" fillId="2" borderId="0" xfId="0" applyFont="1" applyFill="1" applyAlignment="1">
      <alignment horizontal="right" vertical="center"/>
    </xf>
    <xf numFmtId="185" fontId="4" fillId="2" borderId="0" xfId="0" applyNumberFormat="1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24" fillId="2" borderId="1" xfId="0" applyFont="1" applyFill="1" applyBorder="1" applyAlignment="1">
      <alignment horizontal="right" vertical="center"/>
    </xf>
    <xf numFmtId="0" fontId="24" fillId="0" borderId="0" xfId="0" applyFont="1" applyFill="1" applyAlignment="1">
      <alignment vertical="center"/>
    </xf>
    <xf numFmtId="185" fontId="24" fillId="2" borderId="0" xfId="0" applyNumberFormat="1" applyFont="1" applyFill="1" applyAlignment="1">
      <alignment horizontal="left" vertical="center"/>
    </xf>
    <xf numFmtId="0" fontId="23" fillId="0" borderId="0" xfId="0" applyFont="1" applyFill="1" applyAlignment="1">
      <alignment vertical="center"/>
    </xf>
    <xf numFmtId="0" fontId="24" fillId="2" borderId="1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3" fontId="24" fillId="2" borderId="0" xfId="0" applyNumberFormat="1" applyFont="1" applyFill="1" applyAlignment="1">
      <alignment vertical="center"/>
    </xf>
    <xf numFmtId="0" fontId="24" fillId="2" borderId="0" xfId="0" applyFont="1" applyFill="1" applyAlignment="1">
      <alignment horizontal="left" vertical="center"/>
    </xf>
    <xf numFmtId="185" fontId="24" fillId="2" borderId="0" xfId="0" applyNumberFormat="1" applyFont="1" applyFill="1" applyAlignment="1">
      <alignment vertical="center"/>
    </xf>
    <xf numFmtId="9" fontId="24" fillId="2" borderId="0" xfId="3" applyFont="1" applyFill="1" applyBorder="1" applyAlignment="1" applyProtection="1">
      <alignment vertical="center"/>
    </xf>
    <xf numFmtId="0" fontId="24" fillId="2" borderId="1" xfId="0" applyFont="1" applyFill="1" applyBorder="1" applyAlignment="1">
      <alignment horizontal="center" vertical="center"/>
    </xf>
    <xf numFmtId="3" fontId="24" fillId="0" borderId="0" xfId="0" applyNumberFormat="1" applyFont="1" applyFill="1" applyAlignment="1">
      <alignment horizontal="center" vertical="center"/>
    </xf>
    <xf numFmtId="185" fontId="24" fillId="0" borderId="0" xfId="0" applyNumberFormat="1" applyFont="1" applyFill="1" applyAlignment="1">
      <alignment horizontal="center" vertical="center"/>
    </xf>
    <xf numFmtId="9" fontId="24" fillId="0" borderId="0" xfId="3" applyFont="1" applyFill="1" applyBorder="1" applyAlignment="1" applyProtection="1">
      <alignment horizontal="center" vertical="center"/>
    </xf>
    <xf numFmtId="3" fontId="24" fillId="0" borderId="0" xfId="0" applyNumberFormat="1" applyFont="1" applyFill="1" applyAlignment="1">
      <alignment vertical="center"/>
    </xf>
    <xf numFmtId="3" fontId="32" fillId="0" borderId="0" xfId="0" applyNumberFormat="1" applyFont="1" applyFill="1" applyAlignment="1">
      <alignment vertical="center"/>
    </xf>
    <xf numFmtId="0" fontId="20" fillId="0" borderId="0" xfId="0" applyFont="1" applyFill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3" fontId="30" fillId="5" borderId="2" xfId="0" applyNumberFormat="1" applyFont="1" applyFill="1" applyBorder="1" applyAlignment="1">
      <alignment horizontal="center" vertical="center"/>
    </xf>
    <xf numFmtId="3" fontId="30" fillId="3" borderId="2" xfId="0" applyNumberFormat="1" applyFont="1" applyFill="1" applyBorder="1" applyAlignment="1">
      <alignment horizontal="center" vertical="center"/>
    </xf>
    <xf numFmtId="3" fontId="30" fillId="3" borderId="2" xfId="0" applyNumberFormat="1" applyFont="1" applyFill="1" applyBorder="1" applyAlignment="1">
      <alignment horizontal="center" vertical="center" wrapText="1"/>
    </xf>
    <xf numFmtId="185" fontId="30" fillId="5" borderId="2" xfId="0" applyNumberFormat="1" applyFont="1" applyFill="1" applyBorder="1" applyAlignment="1">
      <alignment horizontal="center" vertical="center"/>
    </xf>
    <xf numFmtId="185" fontId="30" fillId="3" borderId="2" xfId="0" applyNumberFormat="1" applyFont="1" applyFill="1" applyBorder="1" applyAlignment="1">
      <alignment horizontal="center" vertical="center" wrapText="1"/>
    </xf>
    <xf numFmtId="185" fontId="33" fillId="3" borderId="2" xfId="0" applyNumberFormat="1" applyFont="1" applyFill="1" applyBorder="1" applyAlignment="1">
      <alignment horizontal="center" vertical="center" wrapText="1"/>
    </xf>
    <xf numFmtId="185" fontId="33" fillId="3" borderId="2" xfId="0" applyNumberFormat="1" applyFont="1" applyFill="1" applyBorder="1" applyAlignment="1">
      <alignment horizontal="center" vertical="center"/>
    </xf>
    <xf numFmtId="9" fontId="30" fillId="0" borderId="2" xfId="3" applyFont="1" applyFill="1" applyBorder="1" applyAlignment="1" applyProtection="1">
      <alignment horizontal="center" vertical="center" wrapText="1"/>
    </xf>
    <xf numFmtId="9" fontId="30" fillId="0" borderId="2" xfId="3" applyFont="1" applyFill="1" applyBorder="1" applyAlignment="1" applyProtection="1">
      <alignment horizontal="center" vertical="center"/>
    </xf>
    <xf numFmtId="3" fontId="24" fillId="3" borderId="2" xfId="0" applyNumberFormat="1" applyFont="1" applyFill="1" applyBorder="1" applyAlignment="1">
      <alignment horizontal="center" vertical="center"/>
    </xf>
    <xf numFmtId="185" fontId="24" fillId="3" borderId="2" xfId="0" applyNumberFormat="1" applyFont="1" applyFill="1" applyBorder="1" applyAlignment="1">
      <alignment horizontal="center" vertical="center"/>
    </xf>
    <xf numFmtId="3" fontId="24" fillId="5" borderId="2" xfId="0" applyNumberFormat="1" applyFont="1" applyFill="1" applyBorder="1" applyAlignment="1">
      <alignment horizontal="center" vertical="center"/>
    </xf>
    <xf numFmtId="185" fontId="24" fillId="5" borderId="2" xfId="0" applyNumberFormat="1" applyFont="1" applyFill="1" applyBorder="1" applyAlignment="1">
      <alignment horizontal="center" vertical="center"/>
    </xf>
    <xf numFmtId="185" fontId="32" fillId="3" borderId="2" xfId="0" applyNumberFormat="1" applyFont="1" applyFill="1" applyBorder="1" applyAlignment="1">
      <alignment horizontal="center" vertical="center"/>
    </xf>
    <xf numFmtId="3" fontId="24" fillId="0" borderId="2" xfId="0" applyNumberFormat="1" applyFont="1" applyFill="1" applyBorder="1" applyAlignment="1">
      <alignment horizontal="center" vertical="center"/>
    </xf>
    <xf numFmtId="185" fontId="32" fillId="3" borderId="4" xfId="0" applyNumberFormat="1" applyFont="1" applyFill="1" applyBorder="1" applyAlignment="1">
      <alignment horizontal="center" vertical="center"/>
    </xf>
    <xf numFmtId="185" fontId="24" fillId="0" borderId="2" xfId="0" applyNumberFormat="1" applyFont="1" applyFill="1" applyBorder="1" applyAlignment="1">
      <alignment horizontal="center" vertical="center"/>
    </xf>
    <xf numFmtId="3" fontId="32" fillId="3" borderId="2" xfId="0" applyNumberFormat="1" applyFont="1" applyFill="1" applyBorder="1" applyAlignment="1">
      <alignment horizontal="center" vertical="center"/>
    </xf>
    <xf numFmtId="185" fontId="30" fillId="3" borderId="2" xfId="0" applyNumberFormat="1" applyFont="1" applyFill="1" applyBorder="1" applyAlignment="1">
      <alignment horizontal="center" vertical="center"/>
    </xf>
    <xf numFmtId="185" fontId="32" fillId="3" borderId="2" xfId="0" applyNumberFormat="1" applyFont="1" applyFill="1" applyBorder="1" applyAlignment="1">
      <alignment horizontal="center" vertical="center" wrapText="1"/>
    </xf>
    <xf numFmtId="185" fontId="24" fillId="3" borderId="2" xfId="0" applyNumberFormat="1" applyFont="1" applyFill="1" applyBorder="1" applyAlignment="1">
      <alignment horizontal="center" vertical="center" wrapText="1"/>
    </xf>
    <xf numFmtId="9" fontId="24" fillId="0" borderId="2" xfId="3" applyFont="1" applyFill="1" applyBorder="1" applyAlignment="1" applyProtection="1">
      <alignment horizontal="center" vertical="center" wrapText="1"/>
    </xf>
    <xf numFmtId="0" fontId="24" fillId="0" borderId="0" xfId="0" applyFont="1" applyFill="1" applyAlignment="1">
      <alignment horizontal="left" vertical="center"/>
    </xf>
    <xf numFmtId="9" fontId="24" fillId="0" borderId="6" xfId="3" applyFont="1" applyFill="1" applyBorder="1" applyAlignment="1" applyProtection="1">
      <alignment horizontal="center" vertical="center" wrapText="1"/>
    </xf>
    <xf numFmtId="185" fontId="30" fillId="5" borderId="2" xfId="0" applyNumberFormat="1" applyFont="1" applyFill="1" applyBorder="1" applyAlignment="1">
      <alignment horizontal="center" vertical="center" wrapText="1"/>
    </xf>
    <xf numFmtId="179" fontId="33" fillId="3" borderId="2" xfId="3" applyNumberFormat="1" applyFont="1" applyFill="1" applyBorder="1" applyAlignment="1" applyProtection="1">
      <alignment horizontal="center" vertical="center"/>
    </xf>
    <xf numFmtId="9" fontId="33" fillId="0" borderId="2" xfId="3" applyFont="1" applyFill="1" applyBorder="1" applyAlignment="1" applyProtection="1">
      <alignment horizontal="center" vertical="center"/>
    </xf>
    <xf numFmtId="9" fontId="30" fillId="5" borderId="2" xfId="3" applyFont="1" applyFill="1" applyBorder="1" applyAlignment="1" applyProtection="1">
      <alignment horizontal="center" vertical="center"/>
    </xf>
    <xf numFmtId="4" fontId="34" fillId="0" borderId="0" xfId="0" applyNumberFormat="1" applyFont="1" applyFill="1" applyAlignment="1">
      <alignment vertical="center"/>
    </xf>
    <xf numFmtId="3" fontId="20" fillId="0" borderId="0" xfId="0" applyNumberFormat="1" applyFont="1" applyFill="1" applyAlignment="1">
      <alignment vertical="center"/>
    </xf>
    <xf numFmtId="3" fontId="35" fillId="0" borderId="0" xfId="0" applyNumberFormat="1" applyFont="1" applyFill="1" applyAlignment="1">
      <alignment vertical="center"/>
    </xf>
    <xf numFmtId="0" fontId="35" fillId="0" borderId="0" xfId="0" applyFont="1" applyFill="1" applyAlignment="1">
      <alignment vertical="center"/>
    </xf>
    <xf numFmtId="9" fontId="20" fillId="0" borderId="0" xfId="3" applyFont="1" applyFill="1" applyBorder="1" applyAlignment="1" applyProtection="1">
      <alignment vertical="center"/>
    </xf>
    <xf numFmtId="3" fontId="24" fillId="3" borderId="2" xfId="0" applyNumberFormat="1" applyFont="1" applyFill="1" applyBorder="1" applyAlignment="1">
      <alignment horizontal="center" vertical="center" wrapText="1"/>
    </xf>
    <xf numFmtId="179" fontId="32" fillId="3" borderId="2" xfId="3" applyNumberFormat="1" applyFont="1" applyFill="1" applyBorder="1" applyAlignment="1" applyProtection="1">
      <alignment horizontal="center" vertical="center"/>
    </xf>
    <xf numFmtId="9" fontId="32" fillId="0" borderId="2" xfId="3" applyFont="1" applyFill="1" applyBorder="1" applyAlignment="1" applyProtection="1">
      <alignment horizontal="center" vertical="center"/>
    </xf>
    <xf numFmtId="9" fontId="24" fillId="5" borderId="2" xfId="3" applyFont="1" applyFill="1" applyBorder="1" applyAlignment="1" applyProtection="1">
      <alignment horizontal="center" vertical="center"/>
    </xf>
    <xf numFmtId="4" fontId="24" fillId="0" borderId="0" xfId="0" applyNumberFormat="1" applyFont="1" applyFill="1" applyAlignment="1">
      <alignment vertical="center"/>
    </xf>
    <xf numFmtId="0" fontId="24" fillId="4" borderId="0" xfId="0" applyFont="1" applyFill="1" applyAlignment="1">
      <alignment horizontal="center" vertical="center"/>
    </xf>
    <xf numFmtId="4" fontId="24" fillId="0" borderId="0" xfId="3" applyNumberFormat="1" applyFont="1" applyFill="1" applyBorder="1" applyAlignment="1" applyProtection="1">
      <alignment horizontal="left" vertical="top"/>
    </xf>
    <xf numFmtId="9" fontId="32" fillId="0" borderId="6" xfId="3" applyFont="1" applyFill="1" applyBorder="1" applyAlignment="1" applyProtection="1">
      <alignment horizontal="center" vertical="center"/>
    </xf>
    <xf numFmtId="3" fontId="24" fillId="0" borderId="2" xfId="0" applyNumberFormat="1" applyFont="1" applyFill="1" applyBorder="1" applyAlignment="1">
      <alignment horizontal="center" vertical="center" wrapText="1"/>
    </xf>
    <xf numFmtId="3" fontId="36" fillId="3" borderId="2" xfId="0" applyNumberFormat="1" applyFont="1" applyFill="1" applyBorder="1" applyAlignment="1">
      <alignment horizontal="center" vertical="center"/>
    </xf>
    <xf numFmtId="0" fontId="33" fillId="0" borderId="2" xfId="0" applyFont="1" applyFill="1" applyBorder="1" applyAlignment="1">
      <alignment horizontal="center" vertical="center"/>
    </xf>
    <xf numFmtId="3" fontId="32" fillId="5" borderId="2" xfId="0" applyNumberFormat="1" applyFont="1" applyFill="1" applyBorder="1" applyAlignment="1">
      <alignment horizontal="center" vertical="center"/>
    </xf>
    <xf numFmtId="9" fontId="24" fillId="0" borderId="0" xfId="3" applyFont="1" applyFill="1" applyBorder="1" applyAlignment="1" applyProtection="1">
      <alignment vertical="center"/>
    </xf>
    <xf numFmtId="185" fontId="36" fillId="3" borderId="2" xfId="0" applyNumberFormat="1" applyFont="1" applyFill="1" applyBorder="1" applyAlignment="1">
      <alignment horizontal="center" vertical="center"/>
    </xf>
    <xf numFmtId="3" fontId="24" fillId="5" borderId="2" xfId="0" applyNumberFormat="1" applyFont="1" applyFill="1" applyBorder="1" applyAlignment="1">
      <alignment horizontal="center" vertical="center" wrapText="1"/>
    </xf>
    <xf numFmtId="185" fontId="32" fillId="5" borderId="2" xfId="0" applyNumberFormat="1" applyFont="1" applyFill="1" applyBorder="1" applyAlignment="1">
      <alignment horizontal="center" vertical="center"/>
    </xf>
    <xf numFmtId="0" fontId="24" fillId="13" borderId="0" xfId="0" applyFont="1" applyFill="1" applyAlignment="1">
      <alignment vertical="center"/>
    </xf>
    <xf numFmtId="0" fontId="33" fillId="0" borderId="2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/>
    </xf>
    <xf numFmtId="3" fontId="20" fillId="3" borderId="2" xfId="0" applyNumberFormat="1" applyFont="1" applyFill="1" applyBorder="1" applyAlignment="1">
      <alignment horizontal="center" vertical="center"/>
    </xf>
    <xf numFmtId="3" fontId="20" fillId="3" borderId="2" xfId="0" applyNumberFormat="1" applyFont="1" applyFill="1" applyBorder="1" applyAlignment="1">
      <alignment horizontal="center" vertical="center" wrapText="1"/>
    </xf>
    <xf numFmtId="3" fontId="20" fillId="5" borderId="2" xfId="0" applyNumberFormat="1" applyFont="1" applyFill="1" applyBorder="1" applyAlignment="1">
      <alignment horizontal="center" vertical="center"/>
    </xf>
    <xf numFmtId="185" fontId="20" fillId="5" borderId="2" xfId="0" applyNumberFormat="1" applyFont="1" applyFill="1" applyBorder="1" applyAlignment="1">
      <alignment horizontal="center" vertical="center"/>
    </xf>
    <xf numFmtId="185" fontId="20" fillId="3" borderId="2" xfId="0" applyNumberFormat="1" applyFont="1" applyFill="1" applyBorder="1" applyAlignment="1">
      <alignment horizontal="center" vertical="center"/>
    </xf>
    <xf numFmtId="185" fontId="37" fillId="3" borderId="2" xfId="0" applyNumberFormat="1" applyFont="1" applyFill="1" applyBorder="1" applyAlignment="1">
      <alignment horizontal="center" vertical="center"/>
    </xf>
    <xf numFmtId="179" fontId="37" fillId="3" borderId="2" xfId="3" applyNumberFormat="1" applyFont="1" applyFill="1" applyBorder="1" applyAlignment="1" applyProtection="1">
      <alignment horizontal="center" vertical="center"/>
    </xf>
    <xf numFmtId="9" fontId="37" fillId="0" borderId="2" xfId="3" applyFont="1" applyFill="1" applyBorder="1" applyAlignment="1" applyProtection="1">
      <alignment horizontal="center" vertical="center"/>
    </xf>
    <xf numFmtId="9" fontId="20" fillId="5" borderId="2" xfId="3" applyFont="1" applyFill="1" applyBorder="1" applyAlignment="1" applyProtection="1">
      <alignment horizontal="center" vertical="center"/>
    </xf>
    <xf numFmtId="3" fontId="20" fillId="5" borderId="2" xfId="0" applyNumberFormat="1" applyFont="1" applyFill="1" applyBorder="1" applyAlignment="1">
      <alignment horizontal="center" vertical="center" wrapText="1"/>
    </xf>
    <xf numFmtId="185" fontId="37" fillId="5" borderId="2" xfId="0" applyNumberFormat="1" applyFont="1" applyFill="1" applyBorder="1" applyAlignment="1">
      <alignment horizontal="center" vertical="center"/>
    </xf>
    <xf numFmtId="179" fontId="37" fillId="5" borderId="2" xfId="3" applyNumberFormat="1" applyFont="1" applyFill="1" applyBorder="1" applyAlignment="1" applyProtection="1">
      <alignment horizontal="center" vertical="center"/>
    </xf>
    <xf numFmtId="3" fontId="33" fillId="3" borderId="2" xfId="0" applyNumberFormat="1" applyFont="1" applyFill="1" applyBorder="1" applyAlignment="1">
      <alignment horizontal="center" vertical="center"/>
    </xf>
    <xf numFmtId="4" fontId="38" fillId="0" borderId="0" xfId="0" applyNumberFormat="1" applyFont="1" applyFill="1" applyAlignment="1">
      <alignment vertical="center"/>
    </xf>
    <xf numFmtId="3" fontId="30" fillId="5" borderId="2" xfId="0" applyNumberFormat="1" applyFont="1" applyFill="1" applyBorder="1" applyAlignment="1">
      <alignment horizontal="center" vertical="center" wrapText="1"/>
    </xf>
    <xf numFmtId="185" fontId="33" fillId="5" borderId="2" xfId="0" applyNumberFormat="1" applyFont="1" applyFill="1" applyBorder="1" applyAlignment="1">
      <alignment horizontal="center" vertical="center"/>
    </xf>
    <xf numFmtId="179" fontId="33" fillId="5" borderId="2" xfId="3" applyNumberFormat="1" applyFont="1" applyFill="1" applyBorder="1" applyAlignment="1" applyProtection="1">
      <alignment horizontal="center" vertical="center"/>
    </xf>
    <xf numFmtId="9" fontId="33" fillId="5" borderId="2" xfId="3" applyFont="1" applyFill="1" applyBorder="1" applyAlignment="1" applyProtection="1">
      <alignment horizontal="center" vertical="center"/>
    </xf>
    <xf numFmtId="185" fontId="20" fillId="5" borderId="2" xfId="0" applyNumberFormat="1" applyFont="1" applyFill="1" applyBorder="1" applyAlignment="1">
      <alignment horizontal="center" vertical="center" wrapText="1"/>
    </xf>
    <xf numFmtId="0" fontId="31" fillId="0" borderId="0" xfId="0" applyFont="1" applyFill="1" applyAlignment="1">
      <alignment vertical="center"/>
    </xf>
    <xf numFmtId="9" fontId="37" fillId="5" borderId="2" xfId="3" applyFont="1" applyFill="1" applyBorder="1" applyAlignment="1" applyProtection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3" fontId="30" fillId="2" borderId="2" xfId="0" applyNumberFormat="1" applyFont="1" applyFill="1" applyBorder="1" applyAlignment="1">
      <alignment horizontal="center" vertical="center"/>
    </xf>
    <xf numFmtId="185" fontId="30" fillId="2" borderId="2" xfId="0" applyNumberFormat="1" applyFont="1" applyFill="1" applyBorder="1" applyAlignment="1">
      <alignment horizontal="center" vertical="center"/>
    </xf>
    <xf numFmtId="185" fontId="33" fillId="2" borderId="2" xfId="0" applyNumberFormat="1" applyFont="1" applyFill="1" applyBorder="1" applyAlignment="1">
      <alignment horizontal="center" vertical="center"/>
    </xf>
    <xf numFmtId="9" fontId="33" fillId="2" borderId="2" xfId="3" applyFont="1" applyFill="1" applyBorder="1" applyAlignment="1" applyProtection="1">
      <alignment horizontal="center" vertical="center"/>
    </xf>
    <xf numFmtId="9" fontId="30" fillId="2" borderId="2" xfId="3" applyFont="1" applyFill="1" applyBorder="1" applyAlignment="1" applyProtection="1">
      <alignment horizontal="center" vertical="center"/>
    </xf>
    <xf numFmtId="0" fontId="39" fillId="0" borderId="0" xfId="0" applyFont="1" applyFill="1" applyAlignment="1">
      <alignment vertical="center"/>
    </xf>
    <xf numFmtId="0" fontId="24" fillId="2" borderId="2" xfId="0" applyFont="1" applyFill="1" applyBorder="1" applyAlignment="1">
      <alignment horizontal="center" vertical="center"/>
    </xf>
    <xf numFmtId="3" fontId="24" fillId="2" borderId="2" xfId="0" applyNumberFormat="1" applyFont="1" applyFill="1" applyBorder="1" applyAlignment="1">
      <alignment horizontal="center" vertical="center"/>
    </xf>
    <xf numFmtId="185" fontId="24" fillId="2" borderId="2" xfId="0" applyNumberFormat="1" applyFont="1" applyFill="1" applyBorder="1" applyAlignment="1">
      <alignment horizontal="center" vertical="center"/>
    </xf>
    <xf numFmtId="185" fontId="32" fillId="2" borderId="2" xfId="0" applyNumberFormat="1" applyFont="1" applyFill="1" applyBorder="1" applyAlignment="1">
      <alignment horizontal="center" vertical="center"/>
    </xf>
    <xf numFmtId="9" fontId="32" fillId="2" borderId="2" xfId="3" applyFont="1" applyFill="1" applyBorder="1" applyAlignment="1" applyProtection="1">
      <alignment horizontal="center" vertical="center"/>
    </xf>
    <xf numFmtId="9" fontId="24" fillId="2" borderId="2" xfId="3" applyFont="1" applyFill="1" applyBorder="1" applyAlignment="1" applyProtection="1">
      <alignment horizontal="center" vertical="center"/>
    </xf>
    <xf numFmtId="185" fontId="32" fillId="2" borderId="4" xfId="0" applyNumberFormat="1" applyFont="1" applyFill="1" applyBorder="1" applyAlignment="1">
      <alignment horizontal="center" vertical="center"/>
    </xf>
    <xf numFmtId="179" fontId="32" fillId="2" borderId="2" xfId="3" applyNumberFormat="1" applyFont="1" applyFill="1" applyBorder="1" applyAlignment="1" applyProtection="1">
      <alignment horizontal="center" vertical="center"/>
    </xf>
    <xf numFmtId="9" fontId="32" fillId="2" borderId="6" xfId="3" applyFont="1" applyFill="1" applyBorder="1" applyAlignment="1" applyProtection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20" fillId="5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0" fontId="31" fillId="0" borderId="2" xfId="0" applyFont="1" applyFill="1" applyBorder="1" applyAlignment="1">
      <alignment horizontal="center" vertical="center"/>
    </xf>
    <xf numFmtId="3" fontId="31" fillId="3" borderId="2" xfId="0" applyNumberFormat="1" applyFont="1" applyFill="1" applyBorder="1" applyAlignment="1">
      <alignment horizontal="center" vertical="center"/>
    </xf>
    <xf numFmtId="3" fontId="31" fillId="5" borderId="2" xfId="0" applyNumberFormat="1" applyFont="1" applyFill="1" applyBorder="1" applyAlignment="1">
      <alignment horizontal="center" vertical="center"/>
    </xf>
    <xf numFmtId="185" fontId="31" fillId="5" borderId="2" xfId="0" applyNumberFormat="1" applyFont="1" applyFill="1" applyBorder="1" applyAlignment="1">
      <alignment horizontal="center" vertical="center"/>
    </xf>
    <xf numFmtId="185" fontId="31" fillId="3" borderId="2" xfId="0" applyNumberFormat="1" applyFont="1" applyFill="1" applyBorder="1" applyAlignment="1">
      <alignment horizontal="center" vertical="center"/>
    </xf>
    <xf numFmtId="185" fontId="40" fillId="3" borderId="2" xfId="0" applyNumberFormat="1" applyFont="1" applyFill="1" applyBorder="1" applyAlignment="1">
      <alignment horizontal="center" vertical="center"/>
    </xf>
    <xf numFmtId="9" fontId="31" fillId="0" borderId="2" xfId="3" applyFont="1" applyFill="1" applyBorder="1" applyAlignment="1" applyProtection="1">
      <alignment horizontal="center" vertical="center"/>
    </xf>
    <xf numFmtId="3" fontId="31" fillId="5" borderId="7" xfId="0" applyNumberFormat="1" applyFont="1" applyFill="1" applyBorder="1" applyAlignment="1">
      <alignment horizontal="center" vertical="center"/>
    </xf>
    <xf numFmtId="3" fontId="31" fillId="3" borderId="7" xfId="0" applyNumberFormat="1" applyFont="1" applyFill="1" applyBorder="1" applyAlignment="1">
      <alignment horizontal="center" vertical="center"/>
    </xf>
    <xf numFmtId="9" fontId="24" fillId="0" borderId="6" xfId="3" applyFont="1" applyFill="1" applyBorder="1" applyAlignment="1" applyProtection="1">
      <alignment horizontal="center" vertical="center"/>
    </xf>
    <xf numFmtId="0" fontId="30" fillId="0" borderId="2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/>
    </xf>
    <xf numFmtId="3" fontId="30" fillId="0" borderId="2" xfId="0" applyNumberFormat="1" applyFont="1" applyFill="1" applyBorder="1" applyAlignment="1">
      <alignment horizontal="center" vertical="center"/>
    </xf>
    <xf numFmtId="180" fontId="30" fillId="3" borderId="2" xfId="0" applyNumberFormat="1" applyFont="1" applyFill="1" applyBorder="1" applyAlignment="1">
      <alignment horizontal="center" vertical="center"/>
    </xf>
    <xf numFmtId="180" fontId="35" fillId="0" borderId="0" xfId="0" applyNumberFormat="1" applyFont="1" applyFill="1" applyAlignment="1">
      <alignment vertical="center"/>
    </xf>
    <xf numFmtId="3" fontId="33" fillId="5" borderId="2" xfId="0" applyNumberFormat="1" applyFont="1" applyFill="1" applyBorder="1" applyAlignment="1">
      <alignment horizontal="center" vertical="center"/>
    </xf>
    <xf numFmtId="3" fontId="37" fillId="5" borderId="2" xfId="0" applyNumberFormat="1" applyFont="1" applyFill="1" applyBorder="1" applyAlignment="1">
      <alignment horizontal="center" vertical="center"/>
    </xf>
    <xf numFmtId="3" fontId="41" fillId="0" borderId="2" xfId="0" applyNumberFormat="1" applyFont="1" applyFill="1" applyBorder="1" applyAlignment="1">
      <alignment horizontal="center" vertical="center"/>
    </xf>
    <xf numFmtId="3" fontId="30" fillId="0" borderId="2" xfId="0" applyNumberFormat="1" applyFont="1" applyFill="1" applyBorder="1" applyAlignment="1">
      <alignment horizontal="center" vertical="center" wrapText="1"/>
    </xf>
    <xf numFmtId="185" fontId="41" fillId="5" borderId="2" xfId="0" applyNumberFormat="1" applyFont="1" applyFill="1" applyBorder="1" applyAlignment="1">
      <alignment horizontal="center" vertical="center"/>
    </xf>
    <xf numFmtId="3" fontId="20" fillId="0" borderId="2" xfId="0" applyNumberFormat="1" applyFont="1" applyFill="1" applyBorder="1" applyAlignment="1">
      <alignment horizontal="center" vertical="center"/>
    </xf>
    <xf numFmtId="3" fontId="20" fillId="0" borderId="2" xfId="0" applyNumberFormat="1" applyFont="1" applyFill="1" applyBorder="1" applyAlignment="1">
      <alignment horizontal="center" vertical="center" wrapText="1"/>
    </xf>
    <xf numFmtId="185" fontId="42" fillId="5" borderId="2" xfId="0" applyNumberFormat="1" applyFont="1" applyFill="1" applyBorder="1" applyAlignment="1">
      <alignment horizontal="center" vertical="center"/>
    </xf>
    <xf numFmtId="185" fontId="42" fillId="3" borderId="2" xfId="0" applyNumberFormat="1" applyFont="1" applyFill="1" applyBorder="1" applyAlignment="1">
      <alignment horizontal="center" vertical="center"/>
    </xf>
    <xf numFmtId="185" fontId="37" fillId="0" borderId="2" xfId="0" applyNumberFormat="1" applyFont="1" applyFill="1" applyBorder="1" applyAlignment="1">
      <alignment horizontal="center" vertical="center"/>
    </xf>
    <xf numFmtId="185" fontId="32" fillId="0" borderId="2" xfId="0" applyNumberFormat="1" applyFont="1" applyFill="1" applyBorder="1" applyAlignment="1">
      <alignment horizontal="center" vertical="center"/>
    </xf>
    <xf numFmtId="185" fontId="36" fillId="0" borderId="2" xfId="0" applyNumberFormat="1" applyFont="1" applyFill="1" applyBorder="1" applyAlignment="1">
      <alignment horizontal="center" vertical="center"/>
    </xf>
    <xf numFmtId="185" fontId="36" fillId="0" borderId="6" xfId="0" applyNumberFormat="1" applyFont="1" applyFill="1" applyBorder="1" applyAlignment="1">
      <alignment horizontal="center" vertical="center"/>
    </xf>
    <xf numFmtId="4" fontId="36" fillId="0" borderId="2" xfId="0" applyNumberFormat="1" applyFont="1" applyFill="1" applyBorder="1" applyAlignment="1">
      <alignment horizontal="center" vertical="center"/>
    </xf>
    <xf numFmtId="3" fontId="37" fillId="3" borderId="2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right" vertical="center"/>
    </xf>
    <xf numFmtId="3" fontId="33" fillId="2" borderId="2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185" fontId="20" fillId="2" borderId="2" xfId="0" applyNumberFormat="1" applyFont="1" applyFill="1" applyBorder="1" applyAlignment="1">
      <alignment horizontal="center" vertical="center"/>
    </xf>
    <xf numFmtId="3" fontId="20" fillId="2" borderId="2" xfId="0" applyNumberFormat="1" applyFont="1" applyFill="1" applyBorder="1" applyAlignment="1">
      <alignment horizontal="center" vertical="center"/>
    </xf>
    <xf numFmtId="185" fontId="37" fillId="2" borderId="2" xfId="0" applyNumberFormat="1" applyFont="1" applyFill="1" applyBorder="1" applyAlignment="1">
      <alignment horizontal="center" vertical="center"/>
    </xf>
    <xf numFmtId="9" fontId="37" fillId="2" borderId="2" xfId="3" applyFont="1" applyFill="1" applyBorder="1" applyAlignment="1" applyProtection="1">
      <alignment horizontal="center" vertical="center"/>
    </xf>
    <xf numFmtId="9" fontId="20" fillId="2" borderId="2" xfId="3" applyFont="1" applyFill="1" applyBorder="1" applyAlignment="1" applyProtection="1">
      <alignment horizontal="center" vertical="center"/>
    </xf>
    <xf numFmtId="0" fontId="30" fillId="0" borderId="0" xfId="0" applyFont="1" applyFill="1" applyAlignment="1">
      <alignment vertical="center"/>
    </xf>
    <xf numFmtId="180" fontId="0" fillId="0" borderId="0" xfId="0" applyNumberFormat="1" applyFill="1" applyAlignment="1">
      <alignment vertical="center"/>
    </xf>
    <xf numFmtId="185" fontId="32" fillId="0" borderId="0" xfId="0" applyNumberFormat="1" applyFont="1" applyFill="1" applyAlignment="1">
      <alignment horizontal="center" vertical="center"/>
    </xf>
    <xf numFmtId="180" fontId="39" fillId="0" borderId="0" xfId="0" applyNumberFormat="1" applyFont="1" applyFill="1" applyAlignment="1">
      <alignment vertical="center"/>
    </xf>
    <xf numFmtId="185" fontId="36" fillId="0" borderId="0" xfId="0" applyNumberFormat="1" applyFont="1" applyFill="1" applyAlignment="1">
      <alignment horizontal="center" vertical="center"/>
    </xf>
    <xf numFmtId="3" fontId="20" fillId="0" borderId="0" xfId="0" applyNumberFormat="1" applyFont="1" applyFill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3" fontId="42" fillId="2" borderId="2" xfId="0" applyNumberFormat="1" applyFont="1" applyFill="1" applyBorder="1" applyAlignment="1">
      <alignment horizontal="center" vertical="center"/>
    </xf>
    <xf numFmtId="0" fontId="29" fillId="0" borderId="0" xfId="0" applyFont="1" applyFill="1" applyAlignment="1">
      <alignment vertical="center"/>
    </xf>
    <xf numFmtId="9" fontId="24" fillId="5" borderId="0" xfId="3" applyFont="1" applyFill="1" applyBorder="1" applyAlignment="1" applyProtection="1">
      <alignment horizontal="center" vertical="center"/>
    </xf>
    <xf numFmtId="185" fontId="36" fillId="3" borderId="0" xfId="0" applyNumberFormat="1" applyFont="1" applyFill="1" applyAlignment="1">
      <alignment horizontal="center" vertical="center"/>
    </xf>
    <xf numFmtId="3" fontId="24" fillId="3" borderId="0" xfId="0" applyNumberFormat="1" applyFont="1" applyFill="1" applyAlignment="1">
      <alignment horizontal="center" vertical="center"/>
    </xf>
    <xf numFmtId="185" fontId="24" fillId="3" borderId="0" xfId="0" applyNumberFormat="1" applyFont="1" applyFill="1" applyAlignment="1">
      <alignment horizontal="center" vertical="center"/>
    </xf>
    <xf numFmtId="185" fontId="32" fillId="3" borderId="0" xfId="0" applyNumberFormat="1" applyFont="1" applyFill="1" applyAlignment="1">
      <alignment horizontal="center" vertical="center"/>
    </xf>
    <xf numFmtId="3" fontId="32" fillId="3" borderId="0" xfId="0" applyNumberFormat="1" applyFont="1" applyFill="1" applyAlignment="1">
      <alignment horizontal="center" vertical="center"/>
    </xf>
    <xf numFmtId="3" fontId="36" fillId="3" borderId="0" xfId="0" applyNumberFormat="1" applyFont="1" applyFill="1" applyAlignment="1">
      <alignment horizontal="center" vertical="center"/>
    </xf>
    <xf numFmtId="4" fontId="36" fillId="0" borderId="0" xfId="0" applyNumberFormat="1" applyFont="1" applyFill="1" applyAlignment="1">
      <alignment horizontal="center" vertical="center"/>
    </xf>
    <xf numFmtId="3" fontId="41" fillId="3" borderId="2" xfId="0" applyNumberFormat="1" applyFont="1" applyFill="1" applyBorder="1" applyAlignment="1">
      <alignment horizontal="center" vertical="center"/>
    </xf>
    <xf numFmtId="0" fontId="41" fillId="0" borderId="2" xfId="0" applyFont="1" applyFill="1" applyBorder="1" applyAlignment="1">
      <alignment horizontal="center" vertical="center"/>
    </xf>
    <xf numFmtId="0" fontId="42" fillId="0" borderId="2" xfId="0" applyFont="1" applyFill="1" applyBorder="1" applyAlignment="1">
      <alignment horizontal="center" vertical="center"/>
    </xf>
    <xf numFmtId="180" fontId="30" fillId="2" borderId="2" xfId="0" applyNumberFormat="1" applyFont="1" applyFill="1" applyBorder="1" applyAlignment="1">
      <alignment horizontal="center" vertical="center"/>
    </xf>
    <xf numFmtId="3" fontId="41" fillId="2" borderId="2" xfId="0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9" fontId="36" fillId="0" borderId="2" xfId="3" applyFont="1" applyFill="1" applyBorder="1" applyAlignment="1" applyProtection="1">
      <alignment horizontal="center" vertical="center"/>
    </xf>
    <xf numFmtId="3" fontId="32" fillId="3" borderId="2" xfId="0" applyNumberFormat="1" applyFont="1" applyFill="1" applyBorder="1" applyAlignment="1">
      <alignment horizontal="center" vertical="center" wrapText="1"/>
    </xf>
    <xf numFmtId="3" fontId="30" fillId="2" borderId="2" xfId="0" applyNumberFormat="1" applyFont="1" applyFill="1" applyBorder="1" applyAlignment="1">
      <alignment horizontal="center" vertical="center" wrapText="1"/>
    </xf>
    <xf numFmtId="0" fontId="29" fillId="0" borderId="2" xfId="0" applyFont="1" applyFill="1" applyBorder="1" applyAlignment="1"/>
    <xf numFmtId="3" fontId="24" fillId="2" borderId="2" xfId="0" applyNumberFormat="1" applyFont="1" applyFill="1" applyBorder="1" applyAlignment="1">
      <alignment horizontal="center" vertical="center" wrapText="1"/>
    </xf>
    <xf numFmtId="0" fontId="39" fillId="0" borderId="0" xfId="0" applyFont="1" applyFill="1" applyAlignment="1">
      <alignment horizontal="center" vertical="center"/>
    </xf>
    <xf numFmtId="3" fontId="24" fillId="2" borderId="4" xfId="0" applyNumberFormat="1" applyFont="1" applyFill="1" applyBorder="1" applyAlignment="1">
      <alignment horizontal="center" vertical="center" wrapText="1"/>
    </xf>
    <xf numFmtId="3" fontId="24" fillId="2" borderId="5" xfId="0" applyNumberFormat="1" applyFont="1" applyFill="1" applyBorder="1" applyAlignment="1">
      <alignment horizontal="center" vertical="center" wrapText="1"/>
    </xf>
    <xf numFmtId="3" fontId="24" fillId="2" borderId="6" xfId="0" applyNumberFormat="1" applyFont="1" applyFill="1" applyBorder="1" applyAlignment="1">
      <alignment horizontal="center" vertical="center" wrapText="1"/>
    </xf>
    <xf numFmtId="3" fontId="16" fillId="3" borderId="7" xfId="0" applyNumberFormat="1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9" fontId="30" fillId="3" borderId="2" xfId="3" applyFont="1" applyFill="1" applyBorder="1" applyAlignment="1" applyProtection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3" fontId="10" fillId="5" borderId="2" xfId="0" applyNumberFormat="1" applyFont="1" applyFill="1" applyBorder="1" applyAlignment="1">
      <alignment horizontal="center" vertical="center"/>
    </xf>
    <xf numFmtId="185" fontId="10" fillId="3" borderId="2" xfId="0" applyNumberFormat="1" applyFont="1" applyFill="1" applyBorder="1" applyAlignment="1">
      <alignment horizontal="center" vertical="center"/>
    </xf>
    <xf numFmtId="9" fontId="10" fillId="3" borderId="2" xfId="3" applyFont="1" applyFill="1" applyBorder="1" applyAlignment="1" applyProtection="1">
      <alignment horizontal="center" vertical="center"/>
    </xf>
    <xf numFmtId="3" fontId="10" fillId="3" borderId="2" xfId="0" applyNumberFormat="1" applyFont="1" applyFill="1" applyBorder="1" applyAlignment="1">
      <alignment horizontal="center" vertical="center"/>
    </xf>
    <xf numFmtId="10" fontId="10" fillId="3" borderId="2" xfId="0" applyNumberFormat="1" applyFont="1" applyFill="1" applyBorder="1" applyAlignment="1">
      <alignment horizontal="center" vertical="center"/>
    </xf>
    <xf numFmtId="179" fontId="10" fillId="3" borderId="2" xfId="3" applyNumberFormat="1" applyFont="1" applyFill="1" applyBorder="1" applyAlignment="1" applyProtection="1">
      <alignment horizontal="center" vertical="center"/>
    </xf>
    <xf numFmtId="0" fontId="24" fillId="5" borderId="2" xfId="0" applyFont="1" applyFill="1" applyBorder="1" applyAlignment="1">
      <alignment horizontal="center" vertical="center"/>
    </xf>
    <xf numFmtId="9" fontId="24" fillId="3" borderId="2" xfId="3" applyFont="1" applyFill="1" applyBorder="1" applyAlignment="1" applyProtection="1">
      <alignment horizontal="center" vertical="center"/>
    </xf>
    <xf numFmtId="9" fontId="29" fillId="0" borderId="0" xfId="3" applyFont="1" applyFill="1" applyBorder="1" applyAlignment="1" applyProtection="1">
      <alignment vertical="center"/>
    </xf>
    <xf numFmtId="9" fontId="20" fillId="3" borderId="2" xfId="3" applyFont="1" applyFill="1" applyBorder="1" applyAlignment="1" applyProtection="1">
      <alignment horizontal="center" vertical="center"/>
    </xf>
    <xf numFmtId="0" fontId="0" fillId="0" borderId="2" xfId="0" applyBorder="1">
      <alignment vertical="center"/>
    </xf>
    <xf numFmtId="3" fontId="27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185" fontId="10" fillId="2" borderId="2" xfId="0" applyNumberFormat="1" applyFont="1" applyFill="1" applyBorder="1" applyAlignment="1">
      <alignment horizontal="center" vertical="center"/>
    </xf>
    <xf numFmtId="9" fontId="10" fillId="2" borderId="2" xfId="3" applyFont="1" applyFill="1" applyBorder="1" applyAlignment="1" applyProtection="1">
      <alignment horizontal="center" vertical="center"/>
    </xf>
    <xf numFmtId="10" fontId="10" fillId="2" borderId="2" xfId="0" applyNumberFormat="1" applyFont="1" applyFill="1" applyBorder="1" applyAlignment="1">
      <alignment horizontal="center" vertical="center"/>
    </xf>
    <xf numFmtId="3" fontId="16" fillId="3" borderId="2" xfId="0" applyNumberFormat="1" applyFont="1" applyFill="1" applyBorder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185" fontId="30" fillId="0" borderId="0" xfId="0" applyNumberFormat="1" applyFont="1" applyFill="1" applyAlignment="1">
      <alignment horizontal="center" vertical="center"/>
    </xf>
    <xf numFmtId="9" fontId="30" fillId="0" borderId="0" xfId="3" applyFont="1" applyFill="1" applyBorder="1" applyAlignment="1" applyProtection="1">
      <alignment horizontal="center" vertical="center"/>
    </xf>
    <xf numFmtId="185" fontId="20" fillId="0" borderId="0" xfId="0" applyNumberFormat="1" applyFont="1" applyFill="1" applyAlignment="1">
      <alignment horizontal="center" vertical="center"/>
    </xf>
    <xf numFmtId="9" fontId="20" fillId="0" borderId="0" xfId="3" applyFont="1" applyFill="1" applyBorder="1" applyAlignment="1" applyProtection="1">
      <alignment horizontal="center" vertical="center"/>
    </xf>
    <xf numFmtId="3" fontId="24" fillId="2" borderId="0" xfId="0" applyNumberFormat="1" applyFont="1" applyFill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9" fontId="10" fillId="2" borderId="2" xfId="3" applyFont="1" applyFill="1" applyBorder="1" applyAlignment="1">
      <alignment horizontal="center" vertical="center"/>
    </xf>
    <xf numFmtId="0" fontId="43" fillId="0" borderId="0" xfId="0" applyFont="1" applyFill="1" applyAlignment="1">
      <alignment vertical="center"/>
    </xf>
    <xf numFmtId="3" fontId="3" fillId="2" borderId="2" xfId="0" applyNumberFormat="1" applyFont="1" applyFill="1" applyBorder="1" applyAlignment="1">
      <alignment horizontal="center" vertical="center"/>
    </xf>
    <xf numFmtId="9" fontId="3" fillId="2" borderId="2" xfId="3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b val="1"/>
        <color rgb="FFFF0000"/>
      </font>
    </dxf>
    <dxf>
      <font>
        <b val="1"/>
        <color theme="1"/>
      </font>
    </dxf>
    <dxf>
      <font>
        <b val="1"/>
        <i val="0"/>
        <color theme="1"/>
      </font>
    </dxf>
    <dxf>
      <font>
        <b val="1"/>
        <i val="0"/>
        <color rgb="FFFF0000"/>
      </font>
    </dxf>
    <dxf>
      <font>
        <color rgb="FF9C0006"/>
      </font>
    </dxf>
    <dxf>
      <font>
        <color theme="1"/>
      </font>
    </dxf>
    <dxf>
      <font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6&#24180;7&#26376;%20&#32447;&#19978;&#21150;&#20844;&#25968;&#25454;&#27719;&#2463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支出小计"/>
      <sheetName val="报表"/>
      <sheetName val="当日汇总"/>
      <sheetName val="PH09"/>
      <sheetName val="PH09-2"/>
      <sheetName val="PH25"/>
      <sheetName val="PH18"/>
      <sheetName val="PH30"/>
      <sheetName val="PH05"/>
      <sheetName val="PH16"/>
      <sheetName val="BD02"/>
      <sheetName val="PH35"/>
      <sheetName val="BD05"/>
      <sheetName val="MM01"/>
      <sheetName val="PH11"/>
      <sheetName val="IN05"/>
      <sheetName val="单价汇总"/>
      <sheetName val="PH12"/>
      <sheetName val="BD09"/>
      <sheetName val="BD07"/>
      <sheetName val="BD18"/>
    </sheetNames>
    <sheetDataSet>
      <sheetData sheetId="0">
        <row r="5">
          <cell r="CK5">
            <v>428363</v>
          </cell>
          <cell r="CL5">
            <v>55620</v>
          </cell>
        </row>
        <row r="5">
          <cell r="CN5">
            <v>65897.09</v>
          </cell>
          <cell r="CO5">
            <v>83454.184</v>
          </cell>
          <cell r="CP5">
            <v>99200</v>
          </cell>
          <cell r="CQ5">
            <v>107446</v>
          </cell>
        </row>
        <row r="5">
          <cell r="DR5">
            <v>302841</v>
          </cell>
          <cell r="DS5">
            <v>125950</v>
          </cell>
        </row>
        <row r="5">
          <cell r="DU5">
            <v>78118.46</v>
          </cell>
          <cell r="DV5">
            <v>51952.104</v>
          </cell>
          <cell r="DW5">
            <v>96000</v>
          </cell>
          <cell r="DX5">
            <v>103980</v>
          </cell>
        </row>
        <row r="5">
          <cell r="EZ5">
            <v>523090</v>
          </cell>
          <cell r="FA5">
            <v>325240</v>
          </cell>
        </row>
        <row r="5">
          <cell r="FC5">
            <v>124779.13</v>
          </cell>
          <cell r="FD5">
            <v>92017.95</v>
          </cell>
          <cell r="FE5">
            <v>198400</v>
          </cell>
          <cell r="FF5">
            <v>107446</v>
          </cell>
        </row>
        <row r="5">
          <cell r="GI5">
            <v>-76657</v>
          </cell>
          <cell r="GJ5">
            <v>255860</v>
          </cell>
        </row>
        <row r="5">
          <cell r="GL5">
            <v>150737.02</v>
          </cell>
          <cell r="GM5">
            <v>0</v>
          </cell>
          <cell r="GN5">
            <v>179200</v>
          </cell>
          <cell r="GO5">
            <v>97048</v>
          </cell>
        </row>
        <row r="5">
          <cell r="HP5">
            <v>194828</v>
          </cell>
          <cell r="HQ5">
            <v>106910</v>
          </cell>
        </row>
        <row r="5">
          <cell r="HS5">
            <v>89486.6</v>
          </cell>
          <cell r="HT5">
            <v>29721.344</v>
          </cell>
          <cell r="HU5">
            <v>198400</v>
          </cell>
          <cell r="HV5">
            <v>107446</v>
          </cell>
        </row>
        <row r="5">
          <cell r="IU5">
            <v>72289</v>
          </cell>
          <cell r="IV5">
            <v>75390</v>
          </cell>
        </row>
        <row r="5">
          <cell r="IX5">
            <v>70734.23</v>
          </cell>
          <cell r="IY5">
            <v>9327.244</v>
          </cell>
          <cell r="IZ5">
            <v>161169</v>
          </cell>
        </row>
        <row r="5">
          <cell r="JY5">
            <v>444306</v>
          </cell>
          <cell r="JZ5">
            <v>51780</v>
          </cell>
        </row>
        <row r="5">
          <cell r="KB5">
            <v>93736.335</v>
          </cell>
          <cell r="KC5">
            <v>95810.208</v>
          </cell>
          <cell r="KD5">
            <v>155970</v>
          </cell>
        </row>
        <row r="5">
          <cell r="LC5">
            <v>-869671</v>
          </cell>
          <cell r="LD5">
            <v>115140</v>
          </cell>
        </row>
        <row r="5">
          <cell r="LF5">
            <v>133519.47</v>
          </cell>
          <cell r="LG5">
            <v>0</v>
          </cell>
          <cell r="LH5">
            <v>161169</v>
          </cell>
        </row>
        <row r="5">
          <cell r="MG5">
            <v>624955</v>
          </cell>
          <cell r="MH5">
            <v>144420</v>
          </cell>
        </row>
        <row r="5">
          <cell r="MJ5">
            <v>163929.605</v>
          </cell>
          <cell r="MK5">
            <v>114823.168</v>
          </cell>
          <cell r="ML5">
            <v>169834</v>
          </cell>
        </row>
        <row r="5">
          <cell r="NK5">
            <v>820235</v>
          </cell>
          <cell r="NL5">
            <v>281580</v>
          </cell>
        </row>
        <row r="5">
          <cell r="NN5">
            <v>189817.04</v>
          </cell>
          <cell r="NO5">
            <v>134643.25</v>
          </cell>
          <cell r="NP5">
            <v>183698</v>
          </cell>
        </row>
        <row r="5">
          <cell r="OM5">
            <v>769562</v>
          </cell>
          <cell r="ON5">
            <v>318780</v>
          </cell>
        </row>
        <row r="5">
          <cell r="OP5">
            <v>147708.225</v>
          </cell>
          <cell r="OQ5">
            <v>121637.27</v>
          </cell>
          <cell r="OR5">
            <v>107447</v>
          </cell>
        </row>
        <row r="5">
          <cell r="PM5">
            <v>580328</v>
          </cell>
          <cell r="PN5">
            <v>215310</v>
          </cell>
        </row>
        <row r="5">
          <cell r="PP5">
            <v>87838.1</v>
          </cell>
          <cell r="PQ5">
            <v>98087.596</v>
          </cell>
          <cell r="PR5">
            <v>198361</v>
          </cell>
        </row>
        <row r="11">
          <cell r="BR11">
            <v>0</v>
          </cell>
          <cell r="BS11">
            <v>0</v>
          </cell>
        </row>
        <row r="14">
          <cell r="LQ14">
            <v>1</v>
          </cell>
        </row>
        <row r="23">
          <cell r="AK23">
            <v>0</v>
          </cell>
          <cell r="AL23">
            <v>0</v>
          </cell>
        </row>
        <row r="29">
          <cell r="AK29">
            <v>0</v>
          </cell>
          <cell r="AL29">
            <v>0</v>
          </cell>
        </row>
        <row r="34">
          <cell r="CX34" t="str">
            <v>IN05</v>
          </cell>
          <cell r="CY34">
            <v>1</v>
          </cell>
          <cell r="CZ34">
            <v>0</v>
          </cell>
        </row>
      </sheetData>
      <sheetData sheetId="1"/>
      <sheetData sheetId="2"/>
      <sheetData sheetId="3"/>
      <sheetData sheetId="4">
        <row r="4">
          <cell r="V4">
            <v>666493.12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4">
          <cell r="B4">
            <v>0</v>
          </cell>
          <cell r="C4">
            <v>0</v>
          </cell>
        </row>
      </sheetData>
      <sheetData sheetId="12"/>
      <sheetData sheetId="13">
        <row r="1">
          <cell r="A1" t="str">
            <v>BD05-JILIEVO（bdevoxsldx）每日总报表</v>
          </cell>
        </row>
        <row r="3">
          <cell r="A3" t="str">
            <v>日期</v>
          </cell>
          <cell r="B3" t="str">
            <v>现场人员费用(BDT)</v>
          </cell>
          <cell r="C3" t="str">
            <v>现场转线上人员（BDT）</v>
          </cell>
          <cell r="D3" t="str">
            <v>线上人员费用(BDT)</v>
          </cell>
          <cell r="E3" t="str">
            <v>投放费用(U)</v>
          </cell>
        </row>
        <row r="3">
          <cell r="G3" t="str">
            <v>注册人数</v>
          </cell>
          <cell r="H3" t="str">
            <v>首存人数</v>
          </cell>
        </row>
        <row r="3">
          <cell r="J3" t="str">
            <v>一级首存</v>
          </cell>
          <cell r="K3" t="str">
            <v>充值人数</v>
          </cell>
        </row>
        <row r="3">
          <cell r="Q3" t="str">
            <v>有效投注</v>
          </cell>
          <cell r="R3" t="str">
            <v>一级存款</v>
          </cell>
          <cell r="S3" t="str">
            <v>一级提款</v>
          </cell>
          <cell r="T3" t="str">
            <v>首存金额</v>
          </cell>
          <cell r="U3" t="str">
            <v>新客首存总金额</v>
          </cell>
          <cell r="V3" t="str">
            <v>新客首提总金额</v>
          </cell>
          <cell r="W3" t="str">
            <v>当天存款</v>
          </cell>
          <cell r="X3" t="str">
            <v>当天提款</v>
          </cell>
        </row>
        <row r="4">
          <cell r="A4" t="str">
            <v>总/Total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</row>
        <row r="4">
          <cell r="G4">
            <v>0</v>
          </cell>
          <cell r="H4">
            <v>0</v>
          </cell>
        </row>
        <row r="4">
          <cell r="J4">
            <v>0</v>
          </cell>
          <cell r="K4">
            <v>0</v>
          </cell>
        </row>
        <row r="4"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4">
          <cell r="AJ4">
            <v>0</v>
          </cell>
        </row>
        <row r="5">
          <cell r="A5" t="str">
            <v>DATE</v>
          </cell>
          <cell r="B5" t="str">
            <v>OFFICE STAFF PAYMENT</v>
          </cell>
          <cell r="C5" t="str">
            <v>OFFICE STAFF TRANSFER WFH PAYMENT</v>
          </cell>
          <cell r="D5" t="str">
            <v>WFH STAFF PAYMENT</v>
          </cell>
          <cell r="E5" t="str">
            <v>INVERSMENT COST</v>
          </cell>
        </row>
        <row r="5">
          <cell r="G5" t="str">
            <v>RST TOTAL PPL</v>
          </cell>
          <cell r="H5" t="str">
            <v>FTD TOTAL PPL</v>
          </cell>
        </row>
        <row r="5">
          <cell r="J5" t="str">
            <v>Level 1 FTD</v>
          </cell>
          <cell r="K5" t="str">
            <v>TOTAL DPS PPL</v>
          </cell>
        </row>
        <row r="5">
          <cell r="Q5" t="str">
            <v>Valid bets</v>
          </cell>
          <cell r="R5" t="str">
            <v>Level 1 Deposit</v>
          </cell>
          <cell r="S5" t="str">
            <v>Level 1 Withdraw</v>
          </cell>
          <cell r="T5" t="str">
            <v>FTD DPS AMOUNT</v>
          </cell>
          <cell r="U5" t="str">
            <v>TOTAL DPS AMOUNT</v>
          </cell>
          <cell r="V5" t="str">
            <v>THE DAY TOTAL WDR AMOUNT</v>
          </cell>
          <cell r="W5" t="str">
            <v>TOTAL DPS AMOUNT</v>
          </cell>
          <cell r="X5" t="str">
            <v>TOTAL WDR AMOUNT</v>
          </cell>
        </row>
        <row r="6">
          <cell r="A6">
            <v>46174</v>
          </cell>
        </row>
        <row r="6">
          <cell r="E6">
            <v>0</v>
          </cell>
        </row>
        <row r="7">
          <cell r="A7">
            <v>46175</v>
          </cell>
        </row>
        <row r="7">
          <cell r="E7">
            <v>0</v>
          </cell>
        </row>
        <row r="8">
          <cell r="A8">
            <v>46176</v>
          </cell>
        </row>
        <row r="8">
          <cell r="E8">
            <v>0</v>
          </cell>
        </row>
        <row r="9">
          <cell r="A9">
            <v>46177</v>
          </cell>
        </row>
        <row r="9">
          <cell r="E9">
            <v>0</v>
          </cell>
        </row>
        <row r="10">
          <cell r="A10">
            <v>46178</v>
          </cell>
        </row>
        <row r="10">
          <cell r="E10">
            <v>0</v>
          </cell>
        </row>
        <row r="11">
          <cell r="A11">
            <v>46179</v>
          </cell>
        </row>
        <row r="11">
          <cell r="E11">
            <v>0</v>
          </cell>
        </row>
        <row r="12">
          <cell r="A12">
            <v>46180</v>
          </cell>
        </row>
        <row r="12">
          <cell r="E12">
            <v>0</v>
          </cell>
        </row>
        <row r="13">
          <cell r="A13">
            <v>46181</v>
          </cell>
        </row>
        <row r="13">
          <cell r="E13">
            <v>0</v>
          </cell>
        </row>
        <row r="14">
          <cell r="A14">
            <v>46182</v>
          </cell>
        </row>
        <row r="14">
          <cell r="E14">
            <v>0</v>
          </cell>
        </row>
        <row r="15">
          <cell r="A15">
            <v>46183</v>
          </cell>
        </row>
        <row r="15">
          <cell r="E15">
            <v>0</v>
          </cell>
        </row>
        <row r="16">
          <cell r="A16">
            <v>46184</v>
          </cell>
        </row>
        <row r="16">
          <cell r="E16">
            <v>0</v>
          </cell>
        </row>
        <row r="17">
          <cell r="A17">
            <v>46185</v>
          </cell>
        </row>
        <row r="17">
          <cell r="E17">
            <v>0</v>
          </cell>
        </row>
        <row r="18">
          <cell r="A18">
            <v>46186</v>
          </cell>
        </row>
        <row r="18">
          <cell r="E18">
            <v>0</v>
          </cell>
        </row>
        <row r="19">
          <cell r="A19">
            <v>46187</v>
          </cell>
        </row>
        <row r="19">
          <cell r="E19">
            <v>0</v>
          </cell>
        </row>
        <row r="20">
          <cell r="A20">
            <v>46188</v>
          </cell>
        </row>
        <row r="20">
          <cell r="E20">
            <v>0</v>
          </cell>
        </row>
        <row r="21">
          <cell r="A21">
            <v>46189</v>
          </cell>
        </row>
        <row r="21">
          <cell r="E21">
            <v>0</v>
          </cell>
        </row>
        <row r="22">
          <cell r="A22">
            <v>46190</v>
          </cell>
        </row>
        <row r="22">
          <cell r="E22">
            <v>0</v>
          </cell>
        </row>
        <row r="23">
          <cell r="A23">
            <v>46191</v>
          </cell>
        </row>
        <row r="23">
          <cell r="E23">
            <v>0</v>
          </cell>
        </row>
        <row r="24">
          <cell r="A24">
            <v>46192</v>
          </cell>
        </row>
        <row r="24">
          <cell r="E24">
            <v>0</v>
          </cell>
        </row>
        <row r="25">
          <cell r="A25">
            <v>46193</v>
          </cell>
        </row>
        <row r="25">
          <cell r="E25">
            <v>0</v>
          </cell>
        </row>
        <row r="26">
          <cell r="A26">
            <v>46194</v>
          </cell>
        </row>
        <row r="26">
          <cell r="E26">
            <v>0</v>
          </cell>
        </row>
        <row r="27">
          <cell r="A27">
            <v>46195</v>
          </cell>
        </row>
        <row r="27">
          <cell r="E27">
            <v>0</v>
          </cell>
        </row>
        <row r="28">
          <cell r="A28">
            <v>46196</v>
          </cell>
        </row>
        <row r="28">
          <cell r="E28">
            <v>0</v>
          </cell>
        </row>
        <row r="29">
          <cell r="A29">
            <v>46197</v>
          </cell>
        </row>
        <row r="29">
          <cell r="E29">
            <v>0</v>
          </cell>
        </row>
        <row r="30">
          <cell r="A30">
            <v>46198</v>
          </cell>
        </row>
        <row r="30">
          <cell r="E30">
            <v>0</v>
          </cell>
        </row>
        <row r="31">
          <cell r="A31">
            <v>46199</v>
          </cell>
        </row>
        <row r="31">
          <cell r="E31">
            <v>0</v>
          </cell>
        </row>
        <row r="32">
          <cell r="A32">
            <v>46200</v>
          </cell>
        </row>
        <row r="32">
          <cell r="E32">
            <v>0</v>
          </cell>
        </row>
        <row r="33">
          <cell r="A33">
            <v>46201</v>
          </cell>
        </row>
        <row r="33">
          <cell r="E33">
            <v>0</v>
          </cell>
        </row>
        <row r="34">
          <cell r="A34">
            <v>46202</v>
          </cell>
        </row>
        <row r="34">
          <cell r="E34">
            <v>0</v>
          </cell>
        </row>
        <row r="35">
          <cell r="A35">
            <v>46203</v>
          </cell>
        </row>
        <row r="35">
          <cell r="E35">
            <v>0</v>
          </cell>
        </row>
        <row r="39">
          <cell r="B39" t="str">
            <v>6500人民币换算塔卡17 汇率：3,683一人/天</v>
          </cell>
        </row>
        <row r="40">
          <cell r="B40" t="str">
            <v>12,000人民币换算塔卡 17 汇率：6,800 一人/天</v>
          </cell>
        </row>
      </sheetData>
      <sheetData sheetId="14">
        <row r="1">
          <cell r="A1" t="str">
            <v>MM01- 123KYAT（123mmxsldx）每日总报表</v>
          </cell>
        </row>
        <row r="3">
          <cell r="A3" t="str">
            <v>日期</v>
          </cell>
          <cell r="B3" t="str">
            <v>现场人员费用（MMK=P）</v>
          </cell>
          <cell r="C3" t="str">
            <v>现场转线上人员（MMK=P）</v>
          </cell>
          <cell r="D3" t="str">
            <v>线上人员费用(MMK=P)</v>
          </cell>
          <cell r="E3" t="str">
            <v>投放费用(U)</v>
          </cell>
        </row>
        <row r="3">
          <cell r="G3" t="str">
            <v>注册人数</v>
          </cell>
          <cell r="H3" t="str">
            <v>首存人数</v>
          </cell>
        </row>
        <row r="3">
          <cell r="J3" t="str">
            <v>一级首存</v>
          </cell>
          <cell r="K3" t="str">
            <v>充值人数</v>
          </cell>
        </row>
        <row r="3">
          <cell r="Q3" t="str">
            <v>有效投注</v>
          </cell>
          <cell r="R3" t="str">
            <v>一级存款</v>
          </cell>
          <cell r="S3" t="str">
            <v>一级提款</v>
          </cell>
          <cell r="T3" t="str">
            <v>首存金额</v>
          </cell>
          <cell r="U3" t="str">
            <v>新客首存总金额</v>
          </cell>
          <cell r="V3" t="str">
            <v>新客首提总金额</v>
          </cell>
          <cell r="W3" t="str">
            <v>当天存款</v>
          </cell>
          <cell r="X3" t="str">
            <v>当天提款</v>
          </cell>
        </row>
        <row r="4">
          <cell r="A4" t="str">
            <v>总/Total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</row>
        <row r="4">
          <cell r="G4">
            <v>0</v>
          </cell>
          <cell r="H4">
            <v>0</v>
          </cell>
        </row>
        <row r="4">
          <cell r="J4">
            <v>0</v>
          </cell>
          <cell r="K4">
            <v>0</v>
          </cell>
        </row>
        <row r="4"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4">
          <cell r="AJ4">
            <v>0</v>
          </cell>
        </row>
        <row r="5">
          <cell r="A5" t="str">
            <v>DATE</v>
          </cell>
          <cell r="B5" t="str">
            <v>OFFICE STAFF PAYMENT</v>
          </cell>
          <cell r="C5" t="str">
            <v>OFFICE STAFF TRANSFER WFH PAYMENT</v>
          </cell>
          <cell r="D5" t="str">
            <v>WFH STAFF PAYMENT</v>
          </cell>
          <cell r="E5" t="str">
            <v>INVERSMENT COST</v>
          </cell>
        </row>
        <row r="5">
          <cell r="G5" t="str">
            <v>RST TOTAL PPL</v>
          </cell>
          <cell r="H5" t="str">
            <v>FTD TOTAL PPL</v>
          </cell>
        </row>
        <row r="5">
          <cell r="J5" t="str">
            <v>Level 1 FTD</v>
          </cell>
          <cell r="K5" t="str">
            <v>TOTAL DPS PPL</v>
          </cell>
        </row>
        <row r="5">
          <cell r="Q5" t="str">
            <v>Valid bets</v>
          </cell>
          <cell r="R5" t="str">
            <v>Level 1 Deposit</v>
          </cell>
          <cell r="S5" t="str">
            <v>Level 1 Withdraw</v>
          </cell>
          <cell r="T5" t="str">
            <v>FTD DPS AMOUNT</v>
          </cell>
          <cell r="U5" t="str">
            <v>TOTAL DPS AMOUNT</v>
          </cell>
          <cell r="V5" t="str">
            <v>THE DAY TOTAL WDR AMOUNT</v>
          </cell>
          <cell r="W5" t="str">
            <v>TOTAL DPS AMOUNT</v>
          </cell>
          <cell r="X5" t="str">
            <v>TOTAL WDR AMOUNT</v>
          </cell>
        </row>
        <row r="6">
          <cell r="A6">
            <v>46174</v>
          </cell>
        </row>
        <row r="6">
          <cell r="E6">
            <v>0</v>
          </cell>
        </row>
        <row r="7">
          <cell r="A7">
            <v>46175</v>
          </cell>
        </row>
        <row r="7">
          <cell r="E7">
            <v>0</v>
          </cell>
        </row>
        <row r="8">
          <cell r="A8">
            <v>46176</v>
          </cell>
        </row>
        <row r="8">
          <cell r="E8">
            <v>0</v>
          </cell>
        </row>
        <row r="9">
          <cell r="A9">
            <v>46177</v>
          </cell>
        </row>
        <row r="9">
          <cell r="E9">
            <v>0</v>
          </cell>
        </row>
        <row r="10">
          <cell r="A10">
            <v>46178</v>
          </cell>
        </row>
        <row r="10">
          <cell r="E10">
            <v>0</v>
          </cell>
        </row>
        <row r="11">
          <cell r="A11">
            <v>46179</v>
          </cell>
        </row>
        <row r="11">
          <cell r="E11">
            <v>0</v>
          </cell>
        </row>
        <row r="12">
          <cell r="A12">
            <v>46180</v>
          </cell>
        </row>
        <row r="12">
          <cell r="E12">
            <v>0</v>
          </cell>
        </row>
        <row r="13">
          <cell r="A13">
            <v>46181</v>
          </cell>
        </row>
        <row r="13">
          <cell r="E13">
            <v>0</v>
          </cell>
        </row>
        <row r="14">
          <cell r="A14">
            <v>46182</v>
          </cell>
        </row>
        <row r="14">
          <cell r="E14">
            <v>0</v>
          </cell>
        </row>
        <row r="15">
          <cell r="A15">
            <v>46183</v>
          </cell>
        </row>
        <row r="15">
          <cell r="E15">
            <v>0</v>
          </cell>
        </row>
        <row r="16">
          <cell r="A16">
            <v>46184</v>
          </cell>
        </row>
        <row r="16">
          <cell r="E16">
            <v>0</v>
          </cell>
        </row>
        <row r="17">
          <cell r="A17">
            <v>46185</v>
          </cell>
        </row>
        <row r="17">
          <cell r="E17">
            <v>0</v>
          </cell>
        </row>
        <row r="18">
          <cell r="A18">
            <v>46186</v>
          </cell>
        </row>
        <row r="18">
          <cell r="E18">
            <v>0</v>
          </cell>
        </row>
        <row r="19">
          <cell r="A19">
            <v>46187</v>
          </cell>
        </row>
        <row r="19">
          <cell r="E19">
            <v>0</v>
          </cell>
        </row>
        <row r="20">
          <cell r="A20">
            <v>46188</v>
          </cell>
        </row>
        <row r="20">
          <cell r="E20">
            <v>0</v>
          </cell>
        </row>
        <row r="21">
          <cell r="A21">
            <v>46189</v>
          </cell>
        </row>
        <row r="21">
          <cell r="E21">
            <v>0</v>
          </cell>
        </row>
        <row r="22">
          <cell r="A22">
            <v>46190</v>
          </cell>
        </row>
        <row r="22">
          <cell r="E22">
            <v>0</v>
          </cell>
        </row>
        <row r="23">
          <cell r="A23">
            <v>46191</v>
          </cell>
        </row>
        <row r="23">
          <cell r="E23">
            <v>0</v>
          </cell>
        </row>
        <row r="24">
          <cell r="A24">
            <v>46192</v>
          </cell>
        </row>
        <row r="24">
          <cell r="E24">
            <v>0</v>
          </cell>
        </row>
        <row r="25">
          <cell r="A25">
            <v>46193</v>
          </cell>
        </row>
        <row r="25">
          <cell r="E25">
            <v>0</v>
          </cell>
        </row>
        <row r="26">
          <cell r="A26">
            <v>46194</v>
          </cell>
        </row>
        <row r="26">
          <cell r="E26">
            <v>0</v>
          </cell>
        </row>
        <row r="27">
          <cell r="A27">
            <v>46195</v>
          </cell>
        </row>
        <row r="27">
          <cell r="E27">
            <v>0</v>
          </cell>
        </row>
        <row r="28">
          <cell r="A28">
            <v>46196</v>
          </cell>
        </row>
        <row r="28">
          <cell r="E28">
            <v>0</v>
          </cell>
        </row>
        <row r="29">
          <cell r="A29">
            <v>46197</v>
          </cell>
        </row>
        <row r="29">
          <cell r="E29">
            <v>0</v>
          </cell>
        </row>
        <row r="30">
          <cell r="A30">
            <v>46198</v>
          </cell>
        </row>
        <row r="30">
          <cell r="E30">
            <v>0</v>
          </cell>
        </row>
        <row r="31">
          <cell r="A31">
            <v>46199</v>
          </cell>
        </row>
        <row r="31">
          <cell r="E31">
            <v>0</v>
          </cell>
        </row>
        <row r="32">
          <cell r="A32">
            <v>46200</v>
          </cell>
        </row>
        <row r="32">
          <cell r="E32">
            <v>0</v>
          </cell>
        </row>
        <row r="33">
          <cell r="A33">
            <v>46201</v>
          </cell>
        </row>
        <row r="33">
          <cell r="E33">
            <v>0</v>
          </cell>
        </row>
        <row r="34">
          <cell r="A34">
            <v>46202</v>
          </cell>
        </row>
        <row r="34">
          <cell r="E34">
            <v>0</v>
          </cell>
        </row>
        <row r="35">
          <cell r="A35">
            <v>46203</v>
          </cell>
        </row>
        <row r="35">
          <cell r="E35">
            <v>0</v>
          </cell>
        </row>
        <row r="39">
          <cell r="B39" t="str">
            <v>3000人民币换算缅币 300 汇率： 30,000一人/天</v>
          </cell>
        </row>
        <row r="40">
          <cell r="B40" t="str">
            <v>费用/首存金额/新客总首存/新客总首提/总充值/总提款：以缅币换算peso /60汇率</v>
          </cell>
        </row>
        <row r="41">
          <cell r="B41" t="str">
            <v>12000人民币换算缅币 300 汇率：120,000一人/天</v>
          </cell>
        </row>
        <row r="42">
          <cell r="B42" t="str">
            <v>新更新缅币换peso/60汇率</v>
          </cell>
        </row>
      </sheetData>
      <sheetData sheetId="15">
        <row r="4">
          <cell r="B4">
            <v>0</v>
          </cell>
        </row>
        <row r="4">
          <cell r="G4">
            <v>0</v>
          </cell>
          <cell r="H4">
            <v>0</v>
          </cell>
        </row>
        <row r="4">
          <cell r="J4">
            <v>0</v>
          </cell>
        </row>
        <row r="4"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4">
          <cell r="AB4">
            <v>3</v>
          </cell>
        </row>
      </sheetData>
      <sheetData sheetId="16">
        <row r="1">
          <cell r="A1" t="str">
            <v>IN05-JILIEVO（in05xsldx） 每日总报表</v>
          </cell>
        </row>
        <row r="3">
          <cell r="A3" t="str">
            <v>日期</v>
          </cell>
          <cell r="B3" t="str">
            <v>现场人员费用(R)</v>
          </cell>
          <cell r="C3" t="str">
            <v>现场转线上人员（R）</v>
          </cell>
          <cell r="D3" t="str">
            <v>线上人员费用(R)</v>
          </cell>
          <cell r="E3" t="str">
            <v>投放费用(U)</v>
          </cell>
        </row>
        <row r="3">
          <cell r="G3" t="str">
            <v>注册人数</v>
          </cell>
          <cell r="H3" t="str">
            <v>首存人数</v>
          </cell>
        </row>
        <row r="3">
          <cell r="J3" t="str">
            <v>一级首存</v>
          </cell>
          <cell r="K3" t="str">
            <v>充值人数</v>
          </cell>
        </row>
        <row r="3">
          <cell r="Q3" t="str">
            <v>有效投注</v>
          </cell>
          <cell r="R3" t="str">
            <v>一级存款</v>
          </cell>
          <cell r="S3" t="str">
            <v>一级提款</v>
          </cell>
          <cell r="T3" t="str">
            <v>首存金额</v>
          </cell>
          <cell r="U3" t="str">
            <v>新客首存总金额</v>
          </cell>
        </row>
        <row r="3">
          <cell r="W3" t="str">
            <v>当天存款</v>
          </cell>
          <cell r="X3" t="str">
            <v>当天提款</v>
          </cell>
        </row>
        <row r="3">
          <cell r="AE3" t="str">
            <v>总人数</v>
          </cell>
        </row>
        <row r="4">
          <cell r="A4" t="str">
            <v>总/Total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</row>
        <row r="4">
          <cell r="G4">
            <v>0</v>
          </cell>
          <cell r="H4">
            <v>0</v>
          </cell>
        </row>
        <row r="4">
          <cell r="J4">
            <v>0</v>
          </cell>
          <cell r="K4">
            <v>0</v>
          </cell>
          <cell r="L4">
            <v>0</v>
          </cell>
        </row>
        <row r="4"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4">
          <cell r="AE4">
            <v>0</v>
          </cell>
        </row>
        <row r="5">
          <cell r="A5" t="str">
            <v>DATE</v>
          </cell>
          <cell r="B5" t="str">
            <v>OFFICE STAFF PAYMENT</v>
          </cell>
          <cell r="C5" t="str">
            <v>OFFICE STAFF TRANSFER WFH PAYMENT</v>
          </cell>
          <cell r="D5" t="str">
            <v>WFH STAFF PAYMENT</v>
          </cell>
          <cell r="E5" t="str">
            <v>INVERSMENT COST</v>
          </cell>
        </row>
        <row r="5">
          <cell r="G5" t="str">
            <v>RST TOTAL PPL</v>
          </cell>
          <cell r="H5" t="str">
            <v>FTD TOTAL PPL</v>
          </cell>
        </row>
        <row r="5">
          <cell r="J5" t="str">
            <v>Level 1 FTD</v>
          </cell>
          <cell r="K5" t="str">
            <v>TOTAL DPS PPL</v>
          </cell>
        </row>
        <row r="5">
          <cell r="Q5" t="str">
            <v>Valid bets</v>
          </cell>
          <cell r="R5" t="str">
            <v>Level 1 Deposit</v>
          </cell>
          <cell r="S5" t="str">
            <v>Level 1 Withdraw</v>
          </cell>
          <cell r="T5" t="str">
            <v>FTD DPS AMOUNT</v>
          </cell>
          <cell r="U5" t="str">
            <v>TOTAL DPS AMOUNT</v>
          </cell>
        </row>
        <row r="5">
          <cell r="W5" t="str">
            <v>TOTAL DPS AMOUNT</v>
          </cell>
          <cell r="X5" t="str">
            <v>TOTAL WDR AMOUNT</v>
          </cell>
        </row>
        <row r="5">
          <cell r="AE5" t="str">
            <v>TOTAL PPL</v>
          </cell>
        </row>
        <row r="6">
          <cell r="A6">
            <v>46113</v>
          </cell>
        </row>
        <row r="6">
          <cell r="E6">
            <v>0</v>
          </cell>
        </row>
        <row r="6">
          <cell r="AE6">
            <v>3</v>
          </cell>
        </row>
        <row r="7">
          <cell r="A7">
            <v>46114</v>
          </cell>
        </row>
        <row r="7">
          <cell r="E7">
            <v>0</v>
          </cell>
        </row>
        <row r="7">
          <cell r="AE7">
            <v>3</v>
          </cell>
        </row>
        <row r="8">
          <cell r="A8">
            <v>46115</v>
          </cell>
        </row>
        <row r="8">
          <cell r="E8">
            <v>0</v>
          </cell>
        </row>
        <row r="8">
          <cell r="AE8">
            <v>3</v>
          </cell>
        </row>
        <row r="9">
          <cell r="A9">
            <v>46116</v>
          </cell>
        </row>
        <row r="9">
          <cell r="E9">
            <v>0</v>
          </cell>
        </row>
        <row r="9">
          <cell r="AE9">
            <v>3</v>
          </cell>
        </row>
        <row r="10">
          <cell r="A10">
            <v>46117</v>
          </cell>
        </row>
        <row r="10">
          <cell r="E10">
            <v>0</v>
          </cell>
        </row>
        <row r="10">
          <cell r="AE10">
            <v>3</v>
          </cell>
        </row>
        <row r="11">
          <cell r="A11">
            <v>46118</v>
          </cell>
        </row>
        <row r="11">
          <cell r="E11">
            <v>0</v>
          </cell>
        </row>
        <row r="11">
          <cell r="AE11">
            <v>3</v>
          </cell>
        </row>
        <row r="12">
          <cell r="A12">
            <v>46119</v>
          </cell>
        </row>
        <row r="12">
          <cell r="E12">
            <v>0</v>
          </cell>
        </row>
        <row r="12">
          <cell r="AE12">
            <v>3</v>
          </cell>
        </row>
        <row r="13">
          <cell r="A13">
            <v>46120</v>
          </cell>
        </row>
        <row r="13">
          <cell r="E13">
            <v>0</v>
          </cell>
        </row>
        <row r="13">
          <cell r="AE13">
            <v>3</v>
          </cell>
        </row>
        <row r="14">
          <cell r="A14">
            <v>46121</v>
          </cell>
        </row>
        <row r="14">
          <cell r="E14">
            <v>0</v>
          </cell>
        </row>
        <row r="14">
          <cell r="AE14">
            <v>3</v>
          </cell>
        </row>
        <row r="15">
          <cell r="A15">
            <v>46122</v>
          </cell>
        </row>
        <row r="15">
          <cell r="E15">
            <v>0</v>
          </cell>
        </row>
        <row r="15">
          <cell r="AE15">
            <v>3</v>
          </cell>
        </row>
        <row r="16">
          <cell r="A16">
            <v>46123</v>
          </cell>
        </row>
        <row r="16">
          <cell r="E16">
            <v>0</v>
          </cell>
        </row>
        <row r="16">
          <cell r="AE16">
            <v>3</v>
          </cell>
        </row>
        <row r="17">
          <cell r="A17">
            <v>46124</v>
          </cell>
        </row>
        <row r="17">
          <cell r="E17">
            <v>0</v>
          </cell>
        </row>
        <row r="17">
          <cell r="AE17">
            <v>3</v>
          </cell>
        </row>
        <row r="18">
          <cell r="A18">
            <v>46125</v>
          </cell>
        </row>
        <row r="18">
          <cell r="E18">
            <v>0</v>
          </cell>
        </row>
        <row r="18">
          <cell r="AE18">
            <v>3</v>
          </cell>
        </row>
        <row r="19">
          <cell r="A19">
            <v>46126</v>
          </cell>
        </row>
        <row r="19">
          <cell r="E19">
            <v>0</v>
          </cell>
        </row>
        <row r="19">
          <cell r="AE19">
            <v>3</v>
          </cell>
        </row>
        <row r="20">
          <cell r="A20">
            <v>46127</v>
          </cell>
        </row>
        <row r="20">
          <cell r="E20">
            <v>0</v>
          </cell>
        </row>
        <row r="20">
          <cell r="AE20">
            <v>3</v>
          </cell>
        </row>
        <row r="21">
          <cell r="A21">
            <v>46128</v>
          </cell>
        </row>
        <row r="21">
          <cell r="E21">
            <v>0</v>
          </cell>
        </row>
        <row r="21">
          <cell r="AE21">
            <v>3</v>
          </cell>
        </row>
        <row r="22">
          <cell r="A22">
            <v>46129</v>
          </cell>
        </row>
        <row r="22">
          <cell r="E22">
            <v>0</v>
          </cell>
        </row>
        <row r="22">
          <cell r="AE22">
            <v>3</v>
          </cell>
        </row>
        <row r="23">
          <cell r="A23">
            <v>46130</v>
          </cell>
        </row>
        <row r="23">
          <cell r="E23">
            <v>0</v>
          </cell>
        </row>
        <row r="23">
          <cell r="AE23">
            <v>3</v>
          </cell>
        </row>
        <row r="24">
          <cell r="A24">
            <v>46131</v>
          </cell>
        </row>
        <row r="24">
          <cell r="E24">
            <v>0</v>
          </cell>
        </row>
        <row r="24">
          <cell r="AE24">
            <v>3</v>
          </cell>
        </row>
        <row r="25">
          <cell r="A25">
            <v>46132</v>
          </cell>
        </row>
        <row r="25">
          <cell r="E25">
            <v>0</v>
          </cell>
        </row>
        <row r="25">
          <cell r="AE25">
            <v>3</v>
          </cell>
        </row>
        <row r="26">
          <cell r="A26">
            <v>46133</v>
          </cell>
        </row>
        <row r="26">
          <cell r="E26">
            <v>0</v>
          </cell>
        </row>
        <row r="26">
          <cell r="AE26">
            <v>3</v>
          </cell>
        </row>
        <row r="27">
          <cell r="A27">
            <v>46134</v>
          </cell>
        </row>
        <row r="27">
          <cell r="E27">
            <v>0</v>
          </cell>
        </row>
        <row r="27">
          <cell r="AE27">
            <v>3</v>
          </cell>
        </row>
        <row r="28">
          <cell r="A28">
            <v>46135</v>
          </cell>
        </row>
        <row r="28">
          <cell r="E28">
            <v>0</v>
          </cell>
        </row>
        <row r="28">
          <cell r="AE28">
            <v>3</v>
          </cell>
        </row>
        <row r="29">
          <cell r="A29">
            <v>46136</v>
          </cell>
        </row>
        <row r="29">
          <cell r="E29">
            <v>0</v>
          </cell>
        </row>
        <row r="29">
          <cell r="AE29">
            <v>3</v>
          </cell>
        </row>
        <row r="30">
          <cell r="A30">
            <v>46137</v>
          </cell>
        </row>
        <row r="30">
          <cell r="E30">
            <v>0</v>
          </cell>
        </row>
        <row r="30">
          <cell r="AE30">
            <v>3</v>
          </cell>
        </row>
        <row r="31">
          <cell r="A31">
            <v>46138</v>
          </cell>
        </row>
        <row r="31">
          <cell r="E31">
            <v>0</v>
          </cell>
        </row>
        <row r="31">
          <cell r="AE31">
            <v>3</v>
          </cell>
        </row>
        <row r="32">
          <cell r="A32">
            <v>46139</v>
          </cell>
        </row>
        <row r="32">
          <cell r="E32">
            <v>0</v>
          </cell>
        </row>
        <row r="32">
          <cell r="AE32">
            <v>3</v>
          </cell>
        </row>
        <row r="33">
          <cell r="A33">
            <v>46140</v>
          </cell>
        </row>
        <row r="33">
          <cell r="E33">
            <v>0</v>
          </cell>
        </row>
        <row r="33">
          <cell r="AE33">
            <v>3</v>
          </cell>
        </row>
        <row r="34">
          <cell r="A34">
            <v>46141</v>
          </cell>
        </row>
        <row r="34">
          <cell r="E34">
            <v>0</v>
          </cell>
        </row>
        <row r="34">
          <cell r="AE34">
            <v>3</v>
          </cell>
        </row>
        <row r="35">
          <cell r="A35">
            <v>46142</v>
          </cell>
        </row>
        <row r="35">
          <cell r="E35">
            <v>0</v>
          </cell>
        </row>
        <row r="35">
          <cell r="AE35">
            <v>3</v>
          </cell>
        </row>
        <row r="38">
          <cell r="B38" t="str">
            <v>6500人民币换算Rupee 13汇率/2816/天</v>
          </cell>
        </row>
        <row r="39">
          <cell r="B39" t="str">
            <v>6500人民币加5500人民币换算塔卡 13 汇率 5,200一人/天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20"/>
  <sheetViews>
    <sheetView zoomScale="85" zoomScaleNormal="85" topLeftCell="C1" workbookViewId="0">
      <pane ySplit="3" topLeftCell="A4" activePane="bottomLeft" state="frozen"/>
      <selection/>
      <selection pane="bottomLeft" activeCell="C1" sqref="C1:AH16"/>
    </sheetView>
  </sheetViews>
  <sheetFormatPr defaultColWidth="9.14285714285714" defaultRowHeight="15"/>
  <cols>
    <col min="3" max="4" width="9.14285714285714" style="120"/>
    <col min="5" max="5" width="10.0761904761905" style="120" customWidth="1"/>
    <col min="6" max="7" width="9.14285714285714" style="120"/>
    <col min="8" max="8" width="10.8571428571429" style="120"/>
    <col min="9" max="10" width="12.1428571428571" style="120"/>
    <col min="11" max="11" width="11.4285714285714" style="120"/>
    <col min="12" max="14" width="10.8571428571429" style="120"/>
    <col min="15" max="15" width="10.752380952381" style="120" customWidth="1"/>
    <col min="16" max="18" width="11.4285714285714" style="120" customWidth="1"/>
    <col min="19" max="20" width="11.247619047619" style="120" customWidth="1"/>
    <col min="21" max="22" width="12.1428571428571" style="120"/>
    <col min="23" max="23" width="12.4380952380952" style="120" customWidth="1"/>
    <col min="24" max="24" width="11.9333333333333" style="120" customWidth="1"/>
    <col min="25" max="25" width="12.6095238095238" style="120" customWidth="1"/>
    <col min="26" max="27" width="12.4380952380952" style="120" customWidth="1"/>
    <col min="28" max="29" width="11.9238095238095" style="120" customWidth="1"/>
    <col min="30" max="30" width="11.4190476190476" style="120" customWidth="1"/>
    <col min="31" max="34" width="10.5809523809524" style="120" customWidth="1"/>
    <col min="36" max="40" width="9.14285714285714" style="120"/>
    <col min="41" max="41" width="10.8571428571429" style="120"/>
    <col min="42" max="43" width="12.1428571428571" style="120"/>
    <col min="44" max="44" width="11.4285714285714" style="120"/>
    <col min="45" max="47" width="10.8571428571429" style="120"/>
    <col min="48" max="49" width="10.2380952380952" style="120" customWidth="1"/>
    <col min="50" max="51" width="10.8571428571429" style="120"/>
    <col min="52" max="53" width="11.247619047619" style="120" customWidth="1"/>
    <col min="54" max="55" width="12.1428571428571" style="120"/>
    <col min="56" max="56" width="10.8571428571429" style="120"/>
    <col min="57" max="57" width="12.6095238095238" style="120" customWidth="1"/>
    <col min="58" max="58" width="11.4285714285714" style="120"/>
    <col min="59" max="60" width="11.5904761904762" style="120" customWidth="1"/>
    <col min="61" max="62" width="14.1047619047619" style="120" customWidth="1"/>
    <col min="63" max="63" width="11.0857142857143" style="120" customWidth="1"/>
    <col min="64" max="66" width="10.247619047619" style="120" customWidth="1"/>
    <col min="67" max="67" width="9.14285714285714" style="120"/>
    <col min="69" max="70" width="9.14285714285714" style="120"/>
    <col min="71" max="71" width="10.0761904761905" style="120" customWidth="1"/>
    <col min="72" max="73" width="9.14285714285714" style="120"/>
    <col min="74" max="74" width="10.8571428571429" style="120"/>
    <col min="75" max="76" width="12.1428571428571" style="120"/>
    <col min="77" max="77" width="11.4285714285714" style="120"/>
    <col min="78" max="80" width="10.8571428571429" style="120"/>
    <col min="81" max="81" width="10.752380952381" style="120" customWidth="1"/>
    <col min="82" max="84" width="11.4285714285714" style="120" customWidth="1"/>
    <col min="85" max="86" width="11.247619047619" style="120" customWidth="1"/>
    <col min="87" max="88" width="12.1428571428571" style="120"/>
    <col min="89" max="89" width="12.4380952380952" style="120" customWidth="1"/>
    <col min="90" max="90" width="11.9333333333333" style="120" customWidth="1"/>
    <col min="91" max="91" width="12.6095238095238" style="120" customWidth="1"/>
    <col min="92" max="93" width="12.4380952380952" style="120" customWidth="1"/>
    <col min="94" max="95" width="11.9238095238095" style="120" customWidth="1"/>
    <col min="96" max="96" width="11.4190476190476" style="120" customWidth="1"/>
    <col min="97" max="100" width="10.5809523809524" style="120" customWidth="1"/>
    <col min="102" max="103" width="9.14285714285714" style="120"/>
    <col min="104" max="104" width="10.0761904761905" style="120" customWidth="1"/>
    <col min="105" max="106" width="9.14285714285714" style="120"/>
    <col min="107" max="107" width="10.8571428571429" style="120"/>
    <col min="108" max="109" width="12.1428571428571" style="120"/>
    <col min="110" max="110" width="11.4285714285714" style="120"/>
    <col min="111" max="113" width="10.8571428571429" style="120"/>
    <col min="114" max="114" width="10.752380952381" style="120" customWidth="1"/>
    <col min="115" max="117" width="11.4285714285714" style="120" customWidth="1"/>
    <col min="118" max="119" width="11.247619047619" style="120" customWidth="1"/>
    <col min="120" max="121" width="12.1428571428571" style="120"/>
    <col min="122" max="122" width="12.4380952380952" style="120" customWidth="1"/>
    <col min="123" max="123" width="11.9333333333333" style="120" customWidth="1"/>
    <col min="124" max="124" width="12.6095238095238" style="120" customWidth="1"/>
    <col min="125" max="126" width="12.4380952380952" style="120" customWidth="1"/>
    <col min="127" max="128" width="11.9238095238095" style="120" customWidth="1"/>
    <col min="129" max="129" width="11.4190476190476" style="120" customWidth="1"/>
    <col min="130" max="133" width="10.5809523809524" style="120" customWidth="1"/>
    <col min="139" max="140" width="10.8571428571429"/>
    <col min="141" max="142" width="12.1428571428571"/>
    <col min="143" max="143" width="11.4285714285714"/>
    <col min="145" max="146" width="10.8571428571429"/>
    <col min="149" max="149" width="10.8571428571429"/>
    <col min="153" max="154" width="12.1428571428571"/>
    <col min="155" max="156" width="10.8571428571429"/>
    <col min="157" max="158" width="11.4285714285714"/>
    <col min="159" max="160" width="9.57142857142857"/>
    <col min="162" max="162" width="9.57142857142857"/>
    <col min="172" max="172" width="10.4095238095238" customWidth="1"/>
    <col min="175" max="175" width="10.8571428571429"/>
    <col min="176" max="177" width="12.1428571428571"/>
    <col min="178" max="178" width="11.4285714285714"/>
    <col min="179" max="179" width="12.6" customWidth="1"/>
    <col min="180" max="181" width="11.5904761904762" customWidth="1"/>
    <col min="182" max="182" width="10.9142857142857" customWidth="1"/>
    <col min="184" max="185" width="10.247619047619" customWidth="1"/>
    <col min="186" max="187" width="10.2380952380952" customWidth="1"/>
    <col min="191" max="191" width="10.4190476190476" customWidth="1"/>
    <col min="206" max="206" width="11" customWidth="1"/>
    <col min="208" max="208" width="9.71428571428571"/>
    <col min="209" max="209" width="9.42857142857143"/>
    <col min="210" max="211" width="10.4095238095238" customWidth="1"/>
    <col min="212" max="212" width="10.4285714285714"/>
    <col min="213" max="215" width="10.4095238095238" customWidth="1"/>
    <col min="216" max="216" width="10.8571428571429"/>
    <col min="217" max="221" width="9.74285714285714" customWidth="1"/>
    <col min="243" max="243" width="10.8571428571429"/>
    <col min="244" max="245" width="12.1428571428571"/>
    <col min="246" max="246" width="12.7142857142857"/>
    <col min="247" max="247" width="12.9333333333333" customWidth="1"/>
    <col min="248" max="248" width="11.6" customWidth="1"/>
    <col min="249" max="250" width="10.2380952380952" customWidth="1"/>
    <col min="274" max="274" width="10.4190476190476" customWidth="1"/>
    <col min="276" max="276" width="10.8571428571429"/>
    <col min="277" max="278" width="12.1428571428571"/>
    <col min="279" max="279" width="12.7142857142857"/>
    <col min="280" max="281" width="12.5904761904762" customWidth="1"/>
    <col min="310" max="310" width="10.8571428571429"/>
    <col min="311" max="312" width="13.4285714285714"/>
    <col min="313" max="314" width="12.7142857142857"/>
    <col min="318" max="318" width="10.8571428571429"/>
    <col min="344" max="344" width="12.1428571428571"/>
    <col min="345" max="346" width="13.4285714285714"/>
    <col min="347" max="348" width="12.7142857142857"/>
    <col min="352" max="352" width="10.8571428571429"/>
    <col min="378" max="378" width="10.4285714285714"/>
    <col min="379" max="381" width="11.4285714285714" customWidth="1"/>
    <col min="382" max="383" width="11.2571428571429" customWidth="1"/>
    <col min="409" max="412" width="9.14285714285714" style="81"/>
    <col min="413" max="413" width="10.8571428571429" style="81"/>
    <col min="414" max="416" width="13.4380952380952" style="81" customWidth="1"/>
    <col min="417" max="418" width="10.8571428571429" style="81"/>
    <col min="419" max="420" width="9.14285714285714" style="81"/>
    <col min="421" max="421" width="11.8571428571429" style="81"/>
    <col min="422" max="423" width="10.8571428571429" style="81"/>
    <col min="424" max="424" width="9.71428571428571" style="81"/>
    <col min="425" max="425" width="10.8571428571429" style="81"/>
    <col min="426" max="427" width="10.1428571428571" style="81"/>
    <col min="428" max="428" width="9.71428571428571" style="81"/>
    <col min="429" max="429" width="10.1428571428571" style="81"/>
    <col min="430" max="440" width="9.14285714285714" style="81"/>
    <col min="441" max="443" width="10.8571428571429" style="81"/>
    <col min="444" max="444" width="10.1428571428571" style="81"/>
    <col min="445" max="446" width="9.14285714285714" style="81"/>
    <col min="447" max="447" width="10.8571428571429" style="81"/>
    <col min="448" max="449" width="11.2857142857143" style="81"/>
    <col min="450" max="450" width="9.71428571428571" style="81"/>
    <col min="451" max="455" width="10.1428571428571" style="81"/>
    <col min="456" max="460" width="9.14285714285714" style="81"/>
    <col min="461" max="461" width="10.8571428571429" style="81"/>
    <col min="462" max="466" width="9.14285714285714" style="81"/>
    <col min="467" max="467" width="10.8571428571429" style="81"/>
    <col min="468" max="468" width="9.14285714285714" style="81"/>
    <col min="469" max="470" width="10.8571428571429" style="81"/>
    <col min="471" max="472" width="11.2857142857143" style="81"/>
    <col min="473" max="473" width="9.71428571428571" style="81"/>
    <col min="474" max="475" width="10.1428571428571" style="81"/>
    <col min="476" max="476" width="9.14285714285714" style="81"/>
    <col min="477" max="478" width="10.1428571428571" style="81"/>
    <col min="479" max="481" width="9.14285714285714" style="81"/>
    <col min="482" max="482" width="9.71428571428571" style="81"/>
    <col min="483" max="488" width="9.14285714285714" style="81"/>
    <col min="489" max="489" width="10.8571428571429" style="81"/>
    <col min="490" max="490" width="9.14285714285714" style="81"/>
    <col min="491" max="492" width="10.8571428571429" style="81"/>
    <col min="493" max="493" width="10.1428571428571" style="81"/>
    <col min="494" max="494" width="9.71428571428571" style="81"/>
    <col min="495" max="495" width="9.14285714285714" style="81"/>
    <col min="496" max="497" width="10.1428571428571" style="81"/>
    <col min="498" max="498" width="9.14285714285714" style="81"/>
    <col min="499" max="499" width="10.1428571428571" style="81"/>
    <col min="500" max="500" width="11" style="81"/>
    <col min="501" max="510" width="9.14285714285714" style="81"/>
    <col min="511" max="511" width="10.8571428571429" style="81"/>
    <col min="512" max="512" width="9.14285714285714" style="81"/>
    <col min="513" max="514" width="10.8571428571429" style="81"/>
    <col min="515" max="515" width="10.1428571428571" style="81"/>
    <col min="516" max="516" width="9.71428571428571" style="81"/>
    <col min="517" max="517" width="9.14285714285714" style="81"/>
    <col min="518" max="519" width="10.1428571428571" style="81"/>
    <col min="520" max="520" width="9.14285714285714" style="81"/>
    <col min="521" max="521" width="10.1428571428571" style="81"/>
    <col min="522" max="522" width="11" style="81"/>
    <col min="523" max="531" width="9.14285714285714" style="81"/>
    <col min="532" max="532" width="10.8571428571429" style="81"/>
    <col min="533" max="533" width="9.14285714285714" style="81"/>
    <col min="534" max="535" width="10.8571428571429" style="81"/>
    <col min="536" max="536" width="11" style="81"/>
    <col min="537" max="537" width="9.71428571428571" style="81"/>
    <col min="538" max="540" width="10.1428571428571" style="81"/>
    <col min="541" max="541" width="9.14285714285714" style="81"/>
    <col min="542" max="542" width="10.1428571428571" style="81"/>
    <col min="543" max="543" width="11" style="81"/>
    <col min="544" max="553" width="9.14285714285714" style="81"/>
    <col min="554" max="554" width="10.8571428571429" style="81"/>
    <col min="555" max="555" width="9.14285714285714" style="81"/>
    <col min="556" max="557" width="10.8571428571429" style="81"/>
    <col min="558" max="558" width="10.1428571428571" style="81"/>
    <col min="559" max="559" width="9.71428571428571" style="81"/>
    <col min="560" max="560" width="9.14285714285714" style="81"/>
    <col min="561" max="562" width="10.1428571428571" style="81"/>
    <col min="563" max="563" width="9.14285714285714" style="81"/>
    <col min="564" max="564" width="10.1428571428571" style="81"/>
    <col min="565" max="565" width="11" style="81"/>
    <col min="566" max="575" width="9.14285714285714" style="81"/>
    <col min="576" max="576" width="10.8571428571429" style="81"/>
    <col min="577" max="577" width="9.14285714285714" style="81"/>
    <col min="578" max="579" width="10.8571428571429" style="81"/>
    <col min="580" max="580" width="11" style="81"/>
    <col min="581" max="581" width="9.71428571428571" style="81"/>
    <col min="582" max="582" width="9.14285714285714" style="81"/>
    <col min="583" max="583" width="11" style="81"/>
    <col min="584" max="584" width="10.1428571428571" style="81"/>
    <col min="585" max="585" width="9.14285714285714" style="81"/>
    <col min="586" max="586" width="10.1428571428571" style="81"/>
    <col min="587" max="587" width="11" style="81"/>
    <col min="588" max="591" width="9.14285714285714" style="81"/>
  </cols>
  <sheetData>
    <row r="1" ht="18" customHeight="1" spans="1:593">
      <c r="A1" s="46"/>
      <c r="B1" s="46"/>
      <c r="C1" s="121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3">
        <v>26</v>
      </c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4"/>
      <c r="AI1" s="46"/>
      <c r="AJ1" s="125" t="s">
        <v>1</v>
      </c>
      <c r="AK1" s="126"/>
      <c r="AL1" s="126"/>
      <c r="AM1" s="126"/>
      <c r="AN1" s="126"/>
      <c r="AO1" s="126"/>
      <c r="AP1" s="126"/>
      <c r="AQ1" s="126"/>
      <c r="AR1" s="126"/>
      <c r="AS1" s="126"/>
      <c r="AT1" s="126"/>
      <c r="AU1" s="126"/>
      <c r="AV1" s="126"/>
      <c r="AW1" s="126"/>
      <c r="AX1" s="126"/>
      <c r="AY1" s="126"/>
      <c r="AZ1" s="127">
        <v>30</v>
      </c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8"/>
      <c r="BP1" s="46"/>
      <c r="BQ1" s="121" t="s">
        <v>2</v>
      </c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2"/>
      <c r="CE1" s="122"/>
      <c r="CF1" s="122"/>
      <c r="CG1" s="122"/>
      <c r="CH1" s="122"/>
      <c r="CI1" s="124">
        <v>31</v>
      </c>
      <c r="CJ1" s="129"/>
      <c r="CK1" s="129"/>
      <c r="CL1" s="129"/>
      <c r="CM1" s="129"/>
      <c r="CN1" s="129"/>
      <c r="CO1" s="129"/>
      <c r="CP1" s="129"/>
      <c r="CQ1" s="129"/>
      <c r="CR1" s="129"/>
      <c r="CS1" s="129"/>
      <c r="CT1" s="129"/>
      <c r="CU1" s="129"/>
      <c r="CV1" s="130"/>
      <c r="CW1" s="46"/>
      <c r="CX1" s="121" t="s">
        <v>3</v>
      </c>
      <c r="CY1" s="122"/>
      <c r="CZ1" s="122"/>
      <c r="DA1" s="122"/>
      <c r="DB1" s="122"/>
      <c r="DC1" s="122"/>
      <c r="DD1" s="122"/>
      <c r="DE1" s="122"/>
      <c r="DF1" s="122"/>
      <c r="DG1" s="122"/>
      <c r="DH1" s="122"/>
      <c r="DI1" s="122"/>
      <c r="DJ1" s="122"/>
      <c r="DK1" s="122"/>
      <c r="DL1" s="122"/>
      <c r="DM1" s="122"/>
      <c r="DN1" s="122"/>
      <c r="DO1" s="122"/>
      <c r="DP1" s="124">
        <v>30</v>
      </c>
      <c r="DQ1" s="129"/>
      <c r="DR1" s="129"/>
      <c r="DS1" s="129"/>
      <c r="DT1" s="129"/>
      <c r="DU1" s="129"/>
      <c r="DV1" s="129"/>
      <c r="DW1" s="129"/>
      <c r="DX1" s="129"/>
      <c r="DY1" s="129"/>
      <c r="DZ1" s="129"/>
      <c r="EA1" s="129"/>
      <c r="EB1" s="129"/>
      <c r="EC1" s="130"/>
      <c r="ED1" s="46"/>
      <c r="EE1" s="131" t="s">
        <v>4</v>
      </c>
      <c r="EF1" s="132"/>
      <c r="EG1" s="132"/>
      <c r="EH1" s="132"/>
      <c r="EI1" s="132"/>
      <c r="EJ1" s="132"/>
      <c r="EK1" s="132"/>
      <c r="EL1" s="132"/>
      <c r="EM1" s="132"/>
      <c r="EN1" s="132"/>
      <c r="EO1" s="132"/>
      <c r="EP1" s="132"/>
      <c r="EQ1" s="132"/>
      <c r="ER1" s="132"/>
      <c r="ES1" s="132"/>
      <c r="ET1" s="132"/>
      <c r="EU1" s="132"/>
      <c r="EV1" s="132"/>
      <c r="EW1" s="133">
        <v>31</v>
      </c>
      <c r="EX1" s="132"/>
      <c r="EY1" s="132"/>
      <c r="EZ1" s="132"/>
      <c r="FA1" s="132"/>
      <c r="FB1" s="132"/>
      <c r="FC1" s="132"/>
      <c r="FD1" s="132"/>
      <c r="FE1" s="132"/>
      <c r="FF1" s="132"/>
      <c r="FG1" s="132"/>
      <c r="FH1" s="132"/>
      <c r="FI1" s="132"/>
      <c r="FJ1" s="134"/>
      <c r="FK1" s="46"/>
      <c r="FL1" s="46"/>
      <c r="FM1" s="46"/>
      <c r="FN1" s="131" t="s">
        <v>5</v>
      </c>
      <c r="FO1" s="132"/>
      <c r="FP1" s="132"/>
      <c r="FQ1" s="132"/>
      <c r="FR1" s="132"/>
      <c r="FS1" s="132"/>
      <c r="FT1" s="132"/>
      <c r="FU1" s="132"/>
      <c r="FV1" s="132"/>
      <c r="FW1" s="132"/>
      <c r="FX1" s="132"/>
      <c r="FY1" s="132"/>
      <c r="FZ1" s="132"/>
      <c r="GA1" s="132"/>
      <c r="GB1" s="132"/>
      <c r="GC1" s="132"/>
      <c r="GD1" s="132"/>
      <c r="GE1" s="132"/>
      <c r="GF1" s="133">
        <v>28</v>
      </c>
      <c r="GG1" s="132"/>
      <c r="GH1" s="132"/>
      <c r="GI1" s="132"/>
      <c r="GJ1" s="132"/>
      <c r="GK1" s="132"/>
      <c r="GL1" s="132"/>
      <c r="GM1" s="132"/>
      <c r="GN1" s="132"/>
      <c r="GO1" s="132"/>
      <c r="GP1" s="132"/>
      <c r="GQ1" s="132"/>
      <c r="GR1" s="132"/>
      <c r="GS1" s="134"/>
      <c r="GT1" s="46"/>
      <c r="GU1" s="46">
        <v>31</v>
      </c>
      <c r="GV1" s="135" t="s">
        <v>6</v>
      </c>
      <c r="GW1" s="136"/>
      <c r="GX1" s="136"/>
      <c r="GY1" s="136"/>
      <c r="GZ1" s="136"/>
      <c r="HA1" s="136"/>
      <c r="HB1" s="136"/>
      <c r="HC1" s="136"/>
      <c r="HD1" s="136"/>
      <c r="HE1" s="136"/>
      <c r="HF1" s="136"/>
      <c r="HG1" s="136"/>
      <c r="HH1" s="136"/>
      <c r="HI1" s="136"/>
      <c r="HJ1" s="136"/>
      <c r="HK1" s="136"/>
      <c r="HL1" s="137">
        <v>31</v>
      </c>
      <c r="HM1" s="137"/>
      <c r="HN1" s="137"/>
      <c r="HO1" s="137"/>
      <c r="HP1" s="137"/>
      <c r="HQ1" s="137"/>
      <c r="HR1" s="137"/>
      <c r="HS1" s="137"/>
      <c r="HT1" s="137"/>
      <c r="HU1" s="137"/>
      <c r="HV1" s="137"/>
      <c r="HW1" s="137"/>
      <c r="HX1" s="137"/>
      <c r="HY1" s="137"/>
      <c r="HZ1" s="137"/>
      <c r="IA1" s="138"/>
      <c r="IB1" s="46"/>
      <c r="IC1" s="46"/>
      <c r="ID1" s="135" t="s">
        <v>7</v>
      </c>
      <c r="IE1" s="136"/>
      <c r="IF1" s="136"/>
      <c r="IG1" s="136"/>
      <c r="IH1" s="136"/>
      <c r="II1" s="136"/>
      <c r="IJ1" s="136"/>
      <c r="IK1" s="136"/>
      <c r="IL1" s="136"/>
      <c r="IM1" s="136"/>
      <c r="IN1" s="136"/>
      <c r="IO1" s="136"/>
      <c r="IP1" s="136"/>
      <c r="IQ1" s="136"/>
      <c r="IR1" s="136"/>
      <c r="IS1" s="136"/>
      <c r="IT1" s="137">
        <v>31</v>
      </c>
      <c r="IU1" s="137"/>
      <c r="IV1" s="137"/>
      <c r="IW1" s="137"/>
      <c r="IX1" s="137"/>
      <c r="IY1" s="137"/>
      <c r="IZ1" s="137"/>
      <c r="JA1" s="137"/>
      <c r="JB1" s="137"/>
      <c r="JC1" s="137"/>
      <c r="JD1" s="137"/>
      <c r="JE1" s="137"/>
      <c r="JF1" s="137"/>
      <c r="JG1" s="137"/>
      <c r="JH1" s="137"/>
      <c r="JI1" s="138"/>
      <c r="JJ1" s="46"/>
      <c r="JK1" s="46"/>
      <c r="JL1" s="135" t="s">
        <v>8</v>
      </c>
      <c r="JM1" s="136"/>
      <c r="JN1" s="136"/>
      <c r="JO1" s="136"/>
      <c r="JP1" s="136"/>
      <c r="JQ1" s="136"/>
      <c r="JR1" s="136"/>
      <c r="JS1" s="136"/>
      <c r="JT1" s="136"/>
      <c r="JU1" s="136"/>
      <c r="JV1" s="136"/>
      <c r="JW1" s="136"/>
      <c r="JX1" s="136"/>
      <c r="JY1" s="136"/>
      <c r="JZ1" s="136"/>
      <c r="KA1" s="136"/>
      <c r="KB1" s="137">
        <v>30</v>
      </c>
      <c r="KC1" s="137"/>
      <c r="KD1" s="137"/>
      <c r="KE1" s="137"/>
      <c r="KF1" s="137"/>
      <c r="KG1" s="137"/>
      <c r="KH1" s="137"/>
      <c r="KI1" s="137"/>
      <c r="KJ1" s="137"/>
      <c r="KK1" s="137"/>
      <c r="KL1" s="137"/>
      <c r="KM1" s="137"/>
      <c r="KN1" s="137"/>
      <c r="KO1" s="137"/>
      <c r="KP1" s="137"/>
      <c r="KQ1" s="138"/>
      <c r="KR1" s="46"/>
      <c r="KS1" s="46"/>
      <c r="KT1" s="135" t="s">
        <v>9</v>
      </c>
      <c r="KU1" s="136"/>
      <c r="KV1" s="136"/>
      <c r="KW1" s="136"/>
      <c r="KX1" s="136"/>
      <c r="KY1" s="136"/>
      <c r="KZ1" s="136"/>
      <c r="LA1" s="136"/>
      <c r="LB1" s="136"/>
      <c r="LC1" s="136"/>
      <c r="LD1" s="136"/>
      <c r="LE1" s="136"/>
      <c r="LF1" s="136"/>
      <c r="LG1" s="136"/>
      <c r="LH1" s="136"/>
      <c r="LI1" s="136"/>
      <c r="LJ1" s="137">
        <v>31</v>
      </c>
      <c r="LK1" s="137"/>
      <c r="LL1" s="137"/>
      <c r="LM1" s="137"/>
      <c r="LN1" s="137"/>
      <c r="LO1" s="137"/>
      <c r="LP1" s="137"/>
      <c r="LQ1" s="137"/>
      <c r="LR1" s="137"/>
      <c r="LS1" s="137"/>
      <c r="LT1" s="137"/>
      <c r="LU1" s="137"/>
      <c r="LV1" s="137"/>
      <c r="LW1" s="137"/>
      <c r="LX1" s="137"/>
      <c r="LY1" s="138"/>
      <c r="LZ1" s="3"/>
      <c r="MA1" s="3"/>
      <c r="MB1" s="135" t="s">
        <v>10</v>
      </c>
      <c r="MC1" s="136"/>
      <c r="MD1" s="136"/>
      <c r="ME1" s="136"/>
      <c r="MF1" s="136"/>
      <c r="MG1" s="136"/>
      <c r="MH1" s="136"/>
      <c r="MI1" s="136"/>
      <c r="MJ1" s="136"/>
      <c r="MK1" s="136"/>
      <c r="ML1" s="136"/>
      <c r="MM1" s="136"/>
      <c r="MN1" s="136"/>
      <c r="MO1" s="136"/>
      <c r="MP1" s="136"/>
      <c r="MQ1" s="136"/>
      <c r="MR1" s="137">
        <v>30</v>
      </c>
      <c r="MS1" s="137"/>
      <c r="MT1" s="137"/>
      <c r="MU1" s="137"/>
      <c r="MV1" s="137"/>
      <c r="MW1" s="137"/>
      <c r="MX1" s="137"/>
      <c r="MY1" s="137"/>
      <c r="MZ1" s="137"/>
      <c r="NA1" s="137"/>
      <c r="NB1" s="137"/>
      <c r="NC1" s="137"/>
      <c r="ND1" s="137"/>
      <c r="NE1" s="137"/>
      <c r="NF1" s="137"/>
      <c r="NG1" s="138"/>
      <c r="NH1" s="46"/>
      <c r="NI1" s="46"/>
      <c r="NJ1" s="139" t="s">
        <v>11</v>
      </c>
      <c r="NK1" s="140"/>
      <c r="NL1" s="140"/>
      <c r="NM1" s="140"/>
      <c r="NN1" s="140"/>
      <c r="NO1" s="140"/>
      <c r="NP1" s="140"/>
      <c r="NQ1" s="140"/>
      <c r="NR1" s="140"/>
      <c r="NS1" s="140"/>
      <c r="NT1" s="140"/>
      <c r="NU1" s="140"/>
      <c r="NV1" s="140"/>
      <c r="NW1" s="140"/>
      <c r="NX1" s="140"/>
      <c r="NY1" s="140"/>
      <c r="NZ1" s="141">
        <v>31</v>
      </c>
      <c r="OA1" s="141"/>
      <c r="OB1" s="141"/>
      <c r="OC1" s="141"/>
      <c r="OD1" s="141"/>
      <c r="OE1" s="141"/>
      <c r="OF1" s="141"/>
      <c r="OG1" s="141"/>
      <c r="OH1" s="141"/>
      <c r="OI1" s="141"/>
      <c r="OJ1" s="141"/>
      <c r="OK1" s="141"/>
      <c r="OL1" s="141"/>
      <c r="OM1" s="141"/>
      <c r="ON1" s="141"/>
      <c r="OO1" s="141"/>
      <c r="OP1" s="142"/>
      <c r="OQ1" s="46"/>
      <c r="OR1" s="46"/>
      <c r="OS1" s="143" t="s">
        <v>12</v>
      </c>
      <c r="OT1" s="144"/>
      <c r="OU1" s="144"/>
      <c r="OV1" s="144"/>
      <c r="OW1" s="144"/>
      <c r="OX1" s="144"/>
      <c r="OY1" s="144"/>
      <c r="OZ1" s="144"/>
      <c r="PA1" s="144"/>
      <c r="PB1" s="144"/>
      <c r="PC1" s="144"/>
      <c r="PD1" s="144"/>
      <c r="PE1" s="144"/>
      <c r="PF1" s="145">
        <v>31</v>
      </c>
      <c r="PG1" s="144"/>
      <c r="PH1" s="144"/>
      <c r="PI1" s="144"/>
      <c r="PJ1" s="144"/>
      <c r="PK1" s="144"/>
      <c r="PL1" s="144"/>
      <c r="PM1" s="144"/>
      <c r="PN1" s="144"/>
      <c r="PO1" s="144"/>
      <c r="PP1" s="144"/>
      <c r="PQ1" s="144"/>
      <c r="PR1" s="84"/>
      <c r="PS1" s="144"/>
      <c r="PT1" s="146"/>
      <c r="PU1" s="147"/>
      <c r="PV1" s="148"/>
      <c r="PW1" s="149"/>
      <c r="PX1" s="149"/>
      <c r="PY1" s="149"/>
      <c r="PZ1" s="149"/>
      <c r="QA1" s="149"/>
      <c r="QB1" s="149"/>
      <c r="QC1" s="149"/>
      <c r="QD1" s="149"/>
      <c r="QE1" s="149"/>
      <c r="QF1" s="148" t="s">
        <v>13</v>
      </c>
      <c r="QG1" s="150">
        <v>30</v>
      </c>
      <c r="QH1" s="149"/>
      <c r="QI1" s="151"/>
      <c r="QJ1" s="151"/>
      <c r="QK1" s="151"/>
      <c r="QL1" s="151"/>
      <c r="QM1" s="151"/>
      <c r="QN1" s="151"/>
      <c r="QO1" s="151"/>
      <c r="QP1" s="151"/>
      <c r="QQ1" s="152"/>
      <c r="QR1" s="84"/>
      <c r="QS1" s="144"/>
      <c r="QT1" s="144"/>
      <c r="QU1" s="153" t="s">
        <v>14</v>
      </c>
      <c r="QV1" s="144"/>
      <c r="QW1" s="144"/>
      <c r="QX1" s="144"/>
      <c r="QY1" s="144"/>
      <c r="QZ1" s="144"/>
      <c r="RA1" s="144"/>
      <c r="RB1" s="144"/>
      <c r="RC1" s="144"/>
      <c r="RD1" s="144"/>
      <c r="RE1" s="144"/>
      <c r="RF1" s="144"/>
      <c r="RG1" s="144"/>
      <c r="RH1" s="144"/>
      <c r="RI1" s="144"/>
      <c r="RJ1" s="144"/>
      <c r="RK1" s="144"/>
      <c r="RL1" s="144"/>
      <c r="RM1" s="144"/>
      <c r="RN1" s="84"/>
      <c r="RO1" s="144"/>
      <c r="RP1" s="144"/>
      <c r="RQ1" s="153" t="s">
        <v>15</v>
      </c>
      <c r="RR1" s="144"/>
      <c r="RS1" s="144"/>
      <c r="RT1" s="144"/>
      <c r="RU1" s="144"/>
      <c r="RV1" s="144"/>
      <c r="RW1" s="144"/>
      <c r="RX1" s="144"/>
      <c r="RY1" s="144"/>
      <c r="RZ1" s="144"/>
      <c r="SA1" s="144"/>
      <c r="SB1" s="144"/>
      <c r="SC1" s="144"/>
      <c r="SD1" s="144"/>
      <c r="SE1" s="144"/>
      <c r="SF1" s="144"/>
      <c r="SG1" s="144"/>
      <c r="SH1" s="144"/>
      <c r="SI1" s="144"/>
      <c r="SJ1" s="84"/>
      <c r="SK1" s="144"/>
      <c r="SL1" s="144"/>
      <c r="SM1" s="153" t="s">
        <v>16</v>
      </c>
      <c r="SN1" s="84"/>
      <c r="SO1" s="154"/>
      <c r="SP1" s="154"/>
      <c r="SQ1" s="154"/>
      <c r="SR1" s="154"/>
      <c r="SS1" s="154"/>
      <c r="ST1" s="154"/>
      <c r="SU1" s="155"/>
      <c r="SV1" s="154"/>
      <c r="SW1" s="154"/>
      <c r="SX1" s="155"/>
      <c r="SY1" s="155"/>
      <c r="SZ1" s="155"/>
      <c r="TA1" s="155"/>
      <c r="TB1" s="155"/>
      <c r="TC1" s="155"/>
      <c r="TD1" s="155"/>
      <c r="TE1" s="156"/>
      <c r="TF1" s="84"/>
      <c r="TG1" s="84"/>
      <c r="TH1" s="153" t="s">
        <v>17</v>
      </c>
      <c r="TI1" s="144"/>
      <c r="TJ1" s="144"/>
      <c r="TK1" s="144"/>
      <c r="TL1" s="157"/>
      <c r="TM1" s="157"/>
      <c r="TN1" s="157"/>
      <c r="TO1" s="157"/>
      <c r="TP1" s="157"/>
      <c r="TQ1" s="157"/>
      <c r="TR1" s="157"/>
      <c r="TS1" s="157"/>
      <c r="TT1" s="157"/>
      <c r="TU1" s="158"/>
      <c r="TV1" s="157"/>
      <c r="TW1" s="158"/>
      <c r="TX1" s="144"/>
      <c r="TY1" s="144"/>
      <c r="TZ1" s="144"/>
      <c r="UA1" s="84"/>
      <c r="UB1" s="144"/>
      <c r="UC1" s="144"/>
      <c r="UD1" s="153" t="s">
        <v>18</v>
      </c>
      <c r="UE1" s="144"/>
      <c r="UF1" s="157"/>
      <c r="UG1" s="157"/>
      <c r="UH1" s="157"/>
      <c r="UI1" s="157"/>
      <c r="UJ1" s="157"/>
      <c r="UK1" s="157"/>
      <c r="UL1" s="157"/>
      <c r="UM1" s="157"/>
      <c r="UN1" s="157"/>
      <c r="UO1" s="157"/>
      <c r="UP1" s="157"/>
      <c r="UQ1" s="158"/>
      <c r="UR1" s="157"/>
      <c r="US1" s="158"/>
      <c r="UT1" s="144"/>
      <c r="UU1" s="144"/>
      <c r="UV1" s="144"/>
      <c r="UW1" s="84"/>
      <c r="UX1" s="144"/>
      <c r="UY1" s="144"/>
      <c r="UZ1" s="153" t="s">
        <v>19</v>
      </c>
      <c r="VA1" s="144"/>
      <c r="VB1" s="157"/>
      <c r="VC1" s="157"/>
      <c r="VD1" s="157"/>
      <c r="VE1" s="157"/>
      <c r="VF1" s="157"/>
      <c r="VG1" s="157"/>
      <c r="VH1" s="157"/>
      <c r="VI1" s="157"/>
      <c r="VJ1" s="157"/>
      <c r="VK1" s="157"/>
      <c r="VL1" s="157"/>
      <c r="VM1" s="157"/>
      <c r="VN1" s="157"/>
      <c r="VO1" s="157"/>
      <c r="VP1" s="144"/>
      <c r="VQ1" s="144"/>
      <c r="VR1" s="84"/>
      <c r="VS1" s="84"/>
      <c r="VT1" s="46"/>
      <c r="VU1" s="46"/>
    </row>
    <row r="2" ht="18" customHeight="1" spans="1:593">
      <c r="A2" s="159"/>
      <c r="B2" s="159"/>
      <c r="C2" s="160" t="s">
        <v>20</v>
      </c>
      <c r="D2" s="160" t="s">
        <v>21</v>
      </c>
      <c r="E2" s="161" t="s">
        <v>22</v>
      </c>
      <c r="F2" s="162" t="s">
        <v>23</v>
      </c>
      <c r="G2" s="162" t="s">
        <v>24</v>
      </c>
      <c r="H2" s="162" t="s">
        <v>25</v>
      </c>
      <c r="I2" s="162" t="s">
        <v>26</v>
      </c>
      <c r="J2" s="162" t="s">
        <v>27</v>
      </c>
      <c r="K2" s="162" t="s">
        <v>28</v>
      </c>
      <c r="L2" s="162" t="s">
        <v>29</v>
      </c>
      <c r="M2" s="161" t="s">
        <v>30</v>
      </c>
      <c r="N2" s="161" t="s">
        <v>31</v>
      </c>
      <c r="O2" s="162" t="s">
        <v>32</v>
      </c>
      <c r="P2" s="162" t="s">
        <v>33</v>
      </c>
      <c r="Q2" s="162" t="s">
        <v>34</v>
      </c>
      <c r="R2" s="162" t="s">
        <v>35</v>
      </c>
      <c r="S2" s="162" t="s">
        <v>36</v>
      </c>
      <c r="T2" s="162" t="s">
        <v>37</v>
      </c>
      <c r="U2" s="162" t="s">
        <v>38</v>
      </c>
      <c r="V2" s="162" t="s">
        <v>39</v>
      </c>
      <c r="W2" s="162" t="s">
        <v>40</v>
      </c>
      <c r="X2" s="163" t="s">
        <v>41</v>
      </c>
      <c r="Y2" s="164" t="s">
        <v>42</v>
      </c>
      <c r="Z2" s="165" t="s">
        <v>43</v>
      </c>
      <c r="AA2" s="166" t="s">
        <v>44</v>
      </c>
      <c r="AB2" s="165" t="s">
        <v>45</v>
      </c>
      <c r="AC2" s="166" t="s">
        <v>46</v>
      </c>
      <c r="AD2" s="167" t="s">
        <v>47</v>
      </c>
      <c r="AE2" s="166" t="s">
        <v>48</v>
      </c>
      <c r="AF2" s="166" t="s">
        <v>49</v>
      </c>
      <c r="AG2" s="168" t="s">
        <v>50</v>
      </c>
      <c r="AH2" s="169" t="s">
        <v>51</v>
      </c>
      <c r="AI2" s="159"/>
      <c r="AJ2" s="160" t="s">
        <v>20</v>
      </c>
      <c r="AK2" s="160" t="s">
        <v>21</v>
      </c>
      <c r="AL2" s="161" t="s">
        <v>22</v>
      </c>
      <c r="AM2" s="162" t="s">
        <v>23</v>
      </c>
      <c r="AN2" s="162" t="s">
        <v>24</v>
      </c>
      <c r="AO2" s="162" t="s">
        <v>25</v>
      </c>
      <c r="AP2" s="162" t="s">
        <v>26</v>
      </c>
      <c r="AQ2" s="162" t="s">
        <v>27</v>
      </c>
      <c r="AR2" s="162" t="s">
        <v>28</v>
      </c>
      <c r="AS2" s="162" t="s">
        <v>29</v>
      </c>
      <c r="AT2" s="161" t="s">
        <v>30</v>
      </c>
      <c r="AU2" s="161" t="s">
        <v>31</v>
      </c>
      <c r="AV2" s="162" t="s">
        <v>32</v>
      </c>
      <c r="AW2" s="162" t="s">
        <v>33</v>
      </c>
      <c r="AX2" s="162" t="s">
        <v>34</v>
      </c>
      <c r="AY2" s="162" t="s">
        <v>35</v>
      </c>
      <c r="AZ2" s="162" t="s">
        <v>36</v>
      </c>
      <c r="BA2" s="162" t="s">
        <v>37</v>
      </c>
      <c r="BB2" s="162" t="s">
        <v>38</v>
      </c>
      <c r="BC2" s="162" t="s">
        <v>39</v>
      </c>
      <c r="BD2" s="162" t="s">
        <v>40</v>
      </c>
      <c r="BE2" s="163" t="s">
        <v>41</v>
      </c>
      <c r="BF2" s="164" t="s">
        <v>42</v>
      </c>
      <c r="BG2" s="165" t="s">
        <v>43</v>
      </c>
      <c r="BH2" s="166" t="s">
        <v>44</v>
      </c>
      <c r="BI2" s="165" t="s">
        <v>45</v>
      </c>
      <c r="BJ2" s="166" t="s">
        <v>46</v>
      </c>
      <c r="BK2" s="167" t="s">
        <v>47</v>
      </c>
      <c r="BL2" s="166" t="s">
        <v>48</v>
      </c>
      <c r="BM2" s="166" t="s">
        <v>49</v>
      </c>
      <c r="BN2" s="168" t="s">
        <v>50</v>
      </c>
      <c r="BO2" s="169" t="s">
        <v>51</v>
      </c>
      <c r="BP2" s="159"/>
      <c r="BQ2" s="160" t="s">
        <v>20</v>
      </c>
      <c r="BR2" s="160" t="s">
        <v>21</v>
      </c>
      <c r="BS2" s="161" t="s">
        <v>22</v>
      </c>
      <c r="BT2" s="162" t="s">
        <v>23</v>
      </c>
      <c r="BU2" s="162" t="s">
        <v>24</v>
      </c>
      <c r="BV2" s="162" t="s">
        <v>25</v>
      </c>
      <c r="BW2" s="162" t="s">
        <v>26</v>
      </c>
      <c r="BX2" s="162" t="s">
        <v>27</v>
      </c>
      <c r="BY2" s="162" t="s">
        <v>28</v>
      </c>
      <c r="BZ2" s="162" t="s">
        <v>29</v>
      </c>
      <c r="CA2" s="161" t="s">
        <v>30</v>
      </c>
      <c r="CB2" s="161" t="s">
        <v>31</v>
      </c>
      <c r="CC2" s="162" t="s">
        <v>32</v>
      </c>
      <c r="CD2" s="162" t="s">
        <v>33</v>
      </c>
      <c r="CE2" s="162" t="s">
        <v>34</v>
      </c>
      <c r="CF2" s="162" t="s">
        <v>35</v>
      </c>
      <c r="CG2" s="162" t="s">
        <v>36</v>
      </c>
      <c r="CH2" s="162" t="s">
        <v>37</v>
      </c>
      <c r="CI2" s="162" t="s">
        <v>38</v>
      </c>
      <c r="CJ2" s="162" t="s">
        <v>39</v>
      </c>
      <c r="CK2" s="162" t="s">
        <v>40</v>
      </c>
      <c r="CL2" s="163" t="s">
        <v>41</v>
      </c>
      <c r="CM2" s="164" t="s">
        <v>42</v>
      </c>
      <c r="CN2" s="165" t="s">
        <v>43</v>
      </c>
      <c r="CO2" s="166" t="s">
        <v>44</v>
      </c>
      <c r="CP2" s="165" t="s">
        <v>45</v>
      </c>
      <c r="CQ2" s="166" t="s">
        <v>46</v>
      </c>
      <c r="CR2" s="167" t="s">
        <v>47</v>
      </c>
      <c r="CS2" s="166" t="s">
        <v>48</v>
      </c>
      <c r="CT2" s="166" t="s">
        <v>49</v>
      </c>
      <c r="CU2" s="168" t="s">
        <v>50</v>
      </c>
      <c r="CV2" s="169" t="s">
        <v>51</v>
      </c>
      <c r="CW2" s="159"/>
      <c r="CX2" s="160" t="s">
        <v>20</v>
      </c>
      <c r="CY2" s="160" t="s">
        <v>21</v>
      </c>
      <c r="CZ2" s="161" t="s">
        <v>22</v>
      </c>
      <c r="DA2" s="162" t="s">
        <v>23</v>
      </c>
      <c r="DB2" s="162" t="s">
        <v>24</v>
      </c>
      <c r="DC2" s="162" t="s">
        <v>25</v>
      </c>
      <c r="DD2" s="162" t="s">
        <v>26</v>
      </c>
      <c r="DE2" s="162" t="s">
        <v>27</v>
      </c>
      <c r="DF2" s="162" t="s">
        <v>28</v>
      </c>
      <c r="DG2" s="162" t="s">
        <v>29</v>
      </c>
      <c r="DH2" s="161" t="s">
        <v>30</v>
      </c>
      <c r="DI2" s="161" t="s">
        <v>31</v>
      </c>
      <c r="DJ2" s="162" t="s">
        <v>32</v>
      </c>
      <c r="DK2" s="162" t="s">
        <v>33</v>
      </c>
      <c r="DL2" s="162" t="s">
        <v>34</v>
      </c>
      <c r="DM2" s="162" t="s">
        <v>35</v>
      </c>
      <c r="DN2" s="162" t="s">
        <v>36</v>
      </c>
      <c r="DO2" s="162" t="s">
        <v>37</v>
      </c>
      <c r="DP2" s="162" t="s">
        <v>38</v>
      </c>
      <c r="DQ2" s="162" t="s">
        <v>39</v>
      </c>
      <c r="DR2" s="162" t="s">
        <v>40</v>
      </c>
      <c r="DS2" s="163" t="s">
        <v>41</v>
      </c>
      <c r="DT2" s="164" t="s">
        <v>42</v>
      </c>
      <c r="DU2" s="165" t="s">
        <v>43</v>
      </c>
      <c r="DV2" s="166" t="s">
        <v>44</v>
      </c>
      <c r="DW2" s="165" t="s">
        <v>45</v>
      </c>
      <c r="DX2" s="166" t="s">
        <v>46</v>
      </c>
      <c r="DY2" s="167" t="s">
        <v>47</v>
      </c>
      <c r="DZ2" s="166" t="s">
        <v>48</v>
      </c>
      <c r="EA2" s="166" t="s">
        <v>49</v>
      </c>
      <c r="EB2" s="168" t="s">
        <v>50</v>
      </c>
      <c r="EC2" s="169" t="s">
        <v>51</v>
      </c>
      <c r="ED2" s="159"/>
      <c r="EE2" s="160" t="s">
        <v>20</v>
      </c>
      <c r="EF2" s="160" t="s">
        <v>21</v>
      </c>
      <c r="EG2" s="161" t="s">
        <v>22</v>
      </c>
      <c r="EH2" s="162" t="s">
        <v>23</v>
      </c>
      <c r="EI2" s="162" t="s">
        <v>24</v>
      </c>
      <c r="EJ2" s="162" t="s">
        <v>25</v>
      </c>
      <c r="EK2" s="162" t="s">
        <v>26</v>
      </c>
      <c r="EL2" s="162" t="s">
        <v>27</v>
      </c>
      <c r="EM2" s="162" t="s">
        <v>28</v>
      </c>
      <c r="EN2" s="162" t="s">
        <v>29</v>
      </c>
      <c r="EO2" s="161" t="s">
        <v>30</v>
      </c>
      <c r="EP2" s="161" t="s">
        <v>31</v>
      </c>
      <c r="EQ2" s="162" t="s">
        <v>32</v>
      </c>
      <c r="ER2" s="162" t="s">
        <v>33</v>
      </c>
      <c r="ES2" s="162" t="s">
        <v>34</v>
      </c>
      <c r="ET2" s="162" t="s">
        <v>35</v>
      </c>
      <c r="EU2" s="162" t="s">
        <v>36</v>
      </c>
      <c r="EV2" s="162" t="s">
        <v>37</v>
      </c>
      <c r="EW2" s="162" t="s">
        <v>38</v>
      </c>
      <c r="EX2" s="162" t="s">
        <v>39</v>
      </c>
      <c r="EY2" s="162" t="s">
        <v>40</v>
      </c>
      <c r="EZ2" s="163" t="s">
        <v>41</v>
      </c>
      <c r="FA2" s="164" t="s">
        <v>42</v>
      </c>
      <c r="FB2" s="165" t="s">
        <v>43</v>
      </c>
      <c r="FC2" s="166" t="s">
        <v>44</v>
      </c>
      <c r="FD2" s="165" t="s">
        <v>45</v>
      </c>
      <c r="FE2" s="166" t="s">
        <v>46</v>
      </c>
      <c r="FF2" s="167" t="s">
        <v>47</v>
      </c>
      <c r="FG2" s="166" t="s">
        <v>48</v>
      </c>
      <c r="FH2" s="166" t="s">
        <v>49</v>
      </c>
      <c r="FI2" s="168" t="s">
        <v>50</v>
      </c>
      <c r="FJ2" s="169" t="s">
        <v>51</v>
      </c>
      <c r="FK2" s="159"/>
      <c r="FL2" s="159"/>
      <c r="FM2" s="159"/>
      <c r="FN2" s="160" t="s">
        <v>20</v>
      </c>
      <c r="FO2" s="160" t="s">
        <v>21</v>
      </c>
      <c r="FP2" s="161" t="s">
        <v>22</v>
      </c>
      <c r="FQ2" s="162" t="s">
        <v>23</v>
      </c>
      <c r="FR2" s="162" t="s">
        <v>24</v>
      </c>
      <c r="FS2" s="162" t="s">
        <v>25</v>
      </c>
      <c r="FT2" s="162" t="s">
        <v>26</v>
      </c>
      <c r="FU2" s="162" t="s">
        <v>27</v>
      </c>
      <c r="FV2" s="162" t="s">
        <v>28</v>
      </c>
      <c r="FW2" s="162" t="s">
        <v>29</v>
      </c>
      <c r="FX2" s="161" t="s">
        <v>30</v>
      </c>
      <c r="FY2" s="161" t="s">
        <v>31</v>
      </c>
      <c r="FZ2" s="162" t="s">
        <v>32</v>
      </c>
      <c r="GA2" s="162" t="s">
        <v>33</v>
      </c>
      <c r="GB2" s="162" t="s">
        <v>34</v>
      </c>
      <c r="GC2" s="162" t="s">
        <v>35</v>
      </c>
      <c r="GD2" s="162" t="s">
        <v>36</v>
      </c>
      <c r="GE2" s="162" t="s">
        <v>37</v>
      </c>
      <c r="GF2" s="162" t="s">
        <v>38</v>
      </c>
      <c r="GG2" s="162" t="s">
        <v>39</v>
      </c>
      <c r="GH2" s="162" t="s">
        <v>40</v>
      </c>
      <c r="GI2" s="163" t="s">
        <v>41</v>
      </c>
      <c r="GJ2" s="164" t="s">
        <v>42</v>
      </c>
      <c r="GK2" s="165" t="s">
        <v>43</v>
      </c>
      <c r="GL2" s="166" t="s">
        <v>44</v>
      </c>
      <c r="GM2" s="165" t="s">
        <v>45</v>
      </c>
      <c r="GN2" s="166" t="s">
        <v>46</v>
      </c>
      <c r="GO2" s="167" t="s">
        <v>47</v>
      </c>
      <c r="GP2" s="166" t="s">
        <v>48</v>
      </c>
      <c r="GQ2" s="166" t="s">
        <v>49</v>
      </c>
      <c r="GR2" s="168" t="s">
        <v>50</v>
      </c>
      <c r="GS2" s="169" t="s">
        <v>51</v>
      </c>
      <c r="GT2" s="159"/>
      <c r="GU2" s="159"/>
      <c r="GV2" s="160" t="s">
        <v>20</v>
      </c>
      <c r="GW2" s="160" t="s">
        <v>21</v>
      </c>
      <c r="GX2" s="161" t="s">
        <v>22</v>
      </c>
      <c r="GY2" s="162" t="s">
        <v>23</v>
      </c>
      <c r="GZ2" s="162" t="s">
        <v>24</v>
      </c>
      <c r="HA2" s="162" t="s">
        <v>25</v>
      </c>
      <c r="HB2" s="162" t="s">
        <v>26</v>
      </c>
      <c r="HC2" s="162" t="s">
        <v>27</v>
      </c>
      <c r="HD2" s="162" t="s">
        <v>28</v>
      </c>
      <c r="HE2" s="162" t="s">
        <v>29</v>
      </c>
      <c r="HF2" s="161" t="s">
        <v>30</v>
      </c>
      <c r="HG2" s="161" t="s">
        <v>31</v>
      </c>
      <c r="HH2" s="162" t="s">
        <v>32</v>
      </c>
      <c r="HI2" s="162" t="s">
        <v>33</v>
      </c>
      <c r="HJ2" s="162" t="s">
        <v>34</v>
      </c>
      <c r="HK2" s="162" t="s">
        <v>35</v>
      </c>
      <c r="HL2" s="162" t="s">
        <v>36</v>
      </c>
      <c r="HM2" s="162" t="s">
        <v>37</v>
      </c>
      <c r="HN2" s="162" t="s">
        <v>38</v>
      </c>
      <c r="HO2" s="162" t="s">
        <v>39</v>
      </c>
      <c r="HP2" s="162" t="s">
        <v>40</v>
      </c>
      <c r="HQ2" s="163" t="s">
        <v>41</v>
      </c>
      <c r="HR2" s="164" t="s">
        <v>42</v>
      </c>
      <c r="HS2" s="165" t="s">
        <v>43</v>
      </c>
      <c r="HT2" s="166" t="s">
        <v>44</v>
      </c>
      <c r="HU2" s="165" t="s">
        <v>45</v>
      </c>
      <c r="HV2" s="166" t="s">
        <v>46</v>
      </c>
      <c r="HW2" s="167" t="s">
        <v>47</v>
      </c>
      <c r="HX2" s="166" t="s">
        <v>48</v>
      </c>
      <c r="HY2" s="166" t="s">
        <v>49</v>
      </c>
      <c r="HZ2" s="168" t="s">
        <v>50</v>
      </c>
      <c r="IA2" s="169" t="s">
        <v>51</v>
      </c>
      <c r="IB2" s="159"/>
      <c r="IC2" s="159"/>
      <c r="ID2" s="160" t="s">
        <v>20</v>
      </c>
      <c r="IE2" s="160" t="s">
        <v>21</v>
      </c>
      <c r="IF2" s="161" t="s">
        <v>22</v>
      </c>
      <c r="IG2" s="162" t="s">
        <v>23</v>
      </c>
      <c r="IH2" s="162" t="s">
        <v>24</v>
      </c>
      <c r="II2" s="162" t="s">
        <v>25</v>
      </c>
      <c r="IJ2" s="162" t="s">
        <v>26</v>
      </c>
      <c r="IK2" s="162" t="s">
        <v>27</v>
      </c>
      <c r="IL2" s="162" t="s">
        <v>28</v>
      </c>
      <c r="IM2" s="162" t="s">
        <v>29</v>
      </c>
      <c r="IN2" s="161" t="s">
        <v>30</v>
      </c>
      <c r="IO2" s="161" t="s">
        <v>31</v>
      </c>
      <c r="IP2" s="162" t="s">
        <v>32</v>
      </c>
      <c r="IQ2" s="162" t="s">
        <v>33</v>
      </c>
      <c r="IR2" s="162" t="s">
        <v>34</v>
      </c>
      <c r="IS2" s="162" t="s">
        <v>35</v>
      </c>
      <c r="IT2" s="162" t="s">
        <v>36</v>
      </c>
      <c r="IU2" s="162" t="s">
        <v>37</v>
      </c>
      <c r="IV2" s="162" t="s">
        <v>38</v>
      </c>
      <c r="IW2" s="162" t="s">
        <v>39</v>
      </c>
      <c r="IX2" s="162" t="s">
        <v>40</v>
      </c>
      <c r="IY2" s="163" t="s">
        <v>41</v>
      </c>
      <c r="IZ2" s="164" t="s">
        <v>42</v>
      </c>
      <c r="JA2" s="165" t="s">
        <v>43</v>
      </c>
      <c r="JB2" s="166" t="s">
        <v>44</v>
      </c>
      <c r="JC2" s="165" t="s">
        <v>45</v>
      </c>
      <c r="JD2" s="166" t="s">
        <v>46</v>
      </c>
      <c r="JE2" s="167" t="s">
        <v>47</v>
      </c>
      <c r="JF2" s="166" t="s">
        <v>48</v>
      </c>
      <c r="JG2" s="166" t="s">
        <v>49</v>
      </c>
      <c r="JH2" s="168" t="s">
        <v>50</v>
      </c>
      <c r="JI2" s="169" t="s">
        <v>51</v>
      </c>
      <c r="JJ2" s="159"/>
      <c r="JK2" s="159"/>
      <c r="JL2" s="160" t="s">
        <v>20</v>
      </c>
      <c r="JM2" s="160" t="s">
        <v>21</v>
      </c>
      <c r="JN2" s="161" t="s">
        <v>22</v>
      </c>
      <c r="JO2" s="162" t="s">
        <v>23</v>
      </c>
      <c r="JP2" s="162" t="s">
        <v>24</v>
      </c>
      <c r="JQ2" s="162" t="s">
        <v>25</v>
      </c>
      <c r="JR2" s="162" t="s">
        <v>26</v>
      </c>
      <c r="JS2" s="162" t="s">
        <v>27</v>
      </c>
      <c r="JT2" s="162" t="s">
        <v>28</v>
      </c>
      <c r="JU2" s="162" t="s">
        <v>29</v>
      </c>
      <c r="JV2" s="161" t="s">
        <v>30</v>
      </c>
      <c r="JW2" s="161" t="s">
        <v>31</v>
      </c>
      <c r="JX2" s="162" t="s">
        <v>32</v>
      </c>
      <c r="JY2" s="162" t="s">
        <v>33</v>
      </c>
      <c r="JZ2" s="162" t="s">
        <v>34</v>
      </c>
      <c r="KA2" s="162" t="s">
        <v>35</v>
      </c>
      <c r="KB2" s="162" t="s">
        <v>36</v>
      </c>
      <c r="KC2" s="162" t="s">
        <v>37</v>
      </c>
      <c r="KD2" s="162" t="s">
        <v>38</v>
      </c>
      <c r="KE2" s="162" t="s">
        <v>39</v>
      </c>
      <c r="KF2" s="162" t="s">
        <v>40</v>
      </c>
      <c r="KG2" s="163" t="s">
        <v>41</v>
      </c>
      <c r="KH2" s="164" t="s">
        <v>42</v>
      </c>
      <c r="KI2" s="165" t="s">
        <v>43</v>
      </c>
      <c r="KJ2" s="166" t="s">
        <v>44</v>
      </c>
      <c r="KK2" s="165" t="s">
        <v>45</v>
      </c>
      <c r="KL2" s="166" t="s">
        <v>46</v>
      </c>
      <c r="KM2" s="167" t="s">
        <v>47</v>
      </c>
      <c r="KN2" s="166" t="s">
        <v>48</v>
      </c>
      <c r="KO2" s="166" t="s">
        <v>49</v>
      </c>
      <c r="KP2" s="168" t="s">
        <v>50</v>
      </c>
      <c r="KQ2" s="169" t="s">
        <v>51</v>
      </c>
      <c r="KR2" s="159"/>
      <c r="KS2" s="159"/>
      <c r="KT2" s="160" t="s">
        <v>20</v>
      </c>
      <c r="KU2" s="160" t="s">
        <v>21</v>
      </c>
      <c r="KV2" s="161" t="s">
        <v>22</v>
      </c>
      <c r="KW2" s="162" t="s">
        <v>23</v>
      </c>
      <c r="KX2" s="162" t="s">
        <v>24</v>
      </c>
      <c r="KY2" s="162" t="s">
        <v>25</v>
      </c>
      <c r="KZ2" s="162" t="s">
        <v>26</v>
      </c>
      <c r="LA2" s="162" t="s">
        <v>27</v>
      </c>
      <c r="LB2" s="162" t="s">
        <v>28</v>
      </c>
      <c r="LC2" s="162" t="s">
        <v>29</v>
      </c>
      <c r="LD2" s="161" t="s">
        <v>30</v>
      </c>
      <c r="LE2" s="161" t="s">
        <v>31</v>
      </c>
      <c r="LF2" s="162" t="s">
        <v>32</v>
      </c>
      <c r="LG2" s="162" t="s">
        <v>33</v>
      </c>
      <c r="LH2" s="162" t="s">
        <v>34</v>
      </c>
      <c r="LI2" s="162" t="s">
        <v>35</v>
      </c>
      <c r="LJ2" s="162" t="s">
        <v>36</v>
      </c>
      <c r="LK2" s="162" t="s">
        <v>37</v>
      </c>
      <c r="LL2" s="162" t="s">
        <v>38</v>
      </c>
      <c r="LM2" s="162" t="s">
        <v>39</v>
      </c>
      <c r="LN2" s="162" t="s">
        <v>40</v>
      </c>
      <c r="LO2" s="163" t="s">
        <v>41</v>
      </c>
      <c r="LP2" s="164" t="s">
        <v>42</v>
      </c>
      <c r="LQ2" s="165" t="s">
        <v>43</v>
      </c>
      <c r="LR2" s="166" t="s">
        <v>44</v>
      </c>
      <c r="LS2" s="165" t="s">
        <v>45</v>
      </c>
      <c r="LT2" s="166" t="s">
        <v>46</v>
      </c>
      <c r="LU2" s="167" t="s">
        <v>47</v>
      </c>
      <c r="LV2" s="166" t="s">
        <v>48</v>
      </c>
      <c r="LW2" s="166" t="s">
        <v>49</v>
      </c>
      <c r="LX2" s="168" t="s">
        <v>50</v>
      </c>
      <c r="LY2" s="169" t="s">
        <v>51</v>
      </c>
      <c r="LZ2" s="159"/>
      <c r="MA2" s="159"/>
      <c r="MB2" s="160" t="s">
        <v>20</v>
      </c>
      <c r="MC2" s="160" t="s">
        <v>21</v>
      </c>
      <c r="MD2" s="161" t="s">
        <v>22</v>
      </c>
      <c r="ME2" s="162" t="s">
        <v>23</v>
      </c>
      <c r="MF2" s="162" t="s">
        <v>24</v>
      </c>
      <c r="MG2" s="162" t="s">
        <v>25</v>
      </c>
      <c r="MH2" s="162" t="s">
        <v>26</v>
      </c>
      <c r="MI2" s="162" t="s">
        <v>27</v>
      </c>
      <c r="MJ2" s="162" t="s">
        <v>28</v>
      </c>
      <c r="MK2" s="162" t="s">
        <v>29</v>
      </c>
      <c r="ML2" s="161" t="s">
        <v>30</v>
      </c>
      <c r="MM2" s="161" t="s">
        <v>31</v>
      </c>
      <c r="MN2" s="162" t="s">
        <v>32</v>
      </c>
      <c r="MO2" s="162" t="s">
        <v>33</v>
      </c>
      <c r="MP2" s="162" t="s">
        <v>34</v>
      </c>
      <c r="MQ2" s="162" t="s">
        <v>35</v>
      </c>
      <c r="MR2" s="162" t="s">
        <v>36</v>
      </c>
      <c r="MS2" s="162" t="s">
        <v>37</v>
      </c>
      <c r="MT2" s="162" t="s">
        <v>38</v>
      </c>
      <c r="MU2" s="162" t="s">
        <v>39</v>
      </c>
      <c r="MV2" s="162" t="s">
        <v>40</v>
      </c>
      <c r="MW2" s="163" t="s">
        <v>41</v>
      </c>
      <c r="MX2" s="164" t="s">
        <v>42</v>
      </c>
      <c r="MY2" s="165" t="s">
        <v>43</v>
      </c>
      <c r="MZ2" s="166" t="s">
        <v>44</v>
      </c>
      <c r="NA2" s="165" t="s">
        <v>45</v>
      </c>
      <c r="NB2" s="166" t="s">
        <v>46</v>
      </c>
      <c r="NC2" s="167" t="s">
        <v>47</v>
      </c>
      <c r="ND2" s="166" t="s">
        <v>48</v>
      </c>
      <c r="NE2" s="166" t="s">
        <v>49</v>
      </c>
      <c r="NF2" s="168" t="s">
        <v>50</v>
      </c>
      <c r="NG2" s="169" t="s">
        <v>51</v>
      </c>
      <c r="NH2" s="159"/>
      <c r="NI2" s="159"/>
      <c r="NJ2" s="160" t="s">
        <v>20</v>
      </c>
      <c r="NK2" s="160" t="s">
        <v>21</v>
      </c>
      <c r="NL2" s="161" t="s">
        <v>22</v>
      </c>
      <c r="NM2" s="162" t="s">
        <v>23</v>
      </c>
      <c r="NN2" s="162" t="s">
        <v>24</v>
      </c>
      <c r="NO2" s="162" t="s">
        <v>25</v>
      </c>
      <c r="NP2" s="162" t="s">
        <v>26</v>
      </c>
      <c r="NQ2" s="162" t="s">
        <v>27</v>
      </c>
      <c r="NR2" s="162" t="s">
        <v>28</v>
      </c>
      <c r="NS2" s="162" t="s">
        <v>29</v>
      </c>
      <c r="NT2" s="161" t="s">
        <v>30</v>
      </c>
      <c r="NU2" s="161" t="s">
        <v>31</v>
      </c>
      <c r="NV2" s="162" t="s">
        <v>32</v>
      </c>
      <c r="NW2" s="162" t="s">
        <v>33</v>
      </c>
      <c r="NX2" s="162" t="s">
        <v>34</v>
      </c>
      <c r="NY2" s="162" t="s">
        <v>35</v>
      </c>
      <c r="NZ2" s="162" t="s">
        <v>36</v>
      </c>
      <c r="OA2" s="162" t="s">
        <v>37</v>
      </c>
      <c r="OB2" s="162" t="s">
        <v>38</v>
      </c>
      <c r="OC2" s="162" t="s">
        <v>39</v>
      </c>
      <c r="OD2" s="162" t="s">
        <v>40</v>
      </c>
      <c r="OE2" s="163" t="s">
        <v>41</v>
      </c>
      <c r="OF2" s="164" t="s">
        <v>42</v>
      </c>
      <c r="OG2" s="165" t="s">
        <v>43</v>
      </c>
      <c r="OH2" s="166" t="s">
        <v>44</v>
      </c>
      <c r="OI2" s="165" t="s">
        <v>45</v>
      </c>
      <c r="OJ2" s="166" t="s">
        <v>46</v>
      </c>
      <c r="OK2" s="167" t="s">
        <v>47</v>
      </c>
      <c r="OL2" s="166" t="s">
        <v>48</v>
      </c>
      <c r="OM2" s="166" t="s">
        <v>49</v>
      </c>
      <c r="ON2" s="168" t="s">
        <v>50</v>
      </c>
      <c r="OO2" s="169" t="s">
        <v>51</v>
      </c>
      <c r="OP2" s="159"/>
      <c r="OQ2" s="159"/>
      <c r="OR2" s="159"/>
      <c r="OS2" s="160" t="s">
        <v>20</v>
      </c>
      <c r="OT2" s="160" t="s">
        <v>21</v>
      </c>
      <c r="OU2" s="162" t="s">
        <v>23</v>
      </c>
      <c r="OV2" s="162" t="s">
        <v>25</v>
      </c>
      <c r="OW2" s="162" t="s">
        <v>26</v>
      </c>
      <c r="OX2" s="162" t="s">
        <v>27</v>
      </c>
      <c r="OY2" s="162" t="s">
        <v>28</v>
      </c>
      <c r="OZ2" s="162" t="s">
        <v>29</v>
      </c>
      <c r="PA2" s="161" t="s">
        <v>30</v>
      </c>
      <c r="PB2" s="161" t="s">
        <v>31</v>
      </c>
      <c r="PC2" s="162" t="s">
        <v>36</v>
      </c>
      <c r="PD2" s="162" t="s">
        <v>37</v>
      </c>
      <c r="PE2" s="162" t="s">
        <v>38</v>
      </c>
      <c r="PF2" s="162" t="s">
        <v>39</v>
      </c>
      <c r="PG2" s="162" t="s">
        <v>40</v>
      </c>
      <c r="PH2" s="163" t="s">
        <v>41</v>
      </c>
      <c r="PI2" s="164" t="s">
        <v>42</v>
      </c>
      <c r="PJ2" s="165" t="s">
        <v>52</v>
      </c>
      <c r="PK2" s="166" t="s">
        <v>53</v>
      </c>
      <c r="PL2" s="165" t="s">
        <v>45</v>
      </c>
      <c r="PM2" s="167" t="s">
        <v>47</v>
      </c>
      <c r="PN2" s="166" t="s">
        <v>48</v>
      </c>
      <c r="PO2" s="166" t="s">
        <v>49</v>
      </c>
      <c r="PP2" s="168" t="s">
        <v>50</v>
      </c>
      <c r="PQ2" s="169" t="s">
        <v>51</v>
      </c>
      <c r="PR2" s="84"/>
      <c r="PS2" s="84"/>
      <c r="PT2" s="84"/>
      <c r="PU2" s="95" t="s">
        <v>20</v>
      </c>
      <c r="PV2" s="95" t="s">
        <v>21</v>
      </c>
      <c r="PW2" s="170" t="s">
        <v>23</v>
      </c>
      <c r="PX2" s="170" t="s">
        <v>54</v>
      </c>
      <c r="PY2" s="170" t="s">
        <v>55</v>
      </c>
      <c r="PZ2" s="170" t="s">
        <v>27</v>
      </c>
      <c r="QA2" s="170" t="s">
        <v>56</v>
      </c>
      <c r="QB2" s="170" t="s">
        <v>57</v>
      </c>
      <c r="QC2" s="170" t="s">
        <v>36</v>
      </c>
      <c r="QD2" s="170" t="s">
        <v>37</v>
      </c>
      <c r="QE2" s="170" t="s">
        <v>38</v>
      </c>
      <c r="QF2" s="170" t="s">
        <v>39</v>
      </c>
      <c r="QG2" s="171" t="s">
        <v>40</v>
      </c>
      <c r="QH2" s="172" t="s">
        <v>58</v>
      </c>
      <c r="QI2" s="173" t="s">
        <v>42</v>
      </c>
      <c r="QJ2" s="171" t="s">
        <v>52</v>
      </c>
      <c r="QK2" s="174" t="s">
        <v>53</v>
      </c>
      <c r="QL2" s="171" t="s">
        <v>59</v>
      </c>
      <c r="QM2" s="174" t="s">
        <v>47</v>
      </c>
      <c r="QN2" s="174" t="s">
        <v>60</v>
      </c>
      <c r="QO2" s="174" t="s">
        <v>61</v>
      </c>
      <c r="QP2" s="102" t="s">
        <v>50</v>
      </c>
      <c r="QQ2" s="102" t="s">
        <v>51</v>
      </c>
      <c r="QR2" s="84"/>
      <c r="QS2" s="84"/>
      <c r="QT2" s="84"/>
      <c r="QU2" s="95" t="s">
        <v>20</v>
      </c>
      <c r="QV2" s="95" t="s">
        <v>62</v>
      </c>
      <c r="QW2" s="175" t="s">
        <v>54</v>
      </c>
      <c r="QX2" s="175" t="s">
        <v>55</v>
      </c>
      <c r="QY2" s="175" t="s">
        <v>63</v>
      </c>
      <c r="QZ2" s="175" t="s">
        <v>36</v>
      </c>
      <c r="RA2" s="175" t="s">
        <v>38</v>
      </c>
      <c r="RB2" s="175" t="s">
        <v>39</v>
      </c>
      <c r="RC2" s="175" t="s">
        <v>39</v>
      </c>
      <c r="RD2" s="171" t="s">
        <v>40</v>
      </c>
      <c r="RE2" s="170" t="s">
        <v>58</v>
      </c>
      <c r="RF2" s="173" t="s">
        <v>42</v>
      </c>
      <c r="RG2" s="171" t="s">
        <v>52</v>
      </c>
      <c r="RH2" s="174" t="s">
        <v>64</v>
      </c>
      <c r="RI2" s="171" t="s">
        <v>59</v>
      </c>
      <c r="RJ2" s="176" t="s">
        <v>47</v>
      </c>
      <c r="RK2" s="174" t="s">
        <v>61</v>
      </c>
      <c r="RL2" s="102" t="s">
        <v>50</v>
      </c>
      <c r="RM2" s="102" t="s">
        <v>51</v>
      </c>
      <c r="RN2" s="84"/>
      <c r="RO2" s="84"/>
      <c r="RP2" s="84"/>
      <c r="RQ2" s="95" t="s">
        <v>20</v>
      </c>
      <c r="RR2" s="95" t="s">
        <v>62</v>
      </c>
      <c r="RS2" s="175" t="s">
        <v>54</v>
      </c>
      <c r="RT2" s="175" t="s">
        <v>55</v>
      </c>
      <c r="RU2" s="175" t="s">
        <v>63</v>
      </c>
      <c r="RV2" s="175" t="s">
        <v>36</v>
      </c>
      <c r="RW2" s="175" t="s">
        <v>38</v>
      </c>
      <c r="RX2" s="175" t="s">
        <v>39</v>
      </c>
      <c r="RY2" s="177" t="s">
        <v>40</v>
      </c>
      <c r="RZ2" s="170" t="s">
        <v>58</v>
      </c>
      <c r="SA2" s="170" t="s">
        <v>65</v>
      </c>
      <c r="SB2" s="171" t="s">
        <v>42</v>
      </c>
      <c r="SC2" s="171" t="s">
        <v>52</v>
      </c>
      <c r="SD2" s="174" t="s">
        <v>64</v>
      </c>
      <c r="SE2" s="171" t="s">
        <v>59</v>
      </c>
      <c r="SF2" s="174" t="s">
        <v>47</v>
      </c>
      <c r="SG2" s="174" t="s">
        <v>61</v>
      </c>
      <c r="SH2" s="102" t="s">
        <v>50</v>
      </c>
      <c r="SI2" s="102" t="s">
        <v>51</v>
      </c>
      <c r="SJ2" s="84"/>
      <c r="SK2" s="84"/>
      <c r="SL2" s="84"/>
      <c r="SM2" s="95" t="s">
        <v>20</v>
      </c>
      <c r="SN2" s="95" t="s">
        <v>62</v>
      </c>
      <c r="SO2" s="175" t="s">
        <v>54</v>
      </c>
      <c r="SP2" s="175" t="s">
        <v>55</v>
      </c>
      <c r="SQ2" s="175" t="s">
        <v>63</v>
      </c>
      <c r="SR2" s="175" t="s">
        <v>36</v>
      </c>
      <c r="SS2" s="175" t="s">
        <v>38</v>
      </c>
      <c r="ST2" s="175" t="s">
        <v>39</v>
      </c>
      <c r="SU2" s="177" t="s">
        <v>40</v>
      </c>
      <c r="SV2" s="170" t="s">
        <v>58</v>
      </c>
      <c r="SW2" s="170" t="s">
        <v>65</v>
      </c>
      <c r="SX2" s="171" t="s">
        <v>42</v>
      </c>
      <c r="SY2" s="171" t="s">
        <v>52</v>
      </c>
      <c r="SZ2" s="174" t="s">
        <v>64</v>
      </c>
      <c r="TA2" s="171" t="s">
        <v>59</v>
      </c>
      <c r="TB2" s="174" t="s">
        <v>47</v>
      </c>
      <c r="TC2" s="174" t="s">
        <v>61</v>
      </c>
      <c r="TD2" s="102" t="s">
        <v>50</v>
      </c>
      <c r="TE2" s="102" t="s">
        <v>51</v>
      </c>
      <c r="TF2" s="84"/>
      <c r="TG2" s="84"/>
      <c r="TH2" s="95" t="s">
        <v>20</v>
      </c>
      <c r="TI2" s="95" t="s">
        <v>62</v>
      </c>
      <c r="TJ2" s="175" t="s">
        <v>54</v>
      </c>
      <c r="TK2" s="175" t="s">
        <v>55</v>
      </c>
      <c r="TL2" s="175" t="s">
        <v>63</v>
      </c>
      <c r="TM2" s="175" t="s">
        <v>36</v>
      </c>
      <c r="TN2" s="175" t="s">
        <v>38</v>
      </c>
      <c r="TO2" s="175" t="s">
        <v>39</v>
      </c>
      <c r="TP2" s="175" t="s">
        <v>40</v>
      </c>
      <c r="TQ2" s="170" t="s">
        <v>58</v>
      </c>
      <c r="TR2" s="170" t="s">
        <v>65</v>
      </c>
      <c r="TS2" s="170" t="s">
        <v>42</v>
      </c>
      <c r="TT2" s="170" t="s">
        <v>66</v>
      </c>
      <c r="TU2" s="178" t="s">
        <v>64</v>
      </c>
      <c r="TV2" s="170" t="s">
        <v>59</v>
      </c>
      <c r="TW2" s="178" t="s">
        <v>47</v>
      </c>
      <c r="TX2" s="174" t="s">
        <v>61</v>
      </c>
      <c r="TY2" s="102" t="s">
        <v>50</v>
      </c>
      <c r="TZ2" s="102" t="s">
        <v>51</v>
      </c>
      <c r="UA2" s="84"/>
      <c r="UB2" s="84"/>
      <c r="UC2" s="84"/>
      <c r="UD2" s="95" t="s">
        <v>20</v>
      </c>
      <c r="UE2" s="95" t="s">
        <v>62</v>
      </c>
      <c r="UF2" s="175" t="s">
        <v>54</v>
      </c>
      <c r="UG2" s="175" t="s">
        <v>55</v>
      </c>
      <c r="UH2" s="175" t="s">
        <v>63</v>
      </c>
      <c r="UI2" s="175" t="s">
        <v>36</v>
      </c>
      <c r="UJ2" s="175" t="s">
        <v>38</v>
      </c>
      <c r="UK2" s="175" t="s">
        <v>39</v>
      </c>
      <c r="UL2" s="175" t="s">
        <v>40</v>
      </c>
      <c r="UM2" s="170" t="s">
        <v>58</v>
      </c>
      <c r="UN2" s="170" t="s">
        <v>65</v>
      </c>
      <c r="UO2" s="170" t="s">
        <v>42</v>
      </c>
      <c r="UP2" s="170" t="s">
        <v>66</v>
      </c>
      <c r="UQ2" s="178" t="s">
        <v>64</v>
      </c>
      <c r="UR2" s="170" t="s">
        <v>59</v>
      </c>
      <c r="US2" s="178" t="s">
        <v>47</v>
      </c>
      <c r="UT2" s="174" t="s">
        <v>61</v>
      </c>
      <c r="UU2" s="102" t="s">
        <v>50</v>
      </c>
      <c r="UV2" s="102" t="s">
        <v>51</v>
      </c>
      <c r="UW2" s="84"/>
      <c r="UX2" s="84"/>
      <c r="UY2" s="84"/>
      <c r="UZ2" s="95" t="s">
        <v>20</v>
      </c>
      <c r="VA2" s="95" t="s">
        <v>62</v>
      </c>
      <c r="VB2" s="175" t="s">
        <v>54</v>
      </c>
      <c r="VC2" s="175" t="s">
        <v>55</v>
      </c>
      <c r="VD2" s="175" t="s">
        <v>63</v>
      </c>
      <c r="VE2" s="175" t="s">
        <v>36</v>
      </c>
      <c r="VF2" s="175" t="s">
        <v>38</v>
      </c>
      <c r="VG2" s="175" t="s">
        <v>39</v>
      </c>
      <c r="VH2" s="175" t="s">
        <v>40</v>
      </c>
      <c r="VI2" s="170" t="s">
        <v>58</v>
      </c>
      <c r="VJ2" s="170" t="s">
        <v>65</v>
      </c>
      <c r="VK2" s="170" t="s">
        <v>42</v>
      </c>
      <c r="VL2" s="170" t="s">
        <v>66</v>
      </c>
      <c r="VM2" s="178" t="s">
        <v>64</v>
      </c>
      <c r="VN2" s="170" t="s">
        <v>59</v>
      </c>
      <c r="VO2" s="178" t="s">
        <v>47</v>
      </c>
      <c r="VP2" s="174" t="s">
        <v>61</v>
      </c>
      <c r="VQ2" s="102" t="s">
        <v>50</v>
      </c>
      <c r="VR2" s="102" t="s">
        <v>51</v>
      </c>
      <c r="VS2" s="84"/>
      <c r="VT2" s="159"/>
      <c r="VU2" s="159"/>
    </row>
    <row r="3" ht="18" customHeight="1" spans="1:593">
      <c r="A3" s="159"/>
      <c r="B3" s="159"/>
      <c r="C3" s="160" t="s">
        <v>67</v>
      </c>
      <c r="D3" s="160" t="s">
        <v>68</v>
      </c>
      <c r="E3" s="160" t="s">
        <v>69</v>
      </c>
      <c r="F3" s="162" t="s">
        <v>70</v>
      </c>
      <c r="G3" s="162" t="s">
        <v>71</v>
      </c>
      <c r="H3" s="162" t="s">
        <v>72</v>
      </c>
      <c r="I3" s="162" t="s">
        <v>73</v>
      </c>
      <c r="J3" s="162" t="s">
        <v>74</v>
      </c>
      <c r="K3" s="162" t="s">
        <v>75</v>
      </c>
      <c r="L3" s="162" t="s">
        <v>76</v>
      </c>
      <c r="M3" s="161" t="s">
        <v>77</v>
      </c>
      <c r="N3" s="161" t="s">
        <v>78</v>
      </c>
      <c r="O3" s="162" t="s">
        <v>79</v>
      </c>
      <c r="P3" s="162" t="s">
        <v>80</v>
      </c>
      <c r="Q3" s="162" t="s">
        <v>81</v>
      </c>
      <c r="R3" s="162" t="s">
        <v>82</v>
      </c>
      <c r="S3" s="162" t="s">
        <v>83</v>
      </c>
      <c r="T3" s="162" t="s">
        <v>84</v>
      </c>
      <c r="U3" s="162" t="s">
        <v>85</v>
      </c>
      <c r="V3" s="162" t="s">
        <v>86</v>
      </c>
      <c r="W3" s="162" t="s">
        <v>87</v>
      </c>
      <c r="X3" s="162" t="s">
        <v>88</v>
      </c>
      <c r="Y3" s="164" t="s">
        <v>89</v>
      </c>
      <c r="Z3" s="179" t="s">
        <v>90</v>
      </c>
      <c r="AA3" s="166" t="s">
        <v>91</v>
      </c>
      <c r="AB3" s="165" t="s">
        <v>92</v>
      </c>
      <c r="AC3" s="167" t="s">
        <v>93</v>
      </c>
      <c r="AD3" s="167" t="s">
        <v>94</v>
      </c>
      <c r="AE3" s="162" t="s">
        <v>95</v>
      </c>
      <c r="AF3" s="162" t="s">
        <v>96</v>
      </c>
      <c r="AG3" s="168" t="s">
        <v>97</v>
      </c>
      <c r="AH3" s="168" t="s">
        <v>98</v>
      </c>
      <c r="AI3" s="159"/>
      <c r="AJ3" s="160" t="s">
        <v>67</v>
      </c>
      <c r="AK3" s="160" t="s">
        <v>68</v>
      </c>
      <c r="AL3" s="160" t="s">
        <v>69</v>
      </c>
      <c r="AM3" s="162" t="s">
        <v>70</v>
      </c>
      <c r="AN3" s="162" t="s">
        <v>71</v>
      </c>
      <c r="AO3" s="162" t="s">
        <v>72</v>
      </c>
      <c r="AP3" s="162" t="s">
        <v>73</v>
      </c>
      <c r="AQ3" s="162" t="s">
        <v>74</v>
      </c>
      <c r="AR3" s="162" t="s">
        <v>75</v>
      </c>
      <c r="AS3" s="162" t="s">
        <v>76</v>
      </c>
      <c r="AT3" s="161" t="s">
        <v>77</v>
      </c>
      <c r="AU3" s="161" t="s">
        <v>78</v>
      </c>
      <c r="AV3" s="162" t="s">
        <v>79</v>
      </c>
      <c r="AW3" s="162" t="s">
        <v>80</v>
      </c>
      <c r="AX3" s="162" t="s">
        <v>81</v>
      </c>
      <c r="AY3" s="162" t="s">
        <v>82</v>
      </c>
      <c r="AZ3" s="162" t="s">
        <v>83</v>
      </c>
      <c r="BA3" s="162" t="s">
        <v>84</v>
      </c>
      <c r="BB3" s="162" t="s">
        <v>85</v>
      </c>
      <c r="BC3" s="162" t="s">
        <v>86</v>
      </c>
      <c r="BD3" s="162" t="s">
        <v>87</v>
      </c>
      <c r="BE3" s="162" t="s">
        <v>88</v>
      </c>
      <c r="BF3" s="164" t="s">
        <v>89</v>
      </c>
      <c r="BG3" s="179" t="s">
        <v>90</v>
      </c>
      <c r="BH3" s="166" t="s">
        <v>91</v>
      </c>
      <c r="BI3" s="165" t="s">
        <v>92</v>
      </c>
      <c r="BJ3" s="167" t="s">
        <v>93</v>
      </c>
      <c r="BK3" s="167" t="s">
        <v>94</v>
      </c>
      <c r="BL3" s="162" t="s">
        <v>95</v>
      </c>
      <c r="BM3" s="162" t="s">
        <v>96</v>
      </c>
      <c r="BN3" s="168" t="s">
        <v>97</v>
      </c>
      <c r="BO3" s="168" t="s">
        <v>98</v>
      </c>
      <c r="BP3" s="159"/>
      <c r="BQ3" s="160" t="s">
        <v>67</v>
      </c>
      <c r="BR3" s="160" t="s">
        <v>68</v>
      </c>
      <c r="BS3" s="160" t="s">
        <v>69</v>
      </c>
      <c r="BT3" s="162" t="s">
        <v>70</v>
      </c>
      <c r="BU3" s="162" t="s">
        <v>71</v>
      </c>
      <c r="BV3" s="162" t="s">
        <v>72</v>
      </c>
      <c r="BW3" s="162" t="s">
        <v>73</v>
      </c>
      <c r="BX3" s="162" t="s">
        <v>74</v>
      </c>
      <c r="BY3" s="162" t="s">
        <v>75</v>
      </c>
      <c r="BZ3" s="162" t="s">
        <v>76</v>
      </c>
      <c r="CA3" s="161" t="s">
        <v>77</v>
      </c>
      <c r="CB3" s="161" t="s">
        <v>78</v>
      </c>
      <c r="CC3" s="162" t="s">
        <v>79</v>
      </c>
      <c r="CD3" s="162" t="s">
        <v>80</v>
      </c>
      <c r="CE3" s="162" t="s">
        <v>81</v>
      </c>
      <c r="CF3" s="162" t="s">
        <v>82</v>
      </c>
      <c r="CG3" s="162" t="s">
        <v>83</v>
      </c>
      <c r="CH3" s="162" t="s">
        <v>84</v>
      </c>
      <c r="CI3" s="162" t="s">
        <v>85</v>
      </c>
      <c r="CJ3" s="162" t="s">
        <v>86</v>
      </c>
      <c r="CK3" s="162" t="s">
        <v>87</v>
      </c>
      <c r="CL3" s="162" t="s">
        <v>88</v>
      </c>
      <c r="CM3" s="164" t="s">
        <v>89</v>
      </c>
      <c r="CN3" s="179" t="s">
        <v>90</v>
      </c>
      <c r="CO3" s="166" t="s">
        <v>91</v>
      </c>
      <c r="CP3" s="165" t="s">
        <v>92</v>
      </c>
      <c r="CQ3" s="167" t="s">
        <v>93</v>
      </c>
      <c r="CR3" s="167" t="s">
        <v>94</v>
      </c>
      <c r="CS3" s="162" t="s">
        <v>95</v>
      </c>
      <c r="CT3" s="162" t="s">
        <v>96</v>
      </c>
      <c r="CU3" s="168" t="s">
        <v>97</v>
      </c>
      <c r="CV3" s="168" t="s">
        <v>98</v>
      </c>
      <c r="CW3" s="159"/>
      <c r="CX3" s="160" t="s">
        <v>67</v>
      </c>
      <c r="CY3" s="160" t="s">
        <v>68</v>
      </c>
      <c r="CZ3" s="160" t="s">
        <v>69</v>
      </c>
      <c r="DA3" s="162" t="s">
        <v>70</v>
      </c>
      <c r="DB3" s="162" t="s">
        <v>71</v>
      </c>
      <c r="DC3" s="162" t="s">
        <v>72</v>
      </c>
      <c r="DD3" s="162" t="s">
        <v>73</v>
      </c>
      <c r="DE3" s="162" t="s">
        <v>74</v>
      </c>
      <c r="DF3" s="162" t="s">
        <v>75</v>
      </c>
      <c r="DG3" s="162" t="s">
        <v>76</v>
      </c>
      <c r="DH3" s="161" t="s">
        <v>77</v>
      </c>
      <c r="DI3" s="161" t="s">
        <v>78</v>
      </c>
      <c r="DJ3" s="162" t="s">
        <v>79</v>
      </c>
      <c r="DK3" s="162" t="s">
        <v>80</v>
      </c>
      <c r="DL3" s="162" t="s">
        <v>81</v>
      </c>
      <c r="DM3" s="162" t="s">
        <v>82</v>
      </c>
      <c r="DN3" s="162" t="s">
        <v>83</v>
      </c>
      <c r="DO3" s="162" t="s">
        <v>84</v>
      </c>
      <c r="DP3" s="162" t="s">
        <v>85</v>
      </c>
      <c r="DQ3" s="162" t="s">
        <v>86</v>
      </c>
      <c r="DR3" s="162" t="s">
        <v>87</v>
      </c>
      <c r="DS3" s="162" t="s">
        <v>88</v>
      </c>
      <c r="DT3" s="164" t="s">
        <v>89</v>
      </c>
      <c r="DU3" s="179" t="s">
        <v>90</v>
      </c>
      <c r="DV3" s="166" t="s">
        <v>91</v>
      </c>
      <c r="DW3" s="165" t="s">
        <v>92</v>
      </c>
      <c r="DX3" s="167" t="s">
        <v>93</v>
      </c>
      <c r="DY3" s="167" t="s">
        <v>94</v>
      </c>
      <c r="DZ3" s="162" t="s">
        <v>95</v>
      </c>
      <c r="EA3" s="162" t="s">
        <v>96</v>
      </c>
      <c r="EB3" s="168" t="s">
        <v>97</v>
      </c>
      <c r="EC3" s="168" t="s">
        <v>98</v>
      </c>
      <c r="ED3" s="159"/>
      <c r="EE3" s="160" t="s">
        <v>67</v>
      </c>
      <c r="EF3" s="160" t="s">
        <v>68</v>
      </c>
      <c r="EG3" s="160" t="s">
        <v>69</v>
      </c>
      <c r="EH3" s="162" t="s">
        <v>70</v>
      </c>
      <c r="EI3" s="162" t="s">
        <v>71</v>
      </c>
      <c r="EJ3" s="162" t="s">
        <v>72</v>
      </c>
      <c r="EK3" s="162" t="s">
        <v>73</v>
      </c>
      <c r="EL3" s="162" t="s">
        <v>74</v>
      </c>
      <c r="EM3" s="162" t="s">
        <v>75</v>
      </c>
      <c r="EN3" s="162" t="s">
        <v>76</v>
      </c>
      <c r="EO3" s="161" t="s">
        <v>77</v>
      </c>
      <c r="EP3" s="161" t="s">
        <v>78</v>
      </c>
      <c r="EQ3" s="162" t="s">
        <v>79</v>
      </c>
      <c r="ER3" s="162" t="s">
        <v>80</v>
      </c>
      <c r="ES3" s="162" t="s">
        <v>81</v>
      </c>
      <c r="ET3" s="162" t="s">
        <v>82</v>
      </c>
      <c r="EU3" s="162" t="s">
        <v>83</v>
      </c>
      <c r="EV3" s="162" t="s">
        <v>84</v>
      </c>
      <c r="EW3" s="162" t="s">
        <v>85</v>
      </c>
      <c r="EX3" s="162" t="s">
        <v>86</v>
      </c>
      <c r="EY3" s="162" t="s">
        <v>87</v>
      </c>
      <c r="EZ3" s="162" t="s">
        <v>88</v>
      </c>
      <c r="FA3" s="164" t="s">
        <v>89</v>
      </c>
      <c r="FB3" s="179" t="s">
        <v>90</v>
      </c>
      <c r="FC3" s="166" t="s">
        <v>91</v>
      </c>
      <c r="FD3" s="165" t="s">
        <v>92</v>
      </c>
      <c r="FE3" s="167" t="s">
        <v>93</v>
      </c>
      <c r="FF3" s="167" t="s">
        <v>94</v>
      </c>
      <c r="FG3" s="162" t="s">
        <v>95</v>
      </c>
      <c r="FH3" s="162" t="s">
        <v>96</v>
      </c>
      <c r="FI3" s="168" t="s">
        <v>97</v>
      </c>
      <c r="FJ3" s="168" t="s">
        <v>98</v>
      </c>
      <c r="FK3" s="159"/>
      <c r="FL3" s="159"/>
      <c r="FM3" s="159"/>
      <c r="FN3" s="160" t="s">
        <v>67</v>
      </c>
      <c r="FO3" s="160" t="s">
        <v>68</v>
      </c>
      <c r="FP3" s="160" t="s">
        <v>69</v>
      </c>
      <c r="FQ3" s="162" t="s">
        <v>70</v>
      </c>
      <c r="FR3" s="162" t="s">
        <v>71</v>
      </c>
      <c r="FS3" s="162" t="s">
        <v>72</v>
      </c>
      <c r="FT3" s="162" t="s">
        <v>73</v>
      </c>
      <c r="FU3" s="162" t="s">
        <v>74</v>
      </c>
      <c r="FV3" s="162" t="s">
        <v>75</v>
      </c>
      <c r="FW3" s="162" t="s">
        <v>76</v>
      </c>
      <c r="FX3" s="161" t="s">
        <v>77</v>
      </c>
      <c r="FY3" s="161" t="s">
        <v>78</v>
      </c>
      <c r="FZ3" s="162" t="s">
        <v>79</v>
      </c>
      <c r="GA3" s="162" t="s">
        <v>80</v>
      </c>
      <c r="GB3" s="162" t="s">
        <v>81</v>
      </c>
      <c r="GC3" s="162" t="s">
        <v>82</v>
      </c>
      <c r="GD3" s="162" t="s">
        <v>83</v>
      </c>
      <c r="GE3" s="162" t="s">
        <v>84</v>
      </c>
      <c r="GF3" s="162" t="s">
        <v>85</v>
      </c>
      <c r="GG3" s="162" t="s">
        <v>86</v>
      </c>
      <c r="GH3" s="162" t="s">
        <v>87</v>
      </c>
      <c r="GI3" s="162" t="s">
        <v>88</v>
      </c>
      <c r="GJ3" s="164" t="s">
        <v>89</v>
      </c>
      <c r="GK3" s="179" t="s">
        <v>90</v>
      </c>
      <c r="GL3" s="166" t="s">
        <v>91</v>
      </c>
      <c r="GM3" s="165" t="s">
        <v>92</v>
      </c>
      <c r="GN3" s="167" t="s">
        <v>93</v>
      </c>
      <c r="GO3" s="167" t="s">
        <v>94</v>
      </c>
      <c r="GP3" s="162" t="s">
        <v>95</v>
      </c>
      <c r="GQ3" s="162" t="s">
        <v>96</v>
      </c>
      <c r="GR3" s="168" t="s">
        <v>97</v>
      </c>
      <c r="GS3" s="168" t="s">
        <v>98</v>
      </c>
      <c r="GT3" s="159"/>
      <c r="GU3" s="159"/>
      <c r="GV3" s="160" t="s">
        <v>67</v>
      </c>
      <c r="GW3" s="160" t="s">
        <v>68</v>
      </c>
      <c r="GX3" s="160" t="s">
        <v>69</v>
      </c>
      <c r="GY3" s="162" t="s">
        <v>70</v>
      </c>
      <c r="GZ3" s="162" t="s">
        <v>71</v>
      </c>
      <c r="HA3" s="162" t="s">
        <v>72</v>
      </c>
      <c r="HB3" s="162" t="s">
        <v>73</v>
      </c>
      <c r="HC3" s="162" t="s">
        <v>74</v>
      </c>
      <c r="HD3" s="162" t="s">
        <v>75</v>
      </c>
      <c r="HE3" s="162" t="s">
        <v>76</v>
      </c>
      <c r="HF3" s="161" t="s">
        <v>77</v>
      </c>
      <c r="HG3" s="161" t="s">
        <v>78</v>
      </c>
      <c r="HH3" s="162" t="s">
        <v>79</v>
      </c>
      <c r="HI3" s="162" t="s">
        <v>80</v>
      </c>
      <c r="HJ3" s="162" t="s">
        <v>81</v>
      </c>
      <c r="HK3" s="162" t="s">
        <v>82</v>
      </c>
      <c r="HL3" s="162" t="s">
        <v>83</v>
      </c>
      <c r="HM3" s="162" t="s">
        <v>84</v>
      </c>
      <c r="HN3" s="162" t="s">
        <v>85</v>
      </c>
      <c r="HO3" s="162" t="s">
        <v>86</v>
      </c>
      <c r="HP3" s="162" t="s">
        <v>87</v>
      </c>
      <c r="HQ3" s="162" t="s">
        <v>88</v>
      </c>
      <c r="HR3" s="164" t="s">
        <v>89</v>
      </c>
      <c r="HS3" s="179" t="s">
        <v>90</v>
      </c>
      <c r="HT3" s="166" t="s">
        <v>91</v>
      </c>
      <c r="HU3" s="165" t="s">
        <v>92</v>
      </c>
      <c r="HV3" s="167" t="s">
        <v>93</v>
      </c>
      <c r="HW3" s="167" t="s">
        <v>94</v>
      </c>
      <c r="HX3" s="162" t="s">
        <v>95</v>
      </c>
      <c r="HY3" s="162" t="s">
        <v>96</v>
      </c>
      <c r="HZ3" s="168" t="s">
        <v>97</v>
      </c>
      <c r="IA3" s="168" t="s">
        <v>98</v>
      </c>
      <c r="IB3" s="159"/>
      <c r="IC3" s="159"/>
      <c r="ID3" s="160" t="s">
        <v>67</v>
      </c>
      <c r="IE3" s="160" t="s">
        <v>68</v>
      </c>
      <c r="IF3" s="160" t="s">
        <v>69</v>
      </c>
      <c r="IG3" s="162" t="s">
        <v>70</v>
      </c>
      <c r="IH3" s="162" t="s">
        <v>71</v>
      </c>
      <c r="II3" s="162" t="s">
        <v>72</v>
      </c>
      <c r="IJ3" s="162" t="s">
        <v>73</v>
      </c>
      <c r="IK3" s="162" t="s">
        <v>74</v>
      </c>
      <c r="IL3" s="162" t="s">
        <v>75</v>
      </c>
      <c r="IM3" s="162" t="s">
        <v>76</v>
      </c>
      <c r="IN3" s="161" t="s">
        <v>77</v>
      </c>
      <c r="IO3" s="161" t="s">
        <v>78</v>
      </c>
      <c r="IP3" s="162" t="s">
        <v>79</v>
      </c>
      <c r="IQ3" s="162" t="s">
        <v>80</v>
      </c>
      <c r="IR3" s="162" t="s">
        <v>81</v>
      </c>
      <c r="IS3" s="162" t="s">
        <v>82</v>
      </c>
      <c r="IT3" s="162" t="s">
        <v>83</v>
      </c>
      <c r="IU3" s="162" t="s">
        <v>84</v>
      </c>
      <c r="IV3" s="162" t="s">
        <v>85</v>
      </c>
      <c r="IW3" s="162" t="s">
        <v>86</v>
      </c>
      <c r="IX3" s="162" t="s">
        <v>87</v>
      </c>
      <c r="IY3" s="162" t="s">
        <v>88</v>
      </c>
      <c r="IZ3" s="164" t="s">
        <v>89</v>
      </c>
      <c r="JA3" s="179" t="s">
        <v>90</v>
      </c>
      <c r="JB3" s="166" t="s">
        <v>91</v>
      </c>
      <c r="JC3" s="165" t="s">
        <v>92</v>
      </c>
      <c r="JD3" s="167" t="s">
        <v>93</v>
      </c>
      <c r="JE3" s="167" t="s">
        <v>94</v>
      </c>
      <c r="JF3" s="162" t="s">
        <v>95</v>
      </c>
      <c r="JG3" s="162" t="s">
        <v>96</v>
      </c>
      <c r="JH3" s="168" t="s">
        <v>97</v>
      </c>
      <c r="JI3" s="168" t="s">
        <v>98</v>
      </c>
      <c r="JJ3" s="159"/>
      <c r="JK3" s="159"/>
      <c r="JL3" s="160" t="s">
        <v>67</v>
      </c>
      <c r="JM3" s="160" t="s">
        <v>68</v>
      </c>
      <c r="JN3" s="160" t="s">
        <v>69</v>
      </c>
      <c r="JO3" s="162" t="s">
        <v>70</v>
      </c>
      <c r="JP3" s="162" t="s">
        <v>71</v>
      </c>
      <c r="JQ3" s="162" t="s">
        <v>72</v>
      </c>
      <c r="JR3" s="162" t="s">
        <v>73</v>
      </c>
      <c r="JS3" s="162" t="s">
        <v>74</v>
      </c>
      <c r="JT3" s="162" t="s">
        <v>75</v>
      </c>
      <c r="JU3" s="162" t="s">
        <v>76</v>
      </c>
      <c r="JV3" s="161" t="s">
        <v>77</v>
      </c>
      <c r="JW3" s="161" t="s">
        <v>78</v>
      </c>
      <c r="JX3" s="162" t="s">
        <v>79</v>
      </c>
      <c r="JY3" s="162" t="s">
        <v>80</v>
      </c>
      <c r="JZ3" s="162" t="s">
        <v>81</v>
      </c>
      <c r="KA3" s="162" t="s">
        <v>82</v>
      </c>
      <c r="KB3" s="162" t="s">
        <v>83</v>
      </c>
      <c r="KC3" s="162" t="s">
        <v>84</v>
      </c>
      <c r="KD3" s="162" t="s">
        <v>85</v>
      </c>
      <c r="KE3" s="162" t="s">
        <v>86</v>
      </c>
      <c r="KF3" s="162" t="s">
        <v>87</v>
      </c>
      <c r="KG3" s="162" t="s">
        <v>88</v>
      </c>
      <c r="KH3" s="164" t="s">
        <v>89</v>
      </c>
      <c r="KI3" s="179" t="s">
        <v>90</v>
      </c>
      <c r="KJ3" s="166" t="s">
        <v>91</v>
      </c>
      <c r="KK3" s="165" t="s">
        <v>92</v>
      </c>
      <c r="KL3" s="167" t="s">
        <v>93</v>
      </c>
      <c r="KM3" s="167" t="s">
        <v>94</v>
      </c>
      <c r="KN3" s="162" t="s">
        <v>95</v>
      </c>
      <c r="KO3" s="162" t="s">
        <v>96</v>
      </c>
      <c r="KP3" s="168" t="s">
        <v>97</v>
      </c>
      <c r="KQ3" s="168" t="s">
        <v>98</v>
      </c>
      <c r="KR3" s="159"/>
      <c r="KS3" s="159"/>
      <c r="KT3" s="160" t="s">
        <v>67</v>
      </c>
      <c r="KU3" s="160" t="s">
        <v>68</v>
      </c>
      <c r="KV3" s="160" t="s">
        <v>69</v>
      </c>
      <c r="KW3" s="162" t="s">
        <v>70</v>
      </c>
      <c r="KX3" s="162" t="s">
        <v>71</v>
      </c>
      <c r="KY3" s="162" t="s">
        <v>72</v>
      </c>
      <c r="KZ3" s="162" t="s">
        <v>73</v>
      </c>
      <c r="LA3" s="162" t="s">
        <v>74</v>
      </c>
      <c r="LB3" s="162" t="s">
        <v>75</v>
      </c>
      <c r="LC3" s="162" t="s">
        <v>76</v>
      </c>
      <c r="LD3" s="161" t="s">
        <v>77</v>
      </c>
      <c r="LE3" s="161" t="s">
        <v>78</v>
      </c>
      <c r="LF3" s="162" t="s">
        <v>79</v>
      </c>
      <c r="LG3" s="162" t="s">
        <v>80</v>
      </c>
      <c r="LH3" s="162" t="s">
        <v>81</v>
      </c>
      <c r="LI3" s="162" t="s">
        <v>82</v>
      </c>
      <c r="LJ3" s="162" t="s">
        <v>83</v>
      </c>
      <c r="LK3" s="162" t="s">
        <v>84</v>
      </c>
      <c r="LL3" s="162" t="s">
        <v>85</v>
      </c>
      <c r="LM3" s="162" t="s">
        <v>86</v>
      </c>
      <c r="LN3" s="162" t="s">
        <v>87</v>
      </c>
      <c r="LO3" s="162" t="s">
        <v>88</v>
      </c>
      <c r="LP3" s="164" t="s">
        <v>89</v>
      </c>
      <c r="LQ3" s="179" t="s">
        <v>90</v>
      </c>
      <c r="LR3" s="166" t="s">
        <v>91</v>
      </c>
      <c r="LS3" s="165" t="s">
        <v>92</v>
      </c>
      <c r="LT3" s="167" t="s">
        <v>93</v>
      </c>
      <c r="LU3" s="167" t="s">
        <v>94</v>
      </c>
      <c r="LV3" s="162" t="s">
        <v>95</v>
      </c>
      <c r="LW3" s="162" t="s">
        <v>96</v>
      </c>
      <c r="LX3" s="168" t="s">
        <v>97</v>
      </c>
      <c r="LY3" s="168" t="s">
        <v>98</v>
      </c>
      <c r="LZ3" s="159"/>
      <c r="MA3" s="159"/>
      <c r="MB3" s="160" t="s">
        <v>67</v>
      </c>
      <c r="MC3" s="160" t="s">
        <v>68</v>
      </c>
      <c r="MD3" s="160" t="s">
        <v>69</v>
      </c>
      <c r="ME3" s="162" t="s">
        <v>70</v>
      </c>
      <c r="MF3" s="162" t="s">
        <v>71</v>
      </c>
      <c r="MG3" s="162" t="s">
        <v>72</v>
      </c>
      <c r="MH3" s="162" t="s">
        <v>73</v>
      </c>
      <c r="MI3" s="162" t="s">
        <v>74</v>
      </c>
      <c r="MJ3" s="162" t="s">
        <v>75</v>
      </c>
      <c r="MK3" s="162" t="s">
        <v>76</v>
      </c>
      <c r="ML3" s="161" t="s">
        <v>77</v>
      </c>
      <c r="MM3" s="161" t="s">
        <v>78</v>
      </c>
      <c r="MN3" s="162" t="s">
        <v>79</v>
      </c>
      <c r="MO3" s="162" t="s">
        <v>80</v>
      </c>
      <c r="MP3" s="162" t="s">
        <v>81</v>
      </c>
      <c r="MQ3" s="162" t="s">
        <v>82</v>
      </c>
      <c r="MR3" s="162" t="s">
        <v>83</v>
      </c>
      <c r="MS3" s="162" t="s">
        <v>84</v>
      </c>
      <c r="MT3" s="162" t="s">
        <v>85</v>
      </c>
      <c r="MU3" s="162" t="s">
        <v>86</v>
      </c>
      <c r="MV3" s="162" t="s">
        <v>87</v>
      </c>
      <c r="MW3" s="162" t="s">
        <v>88</v>
      </c>
      <c r="MX3" s="164" t="s">
        <v>89</v>
      </c>
      <c r="MY3" s="179" t="s">
        <v>90</v>
      </c>
      <c r="MZ3" s="166" t="s">
        <v>91</v>
      </c>
      <c r="NA3" s="165" t="s">
        <v>92</v>
      </c>
      <c r="NB3" s="167" t="s">
        <v>93</v>
      </c>
      <c r="NC3" s="167" t="s">
        <v>94</v>
      </c>
      <c r="ND3" s="162" t="s">
        <v>95</v>
      </c>
      <c r="NE3" s="162" t="s">
        <v>96</v>
      </c>
      <c r="NF3" s="168" t="s">
        <v>97</v>
      </c>
      <c r="NG3" s="168" t="s">
        <v>98</v>
      </c>
      <c r="NH3" s="159"/>
      <c r="NI3" s="159"/>
      <c r="NJ3" s="160" t="s">
        <v>67</v>
      </c>
      <c r="NK3" s="160" t="s">
        <v>68</v>
      </c>
      <c r="NL3" s="160" t="s">
        <v>69</v>
      </c>
      <c r="NM3" s="162" t="s">
        <v>70</v>
      </c>
      <c r="NN3" s="162" t="s">
        <v>71</v>
      </c>
      <c r="NO3" s="162" t="s">
        <v>72</v>
      </c>
      <c r="NP3" s="162" t="s">
        <v>73</v>
      </c>
      <c r="NQ3" s="162" t="s">
        <v>74</v>
      </c>
      <c r="NR3" s="162" t="s">
        <v>75</v>
      </c>
      <c r="NS3" s="162" t="s">
        <v>76</v>
      </c>
      <c r="NT3" s="161" t="s">
        <v>77</v>
      </c>
      <c r="NU3" s="161" t="s">
        <v>78</v>
      </c>
      <c r="NV3" s="162" t="s">
        <v>79</v>
      </c>
      <c r="NW3" s="162" t="s">
        <v>80</v>
      </c>
      <c r="NX3" s="162" t="s">
        <v>81</v>
      </c>
      <c r="NY3" s="162" t="s">
        <v>82</v>
      </c>
      <c r="NZ3" s="162" t="s">
        <v>83</v>
      </c>
      <c r="OA3" s="162" t="s">
        <v>84</v>
      </c>
      <c r="OB3" s="162" t="s">
        <v>85</v>
      </c>
      <c r="OC3" s="162" t="s">
        <v>86</v>
      </c>
      <c r="OD3" s="162" t="s">
        <v>87</v>
      </c>
      <c r="OE3" s="162" t="s">
        <v>88</v>
      </c>
      <c r="OF3" s="164" t="s">
        <v>89</v>
      </c>
      <c r="OG3" s="179" t="s">
        <v>90</v>
      </c>
      <c r="OH3" s="166" t="s">
        <v>91</v>
      </c>
      <c r="OI3" s="165" t="s">
        <v>92</v>
      </c>
      <c r="OJ3" s="167" t="s">
        <v>93</v>
      </c>
      <c r="OK3" s="167" t="s">
        <v>94</v>
      </c>
      <c r="OL3" s="162" t="s">
        <v>95</v>
      </c>
      <c r="OM3" s="162" t="s">
        <v>96</v>
      </c>
      <c r="ON3" s="168" t="s">
        <v>97</v>
      </c>
      <c r="OO3" s="168" t="s">
        <v>98</v>
      </c>
      <c r="OP3" s="159"/>
      <c r="OQ3" s="53"/>
      <c r="OR3" s="159"/>
      <c r="OS3" s="160" t="s">
        <v>67</v>
      </c>
      <c r="OT3" s="160" t="s">
        <v>68</v>
      </c>
      <c r="OU3" s="162" t="s">
        <v>70</v>
      </c>
      <c r="OV3" s="162" t="s">
        <v>72</v>
      </c>
      <c r="OW3" s="162" t="s">
        <v>73</v>
      </c>
      <c r="OX3" s="162" t="s">
        <v>74</v>
      </c>
      <c r="OY3" s="162" t="s">
        <v>75</v>
      </c>
      <c r="OZ3" s="162" t="s">
        <v>76</v>
      </c>
      <c r="PA3" s="161" t="s">
        <v>77</v>
      </c>
      <c r="PB3" s="161" t="s">
        <v>78</v>
      </c>
      <c r="PC3" s="162" t="s">
        <v>83</v>
      </c>
      <c r="PD3" s="162" t="s">
        <v>84</v>
      </c>
      <c r="PE3" s="162" t="s">
        <v>85</v>
      </c>
      <c r="PF3" s="162" t="s">
        <v>86</v>
      </c>
      <c r="PG3" s="162" t="s">
        <v>87</v>
      </c>
      <c r="PH3" s="162" t="s">
        <v>88</v>
      </c>
      <c r="PI3" s="164" t="s">
        <v>89</v>
      </c>
      <c r="PJ3" s="179" t="s">
        <v>90</v>
      </c>
      <c r="PK3" s="166" t="s">
        <v>91</v>
      </c>
      <c r="PL3" s="165" t="s">
        <v>92</v>
      </c>
      <c r="PM3" s="167" t="s">
        <v>94</v>
      </c>
      <c r="PN3" s="162" t="s">
        <v>95</v>
      </c>
      <c r="PO3" s="162" t="s">
        <v>96</v>
      </c>
      <c r="PP3" s="168" t="s">
        <v>97</v>
      </c>
      <c r="PQ3" s="168" t="s">
        <v>98</v>
      </c>
      <c r="PR3" s="84"/>
      <c r="PS3" s="84" t="s">
        <v>99</v>
      </c>
      <c r="PT3" s="84"/>
      <c r="PU3" s="95" t="s">
        <v>67</v>
      </c>
      <c r="PV3" s="95" t="s">
        <v>100</v>
      </c>
      <c r="PW3" s="170"/>
      <c r="PX3" s="170" t="s">
        <v>101</v>
      </c>
      <c r="PY3" s="170" t="s">
        <v>102</v>
      </c>
      <c r="PZ3" s="170"/>
      <c r="QA3" s="170" t="s">
        <v>103</v>
      </c>
      <c r="QB3" s="170"/>
      <c r="QC3" s="170" t="s">
        <v>104</v>
      </c>
      <c r="QD3" s="170"/>
      <c r="QE3" s="170" t="s">
        <v>105</v>
      </c>
      <c r="QF3" s="170" t="s">
        <v>106</v>
      </c>
      <c r="QG3" s="171" t="s">
        <v>107</v>
      </c>
      <c r="QH3" s="172" t="s">
        <v>108</v>
      </c>
      <c r="QI3" s="173" t="s">
        <v>109</v>
      </c>
      <c r="QJ3" s="171" t="s">
        <v>110</v>
      </c>
      <c r="QK3" s="180" t="s">
        <v>111</v>
      </c>
      <c r="QL3" s="181" t="s">
        <v>112</v>
      </c>
      <c r="QM3" s="174" t="s">
        <v>94</v>
      </c>
      <c r="QN3" s="174"/>
      <c r="QO3" s="174" t="s">
        <v>113</v>
      </c>
      <c r="QP3" s="182" t="s">
        <v>114</v>
      </c>
      <c r="QQ3" s="182" t="s">
        <v>115</v>
      </c>
      <c r="QR3" s="84"/>
      <c r="QS3" s="183" t="s">
        <v>116</v>
      </c>
      <c r="QT3" s="84"/>
      <c r="QU3" s="95" t="s">
        <v>67</v>
      </c>
      <c r="QV3" s="95" t="s">
        <v>100</v>
      </c>
      <c r="QW3" s="175" t="s">
        <v>101</v>
      </c>
      <c r="QX3" s="175" t="s">
        <v>102</v>
      </c>
      <c r="QY3" s="175" t="s">
        <v>103</v>
      </c>
      <c r="QZ3" s="175" t="s">
        <v>104</v>
      </c>
      <c r="RA3" s="175" t="s">
        <v>105</v>
      </c>
      <c r="RB3" s="175" t="s">
        <v>106</v>
      </c>
      <c r="RC3" s="175" t="s">
        <v>106</v>
      </c>
      <c r="RD3" s="171" t="s">
        <v>107</v>
      </c>
      <c r="RE3" s="170" t="s">
        <v>108</v>
      </c>
      <c r="RF3" s="173" t="s">
        <v>109</v>
      </c>
      <c r="RG3" s="171" t="s">
        <v>110</v>
      </c>
      <c r="RH3" s="180" t="s">
        <v>111</v>
      </c>
      <c r="RI3" s="181" t="s">
        <v>112</v>
      </c>
      <c r="RJ3" s="176" t="s">
        <v>94</v>
      </c>
      <c r="RK3" s="174" t="s">
        <v>113</v>
      </c>
      <c r="RL3" s="184" t="s">
        <v>114</v>
      </c>
      <c r="RM3" s="182" t="s">
        <v>115</v>
      </c>
      <c r="RN3" s="84"/>
      <c r="RO3" s="84"/>
      <c r="RP3" s="84"/>
      <c r="RQ3" s="95" t="s">
        <v>67</v>
      </c>
      <c r="RR3" s="95" t="s">
        <v>100</v>
      </c>
      <c r="RS3" s="175" t="s">
        <v>101</v>
      </c>
      <c r="RT3" s="175" t="s">
        <v>102</v>
      </c>
      <c r="RU3" s="175" t="s">
        <v>103</v>
      </c>
      <c r="RV3" s="175" t="s">
        <v>104</v>
      </c>
      <c r="RW3" s="175" t="s">
        <v>105</v>
      </c>
      <c r="RX3" s="175" t="s">
        <v>106</v>
      </c>
      <c r="RY3" s="177" t="s">
        <v>107</v>
      </c>
      <c r="RZ3" s="170" t="s">
        <v>108</v>
      </c>
      <c r="SA3" s="170" t="s">
        <v>65</v>
      </c>
      <c r="SB3" s="171" t="s">
        <v>109</v>
      </c>
      <c r="SC3" s="171" t="s">
        <v>110</v>
      </c>
      <c r="SD3" s="180" t="s">
        <v>111</v>
      </c>
      <c r="SE3" s="181" t="s">
        <v>112</v>
      </c>
      <c r="SF3" s="174" t="s">
        <v>94</v>
      </c>
      <c r="SG3" s="174" t="s">
        <v>113</v>
      </c>
      <c r="SH3" s="182" t="s">
        <v>114</v>
      </c>
      <c r="SI3" s="182" t="s">
        <v>115</v>
      </c>
      <c r="SJ3" s="84"/>
      <c r="SK3" s="84"/>
      <c r="SL3" s="84"/>
      <c r="SM3" s="95" t="s">
        <v>67</v>
      </c>
      <c r="SN3" s="95" t="s">
        <v>100</v>
      </c>
      <c r="SO3" s="175" t="s">
        <v>101</v>
      </c>
      <c r="SP3" s="175" t="s">
        <v>102</v>
      </c>
      <c r="SQ3" s="175" t="s">
        <v>103</v>
      </c>
      <c r="SR3" s="175" t="s">
        <v>104</v>
      </c>
      <c r="SS3" s="175" t="s">
        <v>105</v>
      </c>
      <c r="ST3" s="175" t="s">
        <v>106</v>
      </c>
      <c r="SU3" s="177" t="s">
        <v>107</v>
      </c>
      <c r="SV3" s="170" t="s">
        <v>108</v>
      </c>
      <c r="SW3" s="170" t="s">
        <v>65</v>
      </c>
      <c r="SX3" s="171" t="s">
        <v>109</v>
      </c>
      <c r="SY3" s="171" t="s">
        <v>110</v>
      </c>
      <c r="SZ3" s="180" t="s">
        <v>111</v>
      </c>
      <c r="TA3" s="181" t="s">
        <v>112</v>
      </c>
      <c r="TB3" s="174" t="s">
        <v>94</v>
      </c>
      <c r="TC3" s="174" t="s">
        <v>113</v>
      </c>
      <c r="TD3" s="182" t="s">
        <v>114</v>
      </c>
      <c r="TE3" s="182" t="s">
        <v>115</v>
      </c>
      <c r="TF3" s="84"/>
      <c r="TG3" s="84"/>
      <c r="TH3" s="95" t="s">
        <v>67</v>
      </c>
      <c r="TI3" s="95" t="s">
        <v>100</v>
      </c>
      <c r="TJ3" s="175" t="s">
        <v>101</v>
      </c>
      <c r="TK3" s="175" t="s">
        <v>102</v>
      </c>
      <c r="TL3" s="175" t="s">
        <v>103</v>
      </c>
      <c r="TM3" s="175" t="s">
        <v>104</v>
      </c>
      <c r="TN3" s="175" t="s">
        <v>105</v>
      </c>
      <c r="TO3" s="175" t="s">
        <v>106</v>
      </c>
      <c r="TP3" s="177" t="s">
        <v>107</v>
      </c>
      <c r="TQ3" s="170" t="s">
        <v>108</v>
      </c>
      <c r="TR3" s="170" t="s">
        <v>65</v>
      </c>
      <c r="TS3" s="171" t="s">
        <v>109</v>
      </c>
      <c r="TT3" s="171" t="s">
        <v>110</v>
      </c>
      <c r="TU3" s="180" t="s">
        <v>111</v>
      </c>
      <c r="TV3" s="181" t="s">
        <v>112</v>
      </c>
      <c r="TW3" s="174" t="s">
        <v>94</v>
      </c>
      <c r="TX3" s="174" t="s">
        <v>113</v>
      </c>
      <c r="TY3" s="182" t="s">
        <v>114</v>
      </c>
      <c r="TZ3" s="182" t="s">
        <v>115</v>
      </c>
      <c r="UA3" s="84"/>
      <c r="UB3" s="84"/>
      <c r="UC3" s="84"/>
      <c r="UD3" s="95" t="s">
        <v>67</v>
      </c>
      <c r="UE3" s="95" t="s">
        <v>100</v>
      </c>
      <c r="UF3" s="175" t="s">
        <v>101</v>
      </c>
      <c r="UG3" s="175" t="s">
        <v>102</v>
      </c>
      <c r="UH3" s="175" t="s">
        <v>103</v>
      </c>
      <c r="UI3" s="175" t="s">
        <v>104</v>
      </c>
      <c r="UJ3" s="175" t="s">
        <v>105</v>
      </c>
      <c r="UK3" s="175" t="s">
        <v>106</v>
      </c>
      <c r="UL3" s="177" t="s">
        <v>107</v>
      </c>
      <c r="UM3" s="170" t="s">
        <v>108</v>
      </c>
      <c r="UN3" s="170" t="s">
        <v>65</v>
      </c>
      <c r="UO3" s="171" t="s">
        <v>109</v>
      </c>
      <c r="UP3" s="171" t="s">
        <v>110</v>
      </c>
      <c r="UQ3" s="180" t="s">
        <v>111</v>
      </c>
      <c r="UR3" s="181" t="s">
        <v>112</v>
      </c>
      <c r="US3" s="174" t="s">
        <v>94</v>
      </c>
      <c r="UT3" s="174" t="s">
        <v>113</v>
      </c>
      <c r="UU3" s="182" t="s">
        <v>114</v>
      </c>
      <c r="UV3" s="182" t="s">
        <v>115</v>
      </c>
      <c r="UW3" s="84"/>
      <c r="UX3" s="84"/>
      <c r="UY3" s="84"/>
      <c r="UZ3" s="95" t="s">
        <v>67</v>
      </c>
      <c r="VA3" s="95" t="s">
        <v>100</v>
      </c>
      <c r="VB3" s="175" t="s">
        <v>101</v>
      </c>
      <c r="VC3" s="175" t="s">
        <v>102</v>
      </c>
      <c r="VD3" s="175" t="s">
        <v>103</v>
      </c>
      <c r="VE3" s="175" t="s">
        <v>104</v>
      </c>
      <c r="VF3" s="175" t="s">
        <v>105</v>
      </c>
      <c r="VG3" s="175" t="s">
        <v>106</v>
      </c>
      <c r="VH3" s="177" t="s">
        <v>107</v>
      </c>
      <c r="VI3" s="170" t="s">
        <v>108</v>
      </c>
      <c r="VJ3" s="170" t="s">
        <v>65</v>
      </c>
      <c r="VK3" s="171" t="s">
        <v>109</v>
      </c>
      <c r="VL3" s="171" t="s">
        <v>110</v>
      </c>
      <c r="VM3" s="180" t="s">
        <v>111</v>
      </c>
      <c r="VN3" s="181" t="s">
        <v>112</v>
      </c>
      <c r="VO3" s="174" t="s">
        <v>94</v>
      </c>
      <c r="VP3" s="174" t="s">
        <v>113</v>
      </c>
      <c r="VQ3" s="182" t="s">
        <v>114</v>
      </c>
      <c r="VR3" s="182" t="s">
        <v>115</v>
      </c>
      <c r="VS3" s="84"/>
      <c r="VT3" s="159"/>
      <c r="VU3" s="159"/>
    </row>
    <row r="4" ht="18" customHeight="1" spans="1:593">
      <c r="A4" s="53"/>
      <c r="B4" s="53"/>
      <c r="C4" s="160" t="s">
        <v>117</v>
      </c>
      <c r="D4" s="160">
        <v>3</v>
      </c>
      <c r="E4" s="160">
        <v>2</v>
      </c>
      <c r="F4" s="162">
        <f>'PH09'!AJ4</f>
        <v>45</v>
      </c>
      <c r="G4" s="162">
        <f>(I4/F4)/S1</f>
        <v>4.68034188034188</v>
      </c>
      <c r="H4" s="162">
        <f>'PH09'!G4</f>
        <v>9462</v>
      </c>
      <c r="I4" s="162">
        <f>'PH09'!H4</f>
        <v>5476</v>
      </c>
      <c r="J4" s="163">
        <f>'PH09'!T4</f>
        <v>829366</v>
      </c>
      <c r="K4" s="163">
        <f>'PH09'!U4</f>
        <v>1150492</v>
      </c>
      <c r="L4" s="163">
        <f>'[1]PH09'!V4</f>
        <v>666493.12</v>
      </c>
      <c r="M4" s="161">
        <f>1379384+1309192</f>
        <v>2688576</v>
      </c>
      <c r="N4" s="161">
        <f>1296422.25+1155050</f>
        <v>2451472.25</v>
      </c>
      <c r="O4" s="162">
        <f t="shared" ref="O4:O7" si="0">M4-N4</f>
        <v>237103.75</v>
      </c>
      <c r="P4" s="162">
        <f>'PH09'!J4</f>
        <v>4267</v>
      </c>
      <c r="Q4" s="162">
        <f>'PH09'!R4</f>
        <v>895925</v>
      </c>
      <c r="R4" s="162">
        <f>'PH09'!S4</f>
        <v>670308.88</v>
      </c>
      <c r="S4" s="162">
        <f>'PH09'!K4</f>
        <v>37917</v>
      </c>
      <c r="T4" s="162">
        <f t="shared" ref="T4:T7" si="1">S4-I4</f>
        <v>32441</v>
      </c>
      <c r="U4" s="162">
        <f>'PH09'!W4</f>
        <v>25783720.12</v>
      </c>
      <c r="V4" s="162">
        <f>'PH09'!X4</f>
        <v>21822574.74</v>
      </c>
      <c r="W4" s="162">
        <f t="shared" ref="W4:W7" si="2">U4-V4</f>
        <v>3961145.38</v>
      </c>
      <c r="X4" s="162">
        <f>'PH09'!D4</f>
        <v>981915</v>
      </c>
      <c r="Y4" s="185">
        <f>2980321.9+651197.33</f>
        <v>3631519.23</v>
      </c>
      <c r="Z4" s="179">
        <f t="shared" ref="Z4:Z7" si="3">U4*3.5%</f>
        <v>902430.2042</v>
      </c>
      <c r="AA4" s="167">
        <f t="shared" ref="AA4:AA7" si="4">IF(Y4&gt;0,Y4*20%,0)</f>
        <v>726303.846</v>
      </c>
      <c r="AB4" s="179">
        <f>(D4*3200)*S1</f>
        <v>249600</v>
      </c>
      <c r="AC4" s="167">
        <f>(E4*1733)*S1</f>
        <v>90116</v>
      </c>
      <c r="AD4" s="167">
        <f t="shared" ref="AD4:AD7" si="5">W4-Z4-AA4-X4-AB4-AC4</f>
        <v>1010780.3298</v>
      </c>
      <c r="AE4" s="167">
        <f t="shared" ref="AE4:AE7" si="6">K4/I4</f>
        <v>210.097151205259</v>
      </c>
      <c r="AF4" s="186">
        <f t="shared" ref="AF4:AF7" si="7">U4/S4</f>
        <v>680.004222907931</v>
      </c>
      <c r="AG4" s="187">
        <f t="shared" ref="AG4:AG7" si="8">M4/(Z4+AA4+X4+AB4+AC4)</f>
        <v>0.911268929184796</v>
      </c>
      <c r="AH4" s="188">
        <f t="shared" ref="AH4:AH7" si="9">W4/(Z4+AA4+X4+AB4+AC4)</f>
        <v>1.34259500522875</v>
      </c>
      <c r="AI4" s="53"/>
      <c r="AJ4" s="160" t="s">
        <v>117</v>
      </c>
      <c r="AK4" s="160">
        <v>1</v>
      </c>
      <c r="AL4" s="160">
        <v>2</v>
      </c>
      <c r="AM4" s="162">
        <v>66</v>
      </c>
      <c r="AN4" s="162">
        <f>(AP4/AM4)/AZ1</f>
        <v>3.06161616161616</v>
      </c>
      <c r="AO4" s="162">
        <v>11277</v>
      </c>
      <c r="AP4" s="162">
        <v>6062</v>
      </c>
      <c r="AQ4" s="163">
        <v>888457</v>
      </c>
      <c r="AR4" s="163">
        <v>1207999</v>
      </c>
      <c r="AS4" s="163">
        <v>860977.4</v>
      </c>
      <c r="AT4" s="161">
        <v>3346155</v>
      </c>
      <c r="AU4" s="161">
        <v>2829610.82</v>
      </c>
      <c r="AV4" s="162">
        <f t="shared" ref="AV4:AV7" si="10">AT4-AU4</f>
        <v>516544.18</v>
      </c>
      <c r="AW4" s="162">
        <v>1006928</v>
      </c>
      <c r="AX4" s="162">
        <v>1006928</v>
      </c>
      <c r="AY4" s="162">
        <v>707035.4</v>
      </c>
      <c r="AZ4" s="162">
        <v>43237</v>
      </c>
      <c r="BA4" s="162">
        <v>37175</v>
      </c>
      <c r="BB4" s="162">
        <v>27807396</v>
      </c>
      <c r="BC4" s="162">
        <v>23414004.82</v>
      </c>
      <c r="BD4" s="162">
        <f t="shared" ref="BD4:BD7" si="11">BB4-BC4</f>
        <v>4393391.18</v>
      </c>
      <c r="BE4" s="162">
        <v>902275</v>
      </c>
      <c r="BF4" s="185">
        <v>4291954.65</v>
      </c>
      <c r="BG4" s="179">
        <f t="shared" ref="BG4:BG7" si="12">BB4*3.5%</f>
        <v>973258.86</v>
      </c>
      <c r="BH4" s="167">
        <f t="shared" ref="BH4:BH7" si="13">IF(BF4&gt;0,BF4*20%,0)</f>
        <v>858390.93</v>
      </c>
      <c r="BI4" s="179">
        <f>(AK4*3200)*AZ1</f>
        <v>96000</v>
      </c>
      <c r="BJ4" s="167">
        <f>(AL4*1733)*AZ1</f>
        <v>103980</v>
      </c>
      <c r="BK4" s="167">
        <f t="shared" ref="BK4:BK7" si="14">BD4-BG4-BH4-BE4-BI4-BJ4</f>
        <v>1459486.39</v>
      </c>
      <c r="BL4" s="167">
        <f t="shared" ref="BL4:BL7" si="15">AR4/AP4</f>
        <v>199.274001979545</v>
      </c>
      <c r="BM4" s="186">
        <f t="shared" ref="BM4:BM7" si="16">BB4/AZ4</f>
        <v>643.13888567662</v>
      </c>
      <c r="BN4" s="187">
        <f t="shared" ref="BN4:BN7" si="17">AT4/(BG4+BH4+BE4+BI4)</f>
        <v>1.18241834971169</v>
      </c>
      <c r="BO4" s="188">
        <f t="shared" ref="BO4:BO7" si="18">BD4/(BG4+BH4+BE4+BI4+BJ4)</f>
        <v>1.49745526677435</v>
      </c>
      <c r="BP4" s="53"/>
      <c r="BQ4" s="160" t="s">
        <v>117</v>
      </c>
      <c r="BR4" s="160">
        <v>1</v>
      </c>
      <c r="BS4" s="160">
        <v>2</v>
      </c>
      <c r="BT4" s="162">
        <v>68</v>
      </c>
      <c r="BU4" s="162">
        <v>2.29696394686907</v>
      </c>
      <c r="BV4" s="162">
        <v>10666</v>
      </c>
      <c r="BW4" s="162">
        <v>4842</v>
      </c>
      <c r="BX4" s="163">
        <v>770219</v>
      </c>
      <c r="BY4" s="163">
        <v>1085316</v>
      </c>
      <c r="BZ4" s="163">
        <v>742565.75</v>
      </c>
      <c r="CA4" s="161">
        <v>3937326</v>
      </c>
      <c r="CB4" s="161">
        <v>3888711.91</v>
      </c>
      <c r="CC4" s="162">
        <v>48614.0899999999</v>
      </c>
      <c r="CD4" s="162">
        <v>4060</v>
      </c>
      <c r="CE4" s="162">
        <v>891415</v>
      </c>
      <c r="CF4" s="162">
        <v>604527.8</v>
      </c>
      <c r="CG4" s="162">
        <v>41794</v>
      </c>
      <c r="CH4" s="162">
        <v>38285</v>
      </c>
      <c r="CI4" s="162">
        <v>29140944</v>
      </c>
      <c r="CJ4" s="162">
        <v>24995726</v>
      </c>
      <c r="CK4" s="162">
        <f t="shared" ref="CK4:CK7" si="19">CI4-CJ4</f>
        <v>4145218</v>
      </c>
      <c r="CL4" s="162">
        <v>742860</v>
      </c>
      <c r="CM4" s="185">
        <v>3662705.54</v>
      </c>
      <c r="CN4" s="179">
        <f t="shared" ref="CN4:CN7" si="20">CI4*3.5%</f>
        <v>1019933.04</v>
      </c>
      <c r="CO4" s="167">
        <f t="shared" ref="CO4:CO13" si="21">IF(CM4&gt;0,CM4*20%,0)</f>
        <v>732541.108</v>
      </c>
      <c r="CP4" s="179">
        <f>(BR4*3200)*CI1</f>
        <v>99200</v>
      </c>
      <c r="CQ4" s="167">
        <f>(BS4*1733)*CI1</f>
        <v>107446</v>
      </c>
      <c r="CR4" s="167">
        <f t="shared" ref="CR4:CR13" si="22">CK4-CN4-CO4-CL4-CP4-CQ4</f>
        <v>1443237.852</v>
      </c>
      <c r="CS4" s="167">
        <f t="shared" ref="CS4:CS7" si="23">BY4/BW4</f>
        <v>224.146220570012</v>
      </c>
      <c r="CT4" s="186">
        <f t="shared" ref="CT4:CT7" si="24">CI4/CG4</f>
        <v>697.251854333158</v>
      </c>
      <c r="CU4" s="187">
        <f t="shared" ref="CU4:CU13" si="25">CA4/(CN4+CO4+CL4+CP4)</f>
        <v>1.51754641696857</v>
      </c>
      <c r="CV4" s="188">
        <f t="shared" ref="CV4:CV13" si="26">CK4/(CN4+CO4+CL4+CP4+CQ4)</f>
        <v>1.53414080524177</v>
      </c>
      <c r="CW4" s="53"/>
      <c r="CX4" s="160" t="s">
        <v>117</v>
      </c>
      <c r="CY4" s="160">
        <v>1</v>
      </c>
      <c r="CZ4" s="160">
        <v>0</v>
      </c>
      <c r="DA4" s="162">
        <v>54</v>
      </c>
      <c r="DB4" s="162">
        <v>2.93456790123457</v>
      </c>
      <c r="DC4" s="162">
        <v>9056</v>
      </c>
      <c r="DD4" s="162">
        <v>4754</v>
      </c>
      <c r="DE4" s="163">
        <v>679684</v>
      </c>
      <c r="DF4" s="163">
        <v>900282</v>
      </c>
      <c r="DG4" s="163">
        <v>557096.5</v>
      </c>
      <c r="DH4" s="161">
        <v>2556554</v>
      </c>
      <c r="DI4" s="161">
        <v>2330008.12</v>
      </c>
      <c r="DJ4" s="162">
        <f t="shared" ref="DJ4:DJ7" si="27">DH4-DI4</f>
        <v>226545.88</v>
      </c>
      <c r="DK4" s="162">
        <v>4028</v>
      </c>
      <c r="DL4" s="162">
        <v>740980</v>
      </c>
      <c r="DM4" s="162">
        <v>466823.8</v>
      </c>
      <c r="DN4" s="162">
        <v>44966</v>
      </c>
      <c r="DO4" s="162">
        <v>40212</v>
      </c>
      <c r="DP4" s="162">
        <v>27624918</v>
      </c>
      <c r="DQ4" s="162">
        <v>25212389</v>
      </c>
      <c r="DR4" s="162">
        <f t="shared" ref="DR4:DR7" si="28">DP4-DQ4</f>
        <v>2412529</v>
      </c>
      <c r="DS4" s="162">
        <v>793280</v>
      </c>
      <c r="DT4" s="185">
        <v>2008792.42</v>
      </c>
      <c r="DU4" s="179">
        <f t="shared" ref="DU4:DU7" si="29">DP4*3.5%</f>
        <v>966872.13</v>
      </c>
      <c r="DV4" s="167">
        <f t="shared" ref="DV4:DV13" si="30">IF(DT4&gt;0,DT4*20%,0)</f>
        <v>401758.484</v>
      </c>
      <c r="DW4" s="179">
        <f>(CY4*3200)*DP1</f>
        <v>96000</v>
      </c>
      <c r="DX4" s="167">
        <f>(CZ4*1733)*DP1</f>
        <v>0</v>
      </c>
      <c r="DY4" s="167">
        <f t="shared" ref="DY4:DY13" si="31">DR4-DU4-DV4-DS4-DW4-DX4</f>
        <v>154618.386</v>
      </c>
      <c r="DZ4" s="167">
        <f t="shared" ref="DZ4:DZ7" si="32">DF4/DD4</f>
        <v>189.373580143037</v>
      </c>
      <c r="EA4" s="186">
        <f t="shared" ref="EA4:EA7" si="33">DP4/DN4</f>
        <v>614.3512431615</v>
      </c>
      <c r="EB4" s="187">
        <f t="shared" ref="EB4:EB13" si="34">DH4/(DU4+DV4+DS4+DW4)</f>
        <v>1.13226537142271</v>
      </c>
      <c r="EC4" s="188">
        <f t="shared" ref="EC4:EC13" si="35">DR4/(DU4+DV4+DS4+DW4+DX4)</f>
        <v>1.06847852392442</v>
      </c>
      <c r="ED4" s="53"/>
      <c r="EE4" s="160" t="s">
        <v>117</v>
      </c>
      <c r="EF4" s="160">
        <v>2</v>
      </c>
      <c r="EG4" s="160">
        <v>0</v>
      </c>
      <c r="EH4" s="162">
        <v>56</v>
      </c>
      <c r="EI4" s="162">
        <v>3.8778801843318</v>
      </c>
      <c r="EJ4" s="162">
        <v>12711</v>
      </c>
      <c r="EK4" s="162">
        <v>6732</v>
      </c>
      <c r="EL4" s="163">
        <v>999267</v>
      </c>
      <c r="EM4" s="163">
        <v>1357410</v>
      </c>
      <c r="EN4" s="163">
        <v>830117.5</v>
      </c>
      <c r="EO4" s="161">
        <v>3444254</v>
      </c>
      <c r="EP4" s="161">
        <v>2898980.5</v>
      </c>
      <c r="EQ4" s="162">
        <v>545273.5</v>
      </c>
      <c r="ER4" s="162">
        <v>5573</v>
      </c>
      <c r="ES4" s="162">
        <v>1145516</v>
      </c>
      <c r="ET4" s="162">
        <v>668323</v>
      </c>
      <c r="EU4" s="162">
        <v>54550</v>
      </c>
      <c r="EV4" s="162">
        <v>47818</v>
      </c>
      <c r="EW4" s="162">
        <v>29505387</v>
      </c>
      <c r="EX4" s="162">
        <v>25972679</v>
      </c>
      <c r="EY4" s="162">
        <v>3532708</v>
      </c>
      <c r="EZ4" s="162">
        <v>1099330</v>
      </c>
      <c r="FA4" s="185">
        <v>3059662.14</v>
      </c>
      <c r="FB4" s="179">
        <f>EW4*3.5%</f>
        <v>1032688.545</v>
      </c>
      <c r="FC4" s="167">
        <f>FA4*20%</f>
        <v>611932.428</v>
      </c>
      <c r="FD4" s="179">
        <f>(EF4*3200)*EW1</f>
        <v>198400</v>
      </c>
      <c r="FE4" s="167">
        <f>(EG4*1733)*EW1</f>
        <v>0</v>
      </c>
      <c r="FF4" s="167">
        <v>512253.027</v>
      </c>
      <c r="FG4" s="167">
        <v>201.635472370766</v>
      </c>
      <c r="FH4" s="186">
        <v>540.887021081577</v>
      </c>
      <c r="FI4" s="187">
        <v>1.15757797405005</v>
      </c>
      <c r="FJ4" s="188">
        <v>1.16959465761915</v>
      </c>
      <c r="FK4" s="53"/>
      <c r="FL4" s="53"/>
      <c r="FM4" s="53"/>
      <c r="FN4" s="160" t="s">
        <v>117</v>
      </c>
      <c r="FO4" s="160">
        <v>2</v>
      </c>
      <c r="FP4" s="160">
        <v>2</v>
      </c>
      <c r="FQ4" s="162">
        <v>91</v>
      </c>
      <c r="FR4" s="162">
        <f>(FT4/FQ4)/GF1</f>
        <v>3.23665620094191</v>
      </c>
      <c r="FS4" s="162">
        <v>16683</v>
      </c>
      <c r="FT4" s="162">
        <v>8247</v>
      </c>
      <c r="FU4" s="163">
        <v>1265120</v>
      </c>
      <c r="FV4" s="163">
        <v>1814282</v>
      </c>
      <c r="FW4" s="163">
        <v>1247205</v>
      </c>
      <c r="FX4" s="161">
        <v>6084614</v>
      </c>
      <c r="FY4" s="161">
        <v>5961969</v>
      </c>
      <c r="FZ4" s="162">
        <f t="shared" ref="FZ4:FZ7" si="36">FX4-FY4</f>
        <v>122645</v>
      </c>
      <c r="GA4" s="162">
        <v>6720</v>
      </c>
      <c r="GB4" s="162">
        <v>1533163</v>
      </c>
      <c r="GC4" s="162">
        <v>1013578</v>
      </c>
      <c r="GD4" s="162">
        <v>61216</v>
      </c>
      <c r="GE4" s="162">
        <v>52969</v>
      </c>
      <c r="GF4" s="162">
        <v>32341719</v>
      </c>
      <c r="GG4" s="162">
        <v>29693868</v>
      </c>
      <c r="GH4" s="162">
        <v>2647851</v>
      </c>
      <c r="GI4" s="162">
        <v>1199250</v>
      </c>
      <c r="GJ4" s="185">
        <v>2324928.18</v>
      </c>
      <c r="GK4" s="179">
        <v>1131960.165</v>
      </c>
      <c r="GL4" s="167">
        <v>464985.636</v>
      </c>
      <c r="GM4" s="179">
        <f>(FO4*3200)*GF1</f>
        <v>179200</v>
      </c>
      <c r="GN4" s="167">
        <f>(FP4*1733)*GF1</f>
        <v>97048</v>
      </c>
      <c r="GO4" s="167">
        <v>-454440.801</v>
      </c>
      <c r="GP4" s="167">
        <v>219.992967139566</v>
      </c>
      <c r="GQ4" s="186">
        <v>528.321337558808</v>
      </c>
      <c r="GR4" s="187">
        <f t="shared" ref="GR4:GR13" si="37">FX4/(GK4+GL4+GI4+GM4)</f>
        <v>2.04497633489804</v>
      </c>
      <c r="GS4" s="188">
        <f t="shared" ref="GS4:GS13" si="38">GH4/(GK4+GL4+GI4+GM4+GN4)</f>
        <v>0.861806161967289</v>
      </c>
      <c r="GT4" s="53"/>
      <c r="GU4" s="189"/>
      <c r="GV4" s="160" t="s">
        <v>117</v>
      </c>
      <c r="GW4" s="160">
        <v>2</v>
      </c>
      <c r="GX4" s="160">
        <v>2</v>
      </c>
      <c r="GY4" s="162">
        <v>58</v>
      </c>
      <c r="GZ4" s="162">
        <f>(HB4/GY4)/HL1</f>
        <v>4.41657397107898</v>
      </c>
      <c r="HA4" s="162">
        <v>16975</v>
      </c>
      <c r="HB4" s="162">
        <v>7941</v>
      </c>
      <c r="HC4" s="163">
        <v>1238681</v>
      </c>
      <c r="HD4" s="163">
        <v>1831129</v>
      </c>
      <c r="HE4" s="163">
        <v>1266189</v>
      </c>
      <c r="HF4" s="161">
        <v>5391677</v>
      </c>
      <c r="HG4" s="161">
        <v>5097164</v>
      </c>
      <c r="HH4" s="162">
        <f t="shared" ref="HH4:HH7" si="39">HF4-HG4</f>
        <v>294513</v>
      </c>
      <c r="HI4" s="162">
        <v>6378</v>
      </c>
      <c r="HJ4" s="162">
        <v>1485963</v>
      </c>
      <c r="HK4" s="162">
        <v>1020087</v>
      </c>
      <c r="HL4" s="162">
        <v>69375</v>
      </c>
      <c r="HM4" s="162">
        <v>61434</v>
      </c>
      <c r="HN4" s="162">
        <v>35674099</v>
      </c>
      <c r="HO4" s="162">
        <v>32415093</v>
      </c>
      <c r="HP4" s="162">
        <v>3259006</v>
      </c>
      <c r="HQ4" s="162">
        <v>1253970</v>
      </c>
      <c r="HR4" s="185">
        <v>2951240.3</v>
      </c>
      <c r="HS4" s="179">
        <v>1248593.465</v>
      </c>
      <c r="HT4" s="167">
        <v>102961.03</v>
      </c>
      <c r="HU4" s="179">
        <f t="shared" ref="HU4:HU7" si="40">(GW4*3200)*31</f>
        <v>198400</v>
      </c>
      <c r="HV4" s="167">
        <f t="shared" ref="HV4:HV7" si="41">(GX4*1733)*31</f>
        <v>107446</v>
      </c>
      <c r="HW4" s="167">
        <v>314589.505</v>
      </c>
      <c r="HX4" s="167">
        <v>230.591739075683</v>
      </c>
      <c r="HY4" s="186">
        <v>514.221246846847</v>
      </c>
      <c r="HZ4" s="187">
        <f t="shared" ref="HZ4:HZ13" si="42">HF4/(HS4+HT4+HQ4+HU4)</f>
        <v>1.92290377633724</v>
      </c>
      <c r="IA4" s="188">
        <f t="shared" ref="IA4:IA13" si="43">HP4/(HS4+HT4+HQ4+HU4+HV4)</f>
        <v>1.11940613728037</v>
      </c>
      <c r="IB4" s="53"/>
      <c r="IC4" s="53"/>
      <c r="ID4" s="160" t="s">
        <v>117</v>
      </c>
      <c r="IE4" s="160">
        <v>5</v>
      </c>
      <c r="IF4" s="160">
        <v>0</v>
      </c>
      <c r="IG4" s="162">
        <v>71</v>
      </c>
      <c r="IH4" s="162">
        <f>(IJ4/IG4)/IT1</f>
        <v>4.14402544298046</v>
      </c>
      <c r="II4" s="162">
        <v>20971</v>
      </c>
      <c r="IJ4" s="162">
        <v>9121</v>
      </c>
      <c r="IK4" s="163">
        <v>1451145</v>
      </c>
      <c r="IL4" s="163">
        <v>2090288</v>
      </c>
      <c r="IM4" s="163">
        <v>1312613.56</v>
      </c>
      <c r="IN4" s="161">
        <v>6534114.86</v>
      </c>
      <c r="IO4" s="161">
        <v>5871295.56</v>
      </c>
      <c r="IP4" s="162">
        <f t="shared" ref="IP4:IP7" si="44">IN4-IO4</f>
        <v>662819.300000001</v>
      </c>
      <c r="IQ4" s="162">
        <v>7314</v>
      </c>
      <c r="IR4" s="162">
        <v>1702261</v>
      </c>
      <c r="IS4" s="162">
        <v>1040854</v>
      </c>
      <c r="IT4" s="162">
        <v>79569</v>
      </c>
      <c r="IU4" s="162">
        <v>70448</v>
      </c>
      <c r="IV4" s="162">
        <v>42115966.37</v>
      </c>
      <c r="IW4" s="162">
        <v>36314609</v>
      </c>
      <c r="IX4" s="162">
        <f t="shared" ref="IX4:IX7" si="45">IV4-IW4</f>
        <v>5801357.37</v>
      </c>
      <c r="IY4" s="162">
        <v>1177430</v>
      </c>
      <c r="IZ4" s="185">
        <v>5044170.5</v>
      </c>
      <c r="JA4" s="179">
        <f t="shared" ref="JA4:JA7" si="46">IV4*3.5%</f>
        <v>1474058.82295</v>
      </c>
      <c r="JB4" s="167">
        <f t="shared" ref="JB4:JB7" si="47">IZ4*20%</f>
        <v>1008834.1</v>
      </c>
      <c r="JC4" s="179">
        <v>301542</v>
      </c>
      <c r="JD4" s="167">
        <v>0</v>
      </c>
      <c r="JE4" s="167">
        <f t="shared" ref="JE4:JE7" si="48">IX4-JA4-JB4-IY4-JC4</f>
        <v>1839492.44705</v>
      </c>
      <c r="JF4" s="167">
        <f t="shared" ref="JF4:JF7" si="49">IL4/IJ4</f>
        <v>229.173116982787</v>
      </c>
      <c r="JG4" s="186">
        <f t="shared" ref="JG4:JG7" si="50">IV4/IT4</f>
        <v>529.301189784966</v>
      </c>
      <c r="JH4" s="187">
        <f t="shared" ref="JH4:JH7" si="51">IL4/(JA4+JB4+IY4+JC4)</f>
        <v>0.527602036074358</v>
      </c>
      <c r="JI4" s="188">
        <f t="shared" ref="JI4:JI7" si="52">IX4/(JA4+JB4+IY4+JC4)</f>
        <v>1.46429963737388</v>
      </c>
      <c r="JJ4" s="190"/>
      <c r="JK4" s="53"/>
      <c r="JL4" s="160" t="s">
        <v>117</v>
      </c>
      <c r="JM4" s="160">
        <v>6</v>
      </c>
      <c r="JN4" s="160">
        <v>0</v>
      </c>
      <c r="JO4" s="162">
        <v>78</v>
      </c>
      <c r="JP4" s="162">
        <f>(JR4/JO4)/KB1</f>
        <v>2.78376068376068</v>
      </c>
      <c r="JQ4" s="162">
        <v>19053</v>
      </c>
      <c r="JR4" s="162">
        <v>6514</v>
      </c>
      <c r="JS4" s="163">
        <v>1018622</v>
      </c>
      <c r="JT4" s="163">
        <v>1391848</v>
      </c>
      <c r="JU4" s="163">
        <v>802364</v>
      </c>
      <c r="JV4" s="161">
        <v>3087973</v>
      </c>
      <c r="JW4" s="161">
        <v>2335691</v>
      </c>
      <c r="JX4" s="162">
        <f t="shared" ref="JX4:JX16" si="53">JV4-JW4</f>
        <v>752282</v>
      </c>
      <c r="JY4" s="162">
        <v>5411</v>
      </c>
      <c r="JZ4" s="162">
        <v>1110685</v>
      </c>
      <c r="KA4" s="162">
        <v>595930</v>
      </c>
      <c r="KB4" s="162">
        <v>59831</v>
      </c>
      <c r="KC4" s="162">
        <v>53317</v>
      </c>
      <c r="KD4" s="162">
        <v>32700069</v>
      </c>
      <c r="KE4" s="162">
        <v>27732806</v>
      </c>
      <c r="KF4" s="162">
        <f t="shared" ref="KF4:KF7" si="54">KD4-KE4</f>
        <v>4967263</v>
      </c>
      <c r="KG4" s="162">
        <v>1057260</v>
      </c>
      <c r="KH4" s="185">
        <v>4611073.91</v>
      </c>
      <c r="KI4" s="179">
        <f t="shared" ref="KI4:KI7" si="55">KD4*3.5%</f>
        <v>1144502.415</v>
      </c>
      <c r="KJ4" s="167">
        <f t="shared" ref="KJ4:KJ7" si="56">KH4*20%</f>
        <v>922214.782</v>
      </c>
      <c r="KK4" s="179">
        <v>311940</v>
      </c>
      <c r="KL4" s="167">
        <v>0</v>
      </c>
      <c r="KM4" s="167">
        <f t="shared" ref="KM4:KM7" si="57">KF4-KI4-KJ4-KG4-KK4</f>
        <v>1531345.803</v>
      </c>
      <c r="KN4" s="167">
        <f t="shared" ref="KN4:KN7" si="58">JT4/JR4</f>
        <v>213.670248695118</v>
      </c>
      <c r="KO4" s="186">
        <f t="shared" ref="KO4:KO7" si="59">KD4/KB4</f>
        <v>546.54057261286</v>
      </c>
      <c r="KP4" s="187">
        <f t="shared" ref="KP4:KP7" si="60">JT4/(KI4+KJ4+KG4+KK4)</f>
        <v>0.405087759744403</v>
      </c>
      <c r="KQ4" s="188">
        <f t="shared" ref="KQ4:KQ7" si="61">KF4/(KI4+KJ4+KG4+KK4)</f>
        <v>1.44568763308297</v>
      </c>
      <c r="KR4" s="53"/>
      <c r="KS4" s="53"/>
      <c r="KT4" s="160" t="s">
        <v>117</v>
      </c>
      <c r="KU4" s="160">
        <v>6</v>
      </c>
      <c r="KV4" s="160">
        <v>0</v>
      </c>
      <c r="KW4" s="162">
        <v>231</v>
      </c>
      <c r="KX4" s="162">
        <f>(KZ4/KW4)/LJ1</f>
        <v>1.7295070520877</v>
      </c>
      <c r="KY4" s="162">
        <v>33171</v>
      </c>
      <c r="KZ4" s="162">
        <v>12385</v>
      </c>
      <c r="LA4" s="163">
        <v>1916641</v>
      </c>
      <c r="LB4" s="163">
        <v>2855776</v>
      </c>
      <c r="LC4" s="163">
        <v>1824188</v>
      </c>
      <c r="LD4" s="161">
        <v>8110593</v>
      </c>
      <c r="LE4" s="161">
        <v>6917018</v>
      </c>
      <c r="LF4" s="162">
        <f t="shared" ref="LF4:LF10" si="62">LE4</f>
        <v>6917018</v>
      </c>
      <c r="LG4" s="162">
        <v>9925</v>
      </c>
      <c r="LH4" s="162">
        <v>2304912</v>
      </c>
      <c r="LI4" s="162">
        <v>1432878</v>
      </c>
      <c r="LJ4" s="162">
        <v>92176</v>
      </c>
      <c r="LK4" s="162">
        <v>79791</v>
      </c>
      <c r="LL4" s="162">
        <v>45380021</v>
      </c>
      <c r="LM4" s="162">
        <v>38099220</v>
      </c>
      <c r="LN4" s="162">
        <v>7280801</v>
      </c>
      <c r="LO4" s="162">
        <v>1477360</v>
      </c>
      <c r="LP4" s="185">
        <v>6805456.44</v>
      </c>
      <c r="LQ4" s="179">
        <v>1588300.735</v>
      </c>
      <c r="LR4" s="167">
        <v>1361091.288</v>
      </c>
      <c r="LS4" s="179">
        <v>322338</v>
      </c>
      <c r="LT4" s="167">
        <v>0</v>
      </c>
      <c r="LU4" s="167">
        <v>2531710.977</v>
      </c>
      <c r="LV4" s="167">
        <v>230.583447719015</v>
      </c>
      <c r="LW4" s="186">
        <v>492.319269658045</v>
      </c>
      <c r="LX4" s="187">
        <v>0.601331199486508</v>
      </c>
      <c r="LY4" s="188">
        <v>1.53309391162072</v>
      </c>
      <c r="LZ4" s="191"/>
      <c r="MA4" s="192"/>
      <c r="MB4" s="160" t="s">
        <v>117</v>
      </c>
      <c r="MC4" s="160">
        <v>7</v>
      </c>
      <c r="MD4" s="160">
        <v>0</v>
      </c>
      <c r="ME4" s="162">
        <v>306</v>
      </c>
      <c r="MF4" s="162">
        <f>(MH4/ME4)/MR1</f>
        <v>2.55185185185185</v>
      </c>
      <c r="MG4" s="162">
        <v>69667</v>
      </c>
      <c r="MH4" s="162">
        <v>23426</v>
      </c>
      <c r="MI4" s="163">
        <v>3480755</v>
      </c>
      <c r="MJ4" s="163">
        <v>5384982</v>
      </c>
      <c r="MK4" s="163">
        <v>3595018</v>
      </c>
      <c r="ML4" s="161">
        <v>15019924</v>
      </c>
      <c r="MM4" s="161">
        <v>12445639.6</v>
      </c>
      <c r="MN4" s="162">
        <f t="shared" ref="MN4:MN7" si="63">ML4-MM4</f>
        <v>2574284.4</v>
      </c>
      <c r="MO4" s="162">
        <v>18854</v>
      </c>
      <c r="MP4" s="162">
        <v>4390192</v>
      </c>
      <c r="MQ4" s="162">
        <v>2688747</v>
      </c>
      <c r="MR4" s="162">
        <v>111717</v>
      </c>
      <c r="MS4" s="162">
        <v>88291</v>
      </c>
      <c r="MT4" s="162">
        <v>48487088</v>
      </c>
      <c r="MU4" s="162">
        <v>39856326</v>
      </c>
      <c r="MV4" s="162">
        <f t="shared" ref="MV4:MV7" si="64">MT4-MU4</f>
        <v>8630762</v>
      </c>
      <c r="MW4" s="162">
        <v>2031430</v>
      </c>
      <c r="MX4" s="185">
        <v>8135533</v>
      </c>
      <c r="MY4" s="179">
        <f t="shared" ref="MY4:MY7" si="65">MT4*3.5%</f>
        <v>1697048.08</v>
      </c>
      <c r="MZ4" s="167">
        <f t="shared" ref="MZ4:MZ6" si="66">MX4*20%</f>
        <v>1627106.6</v>
      </c>
      <c r="NA4" s="179">
        <v>363930</v>
      </c>
      <c r="NB4" s="167">
        <f t="shared" ref="NB4:NB13" si="67">MV4-MY4-MZ4-MW4-NA4</f>
        <v>2911247.32</v>
      </c>
      <c r="NC4" s="167">
        <v>0</v>
      </c>
      <c r="ND4" s="167">
        <f t="shared" ref="ND4:ND7" si="68">MJ4/MH4</f>
        <v>229.872022539059</v>
      </c>
      <c r="NE4" s="186">
        <f t="shared" ref="NE4:NE7" si="69">MT4/MR4</f>
        <v>434.017096771306</v>
      </c>
      <c r="NF4" s="187">
        <f t="shared" ref="NF4:NF13" si="70">MJ4/(MY4+MZ4+MW4+NA4)</f>
        <v>0.941510303108445</v>
      </c>
      <c r="NG4" s="188">
        <f t="shared" ref="NG4:NG13" si="71">MV4/(MY4+MZ4+MW4+NA4)</f>
        <v>1.50900250858347</v>
      </c>
      <c r="NH4" s="53"/>
      <c r="NI4" s="53"/>
      <c r="NJ4" s="160" t="s">
        <v>117</v>
      </c>
      <c r="NK4" s="160">
        <v>7</v>
      </c>
      <c r="NL4" s="160">
        <v>0</v>
      </c>
      <c r="NM4" s="162">
        <v>247</v>
      </c>
      <c r="NN4" s="162">
        <f>(NP4/NM4)/NZ1</f>
        <v>3.05067258717513</v>
      </c>
      <c r="NO4" s="162">
        <v>55995</v>
      </c>
      <c r="NP4" s="162">
        <v>23359</v>
      </c>
      <c r="NQ4" s="163">
        <v>3334508</v>
      </c>
      <c r="NR4" s="163">
        <v>5051782</v>
      </c>
      <c r="NS4" s="163">
        <v>3245513</v>
      </c>
      <c r="NT4" s="161">
        <v>14020716</v>
      </c>
      <c r="NU4" s="161">
        <v>11195306</v>
      </c>
      <c r="NV4" s="162">
        <f t="shared" ref="NV4:NV7" si="72">NT4-NU4</f>
        <v>2825410</v>
      </c>
      <c r="NW4" s="162">
        <v>18559</v>
      </c>
      <c r="NX4" s="162">
        <v>4048818</v>
      </c>
      <c r="NY4" s="162">
        <v>2541617</v>
      </c>
      <c r="NZ4" s="162">
        <v>117490</v>
      </c>
      <c r="OA4" s="162">
        <f t="shared" ref="OA4:OA7" si="73">NZ4-NP4</f>
        <v>94131</v>
      </c>
      <c r="OB4" s="162">
        <v>48043927</v>
      </c>
      <c r="OC4" s="162">
        <v>40150658</v>
      </c>
      <c r="OD4" s="162">
        <f t="shared" ref="OD4:OD7" si="74">OB4-OC4</f>
        <v>7893269</v>
      </c>
      <c r="OE4" s="162">
        <v>2231090</v>
      </c>
      <c r="OF4" s="185">
        <v>7017500.72</v>
      </c>
      <c r="OG4" s="179">
        <f t="shared" ref="OG4:OG7" si="75">OB4*3.5%</f>
        <v>1681537.445</v>
      </c>
      <c r="OH4" s="167">
        <f t="shared" ref="OH4:OH13" si="76">OF4*20%</f>
        <v>1403500.144</v>
      </c>
      <c r="OI4" s="179">
        <v>389925</v>
      </c>
      <c r="OJ4" s="167">
        <v>0</v>
      </c>
      <c r="OK4" s="167">
        <f t="shared" ref="OK4:OK13" si="77">OD4-OG4-OH4-OE4-OI4</f>
        <v>2187216.411</v>
      </c>
      <c r="OL4" s="167">
        <f t="shared" ref="OL4:OL13" si="78">NR4/NP4</f>
        <v>216.267049103129</v>
      </c>
      <c r="OM4" s="186">
        <f t="shared" ref="OM4:OM7" si="79">OB4/NZ4</f>
        <v>408.919286747808</v>
      </c>
      <c r="ON4" s="187">
        <f t="shared" ref="ON4:ON13" si="80">NR4/(OG4+OH4+OE4+OI4)</f>
        <v>0.885337441463248</v>
      </c>
      <c r="OO4" s="188">
        <f t="shared" ref="OO4:OO13" si="81">OD4/(OG4+OH4+OE4+OI4)</f>
        <v>1.38331515121618</v>
      </c>
      <c r="OP4" s="53"/>
      <c r="OQ4" s="193"/>
      <c r="OR4" s="53"/>
      <c r="OS4" s="95" t="s">
        <v>117</v>
      </c>
      <c r="OT4" s="95">
        <v>7</v>
      </c>
      <c r="OU4" s="170">
        <v>365</v>
      </c>
      <c r="OV4" s="170">
        <v>84885</v>
      </c>
      <c r="OW4" s="170">
        <v>37089</v>
      </c>
      <c r="OX4" s="194">
        <v>5193519</v>
      </c>
      <c r="OY4" s="194">
        <v>7227060</v>
      </c>
      <c r="OZ4" s="194">
        <v>4253474</v>
      </c>
      <c r="PA4" s="172">
        <v>18428987</v>
      </c>
      <c r="PB4" s="172">
        <v>14729529</v>
      </c>
      <c r="PC4" s="170">
        <v>141267</v>
      </c>
      <c r="PD4" s="170">
        <v>104178</v>
      </c>
      <c r="PE4" s="170">
        <v>51384327</v>
      </c>
      <c r="PF4" s="170">
        <v>41982348</v>
      </c>
      <c r="PG4" s="170">
        <f t="shared" ref="PG4:PG13" si="82">PE4-PF4</f>
        <v>9401979</v>
      </c>
      <c r="PH4" s="170">
        <v>3400670</v>
      </c>
      <c r="PI4" s="173">
        <v>8059405.12</v>
      </c>
      <c r="PJ4" s="171">
        <f t="shared" ref="PJ4:PJ13" si="83">PE4*3.5%</f>
        <v>1798451.445</v>
      </c>
      <c r="PK4" s="174">
        <f t="shared" ref="PK4:PK13" si="84">PI4*20%</f>
        <v>1611881.024</v>
      </c>
      <c r="PL4" s="171">
        <f>OT4*1733*PF1+1</f>
        <v>376062</v>
      </c>
      <c r="PM4" s="174">
        <f t="shared" ref="PM4:PM13" si="85">PG4-PJ4-PK4-PH4-PL4</f>
        <v>2214914.531</v>
      </c>
      <c r="PN4" s="174">
        <f t="shared" ref="PN4:PN13" si="86">OY4/OW4</f>
        <v>194.857235298876</v>
      </c>
      <c r="PO4" s="195">
        <f t="shared" ref="PO4:PO13" si="87">PE4/PC4</f>
        <v>363.739068572278</v>
      </c>
      <c r="PP4" s="196">
        <f t="shared" ref="PP4:PP13" si="88">OY4/(PH4+PJ4+PK4+PL4)</f>
        <v>1.00556493282793</v>
      </c>
      <c r="PQ4" s="197">
        <f t="shared" ref="PQ4:PQ13" si="89">PG4/(PJ4+PK4+PH4+PL4)</f>
        <v>1.3081806961039</v>
      </c>
      <c r="PR4" s="198"/>
      <c r="PS4" s="198"/>
      <c r="PT4" s="144"/>
      <c r="PU4" s="95" t="s">
        <v>117</v>
      </c>
      <c r="PV4" s="95">
        <v>7</v>
      </c>
      <c r="PW4" s="170">
        <v>523</v>
      </c>
      <c r="PX4" s="170">
        <v>91325</v>
      </c>
      <c r="PY4" s="170">
        <v>36534</v>
      </c>
      <c r="PZ4" s="170">
        <v>5261580</v>
      </c>
      <c r="QA4" s="170">
        <v>7247298</v>
      </c>
      <c r="QB4" s="170">
        <v>4224782</v>
      </c>
      <c r="QC4" s="170">
        <v>133093</v>
      </c>
      <c r="QD4" s="170">
        <v>96559</v>
      </c>
      <c r="QE4" s="170">
        <v>47902598</v>
      </c>
      <c r="QF4" s="171">
        <v>41952271</v>
      </c>
      <c r="QG4" s="171">
        <v>5950327</v>
      </c>
      <c r="QH4" s="172">
        <v>3697460</v>
      </c>
      <c r="QI4" s="173">
        <v>4193645.52</v>
      </c>
      <c r="QJ4" s="171">
        <f t="shared" ref="QJ4:QJ12" si="90">QE4*3.5%</f>
        <v>1676590.93</v>
      </c>
      <c r="QK4" s="174">
        <f t="shared" ref="QK4:QK10" si="91">QI4*20%</f>
        <v>838729.104</v>
      </c>
      <c r="QL4" s="171">
        <f>PV4*3306*QG1+1</f>
        <v>694261</v>
      </c>
      <c r="QM4" s="174">
        <f t="shared" ref="QM4:QM7" si="92">QG4-QJ4-QK4</f>
        <v>3435006.966</v>
      </c>
      <c r="QN4" s="174">
        <f t="shared" ref="QN4:QN7" si="93">PZ4/PY4</f>
        <v>144.01872228609</v>
      </c>
      <c r="QO4" s="195">
        <f t="shared" ref="QO4:QO7" si="94">QE4/QC4</f>
        <v>359.918237623316</v>
      </c>
      <c r="QP4" s="196">
        <f t="shared" ref="QP4:QP13" si="95">QA4/(QH4+QJ4+QK4+QL4)</f>
        <v>1.04926233452575</v>
      </c>
      <c r="QQ4" s="197">
        <f t="shared" ref="QQ4:QQ13" si="96">QG4/(QJ4+QK4)</f>
        <v>2.36563416168457</v>
      </c>
      <c r="QR4" s="199" t="s">
        <v>118</v>
      </c>
      <c r="QS4" s="200">
        <v>303213.11</v>
      </c>
      <c r="QT4" s="144" t="s">
        <v>119</v>
      </c>
      <c r="QU4" s="95" t="s">
        <v>117</v>
      </c>
      <c r="QV4" s="95">
        <v>6</v>
      </c>
      <c r="QW4" s="175">
        <v>97858</v>
      </c>
      <c r="QX4" s="175">
        <v>36306</v>
      </c>
      <c r="QY4" s="175">
        <v>17609747.9</v>
      </c>
      <c r="QZ4" s="175">
        <v>54338</v>
      </c>
      <c r="RA4" s="175">
        <v>49818114.9</v>
      </c>
      <c r="RB4" s="175">
        <v>43272062</v>
      </c>
      <c r="RC4" s="177">
        <f t="shared" ref="RC4:RC13" si="97">RB4-RE4</f>
        <v>40116122</v>
      </c>
      <c r="RD4" s="171">
        <f>RA4-RC4</f>
        <v>9701992.9</v>
      </c>
      <c r="RE4" s="170">
        <v>3155940</v>
      </c>
      <c r="RF4" s="173">
        <v>5061477.35</v>
      </c>
      <c r="RG4" s="171">
        <f t="shared" ref="RG4:RG12" si="98">RA4*3.5%</f>
        <v>1743634.0215</v>
      </c>
      <c r="RH4" s="174">
        <f t="shared" ref="RH4:RH8" si="99">RF4*10%</f>
        <v>506147.735</v>
      </c>
      <c r="RI4" s="171">
        <f t="shared" ref="RI4:RI7" si="100">QV4*3306*31</f>
        <v>614916</v>
      </c>
      <c r="RJ4" s="176">
        <f t="shared" ref="RJ4:RJ13" si="101">RD4-RG4-RH4</f>
        <v>7452211.1435</v>
      </c>
      <c r="RK4" s="174">
        <f t="shared" ref="RK4:RK13" si="102">RA4/QZ4</f>
        <v>916.819075048769</v>
      </c>
      <c r="RL4" s="201">
        <f t="shared" ref="RL4:RL13" si="103">QY4/(RE4+RG4+RH4+RI4)</f>
        <v>2.92489742984257</v>
      </c>
      <c r="RM4" s="197">
        <f t="shared" ref="RM4:RM13" si="104">RD4/(RG4+RH4)</f>
        <v>4.31241513625457</v>
      </c>
      <c r="RN4" s="198"/>
      <c r="RO4" s="144"/>
      <c r="RP4" s="144"/>
      <c r="RQ4" s="95" t="s">
        <v>117</v>
      </c>
      <c r="RR4" s="95">
        <v>6</v>
      </c>
      <c r="RS4" s="175">
        <v>100622</v>
      </c>
      <c r="RT4" s="175">
        <v>30267</v>
      </c>
      <c r="RU4" s="175">
        <v>17609747.9</v>
      </c>
      <c r="RV4" s="175">
        <v>51424</v>
      </c>
      <c r="RW4" s="175">
        <v>44335230</v>
      </c>
      <c r="RX4" s="175">
        <v>38764713</v>
      </c>
      <c r="RY4" s="177">
        <f t="shared" ref="RY4:RY13" si="105">RW4-RX4</f>
        <v>5570517</v>
      </c>
      <c r="RZ4" s="170">
        <v>2809020</v>
      </c>
      <c r="SA4" s="170">
        <v>0</v>
      </c>
      <c r="SB4" s="171">
        <v>4103408.77</v>
      </c>
      <c r="SC4" s="171">
        <f t="shared" ref="SC4:SC12" si="106">RW4*3.5%</f>
        <v>1551733.05</v>
      </c>
      <c r="SD4" s="174">
        <f t="shared" ref="SD4:SD11" si="107">SB4*10%</f>
        <v>410340.877</v>
      </c>
      <c r="SE4" s="171">
        <f t="shared" ref="SE4:SE13" si="108">RR4*3306*30</f>
        <v>595080</v>
      </c>
      <c r="SF4" s="174">
        <f t="shared" ref="SF4:SF13" si="109">RY4-SC4-SD4-SE4</f>
        <v>3013363.073</v>
      </c>
      <c r="SG4" s="174">
        <f t="shared" ref="SG4:SG13" si="110">RW4/RV4</f>
        <v>862.150552271313</v>
      </c>
      <c r="SH4" s="196">
        <f t="shared" ref="SH4:SH13" si="111">RU4/(RZ4+SC4+SD4+SE4)</f>
        <v>3.28162078597495</v>
      </c>
      <c r="SI4" s="197">
        <f t="shared" ref="SI4:SI13" si="112">RY4/(SC4+SD4+SE4)</f>
        <v>2.1784050389705</v>
      </c>
      <c r="SJ4" s="157"/>
      <c r="SK4" s="157"/>
      <c r="SL4" s="144"/>
      <c r="SM4" s="95" t="s">
        <v>117</v>
      </c>
      <c r="SN4" s="95">
        <v>6</v>
      </c>
      <c r="SO4" s="175">
        <v>102338</v>
      </c>
      <c r="SP4" s="175">
        <v>34205</v>
      </c>
      <c r="SQ4" s="175">
        <v>16317064.6</v>
      </c>
      <c r="SR4" s="175">
        <v>48451</v>
      </c>
      <c r="SS4" s="175">
        <v>45913823.24</v>
      </c>
      <c r="ST4" s="175">
        <v>41190794</v>
      </c>
      <c r="SU4" s="177">
        <f t="shared" ref="SU4:SU13" si="113">SS4-ST4</f>
        <v>4723029.24</v>
      </c>
      <c r="SV4" s="170">
        <v>3323280</v>
      </c>
      <c r="SW4" s="170">
        <v>0</v>
      </c>
      <c r="SX4" s="171">
        <v>3655223.05</v>
      </c>
      <c r="SY4" s="171">
        <f t="shared" ref="SY4:SY13" si="114">SS4*3.5%</f>
        <v>1606983.8134</v>
      </c>
      <c r="SZ4" s="174">
        <f t="shared" ref="SZ4:SZ9" si="115">SX4*10%</f>
        <v>365522.305</v>
      </c>
      <c r="TA4" s="171">
        <f t="shared" ref="TA4:TA13" si="116">SN4*4000*31</f>
        <v>744000</v>
      </c>
      <c r="TB4" s="174">
        <f t="shared" ref="TB4:TB13" si="117">SU4-SY4-SZ4-TA4</f>
        <v>2006523.1216</v>
      </c>
      <c r="TC4" s="174">
        <f t="shared" ref="TC4:TC13" si="118">SS4/SR4</f>
        <v>947.63417143093</v>
      </c>
      <c r="TD4" s="196">
        <f t="shared" ref="TD4:TD13" si="119">SQ4/(SV4+SY4+SZ4+TA4)</f>
        <v>2.70159642744478</v>
      </c>
      <c r="TE4" s="197">
        <f t="shared" ref="TE4:TE13" si="120">SU4/(SY4+SZ4+TA4)</f>
        <v>1.73864111993307</v>
      </c>
      <c r="TF4" s="156"/>
      <c r="TG4" s="156"/>
      <c r="TH4" s="95" t="s">
        <v>117</v>
      </c>
      <c r="TI4" s="95">
        <v>7</v>
      </c>
      <c r="TJ4" s="95">
        <v>95013</v>
      </c>
      <c r="TK4" s="95">
        <v>32302</v>
      </c>
      <c r="TL4" s="175">
        <v>15575511.08</v>
      </c>
      <c r="TM4" s="175">
        <v>44925</v>
      </c>
      <c r="TN4" s="175">
        <v>39279310.58</v>
      </c>
      <c r="TO4" s="175">
        <v>36616179</v>
      </c>
      <c r="TP4" s="175">
        <f t="shared" ref="TP4:TP13" si="121">TN4-TO4</f>
        <v>2663131.58</v>
      </c>
      <c r="TQ4" s="178">
        <v>3609840</v>
      </c>
      <c r="TR4" s="170">
        <v>0</v>
      </c>
      <c r="TS4" s="170">
        <v>2501870.87</v>
      </c>
      <c r="TT4" s="170">
        <f t="shared" ref="TT4:TT13" si="122">TN4*4%</f>
        <v>1571172.4232</v>
      </c>
      <c r="TU4" s="178">
        <f>TS4*10%</f>
        <v>250187.087</v>
      </c>
      <c r="TV4" s="170">
        <f t="shared" ref="TV4:TV13" si="123">TI4*4000*28</f>
        <v>784000</v>
      </c>
      <c r="TW4" s="178">
        <f t="shared" ref="TW4:TW13" si="124">TP4-TT4-TU4-TV4</f>
        <v>57772.0697999981</v>
      </c>
      <c r="TX4" s="174">
        <f t="shared" ref="TX4:TX13" si="125">TN4/TM4</f>
        <v>874.330786421814</v>
      </c>
      <c r="TY4" s="196">
        <f t="shared" ref="TY4:TY13" si="126">TL4/(TQ4+TT4+TU4+TV4)</f>
        <v>2.50603557527613</v>
      </c>
      <c r="TZ4" s="102">
        <f t="shared" ref="TZ4:TZ13" si="127">TP4/(TT4+TU4+TV4)</f>
        <v>1.02217431781442</v>
      </c>
      <c r="UA4" s="156"/>
      <c r="UB4" s="198"/>
      <c r="UC4" s="144"/>
      <c r="UD4" s="95" t="s">
        <v>117</v>
      </c>
      <c r="UE4" s="95">
        <v>7</v>
      </c>
      <c r="UF4" s="175">
        <v>100544</v>
      </c>
      <c r="UG4" s="175">
        <v>32866</v>
      </c>
      <c r="UH4" s="175">
        <v>18440363.55</v>
      </c>
      <c r="UI4" s="175">
        <v>45284</v>
      </c>
      <c r="UJ4" s="175">
        <v>42920730.68</v>
      </c>
      <c r="UK4" s="175">
        <v>39723751</v>
      </c>
      <c r="UL4" s="175">
        <f t="shared" ref="UL4:UL13" si="128">UJ4-UK4</f>
        <v>3196979.68</v>
      </c>
      <c r="UM4" s="170">
        <v>3285990</v>
      </c>
      <c r="UN4" s="170">
        <v>0</v>
      </c>
      <c r="UO4" s="170">
        <v>2318923.95</v>
      </c>
      <c r="UP4" s="170">
        <f t="shared" ref="UP4:UP13" si="129">UJ4*4%</f>
        <v>1716829.2272</v>
      </c>
      <c r="UQ4" s="178">
        <f>UO4*10%</f>
        <v>231892.395</v>
      </c>
      <c r="UR4" s="170">
        <f t="shared" ref="UR4:UR7" si="130">UE4*4000*31</f>
        <v>868000</v>
      </c>
      <c r="US4" s="178">
        <f t="shared" ref="US4:US13" si="131">UL4-UP4-UQ4-UR4</f>
        <v>380258.0578</v>
      </c>
      <c r="UT4" s="174">
        <f t="shared" ref="UT4:UT13" si="132">UJ4/UI4</f>
        <v>947.812266584224</v>
      </c>
      <c r="UU4" s="196">
        <f t="shared" ref="UU4:UU13" si="133">UH4/(UM4+UP4+UQ4+UR4)</f>
        <v>3.02166720166147</v>
      </c>
      <c r="UV4" s="102">
        <f t="shared" ref="UV4:UV13" si="134">UL4/(UP4+UQ4+UR4)</f>
        <v>1.13500022678954</v>
      </c>
      <c r="UW4" s="144"/>
      <c r="UX4" s="144"/>
      <c r="UY4" s="144"/>
      <c r="UZ4" s="95" t="s">
        <v>117</v>
      </c>
      <c r="VA4" s="95">
        <v>7</v>
      </c>
      <c r="VB4" s="202">
        <v>94446</v>
      </c>
      <c r="VC4" s="202">
        <v>31254</v>
      </c>
      <c r="VD4" s="202">
        <v>18784598.76</v>
      </c>
      <c r="VE4" s="202">
        <v>41725</v>
      </c>
      <c r="VF4" s="202">
        <v>42382251.98</v>
      </c>
      <c r="VG4" s="175">
        <v>42892684</v>
      </c>
      <c r="VH4" s="175">
        <f t="shared" ref="VH4:VH13" si="135">VF4-VG4</f>
        <v>-510432.020000003</v>
      </c>
      <c r="VI4" s="178">
        <v>2865865</v>
      </c>
      <c r="VJ4" s="178">
        <v>0</v>
      </c>
      <c r="VK4" s="203">
        <v>-1362500.36</v>
      </c>
      <c r="VL4" s="178">
        <f t="shared" ref="VL4:VL13" si="136">VF4*4%</f>
        <v>1695290.0792</v>
      </c>
      <c r="VM4" s="178">
        <v>0</v>
      </c>
      <c r="VN4" s="170">
        <f>VA4*4000*31</f>
        <v>868000</v>
      </c>
      <c r="VO4" s="178">
        <f t="shared" ref="VO4:VO13" si="137">VH4-VL4-VM4-VN4</f>
        <v>-3073722.0992</v>
      </c>
      <c r="VP4" s="174">
        <f t="shared" ref="VP4:VP13" si="138">VF4/VE4</f>
        <v>1015.75199472738</v>
      </c>
      <c r="VQ4" s="196">
        <f t="shared" ref="VQ4:VQ13" si="139">VD4/(VI4+VL4+VM4+VN4)</f>
        <v>3.45994882923255</v>
      </c>
      <c r="VR4" s="102">
        <f t="shared" ref="VR4:VR13" si="140">VH4/(VL4+VM4+VN4)</f>
        <v>-0.199131586448971</v>
      </c>
      <c r="VS4" s="84"/>
      <c r="VT4" s="53"/>
      <c r="VU4" s="53"/>
    </row>
    <row r="5" ht="18" hidden="1" customHeight="1" spans="1:593">
      <c r="A5" s="53"/>
      <c r="B5" s="53"/>
      <c r="C5" s="160" t="s">
        <v>120</v>
      </c>
      <c r="D5" s="204"/>
      <c r="E5" s="204"/>
      <c r="F5" s="162"/>
      <c r="G5" s="162"/>
      <c r="H5" s="162"/>
      <c r="I5" s="162"/>
      <c r="J5" s="163"/>
      <c r="K5" s="163"/>
      <c r="L5" s="163"/>
      <c r="M5" s="161"/>
      <c r="N5" s="161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85"/>
      <c r="Z5" s="179"/>
      <c r="AA5" s="167"/>
      <c r="AB5" s="179"/>
      <c r="AC5" s="167"/>
      <c r="AD5" s="167"/>
      <c r="AE5" s="167"/>
      <c r="AF5" s="186"/>
      <c r="AG5" s="187"/>
      <c r="AH5" s="188"/>
      <c r="AI5" s="53"/>
      <c r="AJ5" s="160" t="s">
        <v>120</v>
      </c>
      <c r="AK5" s="204"/>
      <c r="AL5" s="204"/>
      <c r="AM5" s="162"/>
      <c r="AN5" s="162"/>
      <c r="AO5" s="162"/>
      <c r="AP5" s="162"/>
      <c r="AQ5" s="163"/>
      <c r="AR5" s="163"/>
      <c r="AS5" s="163"/>
      <c r="AT5" s="161"/>
      <c r="AU5" s="161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85"/>
      <c r="BG5" s="179"/>
      <c r="BH5" s="167"/>
      <c r="BI5" s="179"/>
      <c r="BJ5" s="167"/>
      <c r="BK5" s="167"/>
      <c r="BL5" s="167"/>
      <c r="BM5" s="186"/>
      <c r="BN5" s="187"/>
      <c r="BO5" s="188"/>
      <c r="BP5" s="53"/>
      <c r="BQ5" s="160" t="s">
        <v>120</v>
      </c>
      <c r="BR5" s="204">
        <v>1</v>
      </c>
      <c r="BS5" s="204">
        <v>2</v>
      </c>
      <c r="BT5" s="162">
        <v>14</v>
      </c>
      <c r="BU5" s="162">
        <v>1.14285714285714</v>
      </c>
      <c r="BV5" s="162">
        <v>904</v>
      </c>
      <c r="BW5" s="162">
        <v>496</v>
      </c>
      <c r="BX5" s="163">
        <v>74657</v>
      </c>
      <c r="BY5" s="163">
        <v>770219</v>
      </c>
      <c r="BZ5" s="163">
        <v>80032</v>
      </c>
      <c r="CA5" s="161">
        <v>228677</v>
      </c>
      <c r="CB5" s="161">
        <v>195273</v>
      </c>
      <c r="CC5" s="162">
        <v>33404</v>
      </c>
      <c r="CD5" s="162">
        <v>427</v>
      </c>
      <c r="CE5" s="162">
        <v>88414</v>
      </c>
      <c r="CF5" s="162">
        <v>71196</v>
      </c>
      <c r="CG5" s="162">
        <v>3363</v>
      </c>
      <c r="CH5" s="162">
        <v>2867</v>
      </c>
      <c r="CI5" s="162">
        <v>1882774</v>
      </c>
      <c r="CJ5" s="162">
        <v>1454411</v>
      </c>
      <c r="CK5" s="162">
        <f t="shared" si="19"/>
        <v>428363</v>
      </c>
      <c r="CL5" s="162">
        <v>55620</v>
      </c>
      <c r="CM5" s="185">
        <v>417270.92</v>
      </c>
      <c r="CN5" s="179">
        <f t="shared" si="20"/>
        <v>65897.09</v>
      </c>
      <c r="CO5" s="167">
        <f t="shared" si="21"/>
        <v>83454.184</v>
      </c>
      <c r="CP5" s="179">
        <f>(BR5*3200)*CI1</f>
        <v>99200</v>
      </c>
      <c r="CQ5" s="167">
        <f>(BS5*1733)*CI1</f>
        <v>107446</v>
      </c>
      <c r="CR5" s="167">
        <f t="shared" si="22"/>
        <v>16745.726</v>
      </c>
      <c r="CS5" s="167">
        <f t="shared" si="23"/>
        <v>1552.86088709677</v>
      </c>
      <c r="CT5" s="186">
        <f t="shared" si="24"/>
        <v>559.849539101992</v>
      </c>
      <c r="CU5" s="187">
        <f t="shared" si="25"/>
        <v>0.751803406655686</v>
      </c>
      <c r="CV5" s="188">
        <f t="shared" si="26"/>
        <v>1.04068275812934</v>
      </c>
      <c r="CW5" s="53"/>
      <c r="CX5" s="160" t="s">
        <v>120</v>
      </c>
      <c r="CY5" s="204">
        <v>1</v>
      </c>
      <c r="CZ5" s="204">
        <v>2</v>
      </c>
      <c r="DA5" s="162">
        <v>19</v>
      </c>
      <c r="DB5" s="162">
        <v>1.41052631578947</v>
      </c>
      <c r="DC5" s="162">
        <v>1599</v>
      </c>
      <c r="DD5" s="162">
        <v>804</v>
      </c>
      <c r="DE5" s="163">
        <v>133621</v>
      </c>
      <c r="DF5" s="163">
        <v>679684</v>
      </c>
      <c r="DG5" s="163">
        <v>119260.95</v>
      </c>
      <c r="DH5" s="161">
        <v>437733</v>
      </c>
      <c r="DI5" s="161">
        <v>386719.95</v>
      </c>
      <c r="DJ5" s="162">
        <f t="shared" si="27"/>
        <v>51013.05</v>
      </c>
      <c r="DK5" s="162">
        <v>715</v>
      </c>
      <c r="DL5" s="162">
        <v>157493</v>
      </c>
      <c r="DM5" s="162">
        <v>108568.95</v>
      </c>
      <c r="DN5" s="162">
        <v>4678</v>
      </c>
      <c r="DO5" s="162">
        <v>3874</v>
      </c>
      <c r="DP5" s="162">
        <v>2231956</v>
      </c>
      <c r="DQ5" s="162">
        <v>1929115</v>
      </c>
      <c r="DR5" s="162">
        <f t="shared" si="28"/>
        <v>302841</v>
      </c>
      <c r="DS5" s="162">
        <v>125950</v>
      </c>
      <c r="DT5" s="185">
        <v>259760.52</v>
      </c>
      <c r="DU5" s="179">
        <f t="shared" si="29"/>
        <v>78118.46</v>
      </c>
      <c r="DV5" s="167">
        <f t="shared" si="30"/>
        <v>51952.104</v>
      </c>
      <c r="DW5" s="179">
        <f>(CY5*3200)*DP1</f>
        <v>96000</v>
      </c>
      <c r="DX5" s="167">
        <f>(CZ5*1733)*DP1</f>
        <v>103980</v>
      </c>
      <c r="DY5" s="167">
        <f t="shared" si="31"/>
        <v>-153159.564</v>
      </c>
      <c r="DZ5" s="167">
        <f t="shared" si="32"/>
        <v>845.378109452736</v>
      </c>
      <c r="EA5" s="186">
        <f t="shared" si="33"/>
        <v>477.1175716118</v>
      </c>
      <c r="EB5" s="187">
        <f t="shared" si="34"/>
        <v>1.24348701401433</v>
      </c>
      <c r="EC5" s="188">
        <f t="shared" si="35"/>
        <v>0.664124178583253</v>
      </c>
      <c r="ED5" s="53"/>
      <c r="EE5" s="160" t="s">
        <v>120</v>
      </c>
      <c r="EF5" s="160">
        <v>2</v>
      </c>
      <c r="EG5" s="160">
        <v>2</v>
      </c>
      <c r="EH5" s="162">
        <v>35</v>
      </c>
      <c r="EI5" s="162">
        <v>2.18986175115207</v>
      </c>
      <c r="EJ5" s="162">
        <v>4029</v>
      </c>
      <c r="EK5" s="162">
        <v>2376</v>
      </c>
      <c r="EL5" s="163">
        <v>353665</v>
      </c>
      <c r="EM5" s="163">
        <v>999267</v>
      </c>
      <c r="EN5" s="163">
        <v>266444</v>
      </c>
      <c r="EO5" s="161">
        <v>1012728</v>
      </c>
      <c r="EP5" s="161">
        <v>944540</v>
      </c>
      <c r="EQ5" s="162">
        <v>68188</v>
      </c>
      <c r="ER5" s="162">
        <v>2123</v>
      </c>
      <c r="ES5" s="162">
        <v>409413</v>
      </c>
      <c r="ET5" s="162">
        <v>239059</v>
      </c>
      <c r="EU5" s="162">
        <v>8699</v>
      </c>
      <c r="EV5" s="162">
        <v>6323</v>
      </c>
      <c r="EW5" s="162">
        <v>3565118</v>
      </c>
      <c r="EX5" s="162">
        <v>3042028</v>
      </c>
      <c r="EY5" s="162">
        <v>523090</v>
      </c>
      <c r="EZ5" s="162">
        <v>325240</v>
      </c>
      <c r="FA5" s="185">
        <v>460089.75</v>
      </c>
      <c r="FB5" s="179">
        <v>124779.13</v>
      </c>
      <c r="FC5" s="167">
        <v>92017.95</v>
      </c>
      <c r="FD5" s="179">
        <f>(EF5*3200)*EW1</f>
        <v>198400</v>
      </c>
      <c r="FE5" s="167">
        <f>(EG5*1733)*EW1</f>
        <v>107446</v>
      </c>
      <c r="FF5" s="167">
        <v>-357839.08</v>
      </c>
      <c r="FG5" s="167">
        <v>420.566919191919</v>
      </c>
      <c r="FH5" s="186">
        <v>409.830785147718</v>
      </c>
      <c r="FI5" s="187">
        <v>1.30930853716929</v>
      </c>
      <c r="FJ5" s="188">
        <v>0.593793543516579</v>
      </c>
      <c r="FK5" s="53"/>
      <c r="FL5" s="53"/>
      <c r="FM5" s="53"/>
      <c r="FN5" s="160" t="s">
        <v>120</v>
      </c>
      <c r="FO5" s="160">
        <v>2</v>
      </c>
      <c r="FP5" s="160">
        <v>2</v>
      </c>
      <c r="FQ5" s="162">
        <v>83</v>
      </c>
      <c r="FR5" s="162">
        <f>(FT5/FQ5)/GF1</f>
        <v>1.42297762478485</v>
      </c>
      <c r="FS5" s="162">
        <v>6443</v>
      </c>
      <c r="FT5" s="162">
        <v>3307</v>
      </c>
      <c r="FU5" s="163">
        <v>498795</v>
      </c>
      <c r="FV5" s="163">
        <v>1265120</v>
      </c>
      <c r="FW5" s="163">
        <v>453577</v>
      </c>
      <c r="FX5" s="161">
        <v>2727613</v>
      </c>
      <c r="FY5" s="161">
        <v>2873199</v>
      </c>
      <c r="FZ5" s="162">
        <f t="shared" si="36"/>
        <v>-145586</v>
      </c>
      <c r="GA5" s="162">
        <v>2960</v>
      </c>
      <c r="GB5" s="162">
        <v>654904</v>
      </c>
      <c r="GC5" s="162">
        <v>409155</v>
      </c>
      <c r="GD5" s="162">
        <v>9792</v>
      </c>
      <c r="GE5" s="162">
        <v>6485</v>
      </c>
      <c r="GF5" s="162">
        <v>4306772</v>
      </c>
      <c r="GG5" s="162">
        <v>4383429</v>
      </c>
      <c r="GH5" s="162">
        <v>-76657</v>
      </c>
      <c r="GI5" s="162">
        <v>255860</v>
      </c>
      <c r="GJ5" s="185">
        <v>-172308.86</v>
      </c>
      <c r="GK5" s="179">
        <v>150737.02</v>
      </c>
      <c r="GL5" s="167">
        <v>0</v>
      </c>
      <c r="GM5" s="179">
        <f>(FO5*3200)*GF1</f>
        <v>179200</v>
      </c>
      <c r="GN5" s="167">
        <f>(FP5*1733)*GF1</f>
        <v>97048</v>
      </c>
      <c r="GO5" s="167">
        <v>-789350.02</v>
      </c>
      <c r="GP5" s="167">
        <v>382.558209857877</v>
      </c>
      <c r="GQ5" s="186">
        <v>439.825571895425</v>
      </c>
      <c r="GR5" s="187">
        <f t="shared" si="37"/>
        <v>4.65624253260967</v>
      </c>
      <c r="GS5" s="188">
        <f t="shared" si="38"/>
        <v>-0.112261198009469</v>
      </c>
      <c r="GT5" s="53"/>
      <c r="GU5" s="53"/>
      <c r="GV5" s="160" t="s">
        <v>120</v>
      </c>
      <c r="GW5" s="160">
        <v>2</v>
      </c>
      <c r="GX5" s="160">
        <v>2</v>
      </c>
      <c r="GY5" s="162">
        <v>36</v>
      </c>
      <c r="GZ5" s="162">
        <f>(HB5/GY5)/HL1</f>
        <v>1.41397849462366</v>
      </c>
      <c r="HA5" s="162">
        <v>2993</v>
      </c>
      <c r="HB5" s="162">
        <v>1578</v>
      </c>
      <c r="HC5" s="163">
        <v>255690.2182</v>
      </c>
      <c r="HD5" s="163">
        <v>305587</v>
      </c>
      <c r="HE5" s="163">
        <v>194082</v>
      </c>
      <c r="HF5" s="161">
        <v>815845</v>
      </c>
      <c r="HG5" s="161">
        <v>753481</v>
      </c>
      <c r="HH5" s="162">
        <f t="shared" si="39"/>
        <v>62364</v>
      </c>
      <c r="HI5" s="162">
        <v>1400</v>
      </c>
      <c r="HJ5" s="162">
        <v>262974</v>
      </c>
      <c r="HK5" s="162">
        <v>165798</v>
      </c>
      <c r="HL5" s="162">
        <v>5985</v>
      </c>
      <c r="HM5" s="162">
        <v>4407</v>
      </c>
      <c r="HN5" s="162">
        <v>2556760</v>
      </c>
      <c r="HO5" s="162">
        <v>2361932</v>
      </c>
      <c r="HP5" s="162">
        <v>194828</v>
      </c>
      <c r="HQ5" s="162">
        <v>106910</v>
      </c>
      <c r="HR5" s="185">
        <v>141617.22</v>
      </c>
      <c r="HS5" s="179">
        <v>89486.6</v>
      </c>
      <c r="HT5" s="167">
        <v>29721.344</v>
      </c>
      <c r="HU5" s="179">
        <f t="shared" si="40"/>
        <v>198400</v>
      </c>
      <c r="HV5" s="167">
        <f t="shared" si="41"/>
        <v>107446</v>
      </c>
      <c r="HW5" s="167">
        <v>-370181.944</v>
      </c>
      <c r="HX5" s="167">
        <v>193.654626108999</v>
      </c>
      <c r="HY5" s="186">
        <v>427.194653299916</v>
      </c>
      <c r="HZ5" s="187">
        <f t="shared" si="42"/>
        <v>1.9218151117777</v>
      </c>
      <c r="IA5" s="188">
        <f t="shared" si="43"/>
        <v>0.366242867016566</v>
      </c>
      <c r="IB5" s="53"/>
      <c r="IC5" s="53"/>
      <c r="ID5" s="160" t="s">
        <v>120</v>
      </c>
      <c r="IE5" s="160">
        <v>3</v>
      </c>
      <c r="IF5" s="160">
        <v>0</v>
      </c>
      <c r="IG5" s="162">
        <v>12</v>
      </c>
      <c r="IH5" s="162">
        <f>(IJ5/IG5)/IT1</f>
        <v>2.82795698924731</v>
      </c>
      <c r="II5" s="162">
        <v>1883</v>
      </c>
      <c r="IJ5" s="162">
        <v>1052</v>
      </c>
      <c r="IK5" s="163">
        <v>147230</v>
      </c>
      <c r="IL5" s="163">
        <v>205763</v>
      </c>
      <c r="IM5" s="163">
        <v>125749</v>
      </c>
      <c r="IN5" s="161">
        <v>669065</v>
      </c>
      <c r="IO5" s="161">
        <v>641032</v>
      </c>
      <c r="IP5" s="162">
        <f t="shared" si="44"/>
        <v>28033</v>
      </c>
      <c r="IQ5" s="162">
        <v>932</v>
      </c>
      <c r="IR5" s="162">
        <v>177738</v>
      </c>
      <c r="IS5" s="162">
        <v>106734</v>
      </c>
      <c r="IT5" s="162">
        <v>5103</v>
      </c>
      <c r="IU5" s="162">
        <v>4051</v>
      </c>
      <c r="IV5" s="162">
        <v>2020978</v>
      </c>
      <c r="IW5" s="162">
        <v>1948689</v>
      </c>
      <c r="IX5" s="162">
        <f t="shared" si="45"/>
        <v>72289</v>
      </c>
      <c r="IY5" s="162">
        <v>75390</v>
      </c>
      <c r="IZ5" s="185">
        <v>46636.22</v>
      </c>
      <c r="JA5" s="179">
        <f t="shared" si="46"/>
        <v>70734.23</v>
      </c>
      <c r="JB5" s="167">
        <f t="shared" si="47"/>
        <v>9327.244</v>
      </c>
      <c r="JC5" s="179">
        <v>161169</v>
      </c>
      <c r="JD5" s="167">
        <v>0</v>
      </c>
      <c r="JE5" s="167">
        <f t="shared" si="48"/>
        <v>-244331.474</v>
      </c>
      <c r="JF5" s="167">
        <f t="shared" si="49"/>
        <v>195.592205323194</v>
      </c>
      <c r="JG5" s="186">
        <f t="shared" si="50"/>
        <v>396.037233000196</v>
      </c>
      <c r="JH5" s="187">
        <f t="shared" si="51"/>
        <v>0.64987269269264</v>
      </c>
      <c r="JI5" s="188">
        <f t="shared" si="52"/>
        <v>0.228314357207361</v>
      </c>
      <c r="JJ5" s="190"/>
      <c r="JK5" s="53"/>
      <c r="JL5" s="160" t="s">
        <v>120</v>
      </c>
      <c r="JM5" s="160">
        <v>3</v>
      </c>
      <c r="JN5" s="160">
        <v>20</v>
      </c>
      <c r="JO5" s="162">
        <v>20</v>
      </c>
      <c r="JP5" s="162"/>
      <c r="JQ5" s="162">
        <v>1523</v>
      </c>
      <c r="JR5" s="162">
        <v>678</v>
      </c>
      <c r="JS5" s="163">
        <v>95981</v>
      </c>
      <c r="JT5" s="163">
        <v>133890</v>
      </c>
      <c r="JU5" s="163">
        <v>164430</v>
      </c>
      <c r="JV5" s="161">
        <v>295242</v>
      </c>
      <c r="JW5" s="161">
        <v>289044</v>
      </c>
      <c r="JX5" s="162">
        <f t="shared" si="53"/>
        <v>6198</v>
      </c>
      <c r="JY5" s="162">
        <v>544</v>
      </c>
      <c r="JZ5" s="162">
        <v>111429</v>
      </c>
      <c r="KA5" s="162">
        <v>92666</v>
      </c>
      <c r="KB5" s="162">
        <v>3880</v>
      </c>
      <c r="KC5" s="162">
        <v>3202</v>
      </c>
      <c r="KD5" s="162">
        <v>2678181</v>
      </c>
      <c r="KE5" s="162">
        <v>2233875</v>
      </c>
      <c r="KF5" s="162">
        <f t="shared" si="54"/>
        <v>444306</v>
      </c>
      <c r="KG5" s="162">
        <v>51780</v>
      </c>
      <c r="KH5" s="185">
        <v>479051.04</v>
      </c>
      <c r="KI5" s="179">
        <f t="shared" si="55"/>
        <v>93736.335</v>
      </c>
      <c r="KJ5" s="167">
        <f t="shared" si="56"/>
        <v>95810.208</v>
      </c>
      <c r="KK5" s="179">
        <v>155970</v>
      </c>
      <c r="KL5" s="167"/>
      <c r="KM5" s="167">
        <f t="shared" si="57"/>
        <v>47009.457</v>
      </c>
      <c r="KN5" s="167">
        <f t="shared" si="58"/>
        <v>197.477876106195</v>
      </c>
      <c r="KO5" s="186">
        <f t="shared" si="59"/>
        <v>690.252835051546</v>
      </c>
      <c r="KP5" s="187">
        <f t="shared" si="60"/>
        <v>0.337002680639987</v>
      </c>
      <c r="KQ5" s="188">
        <f t="shared" si="61"/>
        <v>1.11832334770655</v>
      </c>
      <c r="KR5" s="53"/>
      <c r="KS5" s="53"/>
      <c r="KT5" s="160" t="s">
        <v>120</v>
      </c>
      <c r="KU5" s="160">
        <v>3</v>
      </c>
      <c r="KV5" s="160"/>
      <c r="KW5" s="162">
        <v>71</v>
      </c>
      <c r="KX5" s="162"/>
      <c r="KY5" s="162">
        <v>3316</v>
      </c>
      <c r="KZ5" s="162">
        <v>1502</v>
      </c>
      <c r="LA5" s="163">
        <v>229851</v>
      </c>
      <c r="LB5" s="163">
        <v>331889</v>
      </c>
      <c r="LC5" s="163">
        <v>202390</v>
      </c>
      <c r="LD5" s="161">
        <v>815147</v>
      </c>
      <c r="LE5" s="161">
        <v>763027</v>
      </c>
      <c r="LF5" s="162">
        <f t="shared" si="62"/>
        <v>763027</v>
      </c>
      <c r="LG5" s="162">
        <v>1298</v>
      </c>
      <c r="LH5" s="162">
        <v>371405</v>
      </c>
      <c r="LI5" s="162">
        <v>229110</v>
      </c>
      <c r="LJ5" s="162">
        <v>6314</v>
      </c>
      <c r="LK5" s="162">
        <v>4812</v>
      </c>
      <c r="LL5" s="162">
        <v>3814842</v>
      </c>
      <c r="LM5" s="162">
        <v>4684513</v>
      </c>
      <c r="LN5" s="162">
        <v>-869671</v>
      </c>
      <c r="LO5" s="162">
        <v>115140</v>
      </c>
      <c r="LP5" s="185">
        <v>-871493.86</v>
      </c>
      <c r="LQ5" s="179">
        <v>133519.47</v>
      </c>
      <c r="LR5" s="167">
        <v>0</v>
      </c>
      <c r="LS5" s="179">
        <v>161169</v>
      </c>
      <c r="LT5" s="167"/>
      <c r="LU5" s="167">
        <v>-1279499.47</v>
      </c>
      <c r="LV5" s="167">
        <v>220.964713715047</v>
      </c>
      <c r="LW5" s="186">
        <v>604.18783655369</v>
      </c>
      <c r="LX5" s="187">
        <v>0.809824168633282</v>
      </c>
      <c r="LY5" s="188">
        <v>-2.12203656812812</v>
      </c>
      <c r="LZ5" s="191"/>
      <c r="MA5" s="192"/>
      <c r="MB5" s="160" t="s">
        <v>120</v>
      </c>
      <c r="MC5" s="160">
        <v>3</v>
      </c>
      <c r="MD5" s="160"/>
      <c r="ME5" s="162">
        <v>67</v>
      </c>
      <c r="MF5" s="162"/>
      <c r="MG5" s="162">
        <v>4654</v>
      </c>
      <c r="MH5" s="162">
        <v>2314</v>
      </c>
      <c r="MI5" s="163">
        <v>333138</v>
      </c>
      <c r="MJ5" s="163">
        <v>487443</v>
      </c>
      <c r="MK5" s="163">
        <v>333562</v>
      </c>
      <c r="ML5" s="161">
        <v>1353002</v>
      </c>
      <c r="MM5" s="161">
        <v>1025636</v>
      </c>
      <c r="MN5" s="162"/>
      <c r="MO5" s="162">
        <v>1975</v>
      </c>
      <c r="MP5" s="162">
        <v>407146</v>
      </c>
      <c r="MQ5" s="162">
        <v>265630</v>
      </c>
      <c r="MR5" s="162">
        <v>7517</v>
      </c>
      <c r="MS5" s="162">
        <v>5203</v>
      </c>
      <c r="MT5" s="162">
        <v>4683703</v>
      </c>
      <c r="MU5" s="162">
        <v>4058748</v>
      </c>
      <c r="MV5" s="162">
        <f t="shared" si="64"/>
        <v>624955</v>
      </c>
      <c r="MW5" s="162">
        <v>144420</v>
      </c>
      <c r="MX5" s="185">
        <v>574115.84</v>
      </c>
      <c r="MY5" s="179">
        <f t="shared" si="65"/>
        <v>163929.605</v>
      </c>
      <c r="MZ5" s="167">
        <f t="shared" si="66"/>
        <v>114823.168</v>
      </c>
      <c r="NA5" s="179">
        <v>169834</v>
      </c>
      <c r="NB5" s="167">
        <f t="shared" si="67"/>
        <v>31948.227</v>
      </c>
      <c r="NC5" s="167"/>
      <c r="ND5" s="167">
        <f t="shared" si="68"/>
        <v>210.649524632671</v>
      </c>
      <c r="NE5" s="186">
        <f t="shared" si="69"/>
        <v>623.081415458294</v>
      </c>
      <c r="NF5" s="187">
        <f t="shared" si="70"/>
        <v>0.821985552600088</v>
      </c>
      <c r="NG5" s="188">
        <f t="shared" si="71"/>
        <v>1.05387497825425</v>
      </c>
      <c r="NH5" s="53"/>
      <c r="NI5" s="53"/>
      <c r="NJ5" s="160" t="s">
        <v>120</v>
      </c>
      <c r="NK5" s="160">
        <v>4</v>
      </c>
      <c r="NL5" s="160"/>
      <c r="NM5" s="162">
        <v>41</v>
      </c>
      <c r="NN5" s="162"/>
      <c r="NO5" s="162">
        <v>5663</v>
      </c>
      <c r="NP5" s="162">
        <v>2745</v>
      </c>
      <c r="NQ5" s="163">
        <v>390205</v>
      </c>
      <c r="NR5" s="163">
        <v>518864</v>
      </c>
      <c r="NS5" s="163">
        <v>347208</v>
      </c>
      <c r="NT5" s="161">
        <v>1235386</v>
      </c>
      <c r="NU5" s="161">
        <v>1041962</v>
      </c>
      <c r="NV5" s="162"/>
      <c r="NW5" s="162">
        <v>2337</v>
      </c>
      <c r="NX5" s="162">
        <v>438127</v>
      </c>
      <c r="NY5" s="162">
        <v>277775</v>
      </c>
      <c r="NZ5" s="162">
        <v>8156</v>
      </c>
      <c r="OA5" s="162">
        <f t="shared" si="73"/>
        <v>5411</v>
      </c>
      <c r="OB5" s="162">
        <v>5423344</v>
      </c>
      <c r="OC5" s="162">
        <v>4603109</v>
      </c>
      <c r="OD5" s="162">
        <f t="shared" si="74"/>
        <v>820235</v>
      </c>
      <c r="OE5" s="162">
        <v>281580</v>
      </c>
      <c r="OF5" s="185">
        <v>673216.25</v>
      </c>
      <c r="OG5" s="179">
        <f t="shared" si="75"/>
        <v>189817.04</v>
      </c>
      <c r="OH5" s="167">
        <f t="shared" si="76"/>
        <v>134643.25</v>
      </c>
      <c r="OI5" s="179">
        <v>183698</v>
      </c>
      <c r="OJ5" s="167"/>
      <c r="OK5" s="167">
        <f t="shared" si="77"/>
        <v>30496.71</v>
      </c>
      <c r="OL5" s="167">
        <f t="shared" si="78"/>
        <v>189.021493624772</v>
      </c>
      <c r="OM5" s="186">
        <f t="shared" si="79"/>
        <v>664.951446787641</v>
      </c>
      <c r="ON5" s="187">
        <f t="shared" si="80"/>
        <v>0.657007525872907</v>
      </c>
      <c r="OO5" s="188">
        <f t="shared" si="81"/>
        <v>1.03861622310348</v>
      </c>
      <c r="OP5" s="53"/>
      <c r="OQ5" s="193"/>
      <c r="OR5" s="53"/>
      <c r="OS5" s="95" t="s">
        <v>120</v>
      </c>
      <c r="OT5" s="95">
        <v>2</v>
      </c>
      <c r="OU5" s="170">
        <v>57</v>
      </c>
      <c r="OV5" s="170">
        <v>7033</v>
      </c>
      <c r="OW5" s="170">
        <v>3511</v>
      </c>
      <c r="OX5" s="194">
        <v>508500</v>
      </c>
      <c r="OY5" s="194">
        <v>693167</v>
      </c>
      <c r="OZ5" s="194">
        <v>439928</v>
      </c>
      <c r="PA5" s="172">
        <v>1519533</v>
      </c>
      <c r="PB5" s="172">
        <v>1256288</v>
      </c>
      <c r="PC5" s="170">
        <v>9177</v>
      </c>
      <c r="PD5" s="170">
        <v>5666</v>
      </c>
      <c r="PE5" s="194">
        <v>4220235</v>
      </c>
      <c r="PF5" s="194">
        <v>3450673</v>
      </c>
      <c r="PG5" s="170">
        <f t="shared" si="82"/>
        <v>769562</v>
      </c>
      <c r="PH5" s="178">
        <v>318780</v>
      </c>
      <c r="PI5" s="173">
        <v>608186.35</v>
      </c>
      <c r="PJ5" s="171">
        <f t="shared" si="83"/>
        <v>147708.225</v>
      </c>
      <c r="PK5" s="174">
        <f t="shared" si="84"/>
        <v>121637.27</v>
      </c>
      <c r="PL5" s="171">
        <f>OT5*1733*PF1+1</f>
        <v>107447</v>
      </c>
      <c r="PM5" s="174">
        <f t="shared" si="85"/>
        <v>73989.505</v>
      </c>
      <c r="PN5" s="174">
        <f t="shared" si="86"/>
        <v>197.427228709769</v>
      </c>
      <c r="PO5" s="195">
        <f t="shared" si="87"/>
        <v>459.87087283426</v>
      </c>
      <c r="PP5" s="196">
        <f t="shared" si="88"/>
        <v>0.996541704829775</v>
      </c>
      <c r="PQ5" s="197">
        <f t="shared" si="89"/>
        <v>1.1063720971313</v>
      </c>
      <c r="PR5" s="198"/>
      <c r="PS5" s="157"/>
      <c r="PT5" s="144"/>
      <c r="PU5" s="95" t="s">
        <v>120</v>
      </c>
      <c r="PV5" s="95">
        <v>2</v>
      </c>
      <c r="PW5" s="170">
        <v>53</v>
      </c>
      <c r="PX5" s="170">
        <v>5332</v>
      </c>
      <c r="PY5" s="170">
        <v>2554</v>
      </c>
      <c r="PZ5" s="194">
        <v>385053</v>
      </c>
      <c r="QA5" s="194">
        <v>499804</v>
      </c>
      <c r="QB5" s="170">
        <v>294573</v>
      </c>
      <c r="QC5" s="170">
        <v>6940</v>
      </c>
      <c r="QD5" s="170">
        <v>4386</v>
      </c>
      <c r="QE5" s="194">
        <v>2509660</v>
      </c>
      <c r="QF5" s="171">
        <v>1929332</v>
      </c>
      <c r="QG5" s="171">
        <v>580328</v>
      </c>
      <c r="QH5" s="205">
        <v>215310</v>
      </c>
      <c r="QI5" s="173">
        <v>490437.98</v>
      </c>
      <c r="QJ5" s="171">
        <f t="shared" si="90"/>
        <v>87838.1</v>
      </c>
      <c r="QK5" s="174">
        <f t="shared" si="91"/>
        <v>98087.596</v>
      </c>
      <c r="QL5" s="171">
        <f>PV5*3306*QG1+1</f>
        <v>198361</v>
      </c>
      <c r="QM5" s="174">
        <f t="shared" si="92"/>
        <v>394402.304</v>
      </c>
      <c r="QN5" s="174">
        <f t="shared" si="93"/>
        <v>150.764682850431</v>
      </c>
      <c r="QO5" s="195">
        <f t="shared" si="94"/>
        <v>361.622478386167</v>
      </c>
      <c r="QP5" s="196">
        <f t="shared" si="95"/>
        <v>0.833566968154207</v>
      </c>
      <c r="QQ5" s="197">
        <f t="shared" si="96"/>
        <v>3.12128991573064</v>
      </c>
      <c r="QR5" s="199" t="s">
        <v>118</v>
      </c>
      <c r="QS5" s="206"/>
      <c r="QT5" s="144" t="s">
        <v>121</v>
      </c>
      <c r="QU5" s="95" t="s">
        <v>120</v>
      </c>
      <c r="QV5" s="95">
        <v>2</v>
      </c>
      <c r="QW5" s="175">
        <v>5867</v>
      </c>
      <c r="QX5" s="175">
        <v>2582</v>
      </c>
      <c r="QY5" s="175">
        <v>1119036</v>
      </c>
      <c r="QZ5" s="175">
        <v>3407</v>
      </c>
      <c r="RA5" s="202">
        <v>5571451</v>
      </c>
      <c r="RB5" s="175">
        <v>5219226</v>
      </c>
      <c r="RC5" s="177">
        <f t="shared" si="97"/>
        <v>5047996</v>
      </c>
      <c r="RD5" s="171">
        <f t="shared" ref="RD5:RD13" si="141">RA5-RB5</f>
        <v>352225</v>
      </c>
      <c r="RE5" s="178">
        <v>171230</v>
      </c>
      <c r="RF5" s="173">
        <v>218489.14</v>
      </c>
      <c r="RG5" s="171">
        <f t="shared" si="98"/>
        <v>195000.785</v>
      </c>
      <c r="RH5" s="174">
        <f t="shared" si="99"/>
        <v>21848.914</v>
      </c>
      <c r="RI5" s="171">
        <f t="shared" si="100"/>
        <v>204972</v>
      </c>
      <c r="RJ5" s="176">
        <f t="shared" si="101"/>
        <v>135375.301</v>
      </c>
      <c r="RK5" s="174">
        <f t="shared" si="102"/>
        <v>1635.29527443499</v>
      </c>
      <c r="RL5" s="201">
        <f t="shared" si="103"/>
        <v>1.88691138038541</v>
      </c>
      <c r="RM5" s="197">
        <f t="shared" si="104"/>
        <v>1.62428171043945</v>
      </c>
      <c r="RN5" s="198"/>
      <c r="RO5" s="144"/>
      <c r="RP5" s="144"/>
      <c r="RQ5" s="95" t="s">
        <v>120</v>
      </c>
      <c r="RR5" s="95">
        <v>2</v>
      </c>
      <c r="RS5" s="175">
        <v>8051</v>
      </c>
      <c r="RT5" s="175">
        <v>3610</v>
      </c>
      <c r="RU5" s="175">
        <v>1119036</v>
      </c>
      <c r="RV5" s="175">
        <v>4382</v>
      </c>
      <c r="RW5" s="175">
        <v>3661277</v>
      </c>
      <c r="RX5" s="175">
        <v>3481353</v>
      </c>
      <c r="RY5" s="177">
        <f t="shared" si="105"/>
        <v>179924</v>
      </c>
      <c r="RZ5" s="178">
        <v>261770</v>
      </c>
      <c r="SA5" s="170">
        <v>0</v>
      </c>
      <c r="SB5" s="171">
        <v>7764.48</v>
      </c>
      <c r="SC5" s="171">
        <f t="shared" si="106"/>
        <v>128144.695</v>
      </c>
      <c r="SD5" s="174">
        <f t="shared" si="107"/>
        <v>776.448</v>
      </c>
      <c r="SE5" s="171">
        <f t="shared" si="108"/>
        <v>198360</v>
      </c>
      <c r="SF5" s="207">
        <f t="shared" si="109"/>
        <v>-147357.143</v>
      </c>
      <c r="SG5" s="174">
        <f t="shared" si="110"/>
        <v>835.526471930625</v>
      </c>
      <c r="SH5" s="196">
        <f t="shared" si="111"/>
        <v>1.89972638759484</v>
      </c>
      <c r="SI5" s="197">
        <f t="shared" si="112"/>
        <v>0.549753641015608</v>
      </c>
      <c r="SJ5" s="157"/>
      <c r="SK5" s="157"/>
      <c r="SL5" s="144"/>
      <c r="SM5" s="95" t="s">
        <v>120</v>
      </c>
      <c r="SN5" s="95">
        <v>5</v>
      </c>
      <c r="SO5" s="175">
        <v>9472</v>
      </c>
      <c r="SP5" s="175">
        <v>3162</v>
      </c>
      <c r="SQ5" s="175">
        <v>1352512</v>
      </c>
      <c r="SR5" s="175">
        <v>3892</v>
      </c>
      <c r="SS5" s="175">
        <v>2121794.46</v>
      </c>
      <c r="ST5" s="175">
        <v>2039753</v>
      </c>
      <c r="SU5" s="177">
        <f t="shared" si="113"/>
        <v>82041.46</v>
      </c>
      <c r="SV5" s="178">
        <v>223470</v>
      </c>
      <c r="SW5" s="170">
        <v>0</v>
      </c>
      <c r="SX5" s="171">
        <v>-32292.7</v>
      </c>
      <c r="SY5" s="171">
        <f t="shared" si="114"/>
        <v>74262.8061</v>
      </c>
      <c r="SZ5" s="174">
        <v>0</v>
      </c>
      <c r="TA5" s="171">
        <f t="shared" si="116"/>
        <v>620000</v>
      </c>
      <c r="TB5" s="207">
        <f t="shared" si="117"/>
        <v>-612221.3461</v>
      </c>
      <c r="TC5" s="174">
        <f t="shared" si="118"/>
        <v>545.168155190134</v>
      </c>
      <c r="TD5" s="196">
        <f t="shared" si="119"/>
        <v>1.47375357076712</v>
      </c>
      <c r="TE5" s="197">
        <f t="shared" si="120"/>
        <v>0.118170611012371</v>
      </c>
      <c r="TF5" s="156"/>
      <c r="TG5" s="156"/>
      <c r="TH5" s="95" t="s">
        <v>120</v>
      </c>
      <c r="TI5" s="95">
        <v>6</v>
      </c>
      <c r="TJ5" s="95">
        <v>13676</v>
      </c>
      <c r="TK5" s="95">
        <v>5603</v>
      </c>
      <c r="TL5" s="175">
        <v>2166197.12</v>
      </c>
      <c r="TM5" s="175">
        <v>6086</v>
      </c>
      <c r="TN5" s="175">
        <v>2643162.4</v>
      </c>
      <c r="TO5" s="175">
        <v>2997447</v>
      </c>
      <c r="TP5" s="175">
        <f t="shared" si="121"/>
        <v>-354284.6</v>
      </c>
      <c r="TQ5" s="178">
        <v>563590</v>
      </c>
      <c r="TR5" s="170">
        <v>0</v>
      </c>
      <c r="TS5" s="203">
        <v>-364961.34</v>
      </c>
      <c r="TT5" s="170">
        <f t="shared" si="122"/>
        <v>105726.496</v>
      </c>
      <c r="TU5" s="178">
        <v>0</v>
      </c>
      <c r="TV5" s="170">
        <f t="shared" si="123"/>
        <v>672000</v>
      </c>
      <c r="TW5" s="203">
        <f t="shared" si="124"/>
        <v>-1132011.096</v>
      </c>
      <c r="TX5" s="174">
        <f t="shared" si="125"/>
        <v>434.302070325337</v>
      </c>
      <c r="TY5" s="196">
        <f t="shared" si="126"/>
        <v>1.61497836376419</v>
      </c>
      <c r="TZ5" s="102">
        <f t="shared" si="127"/>
        <v>-0.455538806794105</v>
      </c>
      <c r="UA5" s="156"/>
      <c r="UB5" s="144"/>
      <c r="UC5" s="144"/>
      <c r="UD5" s="95" t="s">
        <v>120</v>
      </c>
      <c r="UE5" s="95">
        <v>4</v>
      </c>
      <c r="UF5" s="175">
        <v>7872</v>
      </c>
      <c r="UG5" s="175">
        <v>2386</v>
      </c>
      <c r="UH5" s="175">
        <v>921287</v>
      </c>
      <c r="UI5" s="175">
        <v>2386</v>
      </c>
      <c r="UJ5" s="175">
        <v>921287</v>
      </c>
      <c r="UK5" s="175">
        <v>916839</v>
      </c>
      <c r="UL5" s="175">
        <f t="shared" si="128"/>
        <v>4448</v>
      </c>
      <c r="UM5" s="170">
        <v>148720</v>
      </c>
      <c r="UN5" s="170">
        <v>0</v>
      </c>
      <c r="UO5" s="203">
        <v>-76572.68</v>
      </c>
      <c r="UP5" s="170">
        <f t="shared" si="129"/>
        <v>36851.48</v>
      </c>
      <c r="UQ5" s="178">
        <v>0</v>
      </c>
      <c r="UR5" s="170">
        <f>UE5*4000*21</f>
        <v>336000</v>
      </c>
      <c r="US5" s="203">
        <f t="shared" si="131"/>
        <v>-368403.48</v>
      </c>
      <c r="UT5" s="174">
        <f t="shared" si="132"/>
        <v>386.121961441744</v>
      </c>
      <c r="UU5" s="196">
        <f t="shared" si="133"/>
        <v>1.76636767025682</v>
      </c>
      <c r="UV5" s="102">
        <f t="shared" si="134"/>
        <v>0.0119296831006276</v>
      </c>
      <c r="UW5" s="144" t="s">
        <v>122</v>
      </c>
      <c r="UX5" s="144"/>
      <c r="UY5" s="144"/>
      <c r="UZ5" s="95" t="s">
        <v>120</v>
      </c>
      <c r="VA5" s="95"/>
      <c r="VB5" s="175"/>
      <c r="VC5" s="175"/>
      <c r="VD5" s="175"/>
      <c r="VE5" s="175"/>
      <c r="VF5" s="175"/>
      <c r="VG5" s="175"/>
      <c r="VH5" s="175">
        <f t="shared" si="135"/>
        <v>0</v>
      </c>
      <c r="VI5" s="178"/>
      <c r="VJ5" s="178"/>
      <c r="VK5" s="178"/>
      <c r="VL5" s="178">
        <f t="shared" si="136"/>
        <v>0</v>
      </c>
      <c r="VM5" s="178">
        <v>0</v>
      </c>
      <c r="VN5" s="170">
        <f t="shared" ref="VN5:VN10" si="142">VA5*4000*0</f>
        <v>0</v>
      </c>
      <c r="VO5" s="178">
        <f t="shared" si="137"/>
        <v>0</v>
      </c>
      <c r="VP5" s="174" t="e">
        <f t="shared" si="138"/>
        <v>#DIV/0!</v>
      </c>
      <c r="VQ5" s="196" t="e">
        <f t="shared" si="139"/>
        <v>#DIV/0!</v>
      </c>
      <c r="VR5" s="102" t="e">
        <f t="shared" si="140"/>
        <v>#DIV/0!</v>
      </c>
      <c r="VS5" s="84" t="s">
        <v>123</v>
      </c>
      <c r="VT5" s="53"/>
      <c r="VU5" s="53"/>
    </row>
    <row r="6" ht="18" customHeight="1" spans="1:593">
      <c r="A6" s="53"/>
      <c r="B6" s="53"/>
      <c r="C6" s="160" t="s">
        <v>124</v>
      </c>
      <c r="D6" s="204">
        <v>2</v>
      </c>
      <c r="E6" s="204">
        <v>4</v>
      </c>
      <c r="F6" s="162">
        <f>'PH25'!AJ4</f>
        <v>37</v>
      </c>
      <c r="G6" s="162">
        <f>(I6/F6)/S1</f>
        <v>2.63201663201663</v>
      </c>
      <c r="H6" s="162">
        <f>'PH25'!G4</f>
        <v>5130</v>
      </c>
      <c r="I6" s="162">
        <f>'PH25'!H4</f>
        <v>2532</v>
      </c>
      <c r="J6" s="163">
        <f>'PH25'!T4</f>
        <v>395999</v>
      </c>
      <c r="K6" s="163">
        <f>'PH25'!U4</f>
        <v>571810</v>
      </c>
      <c r="L6" s="163">
        <f>'PH25'!V4</f>
        <v>367848.8</v>
      </c>
      <c r="M6" s="161">
        <f>123553+1104499</f>
        <v>1228052</v>
      </c>
      <c r="N6" s="161">
        <f>88851+794379.8</f>
        <v>883230.8</v>
      </c>
      <c r="O6" s="162">
        <f t="shared" si="0"/>
        <v>344821.2</v>
      </c>
      <c r="P6" s="162">
        <f>'PH25'!J4</f>
        <v>2220</v>
      </c>
      <c r="Q6" s="162">
        <f>'PH25'!R4</f>
        <v>493879</v>
      </c>
      <c r="R6" s="162">
        <f>'PH25'!S4</f>
        <v>312594.8</v>
      </c>
      <c r="S6" s="162">
        <f>'PH25'!K4</f>
        <v>9423</v>
      </c>
      <c r="T6" s="162">
        <f t="shared" si="1"/>
        <v>6891</v>
      </c>
      <c r="U6" s="162">
        <f>'PH25'!W4</f>
        <v>4127611</v>
      </c>
      <c r="V6" s="162">
        <f>'PH25'!X4</f>
        <v>3335808.49</v>
      </c>
      <c r="W6" s="162">
        <f t="shared" si="2"/>
        <v>791802.51</v>
      </c>
      <c r="X6" s="162">
        <f>'PH25'!D4</f>
        <v>456003</v>
      </c>
      <c r="Y6" s="185">
        <f>326770.39+338089.67</f>
        <v>664860.06</v>
      </c>
      <c r="Z6" s="179">
        <f t="shared" si="3"/>
        <v>144466.385</v>
      </c>
      <c r="AA6" s="167">
        <f t="shared" si="4"/>
        <v>132972.012</v>
      </c>
      <c r="AB6" s="179">
        <f>(D6*3200)*S1</f>
        <v>166400</v>
      </c>
      <c r="AC6" s="167">
        <f>(E6*1733)*S1</f>
        <v>180232</v>
      </c>
      <c r="AD6" s="167">
        <f t="shared" si="5"/>
        <v>-288270.887</v>
      </c>
      <c r="AE6" s="167">
        <f t="shared" si="6"/>
        <v>225.833333333333</v>
      </c>
      <c r="AF6" s="186">
        <f t="shared" si="7"/>
        <v>438.035763557254</v>
      </c>
      <c r="AG6" s="187">
        <f t="shared" si="8"/>
        <v>1.1370079139168</v>
      </c>
      <c r="AH6" s="188">
        <f t="shared" si="9"/>
        <v>0.73310065056625</v>
      </c>
      <c r="AI6" s="53"/>
      <c r="AJ6" s="160" t="s">
        <v>124</v>
      </c>
      <c r="AK6" s="204">
        <v>1</v>
      </c>
      <c r="AL6" s="204">
        <v>4</v>
      </c>
      <c r="AM6" s="162">
        <v>47</v>
      </c>
      <c r="AN6" s="162">
        <f>(AP6/AM6)/AZ1</f>
        <v>2.21205673758865</v>
      </c>
      <c r="AO6" s="162">
        <v>6705</v>
      </c>
      <c r="AP6" s="162">
        <v>3119</v>
      </c>
      <c r="AQ6" s="163">
        <v>453158</v>
      </c>
      <c r="AR6" s="163">
        <v>645933</v>
      </c>
      <c r="AS6" s="163">
        <v>387840.71</v>
      </c>
      <c r="AT6" s="161">
        <v>1333826</v>
      </c>
      <c r="AU6" s="161">
        <v>1086636.94</v>
      </c>
      <c r="AV6" s="162">
        <f t="shared" si="10"/>
        <v>247189.06</v>
      </c>
      <c r="AW6" s="162">
        <v>587951</v>
      </c>
      <c r="AX6" s="162">
        <v>587951</v>
      </c>
      <c r="AY6" s="162">
        <v>332130.75</v>
      </c>
      <c r="AZ6" s="162">
        <v>10789</v>
      </c>
      <c r="BA6" s="162">
        <v>7670</v>
      </c>
      <c r="BB6" s="162">
        <v>4735492</v>
      </c>
      <c r="BC6" s="162">
        <v>3777767.94</v>
      </c>
      <c r="BD6" s="162">
        <f t="shared" si="11"/>
        <v>957724.06</v>
      </c>
      <c r="BE6" s="162">
        <v>583747</v>
      </c>
      <c r="BF6" s="185">
        <v>830927.38</v>
      </c>
      <c r="BG6" s="179">
        <f t="shared" si="12"/>
        <v>165742.22</v>
      </c>
      <c r="BH6" s="167">
        <f t="shared" si="13"/>
        <v>166185.476</v>
      </c>
      <c r="BI6" s="179">
        <f>(AK6*3200)*AZ1</f>
        <v>96000</v>
      </c>
      <c r="BJ6" s="167">
        <f>(AL6*1733)*AZ1</f>
        <v>207960</v>
      </c>
      <c r="BK6" s="167">
        <f t="shared" si="14"/>
        <v>-261910.636</v>
      </c>
      <c r="BL6" s="167">
        <f t="shared" si="15"/>
        <v>207.096184674575</v>
      </c>
      <c r="BM6" s="186">
        <f t="shared" si="16"/>
        <v>438.918528130503</v>
      </c>
      <c r="BN6" s="187">
        <f t="shared" si="17"/>
        <v>1.31843368750225</v>
      </c>
      <c r="BO6" s="188">
        <f t="shared" si="18"/>
        <v>0.785254849784956</v>
      </c>
      <c r="BP6" s="53"/>
      <c r="BQ6" s="160" t="s">
        <v>124</v>
      </c>
      <c r="BR6" s="204">
        <v>1</v>
      </c>
      <c r="BS6" s="204">
        <v>4</v>
      </c>
      <c r="BT6" s="162">
        <v>106</v>
      </c>
      <c r="BU6" s="162">
        <v>0.692331101643335</v>
      </c>
      <c r="BV6" s="162">
        <v>4632</v>
      </c>
      <c r="BW6" s="162">
        <v>2275</v>
      </c>
      <c r="BX6" s="163">
        <v>347172</v>
      </c>
      <c r="BY6" s="163">
        <v>486170</v>
      </c>
      <c r="BZ6" s="163">
        <v>267943.25</v>
      </c>
      <c r="CA6" s="161">
        <v>1217065</v>
      </c>
      <c r="CB6" s="161">
        <v>851211.25</v>
      </c>
      <c r="CC6" s="162">
        <v>365853.75</v>
      </c>
      <c r="CD6" s="162">
        <v>2007</v>
      </c>
      <c r="CE6" s="162">
        <v>424959</v>
      </c>
      <c r="CF6" s="162">
        <v>224939.25</v>
      </c>
      <c r="CG6" s="162">
        <v>9765</v>
      </c>
      <c r="CH6" s="162">
        <v>7490</v>
      </c>
      <c r="CI6" s="162">
        <v>5128130</v>
      </c>
      <c r="CJ6" s="162">
        <v>3883989</v>
      </c>
      <c r="CK6" s="162">
        <f t="shared" si="19"/>
        <v>1244141</v>
      </c>
      <c r="CL6" s="162">
        <v>185570</v>
      </c>
      <c r="CM6" s="185">
        <v>1029091.44</v>
      </c>
      <c r="CN6" s="179">
        <f t="shared" si="20"/>
        <v>179484.55</v>
      </c>
      <c r="CO6" s="167">
        <f t="shared" si="21"/>
        <v>205818.288</v>
      </c>
      <c r="CP6" s="179">
        <f>(BR6*3200)*CI1</f>
        <v>99200</v>
      </c>
      <c r="CQ6" s="167">
        <f>(BS6*1733)*CI1</f>
        <v>214892</v>
      </c>
      <c r="CR6" s="167">
        <f t="shared" si="22"/>
        <v>359176.162</v>
      </c>
      <c r="CS6" s="167">
        <f t="shared" si="23"/>
        <v>213.701098901099</v>
      </c>
      <c r="CT6" s="186">
        <f t="shared" si="24"/>
        <v>525.154121863799</v>
      </c>
      <c r="CU6" s="187">
        <f t="shared" si="25"/>
        <v>1.81631746726615</v>
      </c>
      <c r="CV6" s="188">
        <f t="shared" si="26"/>
        <v>1.40586489606946</v>
      </c>
      <c r="CW6" s="53"/>
      <c r="CX6" s="160" t="s">
        <v>124</v>
      </c>
      <c r="CY6" s="204">
        <v>0</v>
      </c>
      <c r="CZ6" s="204">
        <v>4</v>
      </c>
      <c r="DA6" s="162">
        <v>44</v>
      </c>
      <c r="DB6" s="162">
        <v>1.15757575757576</v>
      </c>
      <c r="DC6" s="162">
        <v>2984</v>
      </c>
      <c r="DD6" s="162">
        <v>1528</v>
      </c>
      <c r="DE6" s="163">
        <v>242580</v>
      </c>
      <c r="DF6" s="163">
        <v>329527</v>
      </c>
      <c r="DG6" s="163">
        <v>150434</v>
      </c>
      <c r="DH6" s="161">
        <v>765361</v>
      </c>
      <c r="DI6" s="161">
        <v>605872.07</v>
      </c>
      <c r="DJ6" s="162">
        <f t="shared" si="27"/>
        <v>159488.93</v>
      </c>
      <c r="DK6" s="162">
        <v>1297</v>
      </c>
      <c r="DL6" s="162">
        <v>273650</v>
      </c>
      <c r="DM6" s="162">
        <v>118785</v>
      </c>
      <c r="DN6" s="162">
        <v>9321</v>
      </c>
      <c r="DO6" s="162">
        <v>7793</v>
      </c>
      <c r="DP6" s="162">
        <v>4943536</v>
      </c>
      <c r="DQ6" s="162">
        <v>4132905</v>
      </c>
      <c r="DR6" s="162">
        <f t="shared" si="28"/>
        <v>810631</v>
      </c>
      <c r="DS6" s="162">
        <v>242440</v>
      </c>
      <c r="DT6" s="185">
        <v>675976.49</v>
      </c>
      <c r="DU6" s="179">
        <f t="shared" si="29"/>
        <v>173023.76</v>
      </c>
      <c r="DV6" s="167">
        <f t="shared" si="30"/>
        <v>135195.298</v>
      </c>
      <c r="DW6" s="179">
        <f>(CY6*3200)*DP1</f>
        <v>0</v>
      </c>
      <c r="DX6" s="167">
        <f>(CZ6*1733)*DP1</f>
        <v>207960</v>
      </c>
      <c r="DY6" s="167">
        <f t="shared" si="31"/>
        <v>52011.942</v>
      </c>
      <c r="DZ6" s="167">
        <f t="shared" si="32"/>
        <v>215.659031413613</v>
      </c>
      <c r="EA6" s="186">
        <f t="shared" si="33"/>
        <v>530.365411436541</v>
      </c>
      <c r="EB6" s="187">
        <f t="shared" si="34"/>
        <v>1.38989995511887</v>
      </c>
      <c r="EC6" s="188">
        <f t="shared" si="35"/>
        <v>1.06856134373571</v>
      </c>
      <c r="ED6" s="53"/>
      <c r="EE6" s="160" t="s">
        <v>124</v>
      </c>
      <c r="EF6" s="160">
        <v>0</v>
      </c>
      <c r="EG6" s="160">
        <v>4</v>
      </c>
      <c r="EH6" s="162">
        <v>111</v>
      </c>
      <c r="EI6" s="162">
        <v>1.03400174367916</v>
      </c>
      <c r="EJ6" s="162">
        <v>6931</v>
      </c>
      <c r="EK6" s="162">
        <v>3558</v>
      </c>
      <c r="EL6" s="163">
        <v>555272</v>
      </c>
      <c r="EM6" s="163">
        <v>811949</v>
      </c>
      <c r="EN6" s="163">
        <v>461373.36</v>
      </c>
      <c r="EO6" s="161">
        <v>2026992</v>
      </c>
      <c r="EP6" s="161">
        <v>1742704.29</v>
      </c>
      <c r="EQ6" s="162">
        <v>284287.71</v>
      </c>
      <c r="ER6" s="162">
        <v>3083</v>
      </c>
      <c r="ES6" s="162">
        <v>712507</v>
      </c>
      <c r="ET6" s="162">
        <v>401116.76</v>
      </c>
      <c r="EU6" s="162">
        <v>14949</v>
      </c>
      <c r="EV6" s="162">
        <v>11391</v>
      </c>
      <c r="EW6" s="162">
        <v>6199233</v>
      </c>
      <c r="EX6" s="162">
        <v>5234837</v>
      </c>
      <c r="EY6" s="162">
        <v>964396</v>
      </c>
      <c r="EZ6" s="162">
        <v>486740</v>
      </c>
      <c r="FA6" s="185">
        <v>755538.81</v>
      </c>
      <c r="FB6" s="179">
        <v>216973.155</v>
      </c>
      <c r="FC6" s="167">
        <v>151107.762</v>
      </c>
      <c r="FD6" s="179">
        <f>(EF6*3200)*EW1</f>
        <v>0</v>
      </c>
      <c r="FE6" s="167">
        <f>(EG6*1733)*EW1</f>
        <v>214892</v>
      </c>
      <c r="FF6" s="167">
        <v>-122646.917</v>
      </c>
      <c r="FG6" s="167">
        <v>228.203766160764</v>
      </c>
      <c r="FH6" s="186">
        <v>414.692153321292</v>
      </c>
      <c r="FI6" s="187">
        <v>2.37124754400459</v>
      </c>
      <c r="FJ6" s="188">
        <v>0.88717380419673</v>
      </c>
      <c r="FK6" s="53"/>
      <c r="FL6" s="53"/>
      <c r="FM6" s="53"/>
      <c r="FN6" s="160" t="s">
        <v>124</v>
      </c>
      <c r="FO6" s="160">
        <v>0</v>
      </c>
      <c r="FP6" s="160">
        <v>5</v>
      </c>
      <c r="FQ6" s="162">
        <v>134</v>
      </c>
      <c r="FR6" s="162">
        <f>(FT6/FQ6)/GF1</f>
        <v>1.00133262260128</v>
      </c>
      <c r="FS6" s="162">
        <v>7766</v>
      </c>
      <c r="FT6" s="162">
        <v>3757</v>
      </c>
      <c r="FU6" s="163">
        <v>634256</v>
      </c>
      <c r="FV6" s="163">
        <v>909212</v>
      </c>
      <c r="FW6" s="163">
        <v>551697.2</v>
      </c>
      <c r="FX6" s="161">
        <v>2370398</v>
      </c>
      <c r="FY6" s="161">
        <v>1919135.2</v>
      </c>
      <c r="FZ6" s="162">
        <f t="shared" si="36"/>
        <v>451262.8</v>
      </c>
      <c r="GA6" s="162">
        <v>3212</v>
      </c>
      <c r="GB6" s="162">
        <v>771945</v>
      </c>
      <c r="GC6" s="162">
        <v>468516.2</v>
      </c>
      <c r="GD6" s="162">
        <v>14130</v>
      </c>
      <c r="GE6" s="162">
        <v>10373</v>
      </c>
      <c r="GF6" s="162">
        <v>6007821</v>
      </c>
      <c r="GG6" s="162">
        <v>5086933</v>
      </c>
      <c r="GH6" s="162">
        <v>920888</v>
      </c>
      <c r="GI6" s="162">
        <v>402970</v>
      </c>
      <c r="GJ6" s="185">
        <v>694386.66</v>
      </c>
      <c r="GK6" s="179">
        <v>210273.735</v>
      </c>
      <c r="GL6" s="167">
        <v>138877.332</v>
      </c>
      <c r="GM6" s="179">
        <f>(FO6*3200)*GF1</f>
        <v>0</v>
      </c>
      <c r="GN6" s="167">
        <f>(FP6*1733)*GF1</f>
        <v>242620</v>
      </c>
      <c r="GO6" s="167">
        <v>-73853.067</v>
      </c>
      <c r="GP6" s="167">
        <v>242.004791056694</v>
      </c>
      <c r="GQ6" s="186">
        <v>425.18195329087</v>
      </c>
      <c r="GR6" s="187">
        <f t="shared" si="37"/>
        <v>3.15161761051961</v>
      </c>
      <c r="GS6" s="188">
        <f t="shared" si="38"/>
        <v>0.92575649136239</v>
      </c>
      <c r="GT6" s="53"/>
      <c r="GU6" s="53"/>
      <c r="GV6" s="160" t="s">
        <v>124</v>
      </c>
      <c r="GW6" s="160">
        <v>1</v>
      </c>
      <c r="GX6" s="160">
        <v>4</v>
      </c>
      <c r="GY6" s="162">
        <v>110</v>
      </c>
      <c r="GZ6" s="162">
        <f>(HB6/GY6)/HL1</f>
        <v>0.847800586510264</v>
      </c>
      <c r="HA6" s="162">
        <v>6316</v>
      </c>
      <c r="HB6" s="162">
        <v>2891</v>
      </c>
      <c r="HC6" s="163">
        <v>460409</v>
      </c>
      <c r="HD6" s="163">
        <v>661223</v>
      </c>
      <c r="HE6" s="163">
        <v>421698</v>
      </c>
      <c r="HF6" s="161">
        <v>1595349</v>
      </c>
      <c r="HG6" s="161">
        <v>1270410</v>
      </c>
      <c r="HH6" s="162">
        <f t="shared" si="39"/>
        <v>324939</v>
      </c>
      <c r="HI6" s="162">
        <v>2439</v>
      </c>
      <c r="HJ6" s="162">
        <v>558544</v>
      </c>
      <c r="HK6" s="162">
        <v>346814</v>
      </c>
      <c r="HL6" s="162">
        <v>13540</v>
      </c>
      <c r="HM6" s="162">
        <v>10649</v>
      </c>
      <c r="HN6" s="162">
        <v>5612292</v>
      </c>
      <c r="HO6" s="162">
        <v>4683256</v>
      </c>
      <c r="HP6" s="162">
        <v>929036</v>
      </c>
      <c r="HQ6" s="162">
        <v>325250</v>
      </c>
      <c r="HR6" s="185">
        <v>763210.47</v>
      </c>
      <c r="HS6" s="179">
        <v>196430.22</v>
      </c>
      <c r="HT6" s="167">
        <v>53058.224</v>
      </c>
      <c r="HU6" s="179">
        <f t="shared" si="40"/>
        <v>99200</v>
      </c>
      <c r="HV6" s="167">
        <f t="shared" si="41"/>
        <v>214892</v>
      </c>
      <c r="HW6" s="167">
        <v>23682.556</v>
      </c>
      <c r="HX6" s="167">
        <v>228.717744725009</v>
      </c>
      <c r="HY6" s="186">
        <v>414.497193500739</v>
      </c>
      <c r="HZ6" s="187">
        <f t="shared" si="42"/>
        <v>2.36720284204473</v>
      </c>
      <c r="IA6" s="188">
        <f t="shared" si="43"/>
        <v>1.04523422467289</v>
      </c>
      <c r="IB6" s="53"/>
      <c r="IC6" s="53"/>
      <c r="ID6" s="160" t="s">
        <v>124</v>
      </c>
      <c r="IE6" s="160">
        <v>5</v>
      </c>
      <c r="IF6" s="160">
        <v>0</v>
      </c>
      <c r="IG6" s="162">
        <v>104</v>
      </c>
      <c r="IH6" s="162">
        <f>(IJ6/IG6)/IT1</f>
        <v>1.09708436724566</v>
      </c>
      <c r="II6" s="162">
        <v>7609</v>
      </c>
      <c r="IJ6" s="162">
        <v>3537</v>
      </c>
      <c r="IK6" s="163">
        <v>540964.95</v>
      </c>
      <c r="IL6" s="163">
        <v>849098.95</v>
      </c>
      <c r="IM6" s="163">
        <v>533234</v>
      </c>
      <c r="IN6" s="161">
        <v>2451843.89</v>
      </c>
      <c r="IO6" s="161">
        <v>1859254</v>
      </c>
      <c r="IP6" s="162">
        <f t="shared" si="44"/>
        <v>592589.89</v>
      </c>
      <c r="IQ6" s="162">
        <v>3015</v>
      </c>
      <c r="IR6" s="162">
        <v>722404.99</v>
      </c>
      <c r="IS6" s="162">
        <v>406182</v>
      </c>
      <c r="IT6" s="162">
        <v>16869</v>
      </c>
      <c r="IU6" s="162">
        <v>13332</v>
      </c>
      <c r="IV6" s="162">
        <v>6927873.52</v>
      </c>
      <c r="IW6" s="162">
        <v>5478456</v>
      </c>
      <c r="IX6" s="162">
        <f t="shared" si="45"/>
        <v>1449417.52</v>
      </c>
      <c r="IY6" s="162">
        <v>368840</v>
      </c>
      <c r="IZ6" s="185">
        <v>1198363.11</v>
      </c>
      <c r="JA6" s="179">
        <f t="shared" si="46"/>
        <v>242475.5732</v>
      </c>
      <c r="JB6" s="167">
        <f t="shared" si="47"/>
        <v>239672.622</v>
      </c>
      <c r="JC6" s="179">
        <v>214892</v>
      </c>
      <c r="JD6" s="167">
        <v>0</v>
      </c>
      <c r="JE6" s="167">
        <f t="shared" si="48"/>
        <v>383537.3248</v>
      </c>
      <c r="JF6" s="167">
        <f t="shared" si="49"/>
        <v>240.061902742437</v>
      </c>
      <c r="JG6" s="186">
        <f t="shared" si="50"/>
        <v>410.686674965914</v>
      </c>
      <c r="JH6" s="187">
        <f t="shared" si="51"/>
        <v>0.796617625342665</v>
      </c>
      <c r="JI6" s="188">
        <f t="shared" si="52"/>
        <v>1.35983155192037</v>
      </c>
      <c r="JJ6" s="190"/>
      <c r="JK6" s="53"/>
      <c r="JL6" s="160" t="s">
        <v>124</v>
      </c>
      <c r="JM6" s="160">
        <v>5</v>
      </c>
      <c r="JN6" s="160">
        <v>0</v>
      </c>
      <c r="JO6" s="162">
        <v>145</v>
      </c>
      <c r="JP6" s="162">
        <f>(JR6/JO6)/KB1</f>
        <v>0.72551724137931</v>
      </c>
      <c r="JQ6" s="162">
        <v>7112</v>
      </c>
      <c r="JR6" s="162">
        <v>3156</v>
      </c>
      <c r="JS6" s="163">
        <v>461749</v>
      </c>
      <c r="JT6" s="163">
        <v>685804</v>
      </c>
      <c r="JU6" s="163">
        <v>460636</v>
      </c>
      <c r="JV6" s="161">
        <v>1732351</v>
      </c>
      <c r="JW6" s="161">
        <v>1392244</v>
      </c>
      <c r="JX6" s="162">
        <f t="shared" si="53"/>
        <v>340107</v>
      </c>
      <c r="JY6" s="162">
        <v>2711</v>
      </c>
      <c r="JZ6" s="162">
        <v>594570</v>
      </c>
      <c r="KA6" s="162">
        <v>386307</v>
      </c>
      <c r="KB6" s="162">
        <v>14859</v>
      </c>
      <c r="KC6" s="162">
        <v>11703</v>
      </c>
      <c r="KD6" s="162">
        <v>5692022</v>
      </c>
      <c r="KE6" s="162">
        <v>4766810</v>
      </c>
      <c r="KF6" s="162">
        <f t="shared" si="54"/>
        <v>925212</v>
      </c>
      <c r="KG6" s="162">
        <v>229600</v>
      </c>
      <c r="KH6" s="185">
        <v>676202.99</v>
      </c>
      <c r="KI6" s="179">
        <f t="shared" si="55"/>
        <v>199220.77</v>
      </c>
      <c r="KJ6" s="167">
        <f t="shared" si="56"/>
        <v>135240.598</v>
      </c>
      <c r="KK6" s="179">
        <v>246086</v>
      </c>
      <c r="KL6" s="167">
        <v>0</v>
      </c>
      <c r="KM6" s="167">
        <f t="shared" si="57"/>
        <v>115064.632</v>
      </c>
      <c r="KN6" s="167">
        <f t="shared" si="58"/>
        <v>217.30164765526</v>
      </c>
      <c r="KO6" s="186">
        <f t="shared" si="59"/>
        <v>383.068981761895</v>
      </c>
      <c r="KP6" s="187">
        <f t="shared" si="60"/>
        <v>0.84651759308067</v>
      </c>
      <c r="KQ6" s="188">
        <f t="shared" si="61"/>
        <v>1.14202926102699</v>
      </c>
      <c r="KR6" s="53"/>
      <c r="KS6" s="53"/>
      <c r="KT6" s="160" t="s">
        <v>124</v>
      </c>
      <c r="KU6" s="160">
        <v>5</v>
      </c>
      <c r="KV6" s="160">
        <v>0</v>
      </c>
      <c r="KW6" s="162">
        <v>155</v>
      </c>
      <c r="KX6" s="162">
        <f>(KZ6/KW6)/LJ1</f>
        <v>0.894693028095734</v>
      </c>
      <c r="KY6" s="162">
        <v>11017</v>
      </c>
      <c r="KZ6" s="162">
        <v>4299</v>
      </c>
      <c r="LA6" s="163">
        <v>607818</v>
      </c>
      <c r="LB6" s="163">
        <v>901094</v>
      </c>
      <c r="LC6" s="163">
        <v>649885.48</v>
      </c>
      <c r="LD6" s="161">
        <v>2488573</v>
      </c>
      <c r="LE6" s="161">
        <v>2179589.48</v>
      </c>
      <c r="LF6" s="162">
        <f t="shared" si="62"/>
        <v>2179589.48</v>
      </c>
      <c r="LG6" s="162">
        <v>3542</v>
      </c>
      <c r="LH6" s="162">
        <v>746219</v>
      </c>
      <c r="LI6" s="162">
        <v>492562.48</v>
      </c>
      <c r="LJ6" s="162">
        <v>20676</v>
      </c>
      <c r="LK6" s="162">
        <v>16377</v>
      </c>
      <c r="LL6" s="162">
        <v>7535790</v>
      </c>
      <c r="LM6" s="162">
        <v>6726566</v>
      </c>
      <c r="LN6" s="162">
        <v>809224</v>
      </c>
      <c r="LO6" s="162">
        <v>294730</v>
      </c>
      <c r="LP6" s="185">
        <v>382300.48</v>
      </c>
      <c r="LQ6" s="179">
        <v>263752.65</v>
      </c>
      <c r="LR6" s="167">
        <v>76460.096</v>
      </c>
      <c r="LS6" s="179">
        <v>254751</v>
      </c>
      <c r="LT6" s="167">
        <v>0</v>
      </c>
      <c r="LU6" s="167">
        <v>-80469.746</v>
      </c>
      <c r="LV6" s="167">
        <v>209.605489648756</v>
      </c>
      <c r="LW6" s="186">
        <v>364.470400464306</v>
      </c>
      <c r="LX6" s="187">
        <v>1.01281368341775</v>
      </c>
      <c r="LY6" s="188">
        <v>0.909553431883964</v>
      </c>
      <c r="LZ6" s="191"/>
      <c r="MA6" s="192"/>
      <c r="MB6" s="160" t="s">
        <v>124</v>
      </c>
      <c r="MC6" s="160">
        <v>5</v>
      </c>
      <c r="MD6" s="160">
        <v>0</v>
      </c>
      <c r="ME6" s="162">
        <v>131</v>
      </c>
      <c r="MF6" s="162">
        <f>(MH6/ME6)/MR1</f>
        <v>1.54045801526718</v>
      </c>
      <c r="MG6" s="162">
        <v>13408</v>
      </c>
      <c r="MH6" s="162">
        <v>6054</v>
      </c>
      <c r="MI6" s="163">
        <v>873944</v>
      </c>
      <c r="MJ6" s="163">
        <v>1257282</v>
      </c>
      <c r="MK6" s="163">
        <v>869933</v>
      </c>
      <c r="ML6" s="161">
        <v>3730819</v>
      </c>
      <c r="MM6" s="161">
        <v>2872836</v>
      </c>
      <c r="MN6" s="162">
        <f t="shared" si="63"/>
        <v>857983</v>
      </c>
      <c r="MO6" s="162">
        <v>5044</v>
      </c>
      <c r="MP6" s="162">
        <v>1045272</v>
      </c>
      <c r="MQ6" s="162">
        <v>729309</v>
      </c>
      <c r="MR6" s="162">
        <v>22982</v>
      </c>
      <c r="MS6" s="162">
        <v>16928</v>
      </c>
      <c r="MT6" s="162">
        <v>7954185</v>
      </c>
      <c r="MU6" s="162">
        <v>6396257</v>
      </c>
      <c r="MV6" s="162">
        <f t="shared" si="64"/>
        <v>1557928</v>
      </c>
      <c r="MW6" s="162">
        <v>447520</v>
      </c>
      <c r="MX6" s="185">
        <v>1233347.07</v>
      </c>
      <c r="MY6" s="179">
        <f t="shared" si="65"/>
        <v>278396.475</v>
      </c>
      <c r="MZ6" s="167">
        <f t="shared" si="66"/>
        <v>246669.414</v>
      </c>
      <c r="NA6" s="179">
        <v>259950</v>
      </c>
      <c r="NB6" s="167">
        <f t="shared" si="67"/>
        <v>325392.111</v>
      </c>
      <c r="NC6" s="167">
        <v>0</v>
      </c>
      <c r="ND6" s="167">
        <f t="shared" si="68"/>
        <v>207.677898909812</v>
      </c>
      <c r="NE6" s="186">
        <f t="shared" si="69"/>
        <v>346.104995213645</v>
      </c>
      <c r="NF6" s="187">
        <f t="shared" si="70"/>
        <v>1.02007739589642</v>
      </c>
      <c r="NG6" s="188">
        <f t="shared" si="71"/>
        <v>1.26400213892676</v>
      </c>
      <c r="NH6" s="53"/>
      <c r="NI6" s="53"/>
      <c r="NJ6" s="160" t="s">
        <v>124</v>
      </c>
      <c r="NK6" s="160">
        <v>5</v>
      </c>
      <c r="NL6" s="160">
        <v>0</v>
      </c>
      <c r="NM6" s="162">
        <v>123</v>
      </c>
      <c r="NN6" s="162">
        <f>(NP6/NM6)/NZ1</f>
        <v>1.94702334120115</v>
      </c>
      <c r="NO6" s="162">
        <v>13747</v>
      </c>
      <c r="NP6" s="162">
        <v>7424</v>
      </c>
      <c r="NQ6" s="163">
        <v>1051397</v>
      </c>
      <c r="NR6" s="163">
        <v>1494151</v>
      </c>
      <c r="NS6" s="163">
        <v>889205</v>
      </c>
      <c r="NT6" s="161">
        <v>4337990</v>
      </c>
      <c r="NU6" s="161">
        <v>3520123</v>
      </c>
      <c r="NV6" s="162">
        <f t="shared" si="72"/>
        <v>817867</v>
      </c>
      <c r="NW6" s="162">
        <v>6084</v>
      </c>
      <c r="NX6" s="162">
        <v>1232526</v>
      </c>
      <c r="NY6" s="162">
        <v>716620</v>
      </c>
      <c r="NZ6" s="162">
        <v>24614</v>
      </c>
      <c r="OA6" s="162">
        <f t="shared" si="73"/>
        <v>17190</v>
      </c>
      <c r="OB6" s="162">
        <v>7765222</v>
      </c>
      <c r="OC6" s="162">
        <v>6249417</v>
      </c>
      <c r="OD6" s="162">
        <f t="shared" si="74"/>
        <v>1515805</v>
      </c>
      <c r="OE6" s="162">
        <v>580460</v>
      </c>
      <c r="OF6" s="185">
        <v>1132100.34</v>
      </c>
      <c r="OG6" s="179">
        <f t="shared" si="75"/>
        <v>271782.77</v>
      </c>
      <c r="OH6" s="167">
        <f t="shared" si="76"/>
        <v>226420.068</v>
      </c>
      <c r="OI6" s="179">
        <v>202761</v>
      </c>
      <c r="OJ6" s="167">
        <v>0</v>
      </c>
      <c r="OK6" s="167">
        <f t="shared" si="77"/>
        <v>234381.162</v>
      </c>
      <c r="OL6" s="167">
        <f t="shared" si="78"/>
        <v>201.259563577586</v>
      </c>
      <c r="OM6" s="186">
        <f t="shared" si="79"/>
        <v>315.479889493784</v>
      </c>
      <c r="ON6" s="187">
        <f t="shared" si="80"/>
        <v>1.16600843194241</v>
      </c>
      <c r="OO6" s="188">
        <f t="shared" si="81"/>
        <v>1.18290682212203</v>
      </c>
      <c r="OP6" s="53"/>
      <c r="OQ6" s="193"/>
      <c r="OR6" s="53"/>
      <c r="OS6" s="95" t="s">
        <v>124</v>
      </c>
      <c r="OT6" s="95">
        <v>5</v>
      </c>
      <c r="OU6" s="194">
        <v>93</v>
      </c>
      <c r="OV6" s="194">
        <v>17608</v>
      </c>
      <c r="OW6" s="194">
        <v>8174</v>
      </c>
      <c r="OX6" s="194">
        <v>1137991</v>
      </c>
      <c r="OY6" s="194">
        <v>1579435</v>
      </c>
      <c r="OZ6" s="194">
        <v>1082183</v>
      </c>
      <c r="PA6" s="208">
        <v>4162836</v>
      </c>
      <c r="PB6" s="208">
        <v>3914757</v>
      </c>
      <c r="PC6" s="194">
        <v>20460</v>
      </c>
      <c r="PD6" s="170">
        <v>12286</v>
      </c>
      <c r="PE6" s="194">
        <v>6338672</v>
      </c>
      <c r="PF6" s="194">
        <v>5888646</v>
      </c>
      <c r="PG6" s="170">
        <f t="shared" si="82"/>
        <v>450026</v>
      </c>
      <c r="PH6" s="170">
        <v>703870</v>
      </c>
      <c r="PI6" s="209">
        <v>94517.98</v>
      </c>
      <c r="PJ6" s="171">
        <f t="shared" si="83"/>
        <v>221853.52</v>
      </c>
      <c r="PK6" s="174">
        <f t="shared" si="84"/>
        <v>18903.596</v>
      </c>
      <c r="PL6" s="171">
        <f>OT6*1733*PF1+1</f>
        <v>268616</v>
      </c>
      <c r="PM6" s="174">
        <f t="shared" si="85"/>
        <v>-763217.116</v>
      </c>
      <c r="PN6" s="174">
        <f t="shared" si="86"/>
        <v>193.226694396868</v>
      </c>
      <c r="PO6" s="195">
        <f t="shared" si="87"/>
        <v>309.808015640274</v>
      </c>
      <c r="PP6" s="196">
        <f t="shared" si="88"/>
        <v>1.30182894027647</v>
      </c>
      <c r="PQ6" s="197">
        <f t="shared" si="89"/>
        <v>0.370928129791259</v>
      </c>
      <c r="PR6" s="198"/>
      <c r="PS6" s="157"/>
      <c r="PT6" s="144"/>
      <c r="PU6" s="95" t="s">
        <v>124</v>
      </c>
      <c r="PV6" s="95">
        <v>5</v>
      </c>
      <c r="PW6" s="194">
        <v>74</v>
      </c>
      <c r="PX6" s="194">
        <v>5002</v>
      </c>
      <c r="PY6" s="194">
        <v>2154</v>
      </c>
      <c r="PZ6" s="194">
        <v>325352</v>
      </c>
      <c r="QA6" s="194">
        <v>433141</v>
      </c>
      <c r="QB6" s="194">
        <v>243203</v>
      </c>
      <c r="QC6" s="194">
        <v>7320</v>
      </c>
      <c r="QD6" s="170">
        <v>5166</v>
      </c>
      <c r="QE6" s="194">
        <v>2672222</v>
      </c>
      <c r="QF6" s="171">
        <v>2353291</v>
      </c>
      <c r="QG6" s="174">
        <v>318931</v>
      </c>
      <c r="QH6" s="172">
        <v>100050</v>
      </c>
      <c r="QI6" s="209">
        <v>195643.63</v>
      </c>
      <c r="QJ6" s="171">
        <f t="shared" si="90"/>
        <v>93527.77</v>
      </c>
      <c r="QK6" s="174">
        <f t="shared" si="91"/>
        <v>39128.726</v>
      </c>
      <c r="QL6" s="171">
        <f>PV6*3306*QG1+1</f>
        <v>495901</v>
      </c>
      <c r="QM6" s="174">
        <f t="shared" si="92"/>
        <v>186274.504</v>
      </c>
      <c r="QN6" s="174">
        <f t="shared" si="93"/>
        <v>151.045496750232</v>
      </c>
      <c r="QO6" s="195">
        <f t="shared" si="94"/>
        <v>365.057650273224</v>
      </c>
      <c r="QP6" s="196">
        <f t="shared" si="95"/>
        <v>0.594477825685175</v>
      </c>
      <c r="QQ6" s="197">
        <f t="shared" si="96"/>
        <v>2.40418682549854</v>
      </c>
      <c r="QR6" s="199" t="s">
        <v>118</v>
      </c>
      <c r="QS6" s="206"/>
      <c r="QT6" s="144" t="s">
        <v>125</v>
      </c>
      <c r="QU6" s="95" t="s">
        <v>124</v>
      </c>
      <c r="QV6" s="95">
        <v>3</v>
      </c>
      <c r="QW6" s="202">
        <v>9095</v>
      </c>
      <c r="QX6" s="202">
        <v>2690</v>
      </c>
      <c r="QY6" s="202">
        <v>1436957</v>
      </c>
      <c r="QZ6" s="202">
        <v>3741</v>
      </c>
      <c r="RA6" s="202">
        <v>3457151</v>
      </c>
      <c r="RB6" s="175">
        <v>2777362</v>
      </c>
      <c r="RC6" s="177">
        <f t="shared" si="97"/>
        <v>2619292</v>
      </c>
      <c r="RD6" s="171">
        <f t="shared" si="141"/>
        <v>679789</v>
      </c>
      <c r="RE6" s="170">
        <v>158070</v>
      </c>
      <c r="RF6" s="209">
        <v>567308.18</v>
      </c>
      <c r="RG6" s="171">
        <f t="shared" si="98"/>
        <v>121000.285</v>
      </c>
      <c r="RH6" s="174">
        <f t="shared" si="99"/>
        <v>56730.818</v>
      </c>
      <c r="RI6" s="171">
        <f t="shared" si="100"/>
        <v>307458</v>
      </c>
      <c r="RJ6" s="176">
        <f t="shared" si="101"/>
        <v>502057.897</v>
      </c>
      <c r="RK6" s="174">
        <f t="shared" si="102"/>
        <v>924.124832932371</v>
      </c>
      <c r="RL6" s="201">
        <f t="shared" si="103"/>
        <v>2.23386966977753</v>
      </c>
      <c r="RM6" s="197">
        <f t="shared" si="104"/>
        <v>3.82481731405223</v>
      </c>
      <c r="RN6" s="198"/>
      <c r="RO6" s="144"/>
      <c r="RP6" s="144"/>
      <c r="RQ6" s="95" t="s">
        <v>124</v>
      </c>
      <c r="RR6" s="95">
        <v>3</v>
      </c>
      <c r="RS6" s="202">
        <v>9571</v>
      </c>
      <c r="RT6" s="202">
        <v>2972</v>
      </c>
      <c r="RU6" s="202">
        <v>1483545.99</v>
      </c>
      <c r="RV6" s="202">
        <v>3976</v>
      </c>
      <c r="RW6" s="202">
        <v>3698673.99</v>
      </c>
      <c r="RX6" s="175">
        <v>3965456</v>
      </c>
      <c r="RY6" s="177">
        <f t="shared" si="105"/>
        <v>-266782.01</v>
      </c>
      <c r="RZ6" s="170">
        <v>172230</v>
      </c>
      <c r="SA6" s="170">
        <v>0</v>
      </c>
      <c r="SB6" s="174">
        <v>-427399.82</v>
      </c>
      <c r="SC6" s="171">
        <f t="shared" si="106"/>
        <v>129453.58965</v>
      </c>
      <c r="SD6" s="174">
        <v>0</v>
      </c>
      <c r="SE6" s="171">
        <f t="shared" si="108"/>
        <v>297540</v>
      </c>
      <c r="SF6" s="207">
        <f t="shared" si="109"/>
        <v>-693775.59965</v>
      </c>
      <c r="SG6" s="174">
        <f t="shared" si="110"/>
        <v>930.24999748491</v>
      </c>
      <c r="SH6" s="196">
        <f t="shared" si="111"/>
        <v>2.47578035248332</v>
      </c>
      <c r="SI6" s="197">
        <f t="shared" si="112"/>
        <v>-0.624791604526609</v>
      </c>
      <c r="SJ6" s="157"/>
      <c r="SK6" s="157"/>
      <c r="SL6" s="144"/>
      <c r="SM6" s="95" t="s">
        <v>124</v>
      </c>
      <c r="SN6" s="95">
        <v>4</v>
      </c>
      <c r="SO6" s="175">
        <v>9342</v>
      </c>
      <c r="SP6" s="175">
        <v>2508</v>
      </c>
      <c r="SQ6" s="175">
        <v>1513168</v>
      </c>
      <c r="SR6" s="175">
        <v>3575</v>
      </c>
      <c r="SS6" s="175">
        <v>3212716.17</v>
      </c>
      <c r="ST6" s="175">
        <v>3233549</v>
      </c>
      <c r="SU6" s="177">
        <f t="shared" si="113"/>
        <v>-20832.8300000001</v>
      </c>
      <c r="SV6" s="170">
        <v>171630</v>
      </c>
      <c r="SW6" s="170">
        <v>0</v>
      </c>
      <c r="SX6" s="174">
        <v>-138896.98</v>
      </c>
      <c r="SY6" s="171">
        <f t="shared" si="114"/>
        <v>112445.06595</v>
      </c>
      <c r="SZ6" s="174">
        <v>0</v>
      </c>
      <c r="TA6" s="171">
        <f t="shared" si="116"/>
        <v>496000</v>
      </c>
      <c r="TB6" s="207">
        <f t="shared" si="117"/>
        <v>-629277.89595</v>
      </c>
      <c r="TC6" s="174">
        <f t="shared" si="118"/>
        <v>898.661865734266</v>
      </c>
      <c r="TD6" s="196">
        <f t="shared" si="119"/>
        <v>1.93977229378203</v>
      </c>
      <c r="TE6" s="197">
        <f t="shared" si="120"/>
        <v>-0.0342394591818615</v>
      </c>
      <c r="TF6" s="156"/>
      <c r="TG6" s="156"/>
      <c r="TH6" s="95" t="s">
        <v>124</v>
      </c>
      <c r="TI6" s="95">
        <v>4</v>
      </c>
      <c r="TJ6" s="95">
        <v>12618</v>
      </c>
      <c r="TK6" s="95">
        <v>4504</v>
      </c>
      <c r="TL6" s="175">
        <v>2135919.99</v>
      </c>
      <c r="TM6" s="175">
        <v>5483</v>
      </c>
      <c r="TN6" s="175">
        <v>3312495.89</v>
      </c>
      <c r="TO6" s="175">
        <v>3299113</v>
      </c>
      <c r="TP6" s="175">
        <f t="shared" si="121"/>
        <v>13382.8900000001</v>
      </c>
      <c r="TQ6" s="178">
        <v>490980</v>
      </c>
      <c r="TR6" s="170">
        <v>0</v>
      </c>
      <c r="TS6" s="203">
        <v>-133796.78</v>
      </c>
      <c r="TT6" s="170">
        <f t="shared" si="122"/>
        <v>132499.8356</v>
      </c>
      <c r="TU6" s="178">
        <v>0</v>
      </c>
      <c r="TV6" s="170">
        <f t="shared" si="123"/>
        <v>448000</v>
      </c>
      <c r="TW6" s="203">
        <f t="shared" si="124"/>
        <v>-567116.9456</v>
      </c>
      <c r="TX6" s="174">
        <f t="shared" si="125"/>
        <v>604.139319715484</v>
      </c>
      <c r="TY6" s="196">
        <f t="shared" si="126"/>
        <v>1.99342994523452</v>
      </c>
      <c r="TZ6" s="102">
        <f t="shared" si="127"/>
        <v>0.0230540806030852</v>
      </c>
      <c r="UA6" s="156"/>
      <c r="UB6" s="144"/>
      <c r="UC6" s="144"/>
      <c r="UD6" s="95" t="s">
        <v>124</v>
      </c>
      <c r="UE6" s="95">
        <v>4</v>
      </c>
      <c r="UF6" s="175">
        <v>12769</v>
      </c>
      <c r="UG6" s="175">
        <v>5071</v>
      </c>
      <c r="UH6" s="175">
        <v>2872205.24</v>
      </c>
      <c r="UI6" s="175">
        <v>5126</v>
      </c>
      <c r="UJ6" s="175">
        <v>3012780.24</v>
      </c>
      <c r="UK6" s="175">
        <v>3259643</v>
      </c>
      <c r="UL6" s="175">
        <f t="shared" si="128"/>
        <v>-246862.76</v>
      </c>
      <c r="UM6" s="170">
        <v>310385</v>
      </c>
      <c r="UN6" s="170">
        <v>0</v>
      </c>
      <c r="UO6" s="203">
        <v>-349214.9</v>
      </c>
      <c r="UP6" s="170">
        <f t="shared" si="129"/>
        <v>120511.2096</v>
      </c>
      <c r="UQ6" s="178">
        <v>0</v>
      </c>
      <c r="UR6" s="170">
        <f t="shared" si="130"/>
        <v>496000</v>
      </c>
      <c r="US6" s="203">
        <f t="shared" si="131"/>
        <v>-863373.9696</v>
      </c>
      <c r="UT6" s="174">
        <f t="shared" si="132"/>
        <v>587.744877097152</v>
      </c>
      <c r="UU6" s="196">
        <f t="shared" si="133"/>
        <v>3.09873447561027</v>
      </c>
      <c r="UV6" s="102">
        <f t="shared" si="134"/>
        <v>-0.400418931814991</v>
      </c>
      <c r="UW6" s="144"/>
      <c r="UX6" s="144"/>
      <c r="UY6" s="144"/>
      <c r="UZ6" s="95" t="s">
        <v>124</v>
      </c>
      <c r="VA6" s="95">
        <v>4</v>
      </c>
      <c r="VB6" s="175">
        <v>311</v>
      </c>
      <c r="VC6" s="175">
        <v>132</v>
      </c>
      <c r="VD6" s="175">
        <v>49133</v>
      </c>
      <c r="VE6" s="175">
        <v>132</v>
      </c>
      <c r="VF6" s="175">
        <v>49133</v>
      </c>
      <c r="VG6" s="175">
        <v>45506</v>
      </c>
      <c r="VH6" s="175">
        <f t="shared" si="135"/>
        <v>3627</v>
      </c>
      <c r="VI6" s="178">
        <v>0</v>
      </c>
      <c r="VJ6" s="178">
        <v>0</v>
      </c>
      <c r="VK6" s="203">
        <v>-577.76</v>
      </c>
      <c r="VL6" s="178">
        <f t="shared" si="136"/>
        <v>1965.32</v>
      </c>
      <c r="VM6" s="178">
        <v>0</v>
      </c>
      <c r="VN6" s="170">
        <f>VA6*4000*7</f>
        <v>112000</v>
      </c>
      <c r="VO6" s="178">
        <f t="shared" si="137"/>
        <v>-110338.32</v>
      </c>
      <c r="VP6" s="174">
        <f t="shared" si="138"/>
        <v>372.219696969697</v>
      </c>
      <c r="VQ6" s="196">
        <f t="shared" si="139"/>
        <v>0.431122380036313</v>
      </c>
      <c r="VR6" s="102">
        <f t="shared" si="140"/>
        <v>0.031825471117003</v>
      </c>
      <c r="VS6" s="84" t="s">
        <v>126</v>
      </c>
      <c r="VT6" s="53"/>
      <c r="VU6" s="53"/>
    </row>
    <row r="7" ht="18" customHeight="1" spans="1:593">
      <c r="A7" s="53"/>
      <c r="B7" s="53"/>
      <c r="C7" s="160" t="s">
        <v>127</v>
      </c>
      <c r="D7" s="204">
        <v>3</v>
      </c>
      <c r="E7" s="204">
        <v>2</v>
      </c>
      <c r="F7" s="162">
        <f>'PH18'!AJ4</f>
        <v>37</v>
      </c>
      <c r="G7" s="162">
        <f>(I7/F7)/S1</f>
        <v>2.35343035343035</v>
      </c>
      <c r="H7" s="162">
        <f>'PH18'!G4</f>
        <v>4374</v>
      </c>
      <c r="I7" s="162">
        <f>'PH18'!H4</f>
        <v>2264</v>
      </c>
      <c r="J7" s="163">
        <f>'PH18'!T4</f>
        <v>351982</v>
      </c>
      <c r="K7" s="163">
        <f>'PH18'!U4</f>
        <v>489755</v>
      </c>
      <c r="L7" s="163">
        <f>'PH18'!V4</f>
        <v>405034.16</v>
      </c>
      <c r="M7" s="161">
        <f>178185+1151565</f>
        <v>1329750</v>
      </c>
      <c r="N7" s="161">
        <f>165390.3+1217405.32</f>
        <v>1382795.62</v>
      </c>
      <c r="O7" s="162">
        <f t="shared" si="0"/>
        <v>-53045.6200000001</v>
      </c>
      <c r="P7" s="162">
        <f>'PH18'!J4</f>
        <v>2034</v>
      </c>
      <c r="Q7" s="162">
        <f>'PH18'!R4</f>
        <v>396018</v>
      </c>
      <c r="R7" s="162">
        <f>'PH18'!S4</f>
        <v>262496</v>
      </c>
      <c r="S7" s="162">
        <f>'PH18'!K4</f>
        <v>8992</v>
      </c>
      <c r="T7" s="162">
        <f t="shared" si="1"/>
        <v>6728</v>
      </c>
      <c r="U7" s="162">
        <f>'PH18'!W4</f>
        <v>4557690.54</v>
      </c>
      <c r="V7" s="162">
        <f>'PH18'!X4</f>
        <v>4055648.62</v>
      </c>
      <c r="W7" s="162">
        <f t="shared" si="2"/>
        <v>502041.92</v>
      </c>
      <c r="X7" s="162">
        <f>'PH18'!D4</f>
        <v>331462</v>
      </c>
      <c r="Y7" s="185">
        <f>252642.65+114204.64</f>
        <v>366847.29</v>
      </c>
      <c r="Z7" s="179">
        <f t="shared" si="3"/>
        <v>159519.1689</v>
      </c>
      <c r="AA7" s="167">
        <f t="shared" si="4"/>
        <v>73369.458</v>
      </c>
      <c r="AB7" s="179">
        <f>(D7*3200)*S1</f>
        <v>249600</v>
      </c>
      <c r="AC7" s="167">
        <f>(E7*1733)*S1</f>
        <v>90116</v>
      </c>
      <c r="AD7" s="167">
        <f t="shared" si="5"/>
        <v>-402024.7069</v>
      </c>
      <c r="AE7" s="167">
        <f t="shared" si="6"/>
        <v>216.322879858657</v>
      </c>
      <c r="AF7" s="186">
        <f t="shared" si="7"/>
        <v>506.860602758007</v>
      </c>
      <c r="AG7" s="187">
        <f t="shared" si="8"/>
        <v>1.4708539840251</v>
      </c>
      <c r="AH7" s="188">
        <f t="shared" si="9"/>
        <v>0.555315178176056</v>
      </c>
      <c r="AI7" s="53"/>
      <c r="AJ7" s="160" t="s">
        <v>127</v>
      </c>
      <c r="AK7" s="204">
        <v>3</v>
      </c>
      <c r="AL7" s="204">
        <v>2</v>
      </c>
      <c r="AM7" s="162">
        <v>29</v>
      </c>
      <c r="AN7" s="162">
        <f>(AP7/AM7)/AZ1</f>
        <v>2.58390804597701</v>
      </c>
      <c r="AO7" s="162">
        <v>3825</v>
      </c>
      <c r="AP7" s="162">
        <v>2248</v>
      </c>
      <c r="AQ7" s="163">
        <v>386665</v>
      </c>
      <c r="AR7" s="163">
        <v>1101256</v>
      </c>
      <c r="AS7" s="163">
        <v>312535.11</v>
      </c>
      <c r="AT7" s="161">
        <v>1923477.46</v>
      </c>
      <c r="AU7" s="161">
        <v>1267336.11</v>
      </c>
      <c r="AV7" s="162">
        <f t="shared" si="10"/>
        <v>656141.35</v>
      </c>
      <c r="AW7" s="162">
        <v>1062648</v>
      </c>
      <c r="AX7" s="162">
        <v>1062648</v>
      </c>
      <c r="AY7" s="162">
        <v>285088.11</v>
      </c>
      <c r="AZ7" s="162">
        <v>9211</v>
      </c>
      <c r="BA7" s="162">
        <v>6963</v>
      </c>
      <c r="BB7" s="162">
        <v>5873504.51</v>
      </c>
      <c r="BC7" s="162">
        <v>4026910.45</v>
      </c>
      <c r="BD7" s="162">
        <f t="shared" si="11"/>
        <v>1846594.06</v>
      </c>
      <c r="BE7" s="162">
        <v>305170</v>
      </c>
      <c r="BF7" s="185">
        <v>1827228.45</v>
      </c>
      <c r="BG7" s="179">
        <f t="shared" si="12"/>
        <v>205572.65785</v>
      </c>
      <c r="BH7" s="167">
        <f t="shared" si="13"/>
        <v>365445.69</v>
      </c>
      <c r="BI7" s="179">
        <f>(AK7*3200)*AZ1</f>
        <v>288000</v>
      </c>
      <c r="BJ7" s="167">
        <f>(AL7*1733)*AZ1</f>
        <v>103980</v>
      </c>
      <c r="BK7" s="167">
        <f t="shared" si="14"/>
        <v>578425.71215</v>
      </c>
      <c r="BL7" s="167">
        <f t="shared" si="15"/>
        <v>489.88256227758</v>
      </c>
      <c r="BM7" s="186">
        <f t="shared" si="16"/>
        <v>637.661981326675</v>
      </c>
      <c r="BN7" s="187">
        <f t="shared" si="17"/>
        <v>1.65220469999742</v>
      </c>
      <c r="BO7" s="188">
        <f t="shared" si="18"/>
        <v>1.45611114102527</v>
      </c>
      <c r="BP7" s="53"/>
      <c r="BQ7" s="160" t="s">
        <v>127</v>
      </c>
      <c r="BR7" s="204">
        <v>2</v>
      </c>
      <c r="BS7" s="204">
        <v>1</v>
      </c>
      <c r="BT7" s="162">
        <v>48</v>
      </c>
      <c r="BU7" s="162">
        <v>0.793682795698925</v>
      </c>
      <c r="BV7" s="162">
        <v>1938</v>
      </c>
      <c r="BW7" s="162">
        <v>1181</v>
      </c>
      <c r="BX7" s="163">
        <v>177747.4</v>
      </c>
      <c r="BY7" s="163">
        <v>262660</v>
      </c>
      <c r="BZ7" s="163">
        <v>152117</v>
      </c>
      <c r="CA7" s="161">
        <v>612944.4</v>
      </c>
      <c r="CB7" s="161">
        <v>525546</v>
      </c>
      <c r="CC7" s="162">
        <v>87398.4</v>
      </c>
      <c r="CD7" s="162">
        <v>1028</v>
      </c>
      <c r="CE7" s="162">
        <v>224524</v>
      </c>
      <c r="CF7" s="162">
        <v>132647</v>
      </c>
      <c r="CG7" s="162">
        <v>9246</v>
      </c>
      <c r="CH7" s="162">
        <v>8065</v>
      </c>
      <c r="CI7" s="162">
        <v>7210798.03</v>
      </c>
      <c r="CJ7" s="162">
        <v>5158838</v>
      </c>
      <c r="CK7" s="162">
        <f t="shared" si="19"/>
        <v>2051960.03</v>
      </c>
      <c r="CL7" s="162">
        <v>167640</v>
      </c>
      <c r="CM7" s="185">
        <v>1787157.41</v>
      </c>
      <c r="CN7" s="179">
        <f t="shared" si="20"/>
        <v>252377.93105</v>
      </c>
      <c r="CO7" s="167">
        <f t="shared" si="21"/>
        <v>357431.482</v>
      </c>
      <c r="CP7" s="179">
        <f>(BR7*3200)*CI1</f>
        <v>198400</v>
      </c>
      <c r="CQ7" s="167">
        <f>(BS7*1733)*CI1</f>
        <v>53723</v>
      </c>
      <c r="CR7" s="167">
        <f t="shared" si="22"/>
        <v>1022387.61695</v>
      </c>
      <c r="CS7" s="167">
        <f t="shared" si="23"/>
        <v>222.404741744285</v>
      </c>
      <c r="CT7" s="186">
        <f t="shared" si="24"/>
        <v>779.882979666883</v>
      </c>
      <c r="CU7" s="187">
        <f t="shared" si="25"/>
        <v>0.628113714885838</v>
      </c>
      <c r="CV7" s="188">
        <f t="shared" si="26"/>
        <v>1.99302157283069</v>
      </c>
      <c r="CW7" s="53"/>
      <c r="CX7" s="160" t="s">
        <v>127</v>
      </c>
      <c r="CY7" s="204">
        <v>2</v>
      </c>
      <c r="CZ7" s="204">
        <v>1</v>
      </c>
      <c r="DA7" s="162">
        <v>36</v>
      </c>
      <c r="DB7" s="162">
        <v>1.29166666666667</v>
      </c>
      <c r="DC7" s="162">
        <v>2361</v>
      </c>
      <c r="DD7" s="162">
        <v>1395</v>
      </c>
      <c r="DE7" s="163">
        <v>212835</v>
      </c>
      <c r="DF7" s="163">
        <v>291643</v>
      </c>
      <c r="DG7" s="163">
        <v>168420.4</v>
      </c>
      <c r="DH7" s="161">
        <v>1009913.83</v>
      </c>
      <c r="DI7" s="161">
        <v>830178.17</v>
      </c>
      <c r="DJ7" s="162">
        <f t="shared" si="27"/>
        <v>179735.66</v>
      </c>
      <c r="DK7" s="162">
        <v>1245</v>
      </c>
      <c r="DL7" s="162">
        <v>260759</v>
      </c>
      <c r="DM7" s="162">
        <v>144634.9</v>
      </c>
      <c r="DN7" s="162">
        <v>10172</v>
      </c>
      <c r="DO7" s="162">
        <v>8777</v>
      </c>
      <c r="DP7" s="162">
        <v>7516135.28</v>
      </c>
      <c r="DQ7" s="162">
        <v>6694214</v>
      </c>
      <c r="DR7" s="162">
        <f t="shared" si="28"/>
        <v>821921.28</v>
      </c>
      <c r="DS7" s="162">
        <v>235810</v>
      </c>
      <c r="DT7" s="185">
        <v>582806.6</v>
      </c>
      <c r="DU7" s="179">
        <f t="shared" si="29"/>
        <v>263064.7348</v>
      </c>
      <c r="DV7" s="167">
        <f t="shared" si="30"/>
        <v>116561.32</v>
      </c>
      <c r="DW7" s="179">
        <f>(CY7*3200)*DP1</f>
        <v>192000</v>
      </c>
      <c r="DX7" s="167">
        <f>(CZ7*1733)*DP1</f>
        <v>51990</v>
      </c>
      <c r="DY7" s="167">
        <f t="shared" si="31"/>
        <v>-37504.7747999997</v>
      </c>
      <c r="DZ7" s="167">
        <f t="shared" si="32"/>
        <v>209.063082437276</v>
      </c>
      <c r="EA7" s="186">
        <f t="shared" si="33"/>
        <v>738.904372788046</v>
      </c>
      <c r="EB7" s="187">
        <f t="shared" si="34"/>
        <v>1.25076632879634</v>
      </c>
      <c r="EC7" s="188">
        <f t="shared" si="35"/>
        <v>0.956360672811197</v>
      </c>
      <c r="ED7" s="53"/>
      <c r="EE7" s="160" t="s">
        <v>127</v>
      </c>
      <c r="EF7" s="160">
        <v>2</v>
      </c>
      <c r="EG7" s="160">
        <v>1</v>
      </c>
      <c r="EH7" s="162">
        <v>40</v>
      </c>
      <c r="EI7" s="162">
        <v>1.98467741935484</v>
      </c>
      <c r="EJ7" s="162">
        <v>4811</v>
      </c>
      <c r="EK7" s="162">
        <v>2461</v>
      </c>
      <c r="EL7" s="163">
        <v>393279.41</v>
      </c>
      <c r="EM7" s="163">
        <v>532568.41</v>
      </c>
      <c r="EN7" s="163">
        <v>323728.38</v>
      </c>
      <c r="EO7" s="161">
        <v>1350562.43</v>
      </c>
      <c r="EP7" s="161">
        <v>1180889.38</v>
      </c>
      <c r="EQ7" s="162">
        <v>169673.05</v>
      </c>
      <c r="ER7" s="162">
        <v>2092</v>
      </c>
      <c r="ES7" s="162">
        <v>441874.41</v>
      </c>
      <c r="ET7" s="162">
        <v>264490.38</v>
      </c>
      <c r="EU7" s="162">
        <v>14566</v>
      </c>
      <c r="EV7" s="162">
        <v>12105</v>
      </c>
      <c r="EW7" s="162">
        <v>8250113.78</v>
      </c>
      <c r="EX7" s="162">
        <v>7568715</v>
      </c>
      <c r="EY7" s="162">
        <v>681398.779999999</v>
      </c>
      <c r="EZ7" s="162">
        <v>315490</v>
      </c>
      <c r="FA7" s="185">
        <v>427940.13</v>
      </c>
      <c r="FB7" s="179">
        <v>288753.9823</v>
      </c>
      <c r="FC7" s="167">
        <v>85588.026</v>
      </c>
      <c r="FD7" s="179">
        <f>(EF7*3200)*EW1</f>
        <v>198400</v>
      </c>
      <c r="FE7" s="167">
        <f>(EG7*1733)*EW1</f>
        <v>53723</v>
      </c>
      <c r="FF7" s="167">
        <v>-293602.228300001</v>
      </c>
      <c r="FG7" s="167">
        <v>216.403254774482</v>
      </c>
      <c r="FH7" s="186">
        <v>566.395289029246</v>
      </c>
      <c r="FI7" s="187">
        <v>1.46596620980039</v>
      </c>
      <c r="FJ7" s="188">
        <v>0.69886982085083</v>
      </c>
      <c r="FK7" s="53"/>
      <c r="FL7" s="53"/>
      <c r="FM7" s="53"/>
      <c r="FN7" s="160" t="s">
        <v>127</v>
      </c>
      <c r="FO7" s="160">
        <v>2</v>
      </c>
      <c r="FP7" s="160">
        <v>1</v>
      </c>
      <c r="FQ7" s="162">
        <v>62</v>
      </c>
      <c r="FR7" s="162">
        <f>(FT7/FQ7)/GF1</f>
        <v>1.2713133640553</v>
      </c>
      <c r="FS7" s="162">
        <v>4966</v>
      </c>
      <c r="FT7" s="162">
        <v>2207</v>
      </c>
      <c r="FU7" s="163">
        <v>373153.07</v>
      </c>
      <c r="FV7" s="163">
        <v>521188.07</v>
      </c>
      <c r="FW7" s="163">
        <v>344679</v>
      </c>
      <c r="FX7" s="161">
        <v>1768725.27</v>
      </c>
      <c r="FY7" s="161">
        <v>1658044</v>
      </c>
      <c r="FZ7" s="162">
        <f t="shared" si="36"/>
        <v>110681.27</v>
      </c>
      <c r="GA7" s="162">
        <v>1864</v>
      </c>
      <c r="GB7" s="162">
        <v>427415.07</v>
      </c>
      <c r="GC7" s="162">
        <v>273927</v>
      </c>
      <c r="GD7" s="162">
        <v>14175</v>
      </c>
      <c r="GE7" s="162">
        <v>11968</v>
      </c>
      <c r="GF7" s="162">
        <v>7700878.28</v>
      </c>
      <c r="GG7" s="162">
        <v>6703863.25</v>
      </c>
      <c r="GH7" s="162">
        <v>997015.030000001</v>
      </c>
      <c r="GI7" s="162">
        <v>285630</v>
      </c>
      <c r="GJ7" s="185">
        <v>715176.18</v>
      </c>
      <c r="GK7" s="179">
        <v>269530.7398</v>
      </c>
      <c r="GL7" s="167">
        <v>143035.236</v>
      </c>
      <c r="GM7" s="179">
        <f>(FO7*3200)*GF1</f>
        <v>179200</v>
      </c>
      <c r="GN7" s="167">
        <f>(FP7*1733)*GF1</f>
        <v>48524</v>
      </c>
      <c r="GO7" s="167">
        <v>41247.0542000011</v>
      </c>
      <c r="GP7" s="167">
        <v>236.152274580879</v>
      </c>
      <c r="GQ7" s="186">
        <v>543.27183633157</v>
      </c>
      <c r="GR7" s="187">
        <f t="shared" si="37"/>
        <v>2.0158803080756</v>
      </c>
      <c r="GS7" s="188">
        <f t="shared" si="38"/>
        <v>1.07678315195498</v>
      </c>
      <c r="GT7" s="53"/>
      <c r="GU7" s="53"/>
      <c r="GV7" s="160" t="s">
        <v>127</v>
      </c>
      <c r="GW7" s="160">
        <v>2</v>
      </c>
      <c r="GX7" s="160">
        <v>1</v>
      </c>
      <c r="GY7" s="162">
        <v>50</v>
      </c>
      <c r="GZ7" s="162">
        <f>(HB7/GY7)/HL1</f>
        <v>1.88387096774194</v>
      </c>
      <c r="HA7" s="162">
        <v>7039</v>
      </c>
      <c r="HB7" s="162">
        <v>2920</v>
      </c>
      <c r="HC7" s="163">
        <v>444871</v>
      </c>
      <c r="HD7" s="163">
        <v>607365</v>
      </c>
      <c r="HE7" s="163">
        <v>419779</v>
      </c>
      <c r="HF7" s="161">
        <v>1616410.06</v>
      </c>
      <c r="HG7" s="161">
        <v>1511247</v>
      </c>
      <c r="HH7" s="162">
        <f t="shared" si="39"/>
        <v>105163.06</v>
      </c>
      <c r="HI7" s="162">
        <v>2448</v>
      </c>
      <c r="HJ7" s="162">
        <v>506301</v>
      </c>
      <c r="HK7" s="162">
        <v>360356</v>
      </c>
      <c r="HL7" s="162">
        <v>18094</v>
      </c>
      <c r="HM7" s="162">
        <v>15174</v>
      </c>
      <c r="HN7" s="162">
        <v>8551758.26</v>
      </c>
      <c r="HO7" s="162">
        <v>7699218</v>
      </c>
      <c r="HP7" s="162">
        <v>852540.26</v>
      </c>
      <c r="HQ7" s="162">
        <v>415560</v>
      </c>
      <c r="HR7" s="185">
        <v>531792.83</v>
      </c>
      <c r="HS7" s="179">
        <v>299311.5391</v>
      </c>
      <c r="HT7" s="167">
        <v>69371.85</v>
      </c>
      <c r="HU7" s="179">
        <f t="shared" si="40"/>
        <v>198400</v>
      </c>
      <c r="HV7" s="167">
        <f t="shared" si="41"/>
        <v>53723</v>
      </c>
      <c r="HW7" s="167">
        <v>-216872.1291</v>
      </c>
      <c r="HX7" s="167">
        <v>208.001712328767</v>
      </c>
      <c r="HY7" s="186">
        <v>472.629504808224</v>
      </c>
      <c r="HZ7" s="187">
        <f t="shared" si="42"/>
        <v>1.64496100816438</v>
      </c>
      <c r="IA7" s="188">
        <f t="shared" si="43"/>
        <v>0.822624381653637</v>
      </c>
      <c r="IB7" s="53"/>
      <c r="IC7" s="53"/>
      <c r="ID7" s="160" t="s">
        <v>127</v>
      </c>
      <c r="IE7" s="160">
        <v>3</v>
      </c>
      <c r="IF7" s="160">
        <v>0</v>
      </c>
      <c r="IG7" s="162">
        <v>58</v>
      </c>
      <c r="IH7" s="162">
        <f>(IJ7/IG7)/IT1</f>
        <v>3.05784204671858</v>
      </c>
      <c r="II7" s="162">
        <v>13675</v>
      </c>
      <c r="IJ7" s="162">
        <v>5498</v>
      </c>
      <c r="IK7" s="163">
        <v>816908</v>
      </c>
      <c r="IL7" s="163">
        <v>1173968.89</v>
      </c>
      <c r="IM7" s="163">
        <v>735381</v>
      </c>
      <c r="IN7" s="161">
        <v>3215200.5</v>
      </c>
      <c r="IO7" s="161">
        <v>2943729</v>
      </c>
      <c r="IP7" s="162">
        <f t="shared" si="44"/>
        <v>271471.5</v>
      </c>
      <c r="IQ7" s="162">
        <v>4565</v>
      </c>
      <c r="IR7" s="162">
        <v>993658.89</v>
      </c>
      <c r="IS7" s="162">
        <v>603710</v>
      </c>
      <c r="IT7" s="162">
        <v>26333</v>
      </c>
      <c r="IU7" s="162">
        <v>20835</v>
      </c>
      <c r="IV7" s="162">
        <v>11702603.63</v>
      </c>
      <c r="IW7" s="162">
        <v>9537748</v>
      </c>
      <c r="IX7" s="162">
        <f t="shared" si="45"/>
        <v>2164855.63</v>
      </c>
      <c r="IY7" s="162">
        <v>500700</v>
      </c>
      <c r="IZ7" s="185">
        <v>1697468.33</v>
      </c>
      <c r="JA7" s="179">
        <f t="shared" si="46"/>
        <v>409591.12705</v>
      </c>
      <c r="JB7" s="167">
        <f t="shared" si="47"/>
        <v>339493.666</v>
      </c>
      <c r="JC7" s="179">
        <v>221824</v>
      </c>
      <c r="JD7" s="167">
        <v>0</v>
      </c>
      <c r="JE7" s="167">
        <f t="shared" si="48"/>
        <v>693246.836950001</v>
      </c>
      <c r="JF7" s="167">
        <f t="shared" si="49"/>
        <v>213.526535103674</v>
      </c>
      <c r="JG7" s="186">
        <f t="shared" si="50"/>
        <v>444.408294915126</v>
      </c>
      <c r="JH7" s="187">
        <f t="shared" si="51"/>
        <v>0.797745226546844</v>
      </c>
      <c r="JI7" s="188">
        <f t="shared" si="52"/>
        <v>1.47108092872509</v>
      </c>
      <c r="JJ7" s="190"/>
      <c r="JK7" s="53"/>
      <c r="JL7" s="160" t="s">
        <v>127</v>
      </c>
      <c r="JM7" s="160">
        <v>5</v>
      </c>
      <c r="JN7" s="160">
        <v>0</v>
      </c>
      <c r="JO7" s="162">
        <v>88</v>
      </c>
      <c r="JP7" s="162">
        <f>(JR7/JO7)/KB1</f>
        <v>1.5155303030303</v>
      </c>
      <c r="JQ7" s="162">
        <v>8925</v>
      </c>
      <c r="JR7" s="162">
        <v>4001</v>
      </c>
      <c r="JS7" s="163">
        <v>586063</v>
      </c>
      <c r="JT7" s="163">
        <v>833665</v>
      </c>
      <c r="JU7" s="163">
        <v>454778</v>
      </c>
      <c r="JV7" s="161">
        <v>2076869.82</v>
      </c>
      <c r="JW7" s="161">
        <v>1667987</v>
      </c>
      <c r="JX7" s="162">
        <f t="shared" si="53"/>
        <v>408882.82</v>
      </c>
      <c r="JY7" s="162">
        <v>3316</v>
      </c>
      <c r="JZ7" s="162">
        <v>687740</v>
      </c>
      <c r="KA7" s="162">
        <v>366665</v>
      </c>
      <c r="KB7" s="162">
        <v>22103</v>
      </c>
      <c r="KC7" s="162">
        <v>18102</v>
      </c>
      <c r="KD7" s="162">
        <v>10406088.77</v>
      </c>
      <c r="KE7" s="162">
        <v>8457605</v>
      </c>
      <c r="KF7" s="162">
        <f t="shared" si="54"/>
        <v>1948483.77</v>
      </c>
      <c r="KG7" s="162">
        <v>379360</v>
      </c>
      <c r="KH7" s="185">
        <v>1578733.55</v>
      </c>
      <c r="KI7" s="179">
        <f t="shared" si="55"/>
        <v>364213.10695</v>
      </c>
      <c r="KJ7" s="167">
        <f t="shared" si="56"/>
        <v>315746.71</v>
      </c>
      <c r="KK7" s="179">
        <v>259950</v>
      </c>
      <c r="KL7" s="167">
        <v>0</v>
      </c>
      <c r="KM7" s="167">
        <f t="shared" si="57"/>
        <v>629213.95305</v>
      </c>
      <c r="KN7" s="167">
        <f t="shared" si="58"/>
        <v>208.36415896026</v>
      </c>
      <c r="KO7" s="186">
        <f t="shared" si="59"/>
        <v>470.7998357689</v>
      </c>
      <c r="KP7" s="187">
        <f t="shared" si="60"/>
        <v>0.63191394913236</v>
      </c>
      <c r="KQ7" s="188">
        <f t="shared" si="61"/>
        <v>1.47694106616088</v>
      </c>
      <c r="KR7" s="53"/>
      <c r="KS7" s="53"/>
      <c r="KT7" s="160" t="s">
        <v>127</v>
      </c>
      <c r="KU7" s="160">
        <v>5</v>
      </c>
      <c r="KV7" s="160">
        <v>0</v>
      </c>
      <c r="KW7" s="162">
        <v>125</v>
      </c>
      <c r="KX7" s="162">
        <f>(KZ7/KW7)/LJ1</f>
        <v>1.43096774193548</v>
      </c>
      <c r="KY7" s="162">
        <v>13728</v>
      </c>
      <c r="KZ7" s="162">
        <v>5545</v>
      </c>
      <c r="LA7" s="163">
        <v>841950</v>
      </c>
      <c r="LB7" s="163">
        <v>1279811</v>
      </c>
      <c r="LC7" s="163">
        <v>811336</v>
      </c>
      <c r="LD7" s="161">
        <v>4175580.67</v>
      </c>
      <c r="LE7" s="161">
        <v>3529556</v>
      </c>
      <c r="LF7" s="162">
        <f t="shared" si="62"/>
        <v>3529556</v>
      </c>
      <c r="LG7" s="162">
        <v>4640</v>
      </c>
      <c r="LH7" s="162">
        <v>1038759</v>
      </c>
      <c r="LI7" s="162">
        <v>650982</v>
      </c>
      <c r="LJ7" s="162">
        <v>27158</v>
      </c>
      <c r="LK7" s="162">
        <v>21613</v>
      </c>
      <c r="LL7" s="162">
        <v>11362923.61</v>
      </c>
      <c r="LM7" s="162">
        <v>9899067</v>
      </c>
      <c r="LN7" s="162">
        <v>1463856.61</v>
      </c>
      <c r="LO7" s="162">
        <v>344550</v>
      </c>
      <c r="LP7" s="185">
        <v>1013835.48</v>
      </c>
      <c r="LQ7" s="179">
        <v>397702.32635</v>
      </c>
      <c r="LR7" s="167">
        <v>202767.096</v>
      </c>
      <c r="LS7" s="179">
        <v>268615</v>
      </c>
      <c r="LT7" s="167">
        <v>0</v>
      </c>
      <c r="LU7" s="167">
        <v>250222.187650003</v>
      </c>
      <c r="LV7" s="167">
        <v>230.804508566276</v>
      </c>
      <c r="LW7" s="186">
        <v>418.400604241844</v>
      </c>
      <c r="LX7" s="187">
        <v>1.05452760438507</v>
      </c>
      <c r="LY7" s="188">
        <v>1.20617591512071</v>
      </c>
      <c r="LZ7" s="191"/>
      <c r="MA7" s="192"/>
      <c r="MB7" s="160" t="s">
        <v>127</v>
      </c>
      <c r="MC7" s="160">
        <v>5</v>
      </c>
      <c r="MD7" s="160">
        <v>0</v>
      </c>
      <c r="ME7" s="162">
        <v>142</v>
      </c>
      <c r="MF7" s="162">
        <f>(MH7/ME7)/MR1</f>
        <v>1.56009389671361</v>
      </c>
      <c r="MG7" s="162">
        <v>14928</v>
      </c>
      <c r="MH7" s="162">
        <v>6646</v>
      </c>
      <c r="MI7" s="163">
        <v>1089920.44</v>
      </c>
      <c r="MJ7" s="163">
        <v>1740947</v>
      </c>
      <c r="MK7" s="163">
        <v>1093491</v>
      </c>
      <c r="ML7" s="161">
        <v>4894921.1</v>
      </c>
      <c r="MM7" s="161">
        <v>4218503</v>
      </c>
      <c r="MN7" s="162">
        <f t="shared" si="63"/>
        <v>676418.1</v>
      </c>
      <c r="MO7" s="162">
        <v>5574</v>
      </c>
      <c r="MP7" s="162">
        <v>1474642.44</v>
      </c>
      <c r="MQ7" s="162">
        <v>729309</v>
      </c>
      <c r="MR7" s="162">
        <v>27821</v>
      </c>
      <c r="MS7" s="162">
        <v>21175</v>
      </c>
      <c r="MT7" s="162">
        <v>16118825.75</v>
      </c>
      <c r="MU7" s="162">
        <v>15815437</v>
      </c>
      <c r="MV7" s="162">
        <f t="shared" si="64"/>
        <v>303388.75</v>
      </c>
      <c r="MW7" s="162">
        <v>503340</v>
      </c>
      <c r="MX7" s="185">
        <v>-258291.46</v>
      </c>
      <c r="MY7" s="179">
        <f t="shared" si="65"/>
        <v>564158.90125</v>
      </c>
      <c r="MZ7" s="167">
        <v>0</v>
      </c>
      <c r="NA7" s="179">
        <v>259950</v>
      </c>
      <c r="NB7" s="167">
        <f t="shared" si="67"/>
        <v>-1024060.15125</v>
      </c>
      <c r="NC7" s="167">
        <v>0</v>
      </c>
      <c r="ND7" s="167">
        <f t="shared" si="68"/>
        <v>261.954107733975</v>
      </c>
      <c r="NE7" s="186">
        <f t="shared" si="69"/>
        <v>579.376217605406</v>
      </c>
      <c r="NF7" s="187">
        <f t="shared" si="70"/>
        <v>1.3114983170807</v>
      </c>
      <c r="NG7" s="188">
        <f t="shared" si="71"/>
        <v>0.228550228723917</v>
      </c>
      <c r="NH7" s="53"/>
      <c r="NI7" s="53"/>
      <c r="NJ7" s="160" t="s">
        <v>127</v>
      </c>
      <c r="NK7" s="160">
        <v>7</v>
      </c>
      <c r="NL7" s="160">
        <v>0</v>
      </c>
      <c r="NM7" s="162">
        <v>145</v>
      </c>
      <c r="NN7" s="162">
        <f>(NP7/NM7)/NZ1</f>
        <v>2.21579532814238</v>
      </c>
      <c r="NO7" s="162">
        <v>18131</v>
      </c>
      <c r="NP7" s="162">
        <v>9960</v>
      </c>
      <c r="NQ7" s="163">
        <v>1429557</v>
      </c>
      <c r="NR7" s="163">
        <v>1999654</v>
      </c>
      <c r="NS7" s="163">
        <v>1448096</v>
      </c>
      <c r="NT7" s="161">
        <v>5004447.66</v>
      </c>
      <c r="NU7" s="161">
        <v>4615209</v>
      </c>
      <c r="NV7" s="162">
        <f t="shared" si="72"/>
        <v>389238.66</v>
      </c>
      <c r="NW7" s="162">
        <v>8477</v>
      </c>
      <c r="NX7" s="162">
        <v>1678195</v>
      </c>
      <c r="NY7" s="162">
        <v>1211360</v>
      </c>
      <c r="NZ7" s="162">
        <v>30033</v>
      </c>
      <c r="OA7" s="162">
        <f t="shared" si="73"/>
        <v>20073</v>
      </c>
      <c r="OB7" s="162">
        <v>10161098.14</v>
      </c>
      <c r="OC7" s="162">
        <v>9583644</v>
      </c>
      <c r="OD7" s="162">
        <f t="shared" si="74"/>
        <v>577454.140000001</v>
      </c>
      <c r="OE7" s="162">
        <v>936840</v>
      </c>
      <c r="OF7" s="185">
        <v>71129.53</v>
      </c>
      <c r="OG7" s="179">
        <f t="shared" si="75"/>
        <v>355638.4349</v>
      </c>
      <c r="OH7" s="167">
        <f t="shared" si="76"/>
        <v>14225.906</v>
      </c>
      <c r="OI7" s="179">
        <v>344867</v>
      </c>
      <c r="OJ7" s="167">
        <v>0</v>
      </c>
      <c r="OK7" s="167">
        <f t="shared" si="77"/>
        <v>-1074117.2009</v>
      </c>
      <c r="OL7" s="167">
        <f t="shared" si="78"/>
        <v>200.768473895582</v>
      </c>
      <c r="OM7" s="186">
        <f t="shared" si="79"/>
        <v>338.331107115506</v>
      </c>
      <c r="ON7" s="187">
        <f t="shared" si="80"/>
        <v>1.21075847617356</v>
      </c>
      <c r="OO7" s="188">
        <f t="shared" si="81"/>
        <v>0.349639234890892</v>
      </c>
      <c r="OP7" s="53"/>
      <c r="OQ7" s="193"/>
      <c r="OR7" s="53"/>
      <c r="OS7" s="95" t="s">
        <v>127</v>
      </c>
      <c r="OT7" s="95">
        <v>6</v>
      </c>
      <c r="OU7" s="194">
        <v>175</v>
      </c>
      <c r="OV7" s="194">
        <v>22136</v>
      </c>
      <c r="OW7" s="194">
        <v>11483</v>
      </c>
      <c r="OX7" s="194">
        <v>1676707</v>
      </c>
      <c r="OY7" s="194">
        <v>2217047</v>
      </c>
      <c r="OZ7" s="194">
        <v>1487147</v>
      </c>
      <c r="PA7" s="208">
        <v>5292446.84</v>
      </c>
      <c r="PB7" s="208">
        <v>4474229</v>
      </c>
      <c r="PC7" s="194">
        <v>29075</v>
      </c>
      <c r="PD7" s="170">
        <v>17592</v>
      </c>
      <c r="PE7" s="194">
        <v>8439571.84</v>
      </c>
      <c r="PF7" s="170">
        <v>6953178</v>
      </c>
      <c r="PG7" s="170">
        <f t="shared" si="82"/>
        <v>1486393.84</v>
      </c>
      <c r="PH7" s="178">
        <v>1153200</v>
      </c>
      <c r="PI7" s="209">
        <v>948017.1</v>
      </c>
      <c r="PJ7" s="171">
        <f t="shared" si="83"/>
        <v>295385.0144</v>
      </c>
      <c r="PK7" s="174">
        <f t="shared" si="84"/>
        <v>189603.42</v>
      </c>
      <c r="PL7" s="171">
        <f>OT7*1733*PF1+1</f>
        <v>322339</v>
      </c>
      <c r="PM7" s="174">
        <f t="shared" si="85"/>
        <v>-474133.5944</v>
      </c>
      <c r="PN7" s="174">
        <f t="shared" si="86"/>
        <v>193.072106592354</v>
      </c>
      <c r="PO7" s="195">
        <f t="shared" si="87"/>
        <v>290.269022871883</v>
      </c>
      <c r="PP7" s="196">
        <f t="shared" si="88"/>
        <v>1.13084211988011</v>
      </c>
      <c r="PQ7" s="197">
        <f t="shared" si="89"/>
        <v>0.75816018379508</v>
      </c>
      <c r="PR7" s="198"/>
      <c r="PS7" s="157"/>
      <c r="PT7" s="144"/>
      <c r="PU7" s="95" t="s">
        <v>127</v>
      </c>
      <c r="PV7" s="95">
        <v>6</v>
      </c>
      <c r="PW7" s="194">
        <v>196</v>
      </c>
      <c r="PX7" s="194">
        <v>18694</v>
      </c>
      <c r="PY7" s="194">
        <v>8791</v>
      </c>
      <c r="PZ7" s="194">
        <v>1329954</v>
      </c>
      <c r="QA7" s="194">
        <v>1808204</v>
      </c>
      <c r="QB7" s="194">
        <v>1066383</v>
      </c>
      <c r="QC7" s="194">
        <v>22040</v>
      </c>
      <c r="QD7" s="170">
        <v>13249</v>
      </c>
      <c r="QE7" s="194">
        <v>7178463.76</v>
      </c>
      <c r="QF7" s="171">
        <v>6638412</v>
      </c>
      <c r="QG7" s="174">
        <v>540051.76</v>
      </c>
      <c r="QH7" s="205">
        <v>806690</v>
      </c>
      <c r="QI7" s="209">
        <v>167385.12</v>
      </c>
      <c r="QJ7" s="171">
        <f t="shared" si="90"/>
        <v>251246.2316</v>
      </c>
      <c r="QK7" s="174">
        <f t="shared" si="91"/>
        <v>33477.024</v>
      </c>
      <c r="QL7" s="171">
        <f>PV7*3306*QG1+1</f>
        <v>595081</v>
      </c>
      <c r="QM7" s="174">
        <f t="shared" si="92"/>
        <v>255328.5044</v>
      </c>
      <c r="QN7" s="174">
        <f t="shared" si="93"/>
        <v>151.285860539188</v>
      </c>
      <c r="QO7" s="195">
        <f t="shared" si="94"/>
        <v>325.701622504537</v>
      </c>
      <c r="QP7" s="196">
        <f t="shared" si="95"/>
        <v>1.07216730445174</v>
      </c>
      <c r="QQ7" s="197">
        <f t="shared" si="96"/>
        <v>1.89676027292517</v>
      </c>
      <c r="QR7" s="199" t="s">
        <v>118</v>
      </c>
      <c r="QS7" s="206"/>
      <c r="QT7" s="144" t="s">
        <v>128</v>
      </c>
      <c r="QU7" s="95" t="s">
        <v>127</v>
      </c>
      <c r="QV7" s="95">
        <v>4</v>
      </c>
      <c r="QW7" s="202">
        <v>14715</v>
      </c>
      <c r="QX7" s="202">
        <v>7063</v>
      </c>
      <c r="QY7" s="202">
        <v>3205612.92</v>
      </c>
      <c r="QZ7" s="202">
        <v>8372</v>
      </c>
      <c r="RA7" s="202">
        <v>5662956.24</v>
      </c>
      <c r="RB7" s="175">
        <v>5146982</v>
      </c>
      <c r="RC7" s="177">
        <f t="shared" si="97"/>
        <v>4454182</v>
      </c>
      <c r="RD7" s="171">
        <f t="shared" si="141"/>
        <v>515974.24</v>
      </c>
      <c r="RE7" s="178">
        <v>692800</v>
      </c>
      <c r="RF7" s="209">
        <v>219056.76</v>
      </c>
      <c r="RG7" s="171">
        <f t="shared" si="98"/>
        <v>198203.4684</v>
      </c>
      <c r="RH7" s="174">
        <f t="shared" si="99"/>
        <v>21905.676</v>
      </c>
      <c r="RI7" s="171">
        <f t="shared" si="100"/>
        <v>409944</v>
      </c>
      <c r="RJ7" s="176">
        <f t="shared" si="101"/>
        <v>295865.0956</v>
      </c>
      <c r="RK7" s="174">
        <f t="shared" si="102"/>
        <v>676.416177735308</v>
      </c>
      <c r="RL7" s="201">
        <f t="shared" si="103"/>
        <v>2.42325683207561</v>
      </c>
      <c r="RM7" s="197">
        <f t="shared" si="104"/>
        <v>2.34417448401112</v>
      </c>
      <c r="RN7" s="198"/>
      <c r="RO7" s="144"/>
      <c r="RP7" s="144"/>
      <c r="RQ7" s="95" t="s">
        <v>127</v>
      </c>
      <c r="RR7" s="95">
        <v>3</v>
      </c>
      <c r="RS7" s="175">
        <v>11178</v>
      </c>
      <c r="RT7" s="175">
        <v>5481</v>
      </c>
      <c r="RU7" s="175">
        <v>2359144.87</v>
      </c>
      <c r="RV7" s="175">
        <v>6333</v>
      </c>
      <c r="RW7" s="175">
        <v>3641576.01</v>
      </c>
      <c r="RX7" s="175">
        <v>3457365</v>
      </c>
      <c r="RY7" s="177">
        <f t="shared" si="105"/>
        <v>184211.01</v>
      </c>
      <c r="RZ7" s="178">
        <v>486240</v>
      </c>
      <c r="SA7" s="170">
        <v>0</v>
      </c>
      <c r="SB7" s="174">
        <v>37856.94</v>
      </c>
      <c r="SC7" s="171">
        <f t="shared" si="106"/>
        <v>127455.16035</v>
      </c>
      <c r="SD7" s="174">
        <f t="shared" si="107"/>
        <v>3785.694</v>
      </c>
      <c r="SE7" s="171">
        <f t="shared" si="108"/>
        <v>297540</v>
      </c>
      <c r="SF7" s="207">
        <f t="shared" si="109"/>
        <v>-244569.84435</v>
      </c>
      <c r="SG7" s="174">
        <f t="shared" si="110"/>
        <v>575.015949786831</v>
      </c>
      <c r="SH7" s="196">
        <f t="shared" si="111"/>
        <v>2.57824164201794</v>
      </c>
      <c r="SI7" s="197">
        <f t="shared" si="112"/>
        <v>0.429615753901256</v>
      </c>
      <c r="SJ7" s="157"/>
      <c r="SK7" s="157"/>
      <c r="SL7" s="144"/>
      <c r="SM7" s="95" t="s">
        <v>127</v>
      </c>
      <c r="SN7" s="95">
        <v>3</v>
      </c>
      <c r="SO7" s="175">
        <v>8814</v>
      </c>
      <c r="SP7" s="175">
        <v>4190</v>
      </c>
      <c r="SQ7" s="175">
        <v>1657239.27</v>
      </c>
      <c r="SR7" s="175">
        <v>5421</v>
      </c>
      <c r="SS7" s="175">
        <v>3619162.27</v>
      </c>
      <c r="ST7" s="175">
        <v>3263071</v>
      </c>
      <c r="SU7" s="177">
        <f t="shared" si="113"/>
        <v>356091.27</v>
      </c>
      <c r="SV7" s="178">
        <v>482777</v>
      </c>
      <c r="SW7" s="170">
        <v>0</v>
      </c>
      <c r="SX7" s="174">
        <v>258937.49</v>
      </c>
      <c r="SY7" s="171">
        <f t="shared" si="114"/>
        <v>126670.67945</v>
      </c>
      <c r="SZ7" s="174">
        <f t="shared" si="115"/>
        <v>25893.749</v>
      </c>
      <c r="TA7" s="171">
        <f t="shared" si="116"/>
        <v>372000</v>
      </c>
      <c r="TB7" s="207">
        <f t="shared" si="117"/>
        <v>-168473.15845</v>
      </c>
      <c r="TC7" s="174">
        <f t="shared" si="118"/>
        <v>667.61893931009</v>
      </c>
      <c r="TD7" s="196">
        <f t="shared" si="119"/>
        <v>1.64516143503598</v>
      </c>
      <c r="TE7" s="197">
        <f t="shared" si="120"/>
        <v>0.678832285773151</v>
      </c>
      <c r="TF7" s="156"/>
      <c r="TG7" s="156"/>
      <c r="TH7" s="95" t="s">
        <v>127</v>
      </c>
      <c r="TI7" s="95">
        <v>3</v>
      </c>
      <c r="TJ7" s="95">
        <v>17299</v>
      </c>
      <c r="TK7" s="95">
        <v>7593</v>
      </c>
      <c r="TL7" s="175">
        <v>2966813.41</v>
      </c>
      <c r="TM7" s="175">
        <v>8965</v>
      </c>
      <c r="TN7" s="175">
        <v>5070308.24</v>
      </c>
      <c r="TO7" s="175">
        <v>5226826</v>
      </c>
      <c r="TP7" s="175">
        <f t="shared" si="121"/>
        <v>-156517.76</v>
      </c>
      <c r="TQ7" s="178">
        <v>1110570</v>
      </c>
      <c r="TR7" s="170">
        <v>0</v>
      </c>
      <c r="TS7" s="203">
        <v>-248917.46</v>
      </c>
      <c r="TT7" s="170">
        <f t="shared" si="122"/>
        <v>202812.3296</v>
      </c>
      <c r="TU7" s="178">
        <v>0</v>
      </c>
      <c r="TV7" s="170">
        <f t="shared" si="123"/>
        <v>336000</v>
      </c>
      <c r="TW7" s="203">
        <f t="shared" si="124"/>
        <v>-695330.0896</v>
      </c>
      <c r="TX7" s="174">
        <f t="shared" si="125"/>
        <v>565.567009481316</v>
      </c>
      <c r="TY7" s="196">
        <f t="shared" si="126"/>
        <v>1.7987420846927</v>
      </c>
      <c r="TZ7" s="102">
        <f t="shared" si="127"/>
        <v>-0.290486596912499</v>
      </c>
      <c r="UA7" s="156"/>
      <c r="UB7" s="144"/>
      <c r="UC7" s="144"/>
      <c r="UD7" s="95" t="s">
        <v>127</v>
      </c>
      <c r="UE7" s="95">
        <v>4</v>
      </c>
      <c r="UF7" s="175">
        <v>19200</v>
      </c>
      <c r="UG7" s="175">
        <v>9340</v>
      </c>
      <c r="UH7" s="175">
        <v>4190587.99</v>
      </c>
      <c r="UI7" s="175">
        <v>10028</v>
      </c>
      <c r="UJ7" s="175">
        <v>5715636.99</v>
      </c>
      <c r="UK7" s="175">
        <v>6556834</v>
      </c>
      <c r="UL7" s="175">
        <f t="shared" si="128"/>
        <v>-841197.01</v>
      </c>
      <c r="UM7" s="170">
        <v>906685</v>
      </c>
      <c r="UN7" s="170">
        <v>0</v>
      </c>
      <c r="UO7" s="203">
        <v>-967693.71</v>
      </c>
      <c r="UP7" s="170">
        <f t="shared" si="129"/>
        <v>228625.4796</v>
      </c>
      <c r="UQ7" s="178">
        <v>0</v>
      </c>
      <c r="UR7" s="170">
        <f t="shared" si="130"/>
        <v>496000</v>
      </c>
      <c r="US7" s="203">
        <f t="shared" si="131"/>
        <v>-1565822.4896</v>
      </c>
      <c r="UT7" s="174">
        <f t="shared" si="132"/>
        <v>569.967789190267</v>
      </c>
      <c r="UU7" s="196">
        <f t="shared" si="133"/>
        <v>2.56884758750985</v>
      </c>
      <c r="UV7" s="102">
        <f t="shared" si="134"/>
        <v>-1.16087142072943</v>
      </c>
      <c r="UW7" s="144"/>
      <c r="UX7" s="144"/>
      <c r="UY7" s="144"/>
      <c r="UZ7" s="95" t="s">
        <v>127</v>
      </c>
      <c r="VA7" s="95">
        <v>4</v>
      </c>
      <c r="VB7" s="175">
        <v>7796</v>
      </c>
      <c r="VC7" s="175">
        <v>4204</v>
      </c>
      <c r="VD7" s="175">
        <v>2123082</v>
      </c>
      <c r="VE7" s="175">
        <v>4204</v>
      </c>
      <c r="VF7" s="175">
        <v>2123082</v>
      </c>
      <c r="VG7" s="175">
        <v>2871507</v>
      </c>
      <c r="VH7" s="175">
        <f t="shared" si="135"/>
        <v>-748425</v>
      </c>
      <c r="VI7" s="178">
        <v>259060</v>
      </c>
      <c r="VJ7" s="178">
        <v>0</v>
      </c>
      <c r="VK7" s="203">
        <v>-822129.71</v>
      </c>
      <c r="VL7" s="178">
        <f t="shared" si="136"/>
        <v>84923.28</v>
      </c>
      <c r="VM7" s="178">
        <v>0</v>
      </c>
      <c r="VN7" s="170">
        <f>VA7*4000*20</f>
        <v>320000</v>
      </c>
      <c r="VO7" s="178">
        <f t="shared" si="137"/>
        <v>-1153348.28</v>
      </c>
      <c r="VP7" s="174">
        <f t="shared" si="138"/>
        <v>505.014747859182</v>
      </c>
      <c r="VQ7" s="196">
        <f t="shared" si="139"/>
        <v>3.19749316579176</v>
      </c>
      <c r="VR7" s="102">
        <f t="shared" si="140"/>
        <v>-1.84831309279131</v>
      </c>
      <c r="VS7" s="84" t="s">
        <v>129</v>
      </c>
      <c r="VT7" s="53"/>
      <c r="VU7" s="53"/>
    </row>
    <row r="8" ht="18" hidden="1" customHeight="1" spans="1:593">
      <c r="A8" s="53"/>
      <c r="B8" s="53"/>
      <c r="C8" s="160" t="s">
        <v>130</v>
      </c>
      <c r="D8" s="204"/>
      <c r="E8" s="204"/>
      <c r="F8" s="162"/>
      <c r="G8" s="162"/>
      <c r="H8" s="162"/>
      <c r="I8" s="162"/>
      <c r="J8" s="163"/>
      <c r="K8" s="163"/>
      <c r="L8" s="163"/>
      <c r="M8" s="161"/>
      <c r="N8" s="161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85"/>
      <c r="Z8" s="179"/>
      <c r="AA8" s="167"/>
      <c r="AB8" s="179"/>
      <c r="AC8" s="179"/>
      <c r="AD8" s="167"/>
      <c r="AE8" s="179"/>
      <c r="AF8" s="179"/>
      <c r="AG8" s="187"/>
      <c r="AH8" s="188"/>
      <c r="AI8" s="53"/>
      <c r="AJ8" s="160" t="s">
        <v>130</v>
      </c>
      <c r="AK8" s="204"/>
      <c r="AL8" s="204"/>
      <c r="AM8" s="162"/>
      <c r="AN8" s="162"/>
      <c r="AO8" s="162"/>
      <c r="AP8" s="162"/>
      <c r="AQ8" s="163"/>
      <c r="AR8" s="163"/>
      <c r="AS8" s="163"/>
      <c r="AT8" s="161"/>
      <c r="AU8" s="161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85"/>
      <c r="BG8" s="179"/>
      <c r="BH8" s="167"/>
      <c r="BI8" s="179"/>
      <c r="BJ8" s="179"/>
      <c r="BK8" s="167"/>
      <c r="BL8" s="179"/>
      <c r="BM8" s="179"/>
      <c r="BN8" s="187"/>
      <c r="BO8" s="188"/>
      <c r="BP8" s="53"/>
      <c r="BQ8" s="160" t="s">
        <v>130</v>
      </c>
      <c r="BR8" s="204"/>
      <c r="BS8" s="204"/>
      <c r="BT8" s="162"/>
      <c r="BU8" s="162" t="e">
        <v>#DIV/0!</v>
      </c>
      <c r="BV8" s="162"/>
      <c r="BW8" s="162"/>
      <c r="BX8" s="163"/>
      <c r="BY8" s="163"/>
      <c r="BZ8" s="163"/>
      <c r="CA8" s="161"/>
      <c r="CB8" s="161"/>
      <c r="CC8" s="162"/>
      <c r="CD8" s="162"/>
      <c r="CE8" s="162"/>
      <c r="CF8" s="162"/>
      <c r="CG8" s="162"/>
      <c r="CH8" s="162"/>
      <c r="CI8" s="162"/>
      <c r="CJ8" s="162"/>
      <c r="CK8" s="162"/>
      <c r="CL8" s="162"/>
      <c r="CM8" s="185"/>
      <c r="CN8" s="179"/>
      <c r="CO8" s="167">
        <f t="shared" si="21"/>
        <v>0</v>
      </c>
      <c r="CP8" s="179"/>
      <c r="CQ8" s="179"/>
      <c r="CR8" s="167">
        <f t="shared" si="22"/>
        <v>0</v>
      </c>
      <c r="CS8" s="179"/>
      <c r="CT8" s="179"/>
      <c r="CU8" s="187" t="e">
        <f t="shared" si="25"/>
        <v>#DIV/0!</v>
      </c>
      <c r="CV8" s="188" t="e">
        <f t="shared" si="26"/>
        <v>#DIV/0!</v>
      </c>
      <c r="CW8" s="53"/>
      <c r="CX8" s="160" t="s">
        <v>130</v>
      </c>
      <c r="CY8" s="204"/>
      <c r="CZ8" s="204"/>
      <c r="DA8" s="162"/>
      <c r="DB8" s="162" t="e">
        <v>#DIV/0!</v>
      </c>
      <c r="DC8" s="162"/>
      <c r="DD8" s="162"/>
      <c r="DE8" s="163"/>
      <c r="DF8" s="163"/>
      <c r="DG8" s="163"/>
      <c r="DH8" s="161"/>
      <c r="DI8" s="161"/>
      <c r="DJ8" s="162"/>
      <c r="DK8" s="162"/>
      <c r="DL8" s="162"/>
      <c r="DM8" s="162"/>
      <c r="DN8" s="162"/>
      <c r="DO8" s="162"/>
      <c r="DP8" s="162"/>
      <c r="DQ8" s="162"/>
      <c r="DR8" s="162"/>
      <c r="DS8" s="162"/>
      <c r="DT8" s="185"/>
      <c r="DU8" s="179"/>
      <c r="DV8" s="167">
        <f t="shared" si="30"/>
        <v>0</v>
      </c>
      <c r="DW8" s="179"/>
      <c r="DX8" s="179"/>
      <c r="DY8" s="167">
        <f t="shared" si="31"/>
        <v>0</v>
      </c>
      <c r="DZ8" s="179"/>
      <c r="EA8" s="179"/>
      <c r="EB8" s="187" t="e">
        <f t="shared" si="34"/>
        <v>#DIV/0!</v>
      </c>
      <c r="EC8" s="188" t="e">
        <f t="shared" si="35"/>
        <v>#DIV/0!</v>
      </c>
      <c r="ED8" s="53"/>
      <c r="EE8" s="160" t="s">
        <v>130</v>
      </c>
      <c r="EF8" s="160"/>
      <c r="EG8" s="160"/>
      <c r="EH8" s="162"/>
      <c r="EI8" s="162" t="e">
        <v>#DIV/0!</v>
      </c>
      <c r="EJ8" s="162"/>
      <c r="EK8" s="162"/>
      <c r="EL8" s="163"/>
      <c r="EM8" s="163"/>
      <c r="EN8" s="163"/>
      <c r="EO8" s="161"/>
      <c r="EP8" s="161"/>
      <c r="EQ8" s="162"/>
      <c r="ER8" s="162"/>
      <c r="ES8" s="162"/>
      <c r="ET8" s="162"/>
      <c r="EU8" s="162"/>
      <c r="EV8" s="162"/>
      <c r="EW8" s="162"/>
      <c r="EX8" s="162"/>
      <c r="EY8" s="162"/>
      <c r="EZ8" s="162"/>
      <c r="FA8" s="185"/>
      <c r="FB8" s="179"/>
      <c r="FC8" s="167">
        <v>0</v>
      </c>
      <c r="FD8" s="179"/>
      <c r="FE8" s="167"/>
      <c r="FF8" s="167">
        <v>0</v>
      </c>
      <c r="FG8" s="167"/>
      <c r="FH8" s="186"/>
      <c r="FI8" s="187" t="e">
        <v>#DIV/0!</v>
      </c>
      <c r="FJ8" s="188" t="e">
        <v>#DIV/0!</v>
      </c>
      <c r="FK8" s="53"/>
      <c r="FL8" s="53"/>
      <c r="FM8" s="53"/>
      <c r="FN8" s="160" t="s">
        <v>130</v>
      </c>
      <c r="FO8" s="160"/>
      <c r="FP8" s="160"/>
      <c r="FQ8" s="162"/>
      <c r="FR8" s="162"/>
      <c r="FS8" s="162"/>
      <c r="FT8" s="162"/>
      <c r="FU8" s="163"/>
      <c r="FV8" s="163"/>
      <c r="FW8" s="163"/>
      <c r="FX8" s="161"/>
      <c r="FY8" s="161"/>
      <c r="FZ8" s="162"/>
      <c r="GA8" s="162"/>
      <c r="GB8" s="162"/>
      <c r="GC8" s="162"/>
      <c r="GD8" s="162"/>
      <c r="GE8" s="162"/>
      <c r="GF8" s="162"/>
      <c r="GG8" s="162"/>
      <c r="GH8" s="162"/>
      <c r="GI8" s="162"/>
      <c r="GJ8" s="185"/>
      <c r="GK8" s="179"/>
      <c r="GL8" s="167"/>
      <c r="GM8" s="179"/>
      <c r="GN8" s="167"/>
      <c r="GO8" s="167">
        <f t="shared" ref="GO8:GO12" si="143">GH8-GK8-GL8-GI8-GM8-GN8</f>
        <v>0</v>
      </c>
      <c r="GP8" s="167"/>
      <c r="GQ8" s="186"/>
      <c r="GR8" s="187" t="e">
        <f t="shared" si="37"/>
        <v>#DIV/0!</v>
      </c>
      <c r="GS8" s="188" t="e">
        <f t="shared" si="38"/>
        <v>#DIV/0!</v>
      </c>
      <c r="GT8" s="53"/>
      <c r="GU8" s="53"/>
      <c r="GV8" s="160" t="s">
        <v>130</v>
      </c>
      <c r="GW8" s="160"/>
      <c r="GX8" s="160"/>
      <c r="GY8" s="162"/>
      <c r="GZ8" s="162"/>
      <c r="HA8" s="162"/>
      <c r="HB8" s="162"/>
      <c r="HC8" s="163"/>
      <c r="HD8" s="163"/>
      <c r="HE8" s="163"/>
      <c r="HF8" s="161"/>
      <c r="HG8" s="161"/>
      <c r="HH8" s="162"/>
      <c r="HI8" s="162"/>
      <c r="HJ8" s="162"/>
      <c r="HK8" s="162"/>
      <c r="HL8" s="162"/>
      <c r="HM8" s="162"/>
      <c r="HN8" s="162"/>
      <c r="HO8" s="162"/>
      <c r="HP8" s="162"/>
      <c r="HQ8" s="162"/>
      <c r="HR8" s="185"/>
      <c r="HS8" s="179"/>
      <c r="HT8" s="167"/>
      <c r="HU8" s="179"/>
      <c r="HV8" s="167"/>
      <c r="HW8" s="167">
        <f t="shared" ref="HW8:HW12" si="144">HP8-HS8-HT8-HQ8-HU8-HV8</f>
        <v>0</v>
      </c>
      <c r="HX8" s="167"/>
      <c r="HY8" s="186"/>
      <c r="HZ8" s="187" t="e">
        <f t="shared" si="42"/>
        <v>#DIV/0!</v>
      </c>
      <c r="IA8" s="188" t="e">
        <f t="shared" si="43"/>
        <v>#DIV/0!</v>
      </c>
      <c r="IB8" s="53"/>
      <c r="IC8" s="53"/>
      <c r="ID8" s="160" t="s">
        <v>130</v>
      </c>
      <c r="IE8" s="160"/>
      <c r="IF8" s="160"/>
      <c r="IG8" s="162"/>
      <c r="IH8" s="162"/>
      <c r="II8" s="162"/>
      <c r="IJ8" s="162"/>
      <c r="IK8" s="163"/>
      <c r="IL8" s="163"/>
      <c r="IM8" s="163"/>
      <c r="IN8" s="161"/>
      <c r="IO8" s="161"/>
      <c r="IP8" s="162"/>
      <c r="IQ8" s="162"/>
      <c r="IR8" s="162"/>
      <c r="IS8" s="162"/>
      <c r="IT8" s="162"/>
      <c r="IU8" s="162"/>
      <c r="IV8" s="162"/>
      <c r="IW8" s="162"/>
      <c r="IX8" s="162"/>
      <c r="IY8" s="162"/>
      <c r="IZ8" s="185"/>
      <c r="JA8" s="179"/>
      <c r="JB8" s="167"/>
      <c r="JC8" s="179"/>
      <c r="JD8" s="167"/>
      <c r="JE8" s="167"/>
      <c r="JF8" s="167"/>
      <c r="JG8" s="186"/>
      <c r="JH8" s="187"/>
      <c r="JI8" s="188"/>
      <c r="JJ8" s="190"/>
      <c r="JK8" s="53"/>
      <c r="JL8" s="160" t="s">
        <v>130</v>
      </c>
      <c r="JM8" s="160"/>
      <c r="JN8" s="160"/>
      <c r="JO8" s="162"/>
      <c r="JP8" s="162"/>
      <c r="JQ8" s="162"/>
      <c r="JR8" s="162"/>
      <c r="JS8" s="163"/>
      <c r="JT8" s="163"/>
      <c r="JU8" s="163"/>
      <c r="JV8" s="161"/>
      <c r="JW8" s="161"/>
      <c r="JX8" s="162">
        <f t="shared" si="53"/>
        <v>0</v>
      </c>
      <c r="JY8" s="162"/>
      <c r="JZ8" s="162"/>
      <c r="KA8" s="162"/>
      <c r="KB8" s="162"/>
      <c r="KC8" s="162"/>
      <c r="KD8" s="162"/>
      <c r="KE8" s="162"/>
      <c r="KF8" s="162"/>
      <c r="KG8" s="162"/>
      <c r="KH8" s="185"/>
      <c r="KI8" s="179"/>
      <c r="KJ8" s="167"/>
      <c r="KK8" s="179"/>
      <c r="KL8" s="167"/>
      <c r="KM8" s="167"/>
      <c r="KN8" s="167"/>
      <c r="KO8" s="186"/>
      <c r="KP8" s="187"/>
      <c r="KQ8" s="188"/>
      <c r="KR8" s="53"/>
      <c r="KS8" s="53"/>
      <c r="KT8" s="160" t="s">
        <v>130</v>
      </c>
      <c r="KU8" s="160"/>
      <c r="KV8" s="160"/>
      <c r="KW8" s="162"/>
      <c r="KX8" s="162"/>
      <c r="KY8" s="162"/>
      <c r="KZ8" s="162"/>
      <c r="LA8" s="163"/>
      <c r="LB8" s="163"/>
      <c r="LC8" s="163"/>
      <c r="LD8" s="161"/>
      <c r="LE8" s="161"/>
      <c r="LF8" s="162">
        <f t="shared" si="62"/>
        <v>0</v>
      </c>
      <c r="LG8" s="162"/>
      <c r="LH8" s="162"/>
      <c r="LI8" s="162"/>
      <c r="LJ8" s="162"/>
      <c r="LK8" s="162"/>
      <c r="LL8" s="162"/>
      <c r="LM8" s="162"/>
      <c r="LN8" s="162">
        <v>0</v>
      </c>
      <c r="LO8" s="162"/>
      <c r="LP8" s="185"/>
      <c r="LQ8" s="179"/>
      <c r="LR8" s="167">
        <v>0</v>
      </c>
      <c r="LS8" s="179"/>
      <c r="LT8" s="167"/>
      <c r="LU8" s="167">
        <v>0</v>
      </c>
      <c r="LV8" s="167"/>
      <c r="LW8" s="186"/>
      <c r="LX8" s="187" t="e">
        <v>#DIV/0!</v>
      </c>
      <c r="LY8" s="188" t="e">
        <v>#DIV/0!</v>
      </c>
      <c r="LZ8" s="191"/>
      <c r="MA8" s="192"/>
      <c r="MB8" s="160" t="s">
        <v>130</v>
      </c>
      <c r="MC8" s="160"/>
      <c r="MD8" s="160"/>
      <c r="ME8" s="162"/>
      <c r="MF8" s="162"/>
      <c r="MG8" s="162"/>
      <c r="MH8" s="162"/>
      <c r="MI8" s="163"/>
      <c r="MJ8" s="163"/>
      <c r="MK8" s="163"/>
      <c r="ML8" s="161"/>
      <c r="MM8" s="161"/>
      <c r="MN8" s="162"/>
      <c r="MO8" s="162"/>
      <c r="MP8" s="162"/>
      <c r="MQ8" s="162"/>
      <c r="MR8" s="162"/>
      <c r="MS8" s="162"/>
      <c r="MT8" s="162"/>
      <c r="MU8" s="162"/>
      <c r="MV8" s="162"/>
      <c r="MW8" s="162"/>
      <c r="MX8" s="185"/>
      <c r="MY8" s="179"/>
      <c r="MZ8" s="167">
        <f t="shared" ref="MZ8:MZ13" si="145">MX8*20%</f>
        <v>0</v>
      </c>
      <c r="NA8" s="179"/>
      <c r="NB8" s="167">
        <f t="shared" si="67"/>
        <v>0</v>
      </c>
      <c r="NC8" s="167"/>
      <c r="ND8" s="167"/>
      <c r="NE8" s="186"/>
      <c r="NF8" s="187" t="e">
        <f t="shared" si="70"/>
        <v>#DIV/0!</v>
      </c>
      <c r="NG8" s="188" t="e">
        <f t="shared" si="71"/>
        <v>#DIV/0!</v>
      </c>
      <c r="NH8" s="53"/>
      <c r="NI8" s="53"/>
      <c r="NJ8" s="160" t="s">
        <v>130</v>
      </c>
      <c r="NK8" s="160"/>
      <c r="NL8" s="160"/>
      <c r="NM8" s="162"/>
      <c r="NN8" s="162"/>
      <c r="NO8" s="162"/>
      <c r="NP8" s="162"/>
      <c r="NQ8" s="163"/>
      <c r="NR8" s="163"/>
      <c r="NS8" s="163"/>
      <c r="NT8" s="161"/>
      <c r="NU8" s="161"/>
      <c r="NV8" s="162"/>
      <c r="NW8" s="162"/>
      <c r="NX8" s="162"/>
      <c r="NY8" s="162"/>
      <c r="NZ8" s="162"/>
      <c r="OA8" s="162"/>
      <c r="OB8" s="162"/>
      <c r="OC8" s="162"/>
      <c r="OD8" s="162"/>
      <c r="OE8" s="162"/>
      <c r="OF8" s="185"/>
      <c r="OG8" s="179"/>
      <c r="OH8" s="167">
        <f t="shared" si="76"/>
        <v>0</v>
      </c>
      <c r="OI8" s="179"/>
      <c r="OJ8" s="167"/>
      <c r="OK8" s="167">
        <f t="shared" si="77"/>
        <v>0</v>
      </c>
      <c r="OL8" s="167" t="e">
        <f t="shared" si="78"/>
        <v>#DIV/0!</v>
      </c>
      <c r="OM8" s="186"/>
      <c r="ON8" s="187" t="e">
        <f t="shared" si="80"/>
        <v>#DIV/0!</v>
      </c>
      <c r="OO8" s="188" t="e">
        <f t="shared" si="81"/>
        <v>#DIV/0!</v>
      </c>
      <c r="OP8" s="53"/>
      <c r="OQ8" s="193"/>
      <c r="OR8" s="53"/>
      <c r="OS8" s="95" t="s">
        <v>130</v>
      </c>
      <c r="OT8" s="95">
        <v>0</v>
      </c>
      <c r="OU8" s="170"/>
      <c r="OV8" s="170"/>
      <c r="OW8" s="170"/>
      <c r="OX8" s="170"/>
      <c r="OY8" s="170"/>
      <c r="OZ8" s="170"/>
      <c r="PA8" s="172"/>
      <c r="PB8" s="172"/>
      <c r="PC8" s="170">
        <v>4824</v>
      </c>
      <c r="PD8" s="170">
        <v>4824</v>
      </c>
      <c r="PE8" s="170"/>
      <c r="PF8" s="170"/>
      <c r="PG8" s="170">
        <f t="shared" si="82"/>
        <v>0</v>
      </c>
      <c r="PH8" s="170"/>
      <c r="PI8" s="173"/>
      <c r="PJ8" s="171">
        <f t="shared" si="83"/>
        <v>0</v>
      </c>
      <c r="PK8" s="174">
        <f t="shared" si="84"/>
        <v>0</v>
      </c>
      <c r="PL8" s="171">
        <f t="shared" ref="PL8:PL12" si="146">OT8*3306*PF5+1</f>
        <v>1</v>
      </c>
      <c r="PM8" s="174">
        <f t="shared" si="85"/>
        <v>-1</v>
      </c>
      <c r="PN8" s="174" t="e">
        <f t="shared" si="86"/>
        <v>#DIV/0!</v>
      </c>
      <c r="PO8" s="195">
        <f t="shared" si="87"/>
        <v>0</v>
      </c>
      <c r="PP8" s="196">
        <f t="shared" si="88"/>
        <v>0</v>
      </c>
      <c r="PQ8" s="197">
        <f t="shared" si="89"/>
        <v>0</v>
      </c>
      <c r="PR8" s="198"/>
      <c r="PS8" s="157"/>
      <c r="PT8" s="144"/>
      <c r="PU8" s="95" t="s">
        <v>130</v>
      </c>
      <c r="PV8" s="95">
        <v>0</v>
      </c>
      <c r="PW8" s="170"/>
      <c r="PX8" s="170"/>
      <c r="PY8" s="170"/>
      <c r="PZ8" s="170"/>
      <c r="QA8" s="170"/>
      <c r="QB8" s="170"/>
      <c r="QC8" s="170"/>
      <c r="QD8" s="170"/>
      <c r="QE8" s="170"/>
      <c r="QF8" s="171"/>
      <c r="QG8" s="171">
        <v>325038</v>
      </c>
      <c r="QH8" s="172"/>
      <c r="QI8" s="173"/>
      <c r="QJ8" s="171">
        <f t="shared" si="90"/>
        <v>0</v>
      </c>
      <c r="QK8" s="174">
        <f t="shared" si="91"/>
        <v>0</v>
      </c>
      <c r="QL8" s="171"/>
      <c r="QM8" s="174">
        <v>0</v>
      </c>
      <c r="QN8" s="174"/>
      <c r="QO8" s="195"/>
      <c r="QP8" s="196" t="e">
        <f t="shared" si="95"/>
        <v>#DIV/0!</v>
      </c>
      <c r="QQ8" s="197" t="e">
        <f t="shared" si="96"/>
        <v>#DIV/0!</v>
      </c>
      <c r="QR8" s="199" t="s">
        <v>118</v>
      </c>
      <c r="QS8" s="206"/>
      <c r="QT8" s="210" t="s">
        <v>131</v>
      </c>
      <c r="QU8" s="95" t="s">
        <v>130</v>
      </c>
      <c r="QV8" s="95">
        <v>0</v>
      </c>
      <c r="QW8" s="175"/>
      <c r="QX8" s="175"/>
      <c r="QY8" s="175"/>
      <c r="QZ8" s="175"/>
      <c r="RA8" s="175"/>
      <c r="RB8" s="175"/>
      <c r="RC8" s="177">
        <f t="shared" si="97"/>
        <v>0</v>
      </c>
      <c r="RD8" s="171">
        <f t="shared" si="141"/>
        <v>0</v>
      </c>
      <c r="RE8" s="170"/>
      <c r="RF8" s="173"/>
      <c r="RG8" s="171">
        <f t="shared" si="98"/>
        <v>0</v>
      </c>
      <c r="RH8" s="174">
        <f t="shared" si="99"/>
        <v>0</v>
      </c>
      <c r="RI8" s="171">
        <v>0</v>
      </c>
      <c r="RJ8" s="176">
        <f t="shared" si="101"/>
        <v>0</v>
      </c>
      <c r="RK8" s="174" t="e">
        <f t="shared" si="102"/>
        <v>#DIV/0!</v>
      </c>
      <c r="RL8" s="201" t="e">
        <f t="shared" si="103"/>
        <v>#DIV/0!</v>
      </c>
      <c r="RM8" s="197" t="e">
        <f t="shared" si="104"/>
        <v>#DIV/0!</v>
      </c>
      <c r="RN8" s="198"/>
      <c r="RO8" s="144"/>
      <c r="RP8" s="144"/>
      <c r="RQ8" s="95" t="s">
        <v>130</v>
      </c>
      <c r="RR8" s="95">
        <v>2</v>
      </c>
      <c r="RS8" s="175"/>
      <c r="RT8" s="175"/>
      <c r="RU8" s="175"/>
      <c r="RV8" s="175">
        <v>1016</v>
      </c>
      <c r="RW8" s="175">
        <v>788675</v>
      </c>
      <c r="RX8" s="175">
        <v>671794</v>
      </c>
      <c r="RY8" s="177">
        <f t="shared" si="105"/>
        <v>116881</v>
      </c>
      <c r="RZ8" s="170"/>
      <c r="SA8" s="170">
        <v>0</v>
      </c>
      <c r="SB8" s="171">
        <v>81723.25</v>
      </c>
      <c r="SC8" s="171">
        <f t="shared" si="106"/>
        <v>27603.625</v>
      </c>
      <c r="SD8" s="174">
        <f t="shared" si="107"/>
        <v>8172.325</v>
      </c>
      <c r="SE8" s="171">
        <f t="shared" si="108"/>
        <v>198360</v>
      </c>
      <c r="SF8" s="207">
        <f t="shared" si="109"/>
        <v>-117254.95</v>
      </c>
      <c r="SG8" s="174">
        <f t="shared" si="110"/>
        <v>776.254921259842</v>
      </c>
      <c r="SH8" s="196">
        <f t="shared" si="111"/>
        <v>0</v>
      </c>
      <c r="SI8" s="197">
        <f t="shared" si="112"/>
        <v>0.499201425496597</v>
      </c>
      <c r="SJ8" s="157"/>
      <c r="SK8" s="157"/>
      <c r="SL8" s="144"/>
      <c r="SM8" s="95" t="s">
        <v>130</v>
      </c>
      <c r="SN8" s="95">
        <v>4</v>
      </c>
      <c r="SO8" s="175"/>
      <c r="SP8" s="175"/>
      <c r="SQ8" s="175"/>
      <c r="SR8" s="175">
        <v>1637</v>
      </c>
      <c r="SS8" s="175">
        <v>1155526</v>
      </c>
      <c r="ST8" s="175">
        <v>1031709</v>
      </c>
      <c r="SU8" s="177">
        <f t="shared" si="113"/>
        <v>123817</v>
      </c>
      <c r="SV8" s="170"/>
      <c r="SW8" s="170">
        <v>0</v>
      </c>
      <c r="SX8" s="171">
        <v>88004.61</v>
      </c>
      <c r="SY8" s="171">
        <f t="shared" si="114"/>
        <v>40443.41</v>
      </c>
      <c r="SZ8" s="174">
        <f t="shared" si="115"/>
        <v>8800.461</v>
      </c>
      <c r="TA8" s="171">
        <f t="shared" si="116"/>
        <v>496000</v>
      </c>
      <c r="TB8" s="207">
        <f t="shared" si="117"/>
        <v>-421426.871</v>
      </c>
      <c r="TC8" s="174">
        <f t="shared" si="118"/>
        <v>705.880268784362</v>
      </c>
      <c r="TD8" s="196">
        <f t="shared" si="119"/>
        <v>0</v>
      </c>
      <c r="TE8" s="197">
        <f t="shared" si="120"/>
        <v>0.227085542058299</v>
      </c>
      <c r="TF8" s="156"/>
      <c r="TG8" s="156"/>
      <c r="TH8" s="95" t="s">
        <v>130</v>
      </c>
      <c r="TI8" s="95">
        <v>2</v>
      </c>
      <c r="TJ8" s="95"/>
      <c r="TK8" s="95"/>
      <c r="TL8" s="175"/>
      <c r="TM8" s="175">
        <v>2689</v>
      </c>
      <c r="TN8" s="175">
        <v>1913275.25</v>
      </c>
      <c r="TO8" s="175">
        <v>1704237</v>
      </c>
      <c r="TP8" s="175">
        <f t="shared" si="121"/>
        <v>209038.25</v>
      </c>
      <c r="TQ8" s="178">
        <v>218380</v>
      </c>
      <c r="TR8" s="170">
        <v>0</v>
      </c>
      <c r="TS8" s="170">
        <v>152983.27</v>
      </c>
      <c r="TT8" s="170">
        <f t="shared" si="122"/>
        <v>76531.01</v>
      </c>
      <c r="TU8" s="178">
        <f t="shared" ref="TU8:TU13" si="147">TS8*10%</f>
        <v>15298.327</v>
      </c>
      <c r="TV8" s="170">
        <f t="shared" si="123"/>
        <v>224000</v>
      </c>
      <c r="TW8" s="203">
        <f t="shared" si="124"/>
        <v>-106791.087</v>
      </c>
      <c r="TX8" s="174">
        <f t="shared" si="125"/>
        <v>711.519245072518</v>
      </c>
      <c r="TY8" s="196">
        <f t="shared" si="126"/>
        <v>0</v>
      </c>
      <c r="TZ8" s="102">
        <f t="shared" si="127"/>
        <v>0.661870907831466</v>
      </c>
      <c r="UA8" s="156"/>
      <c r="UB8" s="144"/>
      <c r="UC8" s="144"/>
      <c r="UD8" s="95" t="s">
        <v>130</v>
      </c>
      <c r="UE8" s="95">
        <v>2</v>
      </c>
      <c r="UF8" s="175"/>
      <c r="UG8" s="175"/>
      <c r="UH8" s="175"/>
      <c r="UI8" s="175">
        <v>752</v>
      </c>
      <c r="UJ8" s="175">
        <v>320945</v>
      </c>
      <c r="UK8" s="175">
        <v>347206</v>
      </c>
      <c r="UL8" s="175">
        <f t="shared" si="128"/>
        <v>-26261</v>
      </c>
      <c r="UM8" s="170">
        <v>44410</v>
      </c>
      <c r="UN8" s="170">
        <v>0</v>
      </c>
      <c r="UO8" s="203">
        <v>-62640.53</v>
      </c>
      <c r="UP8" s="170">
        <f t="shared" si="129"/>
        <v>12837.8</v>
      </c>
      <c r="UQ8" s="178">
        <v>0</v>
      </c>
      <c r="UR8" s="170">
        <f>UE8*4000*24</f>
        <v>192000</v>
      </c>
      <c r="US8" s="203">
        <f t="shared" si="131"/>
        <v>-231098.8</v>
      </c>
      <c r="UT8" s="174">
        <f t="shared" si="132"/>
        <v>426.788563829787</v>
      </c>
      <c r="UU8" s="196">
        <f t="shared" si="133"/>
        <v>0</v>
      </c>
      <c r="UV8" s="102">
        <f t="shared" si="134"/>
        <v>-0.128203876432963</v>
      </c>
      <c r="UW8" s="144" t="s">
        <v>132</v>
      </c>
      <c r="UX8" s="144"/>
      <c r="UY8" s="144"/>
      <c r="UZ8" s="95" t="s">
        <v>130</v>
      </c>
      <c r="VA8" s="95">
        <v>0</v>
      </c>
      <c r="VB8" s="175"/>
      <c r="VC8" s="175"/>
      <c r="VD8" s="175"/>
      <c r="VE8" s="175"/>
      <c r="VF8" s="175">
        <v>0</v>
      </c>
      <c r="VG8" s="175">
        <v>0</v>
      </c>
      <c r="VH8" s="175">
        <f t="shared" si="135"/>
        <v>0</v>
      </c>
      <c r="VI8" s="178">
        <v>0</v>
      </c>
      <c r="VJ8" s="178">
        <v>0</v>
      </c>
      <c r="VK8" s="178">
        <v>0</v>
      </c>
      <c r="VL8" s="178">
        <f t="shared" si="136"/>
        <v>0</v>
      </c>
      <c r="VM8" s="178">
        <f>VK8*10%</f>
        <v>0</v>
      </c>
      <c r="VN8" s="170">
        <f t="shared" si="142"/>
        <v>0</v>
      </c>
      <c r="VO8" s="178">
        <f t="shared" si="137"/>
        <v>0</v>
      </c>
      <c r="VP8" s="174" t="e">
        <f t="shared" si="138"/>
        <v>#DIV/0!</v>
      </c>
      <c r="VQ8" s="196" t="e">
        <f t="shared" si="139"/>
        <v>#DIV/0!</v>
      </c>
      <c r="VR8" s="102" t="e">
        <f t="shared" si="140"/>
        <v>#DIV/0!</v>
      </c>
      <c r="VS8" s="84" t="s">
        <v>123</v>
      </c>
      <c r="VT8" s="53"/>
      <c r="VU8" s="53"/>
    </row>
    <row r="9" ht="18" hidden="1" customHeight="1" spans="1:593">
      <c r="A9" s="53"/>
      <c r="B9" s="53"/>
      <c r="C9" s="160" t="s">
        <v>133</v>
      </c>
      <c r="D9" s="204"/>
      <c r="E9" s="204"/>
      <c r="F9" s="162"/>
      <c r="G9" s="162"/>
      <c r="H9" s="162"/>
      <c r="I9" s="162"/>
      <c r="J9" s="163"/>
      <c r="K9" s="163"/>
      <c r="L9" s="163"/>
      <c r="M9" s="161"/>
      <c r="N9" s="161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85"/>
      <c r="Z9" s="179"/>
      <c r="AA9" s="167"/>
      <c r="AB9" s="179"/>
      <c r="AC9" s="179"/>
      <c r="AD9" s="167"/>
      <c r="AE9" s="179"/>
      <c r="AF9" s="179"/>
      <c r="AG9" s="187"/>
      <c r="AH9" s="188"/>
      <c r="AI9" s="53"/>
      <c r="AJ9" s="160" t="s">
        <v>133</v>
      </c>
      <c r="AK9" s="204"/>
      <c r="AL9" s="204"/>
      <c r="AM9" s="162"/>
      <c r="AN9" s="162"/>
      <c r="AO9" s="162"/>
      <c r="AP9" s="162"/>
      <c r="AQ9" s="163"/>
      <c r="AR9" s="163"/>
      <c r="AS9" s="163"/>
      <c r="AT9" s="161"/>
      <c r="AU9" s="161"/>
      <c r="AV9" s="162"/>
      <c r="AW9" s="162"/>
      <c r="AX9" s="162"/>
      <c r="AY9" s="162"/>
      <c r="AZ9" s="162"/>
      <c r="BA9" s="162"/>
      <c r="BB9" s="162"/>
      <c r="BC9" s="162"/>
      <c r="BD9" s="162"/>
      <c r="BE9" s="162"/>
      <c r="BF9" s="185"/>
      <c r="BG9" s="179"/>
      <c r="BH9" s="167"/>
      <c r="BI9" s="179"/>
      <c r="BJ9" s="179"/>
      <c r="BK9" s="167"/>
      <c r="BL9" s="179"/>
      <c r="BM9" s="179"/>
      <c r="BN9" s="187"/>
      <c r="BO9" s="188"/>
      <c r="BP9" s="53"/>
      <c r="BQ9" s="160" t="s">
        <v>133</v>
      </c>
      <c r="BR9" s="204"/>
      <c r="BS9" s="204"/>
      <c r="BT9" s="162"/>
      <c r="BU9" s="162" t="e">
        <v>#DIV/0!</v>
      </c>
      <c r="BV9" s="162"/>
      <c r="BW9" s="162"/>
      <c r="BX9" s="163"/>
      <c r="BY9" s="163"/>
      <c r="BZ9" s="163"/>
      <c r="CA9" s="161"/>
      <c r="CB9" s="161"/>
      <c r="CC9" s="162"/>
      <c r="CD9" s="162"/>
      <c r="CE9" s="162"/>
      <c r="CF9" s="162"/>
      <c r="CG9" s="162"/>
      <c r="CH9" s="162"/>
      <c r="CI9" s="162"/>
      <c r="CJ9" s="162"/>
      <c r="CK9" s="162"/>
      <c r="CL9" s="162"/>
      <c r="CM9" s="185"/>
      <c r="CN9" s="179"/>
      <c r="CO9" s="167">
        <f t="shared" si="21"/>
        <v>0</v>
      </c>
      <c r="CP9" s="179"/>
      <c r="CQ9" s="179"/>
      <c r="CR9" s="167">
        <f t="shared" si="22"/>
        <v>0</v>
      </c>
      <c r="CS9" s="179"/>
      <c r="CT9" s="179"/>
      <c r="CU9" s="187" t="e">
        <f t="shared" si="25"/>
        <v>#DIV/0!</v>
      </c>
      <c r="CV9" s="188" t="e">
        <f t="shared" si="26"/>
        <v>#DIV/0!</v>
      </c>
      <c r="CW9" s="53"/>
      <c r="CX9" s="160" t="s">
        <v>133</v>
      </c>
      <c r="CY9" s="204"/>
      <c r="CZ9" s="204"/>
      <c r="DA9" s="162"/>
      <c r="DB9" s="162" t="e">
        <v>#DIV/0!</v>
      </c>
      <c r="DC9" s="162"/>
      <c r="DD9" s="162"/>
      <c r="DE9" s="163"/>
      <c r="DF9" s="163"/>
      <c r="DG9" s="163"/>
      <c r="DH9" s="161"/>
      <c r="DI9" s="161"/>
      <c r="DJ9" s="162"/>
      <c r="DK9" s="162"/>
      <c r="DL9" s="162"/>
      <c r="DM9" s="162"/>
      <c r="DN9" s="162"/>
      <c r="DO9" s="162"/>
      <c r="DP9" s="162"/>
      <c r="DQ9" s="162"/>
      <c r="DR9" s="162"/>
      <c r="DS9" s="162"/>
      <c r="DT9" s="185"/>
      <c r="DU9" s="179"/>
      <c r="DV9" s="167">
        <f t="shared" si="30"/>
        <v>0</v>
      </c>
      <c r="DW9" s="179"/>
      <c r="DX9" s="179"/>
      <c r="DY9" s="167">
        <f t="shared" si="31"/>
        <v>0</v>
      </c>
      <c r="DZ9" s="179"/>
      <c r="EA9" s="179"/>
      <c r="EB9" s="187" t="e">
        <f t="shared" si="34"/>
        <v>#DIV/0!</v>
      </c>
      <c r="EC9" s="188" t="e">
        <f t="shared" si="35"/>
        <v>#DIV/0!</v>
      </c>
      <c r="ED9" s="53"/>
      <c r="EE9" s="160" t="s">
        <v>133</v>
      </c>
      <c r="EF9" s="160"/>
      <c r="EG9" s="160"/>
      <c r="EH9" s="162"/>
      <c r="EI9" s="162" t="e">
        <v>#DIV/0!</v>
      </c>
      <c r="EJ9" s="162"/>
      <c r="EK9" s="162"/>
      <c r="EL9" s="163"/>
      <c r="EM9" s="163"/>
      <c r="EN9" s="163"/>
      <c r="EO9" s="161"/>
      <c r="EP9" s="161"/>
      <c r="EQ9" s="162"/>
      <c r="ER9" s="162"/>
      <c r="ES9" s="162"/>
      <c r="ET9" s="162"/>
      <c r="EU9" s="162"/>
      <c r="EV9" s="162"/>
      <c r="EW9" s="162"/>
      <c r="EX9" s="162"/>
      <c r="EY9" s="162"/>
      <c r="EZ9" s="162"/>
      <c r="FA9" s="185"/>
      <c r="FB9" s="179"/>
      <c r="FC9" s="167">
        <v>0</v>
      </c>
      <c r="FD9" s="179"/>
      <c r="FE9" s="167"/>
      <c r="FF9" s="167">
        <v>0</v>
      </c>
      <c r="FG9" s="167"/>
      <c r="FH9" s="186"/>
      <c r="FI9" s="187" t="e">
        <v>#DIV/0!</v>
      </c>
      <c r="FJ9" s="188" t="e">
        <v>#DIV/0!</v>
      </c>
      <c r="FK9" s="53"/>
      <c r="FL9" s="53"/>
      <c r="FM9" s="53"/>
      <c r="FN9" s="160" t="s">
        <v>133</v>
      </c>
      <c r="FO9" s="160"/>
      <c r="FP9" s="160"/>
      <c r="FQ9" s="162"/>
      <c r="FR9" s="162"/>
      <c r="FS9" s="162"/>
      <c r="FT9" s="162"/>
      <c r="FU9" s="163"/>
      <c r="FV9" s="163"/>
      <c r="FW9" s="163"/>
      <c r="FX9" s="161"/>
      <c r="FY9" s="161"/>
      <c r="FZ9" s="162"/>
      <c r="GA9" s="162"/>
      <c r="GB9" s="162"/>
      <c r="GC9" s="162"/>
      <c r="GD9" s="162"/>
      <c r="GE9" s="162"/>
      <c r="GF9" s="162"/>
      <c r="GG9" s="162"/>
      <c r="GH9" s="162"/>
      <c r="GI9" s="162"/>
      <c r="GJ9" s="185"/>
      <c r="GK9" s="179"/>
      <c r="GL9" s="167"/>
      <c r="GM9" s="179"/>
      <c r="GN9" s="167"/>
      <c r="GO9" s="167">
        <f t="shared" si="143"/>
        <v>0</v>
      </c>
      <c r="GP9" s="167"/>
      <c r="GQ9" s="186"/>
      <c r="GR9" s="187" t="e">
        <f t="shared" si="37"/>
        <v>#DIV/0!</v>
      </c>
      <c r="GS9" s="188" t="e">
        <f t="shared" si="38"/>
        <v>#DIV/0!</v>
      </c>
      <c r="GT9" s="53"/>
      <c r="GU9" s="53"/>
      <c r="GV9" s="160" t="s">
        <v>133</v>
      </c>
      <c r="GW9" s="160"/>
      <c r="GX9" s="160"/>
      <c r="GY9" s="162"/>
      <c r="GZ9" s="162"/>
      <c r="HA9" s="162"/>
      <c r="HB9" s="162"/>
      <c r="HC9" s="163"/>
      <c r="HD9" s="163"/>
      <c r="HE9" s="163"/>
      <c r="HF9" s="161"/>
      <c r="HG9" s="161"/>
      <c r="HH9" s="162"/>
      <c r="HI9" s="162"/>
      <c r="HJ9" s="162"/>
      <c r="HK9" s="162"/>
      <c r="HL9" s="162"/>
      <c r="HM9" s="162"/>
      <c r="HN9" s="162"/>
      <c r="HO9" s="162"/>
      <c r="HP9" s="162"/>
      <c r="HQ9" s="162"/>
      <c r="HR9" s="185"/>
      <c r="HS9" s="179"/>
      <c r="HT9" s="167"/>
      <c r="HU9" s="179"/>
      <c r="HV9" s="167"/>
      <c r="HW9" s="167">
        <f t="shared" si="144"/>
        <v>0</v>
      </c>
      <c r="HX9" s="167"/>
      <c r="HY9" s="186"/>
      <c r="HZ9" s="187" t="e">
        <f t="shared" si="42"/>
        <v>#DIV/0!</v>
      </c>
      <c r="IA9" s="188" t="e">
        <f t="shared" si="43"/>
        <v>#DIV/0!</v>
      </c>
      <c r="IB9" s="53"/>
      <c r="IC9" s="53"/>
      <c r="ID9" s="160" t="s">
        <v>133</v>
      </c>
      <c r="IE9" s="160"/>
      <c r="IF9" s="160"/>
      <c r="IG9" s="162"/>
      <c r="IH9" s="162"/>
      <c r="II9" s="162"/>
      <c r="IJ9" s="162"/>
      <c r="IK9" s="163"/>
      <c r="IL9" s="163"/>
      <c r="IM9" s="163"/>
      <c r="IN9" s="161"/>
      <c r="IO9" s="161"/>
      <c r="IP9" s="162"/>
      <c r="IQ9" s="162"/>
      <c r="IR9" s="162"/>
      <c r="IS9" s="162"/>
      <c r="IT9" s="162"/>
      <c r="IU9" s="162"/>
      <c r="IV9" s="162"/>
      <c r="IW9" s="162"/>
      <c r="IX9" s="162"/>
      <c r="IY9" s="162"/>
      <c r="IZ9" s="185"/>
      <c r="JA9" s="179"/>
      <c r="JB9" s="167"/>
      <c r="JC9" s="179"/>
      <c r="JD9" s="167"/>
      <c r="JE9" s="167"/>
      <c r="JF9" s="167"/>
      <c r="JG9" s="186"/>
      <c r="JH9" s="187"/>
      <c r="JI9" s="188"/>
      <c r="JJ9" s="190"/>
      <c r="JK9" s="53"/>
      <c r="JL9" s="160" t="s">
        <v>133</v>
      </c>
      <c r="JM9" s="160"/>
      <c r="JN9" s="160"/>
      <c r="JO9" s="162"/>
      <c r="JP9" s="162"/>
      <c r="JQ9" s="162"/>
      <c r="JR9" s="162"/>
      <c r="JS9" s="163"/>
      <c r="JT9" s="163"/>
      <c r="JU9" s="163"/>
      <c r="JV9" s="161"/>
      <c r="JW9" s="161"/>
      <c r="JX9" s="162">
        <f t="shared" si="53"/>
        <v>0</v>
      </c>
      <c r="JY9" s="162"/>
      <c r="JZ9" s="162"/>
      <c r="KA9" s="162"/>
      <c r="KB9" s="162"/>
      <c r="KC9" s="162"/>
      <c r="KD9" s="162"/>
      <c r="KE9" s="162"/>
      <c r="KF9" s="162"/>
      <c r="KG9" s="162"/>
      <c r="KH9" s="185"/>
      <c r="KI9" s="179"/>
      <c r="KJ9" s="167"/>
      <c r="KK9" s="179"/>
      <c r="KL9" s="167"/>
      <c r="KM9" s="167"/>
      <c r="KN9" s="167"/>
      <c r="KO9" s="186"/>
      <c r="KP9" s="187"/>
      <c r="KQ9" s="188"/>
      <c r="KR9" s="53"/>
      <c r="KS9" s="53"/>
      <c r="KT9" s="160" t="s">
        <v>133</v>
      </c>
      <c r="KU9" s="160"/>
      <c r="KV9" s="160"/>
      <c r="KW9" s="162"/>
      <c r="KX9" s="162"/>
      <c r="KY9" s="162"/>
      <c r="KZ9" s="162"/>
      <c r="LA9" s="163"/>
      <c r="LB9" s="163"/>
      <c r="LC9" s="163"/>
      <c r="LD9" s="161"/>
      <c r="LE9" s="161"/>
      <c r="LF9" s="162">
        <f t="shared" si="62"/>
        <v>0</v>
      </c>
      <c r="LG9" s="162"/>
      <c r="LH9" s="162"/>
      <c r="LI9" s="162"/>
      <c r="LJ9" s="162"/>
      <c r="LK9" s="162"/>
      <c r="LL9" s="162"/>
      <c r="LM9" s="162"/>
      <c r="LN9" s="162">
        <v>0</v>
      </c>
      <c r="LO9" s="162"/>
      <c r="LP9" s="185"/>
      <c r="LQ9" s="179"/>
      <c r="LR9" s="167">
        <v>0</v>
      </c>
      <c r="LS9" s="179"/>
      <c r="LT9" s="167"/>
      <c r="LU9" s="167">
        <v>0</v>
      </c>
      <c r="LV9" s="167"/>
      <c r="LW9" s="186"/>
      <c r="LX9" s="187" t="e">
        <v>#DIV/0!</v>
      </c>
      <c r="LY9" s="188" t="e">
        <v>#DIV/0!</v>
      </c>
      <c r="LZ9" s="191"/>
      <c r="MA9" s="192"/>
      <c r="MB9" s="160" t="s">
        <v>133</v>
      </c>
      <c r="MC9" s="160"/>
      <c r="MD9" s="160"/>
      <c r="ME9" s="162"/>
      <c r="MF9" s="162"/>
      <c r="MG9" s="162"/>
      <c r="MH9" s="162"/>
      <c r="MI9" s="163"/>
      <c r="MJ9" s="163"/>
      <c r="MK9" s="163"/>
      <c r="ML9" s="161"/>
      <c r="MM9" s="161"/>
      <c r="MN9" s="162"/>
      <c r="MO9" s="162"/>
      <c r="MP9" s="162"/>
      <c r="MQ9" s="162"/>
      <c r="MR9" s="162"/>
      <c r="MS9" s="162"/>
      <c r="MT9" s="162"/>
      <c r="MU9" s="162"/>
      <c r="MV9" s="162"/>
      <c r="MW9" s="162"/>
      <c r="MX9" s="185"/>
      <c r="MY9" s="179"/>
      <c r="MZ9" s="167">
        <f t="shared" si="145"/>
        <v>0</v>
      </c>
      <c r="NA9" s="179"/>
      <c r="NB9" s="167">
        <f t="shared" si="67"/>
        <v>0</v>
      </c>
      <c r="NC9" s="167"/>
      <c r="ND9" s="167"/>
      <c r="NE9" s="186"/>
      <c r="NF9" s="187" t="e">
        <f t="shared" si="70"/>
        <v>#DIV/0!</v>
      </c>
      <c r="NG9" s="188" t="e">
        <f t="shared" si="71"/>
        <v>#DIV/0!</v>
      </c>
      <c r="NH9" s="53"/>
      <c r="NI9" s="53"/>
      <c r="NJ9" s="160" t="s">
        <v>133</v>
      </c>
      <c r="NK9" s="160"/>
      <c r="NL9" s="160"/>
      <c r="NM9" s="162"/>
      <c r="NN9" s="162"/>
      <c r="NO9" s="162"/>
      <c r="NP9" s="162"/>
      <c r="NQ9" s="163"/>
      <c r="NR9" s="163"/>
      <c r="NS9" s="163"/>
      <c r="NT9" s="161"/>
      <c r="NU9" s="161"/>
      <c r="NV9" s="162"/>
      <c r="NW9" s="162"/>
      <c r="NX9" s="162"/>
      <c r="NY9" s="162"/>
      <c r="NZ9" s="162"/>
      <c r="OA9" s="162"/>
      <c r="OB9" s="162"/>
      <c r="OC9" s="162"/>
      <c r="OD9" s="162"/>
      <c r="OE9" s="162"/>
      <c r="OF9" s="185"/>
      <c r="OG9" s="179"/>
      <c r="OH9" s="167">
        <f t="shared" si="76"/>
        <v>0</v>
      </c>
      <c r="OI9" s="179"/>
      <c r="OJ9" s="167"/>
      <c r="OK9" s="167">
        <f t="shared" si="77"/>
        <v>0</v>
      </c>
      <c r="OL9" s="167" t="e">
        <f t="shared" si="78"/>
        <v>#DIV/0!</v>
      </c>
      <c r="OM9" s="186"/>
      <c r="ON9" s="187" t="e">
        <f t="shared" si="80"/>
        <v>#DIV/0!</v>
      </c>
      <c r="OO9" s="188" t="e">
        <f t="shared" si="81"/>
        <v>#DIV/0!</v>
      </c>
      <c r="OP9" s="53"/>
      <c r="OQ9" s="193"/>
      <c r="OR9" s="53"/>
      <c r="OS9" s="95" t="s">
        <v>133</v>
      </c>
      <c r="OT9" s="95">
        <v>0</v>
      </c>
      <c r="OU9" s="170"/>
      <c r="OV9" s="170"/>
      <c r="OW9" s="170"/>
      <c r="OX9" s="170"/>
      <c r="OY9" s="170"/>
      <c r="OZ9" s="170"/>
      <c r="PA9" s="172"/>
      <c r="PB9" s="172"/>
      <c r="PC9" s="170">
        <v>4733</v>
      </c>
      <c r="PD9" s="170">
        <v>4733</v>
      </c>
      <c r="PE9" s="170"/>
      <c r="PF9" s="194"/>
      <c r="PG9" s="170">
        <f t="shared" si="82"/>
        <v>0</v>
      </c>
      <c r="PH9" s="178"/>
      <c r="PI9" s="209"/>
      <c r="PJ9" s="171">
        <f t="shared" si="83"/>
        <v>0</v>
      </c>
      <c r="PK9" s="174">
        <f t="shared" si="84"/>
        <v>0</v>
      </c>
      <c r="PL9" s="171">
        <f t="shared" si="146"/>
        <v>1</v>
      </c>
      <c r="PM9" s="174">
        <f t="shared" si="85"/>
        <v>-1</v>
      </c>
      <c r="PN9" s="174" t="e">
        <f t="shared" si="86"/>
        <v>#DIV/0!</v>
      </c>
      <c r="PO9" s="195">
        <f t="shared" si="87"/>
        <v>0</v>
      </c>
      <c r="PP9" s="196">
        <f t="shared" si="88"/>
        <v>0</v>
      </c>
      <c r="PQ9" s="197">
        <f t="shared" si="89"/>
        <v>0</v>
      </c>
      <c r="PR9" s="198"/>
      <c r="PS9" s="157"/>
      <c r="PT9" s="144"/>
      <c r="PU9" s="95" t="s">
        <v>133</v>
      </c>
      <c r="PV9" s="95">
        <v>0</v>
      </c>
      <c r="PW9" s="170"/>
      <c r="PX9" s="170"/>
      <c r="PY9" s="170"/>
      <c r="PZ9" s="170"/>
      <c r="QA9" s="170"/>
      <c r="QB9" s="170"/>
      <c r="QC9" s="170"/>
      <c r="QD9" s="170"/>
      <c r="QE9" s="170"/>
      <c r="QF9" s="171"/>
      <c r="QG9" s="174">
        <v>230158</v>
      </c>
      <c r="QH9" s="205"/>
      <c r="QI9" s="209"/>
      <c r="QJ9" s="171">
        <f t="shared" si="90"/>
        <v>0</v>
      </c>
      <c r="QK9" s="174">
        <f t="shared" si="91"/>
        <v>0</v>
      </c>
      <c r="QL9" s="171"/>
      <c r="QM9" s="174">
        <v>0</v>
      </c>
      <c r="QN9" s="174"/>
      <c r="QO9" s="195"/>
      <c r="QP9" s="196" t="e">
        <f t="shared" si="95"/>
        <v>#DIV/0!</v>
      </c>
      <c r="QQ9" s="197" t="e">
        <f t="shared" si="96"/>
        <v>#DIV/0!</v>
      </c>
      <c r="QR9" s="199" t="s">
        <v>118</v>
      </c>
      <c r="QS9" s="206" t="s">
        <v>134</v>
      </c>
      <c r="QT9" s="144" t="s">
        <v>135</v>
      </c>
      <c r="QU9" s="95" t="s">
        <v>133</v>
      </c>
      <c r="QV9" s="95">
        <v>2</v>
      </c>
      <c r="QW9" s="175">
        <v>4185</v>
      </c>
      <c r="QX9" s="175">
        <v>2134</v>
      </c>
      <c r="QY9" s="175">
        <v>875675</v>
      </c>
      <c r="QZ9" s="175">
        <v>2444</v>
      </c>
      <c r="RA9" s="175">
        <v>2902626</v>
      </c>
      <c r="RB9" s="175">
        <v>3032409</v>
      </c>
      <c r="RC9" s="177">
        <f t="shared" si="97"/>
        <v>2842619</v>
      </c>
      <c r="RD9" s="171">
        <f t="shared" si="141"/>
        <v>-129783</v>
      </c>
      <c r="RE9" s="178">
        <v>189790</v>
      </c>
      <c r="RF9" s="209">
        <v>-311182.95</v>
      </c>
      <c r="RG9" s="171">
        <f t="shared" si="98"/>
        <v>101591.91</v>
      </c>
      <c r="RH9" s="174">
        <v>0</v>
      </c>
      <c r="RI9" s="171">
        <f t="shared" ref="RI9:RI11" si="148">QV9*3306*31</f>
        <v>204972</v>
      </c>
      <c r="RJ9" s="176">
        <f t="shared" si="101"/>
        <v>-231374.91</v>
      </c>
      <c r="RK9" s="174">
        <f t="shared" si="102"/>
        <v>1187.65384615385</v>
      </c>
      <c r="RL9" s="201">
        <f t="shared" si="103"/>
        <v>1.76421497314285</v>
      </c>
      <c r="RM9" s="197">
        <f t="shared" si="104"/>
        <v>-1.27749345395711</v>
      </c>
      <c r="RN9" s="198"/>
      <c r="RO9" s="144"/>
      <c r="RP9" s="144"/>
      <c r="RQ9" s="95" t="s">
        <v>133</v>
      </c>
      <c r="RR9" s="95">
        <v>2</v>
      </c>
      <c r="RS9" s="175">
        <v>2759</v>
      </c>
      <c r="RT9" s="175">
        <v>1741</v>
      </c>
      <c r="RU9" s="175">
        <v>570801</v>
      </c>
      <c r="RV9" s="175">
        <v>1978</v>
      </c>
      <c r="RW9" s="175">
        <v>1548050</v>
      </c>
      <c r="RX9" s="175">
        <v>1292799</v>
      </c>
      <c r="RY9" s="177">
        <f t="shared" si="105"/>
        <v>255251</v>
      </c>
      <c r="RZ9" s="178">
        <v>163830</v>
      </c>
      <c r="SA9" s="170">
        <v>0</v>
      </c>
      <c r="SB9" s="174">
        <v>210240.76</v>
      </c>
      <c r="SC9" s="171">
        <f t="shared" si="106"/>
        <v>54181.75</v>
      </c>
      <c r="SD9" s="174">
        <f t="shared" si="107"/>
        <v>21024.076</v>
      </c>
      <c r="SE9" s="171">
        <f t="shared" si="108"/>
        <v>198360</v>
      </c>
      <c r="SF9" s="207">
        <f t="shared" si="109"/>
        <v>-18314.826</v>
      </c>
      <c r="SG9" s="174">
        <f t="shared" si="110"/>
        <v>782.633973710819</v>
      </c>
      <c r="SH9" s="196">
        <f t="shared" si="111"/>
        <v>1.30499873585899</v>
      </c>
      <c r="SI9" s="197">
        <f t="shared" si="112"/>
        <v>0.933051484288831</v>
      </c>
      <c r="SJ9" s="157"/>
      <c r="SK9" s="157"/>
      <c r="SL9" s="144"/>
      <c r="SM9" s="95" t="s">
        <v>133</v>
      </c>
      <c r="SN9" s="95">
        <v>3</v>
      </c>
      <c r="SO9" s="175">
        <v>2086</v>
      </c>
      <c r="SP9" s="175">
        <v>1054</v>
      </c>
      <c r="SQ9" s="175">
        <v>771552</v>
      </c>
      <c r="SR9" s="175">
        <v>1270</v>
      </c>
      <c r="SS9" s="175">
        <v>1225448</v>
      </c>
      <c r="ST9" s="175">
        <v>836408</v>
      </c>
      <c r="SU9" s="177">
        <f t="shared" si="113"/>
        <v>389040</v>
      </c>
      <c r="SV9" s="178">
        <v>102940</v>
      </c>
      <c r="SW9" s="170">
        <v>0</v>
      </c>
      <c r="SX9" s="174">
        <v>367090.49</v>
      </c>
      <c r="SY9" s="171">
        <f t="shared" si="114"/>
        <v>42890.68</v>
      </c>
      <c r="SZ9" s="174">
        <f t="shared" si="115"/>
        <v>36709.049</v>
      </c>
      <c r="TA9" s="171">
        <f t="shared" si="116"/>
        <v>372000</v>
      </c>
      <c r="TB9" s="207">
        <f t="shared" si="117"/>
        <v>-62559.729</v>
      </c>
      <c r="TC9" s="174">
        <f t="shared" si="118"/>
        <v>964.91968503937</v>
      </c>
      <c r="TD9" s="196">
        <f t="shared" si="119"/>
        <v>1.39133764390757</v>
      </c>
      <c r="TE9" s="197">
        <f t="shared" si="120"/>
        <v>0.86147084468246</v>
      </c>
      <c r="TF9" s="156"/>
      <c r="TG9" s="156"/>
      <c r="TH9" s="95" t="s">
        <v>133</v>
      </c>
      <c r="TI9" s="95">
        <v>2</v>
      </c>
      <c r="TJ9" s="95">
        <v>2814</v>
      </c>
      <c r="TK9" s="95">
        <v>1394</v>
      </c>
      <c r="TL9" s="175">
        <v>756837.1</v>
      </c>
      <c r="TM9" s="175">
        <v>1410</v>
      </c>
      <c r="TN9" s="175">
        <v>773269.1</v>
      </c>
      <c r="TO9" s="175">
        <v>1029114</v>
      </c>
      <c r="TP9" s="175">
        <f t="shared" si="121"/>
        <v>-255844.9</v>
      </c>
      <c r="TQ9" s="178">
        <v>16910</v>
      </c>
      <c r="TR9" s="170">
        <v>0</v>
      </c>
      <c r="TS9" s="203">
        <v>-318352.75</v>
      </c>
      <c r="TT9" s="170">
        <f t="shared" si="122"/>
        <v>30930.764</v>
      </c>
      <c r="TU9" s="178">
        <v>0</v>
      </c>
      <c r="TV9" s="170">
        <f t="shared" si="123"/>
        <v>224000</v>
      </c>
      <c r="TW9" s="203">
        <f t="shared" si="124"/>
        <v>-510775.664</v>
      </c>
      <c r="TX9" s="174">
        <f t="shared" si="125"/>
        <v>548.41780141844</v>
      </c>
      <c r="TY9" s="196">
        <f t="shared" si="126"/>
        <v>2.78411923533293</v>
      </c>
      <c r="TZ9" s="102">
        <f t="shared" si="127"/>
        <v>-1.00358582065835</v>
      </c>
      <c r="UA9" s="156"/>
      <c r="UB9" s="144"/>
      <c r="UC9" s="144"/>
      <c r="UD9" s="95" t="s">
        <v>133</v>
      </c>
      <c r="UE9" s="95">
        <v>2</v>
      </c>
      <c r="UF9" s="175">
        <v>124</v>
      </c>
      <c r="UG9" s="175">
        <v>60</v>
      </c>
      <c r="UH9" s="175">
        <v>19191</v>
      </c>
      <c r="UI9" s="175">
        <v>60</v>
      </c>
      <c r="UJ9" s="175">
        <v>19191</v>
      </c>
      <c r="UK9" s="175">
        <v>24593</v>
      </c>
      <c r="UL9" s="175">
        <f t="shared" si="128"/>
        <v>-5402</v>
      </c>
      <c r="UM9" s="170">
        <v>0</v>
      </c>
      <c r="UN9" s="170">
        <v>0</v>
      </c>
      <c r="UO9" s="203">
        <v>-7087.62</v>
      </c>
      <c r="UP9" s="170">
        <f t="shared" si="129"/>
        <v>767.64</v>
      </c>
      <c r="UQ9" s="178">
        <v>0</v>
      </c>
      <c r="UR9" s="170">
        <f>UE9*4000*14</f>
        <v>112000</v>
      </c>
      <c r="US9" s="203">
        <f t="shared" si="131"/>
        <v>-118169.64</v>
      </c>
      <c r="UT9" s="174">
        <f t="shared" si="132"/>
        <v>319.85</v>
      </c>
      <c r="UU9" s="196">
        <f t="shared" si="133"/>
        <v>0.170181800381741</v>
      </c>
      <c r="UV9" s="102">
        <f t="shared" si="134"/>
        <v>-0.0479038135408349</v>
      </c>
      <c r="UW9" s="144" t="s">
        <v>136</v>
      </c>
      <c r="UX9" s="144"/>
      <c r="UY9" s="144"/>
      <c r="UZ9" s="95" t="s">
        <v>133</v>
      </c>
      <c r="VA9" s="95"/>
      <c r="VB9" s="175"/>
      <c r="VC9" s="175"/>
      <c r="VD9" s="175"/>
      <c r="VE9" s="175"/>
      <c r="VF9" s="175"/>
      <c r="VG9" s="175"/>
      <c r="VH9" s="175">
        <f t="shared" si="135"/>
        <v>0</v>
      </c>
      <c r="VI9" s="178"/>
      <c r="VJ9" s="178"/>
      <c r="VK9" s="178"/>
      <c r="VL9" s="178">
        <f t="shared" si="136"/>
        <v>0</v>
      </c>
      <c r="VM9" s="178">
        <v>0</v>
      </c>
      <c r="VN9" s="170">
        <f t="shared" si="142"/>
        <v>0</v>
      </c>
      <c r="VO9" s="178">
        <f t="shared" si="137"/>
        <v>0</v>
      </c>
      <c r="VP9" s="174" t="e">
        <f t="shared" si="138"/>
        <v>#DIV/0!</v>
      </c>
      <c r="VQ9" s="196" t="e">
        <f t="shared" si="139"/>
        <v>#DIV/0!</v>
      </c>
      <c r="VR9" s="102" t="e">
        <f t="shared" si="140"/>
        <v>#DIV/0!</v>
      </c>
      <c r="VS9" s="84" t="s">
        <v>123</v>
      </c>
      <c r="VT9" s="53"/>
      <c r="VU9" s="53"/>
    </row>
    <row r="10" ht="18" customHeight="1" spans="1:593">
      <c r="A10" s="53"/>
      <c r="B10" s="53"/>
      <c r="C10" s="160" t="s">
        <v>137</v>
      </c>
      <c r="D10" s="211">
        <v>3</v>
      </c>
      <c r="E10" s="211">
        <v>1</v>
      </c>
      <c r="F10" s="162">
        <f>'PH30'!AJ4</f>
        <v>36</v>
      </c>
      <c r="G10" s="162">
        <f>(I10/F10)/S1</f>
        <v>3.91132478632479</v>
      </c>
      <c r="H10" s="162">
        <f>'PH30'!G4</f>
        <v>7790</v>
      </c>
      <c r="I10" s="162">
        <f>'PH30'!H4</f>
        <v>3661</v>
      </c>
      <c r="J10" s="163">
        <f>'PH30'!T4</f>
        <v>626598</v>
      </c>
      <c r="K10" s="163">
        <f>'PH30'!U4</f>
        <v>853882</v>
      </c>
      <c r="L10" s="163">
        <f>'PH30'!V4</f>
        <v>586999</v>
      </c>
      <c r="M10" s="161">
        <f>57125+1894504</f>
        <v>1951629</v>
      </c>
      <c r="N10" s="161">
        <f>63359+1812286.22</f>
        <v>1875645.22</v>
      </c>
      <c r="O10" s="162">
        <f>M10-N10</f>
        <v>75983.78</v>
      </c>
      <c r="P10" s="162">
        <f>'PH30'!J4</f>
        <v>2996</v>
      </c>
      <c r="Q10" s="162">
        <f>'PH30'!R4</f>
        <v>706540</v>
      </c>
      <c r="R10" s="162">
        <f>'PH30'!S4</f>
        <v>462970</v>
      </c>
      <c r="S10" s="162">
        <f>'PH30'!K4</f>
        <v>16663</v>
      </c>
      <c r="T10" s="162">
        <f>S10-I10</f>
        <v>13002</v>
      </c>
      <c r="U10" s="162">
        <f>'PH30'!W4</f>
        <v>8133619.74</v>
      </c>
      <c r="V10" s="162">
        <f>'PH30'!X4</f>
        <v>7280993.22</v>
      </c>
      <c r="W10" s="162">
        <f>U10-V10</f>
        <v>852626.52</v>
      </c>
      <c r="X10" s="162">
        <f>'PH30'!D4</f>
        <v>510845</v>
      </c>
      <c r="Y10" s="185">
        <f>73206.11+745655.46</f>
        <v>818861.57</v>
      </c>
      <c r="Z10" s="179">
        <f>U10*3.5%</f>
        <v>284676.6909</v>
      </c>
      <c r="AA10" s="167">
        <f>IF(Y10&gt;0,Y10*20%,0)</f>
        <v>163772.314</v>
      </c>
      <c r="AB10" s="179">
        <f>(D10*3200)*S1</f>
        <v>249600</v>
      </c>
      <c r="AC10" s="167">
        <f>(E10*1733)*S1</f>
        <v>45058</v>
      </c>
      <c r="AD10" s="167">
        <f>W10-Z10-AA10-X10-AB10-AC10</f>
        <v>-401325.4849</v>
      </c>
      <c r="AE10" s="167">
        <f>K10/I10</f>
        <v>233.237366839661</v>
      </c>
      <c r="AF10" s="186">
        <f>U10/S10</f>
        <v>488.124571805797</v>
      </c>
      <c r="AG10" s="187">
        <f>M10/(Z10+AA10+X10+AB10+AC10)</f>
        <v>1.55638253487671</v>
      </c>
      <c r="AH10" s="188">
        <f>W10/(Z10+AA10+X10+AB10+AC10)</f>
        <v>0.679951478739408</v>
      </c>
      <c r="AI10" s="53"/>
      <c r="AJ10" s="160" t="s">
        <v>137</v>
      </c>
      <c r="AK10" s="211">
        <v>3</v>
      </c>
      <c r="AL10" s="211">
        <v>2</v>
      </c>
      <c r="AM10" s="162">
        <v>40</v>
      </c>
      <c r="AN10" s="162">
        <f>(AP10/AM10)/AZ1</f>
        <v>3.4325</v>
      </c>
      <c r="AO10" s="162">
        <v>8876</v>
      </c>
      <c r="AP10" s="162">
        <v>4119</v>
      </c>
      <c r="AQ10" s="163">
        <v>681374</v>
      </c>
      <c r="AR10" s="163">
        <v>938494</v>
      </c>
      <c r="AS10" s="163">
        <v>642351.26</v>
      </c>
      <c r="AT10" s="161">
        <v>2312685</v>
      </c>
      <c r="AU10" s="161">
        <v>2014547.26</v>
      </c>
      <c r="AV10" s="162">
        <f>AT10-AU10</f>
        <v>298137.74</v>
      </c>
      <c r="AW10" s="162">
        <v>810518</v>
      </c>
      <c r="AX10" s="162">
        <v>810518</v>
      </c>
      <c r="AY10" s="162">
        <v>558090.26</v>
      </c>
      <c r="AZ10" s="162">
        <v>18420</v>
      </c>
      <c r="BA10" s="162">
        <v>14301</v>
      </c>
      <c r="BB10" s="162">
        <v>9885972.95</v>
      </c>
      <c r="BC10" s="162">
        <v>8800405.16</v>
      </c>
      <c r="BD10" s="162">
        <f>BB10-BC10</f>
        <v>1085567.79</v>
      </c>
      <c r="BE10" s="162">
        <v>531451</v>
      </c>
      <c r="BF10" s="185">
        <v>1007818.8</v>
      </c>
      <c r="BG10" s="179">
        <f>BB10*3.5%</f>
        <v>346009.05325</v>
      </c>
      <c r="BH10" s="167">
        <f>IF(BF10&gt;0,BF10*20%,0)</f>
        <v>201563.76</v>
      </c>
      <c r="BI10" s="179">
        <f>(AK10*3200)*AZ1</f>
        <v>288000</v>
      </c>
      <c r="BJ10" s="167">
        <f>(AL10*1733)*AZ1</f>
        <v>103980</v>
      </c>
      <c r="BK10" s="167">
        <f>BD10-BG10-BH10-BE10-BI10-BJ10</f>
        <v>-385436.023250001</v>
      </c>
      <c r="BL10" s="167">
        <f>AR10/AP10</f>
        <v>227.845108035931</v>
      </c>
      <c r="BM10" s="186">
        <f>BB10/AZ10</f>
        <v>536.697771444082</v>
      </c>
      <c r="BN10" s="187">
        <f>AT10/(BG10+BH10+BE10+BI10)</f>
        <v>1.69176643273079</v>
      </c>
      <c r="BO10" s="188">
        <f>BD10/(BG10+BH10+BE10+BI10+BJ10)</f>
        <v>0.73797754990286</v>
      </c>
      <c r="BP10" s="53"/>
      <c r="BQ10" s="160" t="s">
        <v>137</v>
      </c>
      <c r="BR10" s="211">
        <v>3</v>
      </c>
      <c r="BS10" s="211">
        <v>2</v>
      </c>
      <c r="BT10" s="162">
        <v>78</v>
      </c>
      <c r="BU10" s="162">
        <v>1.04673283705542</v>
      </c>
      <c r="BV10" s="162">
        <v>5465</v>
      </c>
      <c r="BW10" s="162">
        <v>2531</v>
      </c>
      <c r="BX10" s="163">
        <v>401310</v>
      </c>
      <c r="BY10" s="163">
        <v>593602.7</v>
      </c>
      <c r="BZ10" s="163">
        <v>381596.96</v>
      </c>
      <c r="CA10" s="161">
        <v>1361488.7</v>
      </c>
      <c r="CB10" s="161">
        <v>1008691.32</v>
      </c>
      <c r="CC10" s="162">
        <v>352797.38</v>
      </c>
      <c r="CD10" s="162">
        <v>2224</v>
      </c>
      <c r="CE10" s="162">
        <v>524058.7</v>
      </c>
      <c r="CF10" s="162">
        <v>334301</v>
      </c>
      <c r="CG10" s="162">
        <v>16107</v>
      </c>
      <c r="CH10" s="162">
        <v>13576</v>
      </c>
      <c r="CI10" s="162">
        <v>8080404.88</v>
      </c>
      <c r="CJ10" s="162">
        <v>6633218</v>
      </c>
      <c r="CK10" s="162">
        <f>CI10-CJ10-CW10</f>
        <v>1178286.28</v>
      </c>
      <c r="CL10" s="162">
        <v>281610</v>
      </c>
      <c r="CM10" s="185">
        <v>1078460.67</v>
      </c>
      <c r="CN10" s="179">
        <f t="shared" ref="CN10:CN13" si="149">CI10*3.5%</f>
        <v>282814.1708</v>
      </c>
      <c r="CO10" s="167">
        <f t="shared" si="21"/>
        <v>215692.134</v>
      </c>
      <c r="CP10" s="179">
        <f>(BR10*3200)*CI1</f>
        <v>297600</v>
      </c>
      <c r="CQ10" s="167">
        <f>(BS10*1733)*CI1</f>
        <v>107446</v>
      </c>
      <c r="CR10" s="167">
        <f t="shared" si="22"/>
        <v>-6876.02480000013</v>
      </c>
      <c r="CS10" s="167">
        <f t="shared" ref="CS10:CS13" si="150">BY10/BW10</f>
        <v>234.532872382457</v>
      </c>
      <c r="CT10" s="186">
        <f t="shared" ref="CT10:CT13" si="151">CI10/CG10</f>
        <v>501.670384304961</v>
      </c>
      <c r="CU10" s="187">
        <f t="shared" si="25"/>
        <v>1.26330899322588</v>
      </c>
      <c r="CV10" s="188">
        <f t="shared" si="26"/>
        <v>0.994198242070177</v>
      </c>
      <c r="CW10" s="53">
        <v>268900.6</v>
      </c>
      <c r="CX10" s="160" t="s">
        <v>137</v>
      </c>
      <c r="CY10" s="211">
        <v>4</v>
      </c>
      <c r="CZ10" s="211">
        <v>1</v>
      </c>
      <c r="DA10" s="162">
        <v>51</v>
      </c>
      <c r="DB10" s="162">
        <v>1.82614379084967</v>
      </c>
      <c r="DC10" s="162">
        <v>5627</v>
      </c>
      <c r="DD10" s="162">
        <v>2794</v>
      </c>
      <c r="DE10" s="163">
        <v>427287</v>
      </c>
      <c r="DF10" s="163">
        <v>607568</v>
      </c>
      <c r="DG10" s="163">
        <v>423570.41</v>
      </c>
      <c r="DH10" s="161">
        <v>1684146.5</v>
      </c>
      <c r="DI10" s="161">
        <v>1472108.07</v>
      </c>
      <c r="DJ10" s="162">
        <f t="shared" ref="DJ10:DJ13" si="152">DH10-DI10</f>
        <v>212038.43</v>
      </c>
      <c r="DK10" s="162">
        <v>2420</v>
      </c>
      <c r="DL10" s="162">
        <v>518968</v>
      </c>
      <c r="DM10" s="162">
        <v>334667.41</v>
      </c>
      <c r="DN10" s="162">
        <v>19329</v>
      </c>
      <c r="DO10" s="162">
        <v>16535</v>
      </c>
      <c r="DP10" s="162">
        <v>8396538.99</v>
      </c>
      <c r="DQ10" s="162">
        <v>7051388</v>
      </c>
      <c r="DR10" s="162">
        <f t="shared" ref="DR10:DR13" si="153">DP10-DQ10</f>
        <v>1345150.99</v>
      </c>
      <c r="DS10" s="162">
        <v>379020</v>
      </c>
      <c r="DT10" s="185">
        <v>1260389.91</v>
      </c>
      <c r="DU10" s="179">
        <f t="shared" ref="DU10:DU13" si="154">DP10*3.5%</f>
        <v>293878.86465</v>
      </c>
      <c r="DV10" s="167">
        <f t="shared" si="30"/>
        <v>252077.982</v>
      </c>
      <c r="DW10" s="179">
        <f>(CY10*3200)*DP1</f>
        <v>384000</v>
      </c>
      <c r="DX10" s="167">
        <f>(CZ10*1733)*DP1</f>
        <v>51990</v>
      </c>
      <c r="DY10" s="167">
        <f t="shared" si="31"/>
        <v>-15815.8566499999</v>
      </c>
      <c r="DZ10" s="167">
        <f t="shared" ref="DZ10:DZ13" si="155">DF10/DD10</f>
        <v>217.454545454545</v>
      </c>
      <c r="EA10" s="186">
        <f t="shared" ref="EA10:EA13" si="156">DP10/DN10</f>
        <v>434.401106627348</v>
      </c>
      <c r="EB10" s="187">
        <f t="shared" si="34"/>
        <v>1.28661290252013</v>
      </c>
      <c r="EC10" s="188">
        <f t="shared" si="35"/>
        <v>0.988378955233972</v>
      </c>
      <c r="ED10" s="53"/>
      <c r="EE10" s="160" t="s">
        <v>137</v>
      </c>
      <c r="EF10" s="160">
        <v>4</v>
      </c>
      <c r="EG10" s="160">
        <v>1</v>
      </c>
      <c r="EH10" s="162">
        <v>58</v>
      </c>
      <c r="EI10" s="162">
        <v>1.99332591768632</v>
      </c>
      <c r="EJ10" s="162">
        <v>7507</v>
      </c>
      <c r="EK10" s="162">
        <v>3584</v>
      </c>
      <c r="EL10" s="163">
        <v>588067.1</v>
      </c>
      <c r="EM10" s="163">
        <v>833381.1</v>
      </c>
      <c r="EN10" s="163">
        <v>521183.3</v>
      </c>
      <c r="EO10" s="161">
        <v>2434155.42</v>
      </c>
      <c r="EP10" s="161">
        <v>2118634.3</v>
      </c>
      <c r="EQ10" s="162">
        <v>315521.12</v>
      </c>
      <c r="ER10" s="162">
        <v>2933</v>
      </c>
      <c r="ES10" s="162">
        <v>702005</v>
      </c>
      <c r="ET10" s="162">
        <v>402276.3</v>
      </c>
      <c r="EU10" s="162">
        <v>22821</v>
      </c>
      <c r="EV10" s="162">
        <v>19237</v>
      </c>
      <c r="EW10" s="162">
        <v>12766004.65</v>
      </c>
      <c r="EX10" s="162">
        <v>10754994</v>
      </c>
      <c r="EY10" s="162">
        <v>2011010.65</v>
      </c>
      <c r="EZ10" s="162">
        <v>450060</v>
      </c>
      <c r="FA10" s="185">
        <v>1993351.57</v>
      </c>
      <c r="FB10" s="179">
        <v>446810.16275</v>
      </c>
      <c r="FC10" s="167">
        <v>398670.314</v>
      </c>
      <c r="FD10" s="179">
        <f>(EF10*3200)*EW1</f>
        <v>396800</v>
      </c>
      <c r="FE10" s="167">
        <f>(EG10*1733)*EW1</f>
        <v>53723</v>
      </c>
      <c r="FF10" s="167">
        <v>198955.173249998</v>
      </c>
      <c r="FG10" s="167">
        <v>232.528208705357</v>
      </c>
      <c r="FH10" s="186">
        <v>559.397250339599</v>
      </c>
      <c r="FI10" s="187">
        <v>1.38435446776207</v>
      </c>
      <c r="FJ10" s="188">
        <v>1.1097952992073</v>
      </c>
      <c r="FK10" s="53"/>
      <c r="FL10" s="53"/>
      <c r="FM10" s="53"/>
      <c r="FN10" s="160" t="s">
        <v>137</v>
      </c>
      <c r="FO10" s="160">
        <v>4</v>
      </c>
      <c r="FP10" s="160">
        <v>1</v>
      </c>
      <c r="FQ10" s="162">
        <v>82</v>
      </c>
      <c r="FR10" s="162">
        <f>(FT10/FQ10)/GF1</f>
        <v>1.58405923344948</v>
      </c>
      <c r="FS10" s="162">
        <v>8457</v>
      </c>
      <c r="FT10" s="162">
        <v>3637</v>
      </c>
      <c r="FU10" s="163">
        <v>570979.14</v>
      </c>
      <c r="FV10" s="163">
        <v>948007.14</v>
      </c>
      <c r="FW10" s="163">
        <v>796441</v>
      </c>
      <c r="FX10" s="161">
        <v>3363036.39</v>
      </c>
      <c r="FY10" s="161">
        <v>3340355</v>
      </c>
      <c r="FZ10" s="162">
        <f t="shared" ref="FZ10:FZ13" si="157">FX10-FY10</f>
        <v>22681.3900000001</v>
      </c>
      <c r="GA10" s="162">
        <v>2951</v>
      </c>
      <c r="GB10" s="162">
        <v>781980.14</v>
      </c>
      <c r="GC10" s="162">
        <v>639972</v>
      </c>
      <c r="GD10" s="162">
        <v>23070</v>
      </c>
      <c r="GE10" s="162">
        <v>19433</v>
      </c>
      <c r="GF10" s="162">
        <v>12049662.51</v>
      </c>
      <c r="GG10" s="162">
        <v>11371019</v>
      </c>
      <c r="GH10" s="162">
        <v>678643.510000002</v>
      </c>
      <c r="GI10" s="162">
        <v>513080</v>
      </c>
      <c r="GJ10" s="185">
        <v>577798.43</v>
      </c>
      <c r="GK10" s="179">
        <v>421738.18785</v>
      </c>
      <c r="GL10" s="167">
        <v>115559.686</v>
      </c>
      <c r="GM10" s="179">
        <f>(FO10*3200)*GF1</f>
        <v>358400</v>
      </c>
      <c r="GN10" s="167">
        <f>(FP10*1733)*GF1</f>
        <v>48524</v>
      </c>
      <c r="GO10" s="167">
        <v>-838354.363849998</v>
      </c>
      <c r="GP10" s="167">
        <v>260.656348638988</v>
      </c>
      <c r="GQ10" s="186">
        <v>522.308734720416</v>
      </c>
      <c r="GR10" s="187">
        <f t="shared" si="37"/>
        <v>2.38720131287218</v>
      </c>
      <c r="GS10" s="188">
        <f t="shared" si="38"/>
        <v>0.465684922374467</v>
      </c>
      <c r="GT10" s="53"/>
      <c r="GU10" s="53"/>
      <c r="GV10" s="160" t="s">
        <v>137</v>
      </c>
      <c r="GW10" s="160">
        <v>4</v>
      </c>
      <c r="GX10" s="160">
        <v>1</v>
      </c>
      <c r="GY10" s="162">
        <v>80</v>
      </c>
      <c r="GZ10" s="162">
        <f>(HB10/GY10)/HL1</f>
        <v>1.56451612903226</v>
      </c>
      <c r="HA10" s="162">
        <v>9261</v>
      </c>
      <c r="HB10" s="162">
        <v>3880</v>
      </c>
      <c r="HC10" s="163">
        <v>615384.89</v>
      </c>
      <c r="HD10" s="163">
        <v>950093.89</v>
      </c>
      <c r="HE10" s="163">
        <v>703586</v>
      </c>
      <c r="HF10" s="161">
        <v>3023373.79</v>
      </c>
      <c r="HG10" s="161">
        <v>2729088</v>
      </c>
      <c r="HH10" s="162">
        <f t="shared" ref="HH10:HH13" si="158">HF10-HG10</f>
        <v>294285.79</v>
      </c>
      <c r="HI10" s="162">
        <v>3156</v>
      </c>
      <c r="HJ10" s="162">
        <v>791112</v>
      </c>
      <c r="HK10" s="162">
        <v>537074</v>
      </c>
      <c r="HL10" s="162">
        <v>28068</v>
      </c>
      <c r="HM10" s="162">
        <v>24188</v>
      </c>
      <c r="HN10" s="162">
        <v>13342194.1</v>
      </c>
      <c r="HO10" s="162">
        <v>12075497</v>
      </c>
      <c r="HP10" s="162">
        <v>1266697.1</v>
      </c>
      <c r="HQ10" s="162">
        <v>635210</v>
      </c>
      <c r="HR10" s="185">
        <v>1194336.51</v>
      </c>
      <c r="HS10" s="179">
        <v>466976.7935</v>
      </c>
      <c r="HT10" s="167">
        <v>134134.678</v>
      </c>
      <c r="HU10" s="179">
        <f t="shared" ref="HU10:HU13" si="159">(GW10*3200)*31</f>
        <v>396800</v>
      </c>
      <c r="HV10" s="167">
        <f t="shared" ref="HV10:HV13" si="160">(GX10*1733)*31</f>
        <v>53723</v>
      </c>
      <c r="HW10" s="167">
        <v>-486239.371499999</v>
      </c>
      <c r="HX10" s="167">
        <v>244.869559278351</v>
      </c>
      <c r="HY10" s="186">
        <v>475.352504631609</v>
      </c>
      <c r="HZ10" s="187">
        <f t="shared" si="42"/>
        <v>1.8512853102244</v>
      </c>
      <c r="IA10" s="188">
        <f t="shared" si="43"/>
        <v>0.750927024631743</v>
      </c>
      <c r="IB10" s="53"/>
      <c r="IC10" s="53"/>
      <c r="ID10" s="160" t="s">
        <v>137</v>
      </c>
      <c r="IE10" s="160">
        <v>5</v>
      </c>
      <c r="IF10" s="160">
        <v>0</v>
      </c>
      <c r="IG10" s="162">
        <v>84</v>
      </c>
      <c r="IH10" s="162">
        <f>(IJ10/IG10)/IT1</f>
        <v>3.00115207373272</v>
      </c>
      <c r="II10" s="162">
        <v>20107</v>
      </c>
      <c r="IJ10" s="162">
        <v>7815</v>
      </c>
      <c r="IK10" s="163">
        <v>1227907.9</v>
      </c>
      <c r="IL10" s="163">
        <v>1819238</v>
      </c>
      <c r="IM10" s="163">
        <v>1230077</v>
      </c>
      <c r="IN10" s="161">
        <v>5632529.29</v>
      </c>
      <c r="IO10" s="161">
        <v>5077153</v>
      </c>
      <c r="IP10" s="162">
        <f t="shared" ref="IP10:IP13" si="161">IN10-IO10</f>
        <v>555376.29</v>
      </c>
      <c r="IQ10" s="162">
        <v>6441</v>
      </c>
      <c r="IR10" s="162">
        <v>1500944.9</v>
      </c>
      <c r="IS10" s="162">
        <v>1037357</v>
      </c>
      <c r="IT10" s="162">
        <v>39873</v>
      </c>
      <c r="IU10" s="162">
        <v>32058</v>
      </c>
      <c r="IV10" s="162">
        <v>16969141.03</v>
      </c>
      <c r="IW10" s="162">
        <v>14824188</v>
      </c>
      <c r="IX10" s="162">
        <f t="shared" ref="IX10:IX13" si="162">IV10-IW10</f>
        <v>2144953.03</v>
      </c>
      <c r="IY10" s="162">
        <v>822850</v>
      </c>
      <c r="IZ10" s="185">
        <v>1975858.59</v>
      </c>
      <c r="JA10" s="179">
        <f t="shared" ref="JA10:JA13" si="163">IV10*3.5%</f>
        <v>593919.93605</v>
      </c>
      <c r="JB10" s="167">
        <f t="shared" ref="JB10:JB13" si="164">IZ10*20%</f>
        <v>395171.718</v>
      </c>
      <c r="JC10" s="179">
        <v>301542</v>
      </c>
      <c r="JD10" s="167">
        <v>0</v>
      </c>
      <c r="JE10" s="167">
        <f t="shared" ref="JE10:JE13" si="165">IX10-JA10-JB10-IY10-JC10</f>
        <v>31469.3759500009</v>
      </c>
      <c r="JF10" s="167">
        <f t="shared" ref="JF10:JF13" si="166">IL10/IJ10</f>
        <v>232.787971849008</v>
      </c>
      <c r="JG10" s="186">
        <f t="shared" ref="JG10:JG13" si="167">IV10/IT10</f>
        <v>425.579741429037</v>
      </c>
      <c r="JH10" s="187">
        <f t="shared" ref="JH10:JH13" si="168">IL10/(JA10+JB10+IY10+JC10)</f>
        <v>0.860776943561335</v>
      </c>
      <c r="JI10" s="188">
        <f t="shared" ref="JI10:JI13" si="169">IX10/(JA10+JB10+IY10+JC10)</f>
        <v>1.01488981279306</v>
      </c>
      <c r="JJ10" s="190"/>
      <c r="JK10" s="53"/>
      <c r="JL10" s="160" t="s">
        <v>137</v>
      </c>
      <c r="JM10" s="160">
        <v>6</v>
      </c>
      <c r="JN10" s="160">
        <v>0</v>
      </c>
      <c r="JO10" s="162">
        <v>122</v>
      </c>
      <c r="JP10" s="162">
        <f>(JR10/JO10)/KB1</f>
        <v>1.61994535519126</v>
      </c>
      <c r="JQ10" s="162">
        <v>15521</v>
      </c>
      <c r="JR10" s="162">
        <v>5929</v>
      </c>
      <c r="JS10" s="163">
        <v>905154</v>
      </c>
      <c r="JT10" s="163">
        <v>1374700</v>
      </c>
      <c r="JU10" s="163">
        <v>1000285</v>
      </c>
      <c r="JV10" s="161">
        <v>2969422.94</v>
      </c>
      <c r="JW10" s="161">
        <v>2509196</v>
      </c>
      <c r="JX10" s="162">
        <f t="shared" si="53"/>
        <v>460226.94</v>
      </c>
      <c r="JY10" s="162">
        <v>1111327</v>
      </c>
      <c r="JZ10" s="162">
        <v>1111327</v>
      </c>
      <c r="KA10" s="162">
        <v>709832</v>
      </c>
      <c r="KB10" s="162">
        <v>33119</v>
      </c>
      <c r="KC10" s="162">
        <v>27190</v>
      </c>
      <c r="KD10" s="162">
        <v>14900972.55</v>
      </c>
      <c r="KE10" s="162">
        <v>12431301</v>
      </c>
      <c r="KF10" s="162">
        <f t="shared" ref="KF10:KF13" si="170">KD10-KE10</f>
        <v>2469671.55</v>
      </c>
      <c r="KG10" s="162">
        <v>682470</v>
      </c>
      <c r="KH10" s="185">
        <v>2387484.2</v>
      </c>
      <c r="KI10" s="179">
        <f t="shared" ref="KI10:KI13" si="171">KD10*3.5%</f>
        <v>521534.03925</v>
      </c>
      <c r="KJ10" s="167">
        <f t="shared" ref="KJ10:KJ13" si="172">KH10*20%</f>
        <v>477496.84</v>
      </c>
      <c r="KK10" s="179">
        <v>311940</v>
      </c>
      <c r="KL10" s="167">
        <v>0</v>
      </c>
      <c r="KM10" s="167">
        <f t="shared" ref="KM10:KM13" si="173">KF10-KI10-KJ10-KG10-KK10</f>
        <v>476230.670750001</v>
      </c>
      <c r="KN10" s="167">
        <f t="shared" ref="KN10:KN13" si="174">JT10/JR10</f>
        <v>231.860347444763</v>
      </c>
      <c r="KO10" s="186">
        <f t="shared" ref="KO10:KO13" si="175">KD10/KB10</f>
        <v>449.922176092273</v>
      </c>
      <c r="KP10" s="187">
        <f t="shared" ref="KP10:KP13" si="176">JT10/(KI10+KJ10+KG10+KK10)</f>
        <v>0.689611622952775</v>
      </c>
      <c r="KQ10" s="188">
        <f t="shared" ref="KQ10:KQ13" si="177">KF10/(KI10+KJ10+KG10+KK10)</f>
        <v>1.2388988184737</v>
      </c>
      <c r="KR10" s="53"/>
      <c r="KS10" s="53"/>
      <c r="KT10" s="160" t="s">
        <v>137</v>
      </c>
      <c r="KU10" s="160">
        <v>6</v>
      </c>
      <c r="KV10" s="160">
        <v>0</v>
      </c>
      <c r="KW10" s="162">
        <v>206</v>
      </c>
      <c r="KX10" s="162">
        <f>(KZ10/KW10)/LJ1</f>
        <v>1.62182900093956</v>
      </c>
      <c r="KY10" s="162">
        <v>22403</v>
      </c>
      <c r="KZ10" s="162">
        <v>10357</v>
      </c>
      <c r="LA10" s="163">
        <v>1527739</v>
      </c>
      <c r="LB10" s="163">
        <v>2283614</v>
      </c>
      <c r="LC10" s="163">
        <v>1538293</v>
      </c>
      <c r="LD10" s="161">
        <v>6233905.72</v>
      </c>
      <c r="LE10" s="161">
        <v>4912812</v>
      </c>
      <c r="LF10" s="162">
        <f t="shared" si="62"/>
        <v>4912812</v>
      </c>
      <c r="LG10" s="162">
        <v>8259</v>
      </c>
      <c r="LH10" s="162">
        <v>1794733</v>
      </c>
      <c r="LI10" s="162">
        <v>1154375</v>
      </c>
      <c r="LJ10" s="162">
        <v>53370</v>
      </c>
      <c r="LK10" s="162">
        <v>43013</v>
      </c>
      <c r="LL10" s="162">
        <v>20300180.56</v>
      </c>
      <c r="LM10" s="162">
        <v>16772664</v>
      </c>
      <c r="LN10" s="162">
        <v>3527516.56</v>
      </c>
      <c r="LO10" s="162">
        <v>1024160</v>
      </c>
      <c r="LP10" s="185">
        <v>3340830.17</v>
      </c>
      <c r="LQ10" s="179">
        <v>710506.3196</v>
      </c>
      <c r="LR10" s="167">
        <v>668166.034</v>
      </c>
      <c r="LS10" s="179">
        <v>322338</v>
      </c>
      <c r="LT10" s="167">
        <v>0</v>
      </c>
      <c r="LU10" s="167">
        <v>802346.206399999</v>
      </c>
      <c r="LV10" s="167">
        <v>220.489910205658</v>
      </c>
      <c r="LW10" s="186">
        <v>380.366883267753</v>
      </c>
      <c r="LX10" s="187">
        <v>0.837971100406</v>
      </c>
      <c r="LY10" s="188">
        <v>1.2944205690995</v>
      </c>
      <c r="LZ10" s="191"/>
      <c r="MA10" s="192"/>
      <c r="MB10" s="160" t="s">
        <v>137</v>
      </c>
      <c r="MC10" s="160">
        <v>6</v>
      </c>
      <c r="MD10" s="160">
        <v>0</v>
      </c>
      <c r="ME10" s="162">
        <v>247</v>
      </c>
      <c r="MF10" s="162">
        <f>(MH10/ME10)/MR1</f>
        <v>2.22078272604588</v>
      </c>
      <c r="MG10" s="162">
        <v>42661</v>
      </c>
      <c r="MH10" s="162">
        <v>16456</v>
      </c>
      <c r="MI10" s="163">
        <v>2405187</v>
      </c>
      <c r="MJ10" s="163">
        <v>3660286</v>
      </c>
      <c r="MK10" s="163">
        <v>2398859</v>
      </c>
      <c r="ML10" s="161">
        <v>10150096.5</v>
      </c>
      <c r="MM10" s="161">
        <v>8441415</v>
      </c>
      <c r="MN10" s="162">
        <f>ML10-MM10</f>
        <v>1708681.5</v>
      </c>
      <c r="MO10" s="162">
        <v>13199</v>
      </c>
      <c r="MP10" s="162">
        <v>2916487</v>
      </c>
      <c r="MQ10" s="162">
        <v>1778349</v>
      </c>
      <c r="MR10" s="162">
        <v>64104</v>
      </c>
      <c r="MS10" s="162">
        <v>47648</v>
      </c>
      <c r="MT10" s="162">
        <v>23882188.28</v>
      </c>
      <c r="MU10" s="162">
        <v>19980973</v>
      </c>
      <c r="MV10" s="162">
        <f t="shared" ref="MV10:MV14" si="178">MT10-MU10</f>
        <v>3901215.28</v>
      </c>
      <c r="MW10" s="162">
        <v>1165940</v>
      </c>
      <c r="MX10" s="185">
        <v>3711201.86</v>
      </c>
      <c r="MY10" s="179">
        <f t="shared" ref="MY10:MY14" si="179">MT10*3.5%</f>
        <v>835876.5898</v>
      </c>
      <c r="MZ10" s="167">
        <f t="shared" si="145"/>
        <v>742240.372</v>
      </c>
      <c r="NA10" s="179">
        <v>311940</v>
      </c>
      <c r="NB10" s="167">
        <f t="shared" si="67"/>
        <v>845218.318200001</v>
      </c>
      <c r="NC10" s="167">
        <v>0</v>
      </c>
      <c r="ND10" s="167">
        <f t="shared" ref="ND10:ND13" si="180">MJ10/MH10</f>
        <v>222.428658240156</v>
      </c>
      <c r="NE10" s="186">
        <f t="shared" ref="NE10:NE14" si="181">MT10/MR10</f>
        <v>372.55379196306</v>
      </c>
      <c r="NF10" s="187">
        <f t="shared" si="70"/>
        <v>1.19773875620742</v>
      </c>
      <c r="NG10" s="188">
        <f t="shared" si="71"/>
        <v>1.27657694976966</v>
      </c>
      <c r="NH10" s="53"/>
      <c r="NI10" s="53"/>
      <c r="NJ10" s="160" t="s">
        <v>137</v>
      </c>
      <c r="NK10" s="160">
        <v>6</v>
      </c>
      <c r="NL10" s="160">
        <v>0</v>
      </c>
      <c r="NM10" s="162">
        <v>149</v>
      </c>
      <c r="NN10" s="162">
        <f>(NP10/NM10)/NZ1</f>
        <v>3.77311106300065</v>
      </c>
      <c r="NO10" s="162">
        <v>40653</v>
      </c>
      <c r="NP10" s="162">
        <v>17428</v>
      </c>
      <c r="NQ10" s="163">
        <v>2569058.02</v>
      </c>
      <c r="NR10" s="163">
        <v>3950690.22</v>
      </c>
      <c r="NS10" s="163">
        <v>2589014</v>
      </c>
      <c r="NT10" s="161">
        <v>11312359.72</v>
      </c>
      <c r="NU10" s="161">
        <v>9631857</v>
      </c>
      <c r="NV10" s="162">
        <f>NT10-NU10</f>
        <v>1680502.72</v>
      </c>
      <c r="NW10" s="162">
        <v>13877</v>
      </c>
      <c r="NX10" s="162">
        <v>3176118.24</v>
      </c>
      <c r="NY10" s="162">
        <v>2096731</v>
      </c>
      <c r="NZ10" s="162">
        <v>60257</v>
      </c>
      <c r="OA10" s="162">
        <f t="shared" ref="OA10:OA14" si="182">NZ10-NP10</f>
        <v>42829</v>
      </c>
      <c r="OB10" s="162">
        <v>19846576.08</v>
      </c>
      <c r="OC10" s="162">
        <v>16867478</v>
      </c>
      <c r="OD10" s="162">
        <f t="shared" ref="OD10:OD14" si="183">OB10-OC10</f>
        <v>2979098.08</v>
      </c>
      <c r="OE10" s="162">
        <v>1115330</v>
      </c>
      <c r="OF10" s="185">
        <v>2526640.76</v>
      </c>
      <c r="OG10" s="179">
        <f t="shared" ref="OG10:OG14" si="184">OB10*3.5%</f>
        <v>694630.1628</v>
      </c>
      <c r="OH10" s="167">
        <f t="shared" si="76"/>
        <v>505328.152</v>
      </c>
      <c r="OI10" s="179">
        <v>291144</v>
      </c>
      <c r="OJ10" s="167">
        <v>0</v>
      </c>
      <c r="OK10" s="167">
        <f t="shared" si="77"/>
        <v>372665.765199998</v>
      </c>
      <c r="OL10" s="167">
        <f t="shared" si="78"/>
        <v>226.686379389488</v>
      </c>
      <c r="OM10" s="186">
        <f t="shared" ref="OM10:OM14" si="185">OB10/NZ10</f>
        <v>329.365485835671</v>
      </c>
      <c r="ON10" s="187">
        <f t="shared" si="80"/>
        <v>1.51574633170674</v>
      </c>
      <c r="OO10" s="188">
        <f t="shared" si="81"/>
        <v>1.14297926060996</v>
      </c>
      <c r="OP10" s="53"/>
      <c r="OQ10" s="193"/>
      <c r="OR10" s="53"/>
      <c r="OS10" s="95" t="s">
        <v>137</v>
      </c>
      <c r="OT10" s="212">
        <v>5</v>
      </c>
      <c r="OU10" s="170">
        <v>201</v>
      </c>
      <c r="OV10" s="170">
        <v>34917</v>
      </c>
      <c r="OW10" s="170">
        <v>15365</v>
      </c>
      <c r="OX10" s="170">
        <v>2279914.86</v>
      </c>
      <c r="OY10" s="170">
        <v>3229963</v>
      </c>
      <c r="OZ10" s="170">
        <v>2099225</v>
      </c>
      <c r="PA10" s="172">
        <v>7907492.5</v>
      </c>
      <c r="PB10" s="172">
        <v>6713307</v>
      </c>
      <c r="PC10" s="170">
        <v>48234</v>
      </c>
      <c r="PD10" s="170">
        <v>32869</v>
      </c>
      <c r="PE10" s="170">
        <v>14632641.43</v>
      </c>
      <c r="PF10" s="170">
        <v>12250879</v>
      </c>
      <c r="PG10" s="170">
        <f t="shared" si="82"/>
        <v>2381762.43</v>
      </c>
      <c r="PH10" s="178">
        <v>1077500</v>
      </c>
      <c r="PI10" s="209">
        <v>2028264.56</v>
      </c>
      <c r="PJ10" s="171">
        <f t="shared" si="83"/>
        <v>512142.45005</v>
      </c>
      <c r="PK10" s="174">
        <f t="shared" si="84"/>
        <v>405652.912</v>
      </c>
      <c r="PL10" s="171">
        <f>OT10*1733*PF1+1</f>
        <v>268616</v>
      </c>
      <c r="PM10" s="174">
        <f t="shared" si="85"/>
        <v>117851.06795</v>
      </c>
      <c r="PN10" s="174">
        <f t="shared" si="86"/>
        <v>210.215619915392</v>
      </c>
      <c r="PO10" s="195">
        <f t="shared" si="87"/>
        <v>303.367778537961</v>
      </c>
      <c r="PP10" s="196">
        <f t="shared" si="88"/>
        <v>1.42671795996254</v>
      </c>
      <c r="PQ10" s="197">
        <f t="shared" si="89"/>
        <v>1.05205639669712</v>
      </c>
      <c r="PR10" s="198"/>
      <c r="PS10" s="157"/>
      <c r="PT10" s="144"/>
      <c r="PU10" s="95" t="s">
        <v>137</v>
      </c>
      <c r="PV10" s="212">
        <v>4</v>
      </c>
      <c r="PW10" s="170">
        <v>157</v>
      </c>
      <c r="PX10" s="170">
        <v>28328</v>
      </c>
      <c r="PY10" s="170">
        <v>11647</v>
      </c>
      <c r="PZ10" s="170">
        <v>1985281.5</v>
      </c>
      <c r="QA10" s="170">
        <v>1808737</v>
      </c>
      <c r="QB10" s="170">
        <v>1066392</v>
      </c>
      <c r="QC10" s="170">
        <v>38118</v>
      </c>
      <c r="QD10" s="170">
        <v>26471</v>
      </c>
      <c r="QE10" s="170">
        <v>12802413.38</v>
      </c>
      <c r="QF10" s="171">
        <v>11111237</v>
      </c>
      <c r="QG10" s="174">
        <v>1691176.38</v>
      </c>
      <c r="QH10" s="205">
        <v>892350</v>
      </c>
      <c r="QI10" s="209">
        <v>1361841.23</v>
      </c>
      <c r="QJ10" s="171">
        <f t="shared" si="90"/>
        <v>448084.4683</v>
      </c>
      <c r="QK10" s="174">
        <f t="shared" si="91"/>
        <v>272368.246</v>
      </c>
      <c r="QL10" s="171">
        <f>PV10*3306*QG1+1</f>
        <v>396721</v>
      </c>
      <c r="QM10" s="174">
        <f t="shared" ref="QM10:QM13" si="186">QG10-QJ10-QK10</f>
        <v>970723.6657</v>
      </c>
      <c r="QN10" s="174">
        <f t="shared" ref="QN10:QN13" si="187">PZ10/PY10</f>
        <v>170.454323001631</v>
      </c>
      <c r="QO10" s="195">
        <f t="shared" ref="QO10:QO13" si="188">QE10/QC10</f>
        <v>335.862673277717</v>
      </c>
      <c r="QP10" s="196">
        <f t="shared" si="95"/>
        <v>0.900082436016466</v>
      </c>
      <c r="QQ10" s="197">
        <f t="shared" si="96"/>
        <v>2.34738012146039</v>
      </c>
      <c r="QR10" s="199" t="s">
        <v>118</v>
      </c>
      <c r="QS10" s="206"/>
      <c r="QT10" s="144" t="s">
        <v>138</v>
      </c>
      <c r="QU10" s="95" t="s">
        <v>137</v>
      </c>
      <c r="QV10" s="212">
        <v>5</v>
      </c>
      <c r="QW10" s="175">
        <v>42147</v>
      </c>
      <c r="QX10" s="175">
        <v>15727</v>
      </c>
      <c r="QY10" s="175">
        <v>9399053.01</v>
      </c>
      <c r="QZ10" s="175">
        <v>18624</v>
      </c>
      <c r="RA10" s="175">
        <v>14592544.27</v>
      </c>
      <c r="RB10" s="202">
        <f>13399554.99-RN10</f>
        <v>13326387.76</v>
      </c>
      <c r="RC10" s="177">
        <f t="shared" si="97"/>
        <v>12102917.76</v>
      </c>
      <c r="RD10" s="171">
        <f t="shared" si="141"/>
        <v>1266156.51</v>
      </c>
      <c r="RE10" s="178">
        <v>1223470</v>
      </c>
      <c r="RF10" s="209">
        <v>780333.6</v>
      </c>
      <c r="RG10" s="171">
        <f t="shared" si="98"/>
        <v>510739.04945</v>
      </c>
      <c r="RH10" s="174">
        <f t="shared" ref="RH10:RH13" si="189">RF10*10%</f>
        <v>78033.36</v>
      </c>
      <c r="RI10" s="171">
        <f t="shared" si="148"/>
        <v>512430</v>
      </c>
      <c r="RJ10" s="176">
        <f t="shared" si="101"/>
        <v>677384.10055</v>
      </c>
      <c r="RK10" s="174">
        <f t="shared" si="102"/>
        <v>783.534378758591</v>
      </c>
      <c r="RL10" s="201">
        <f t="shared" si="103"/>
        <v>4.04317312486353</v>
      </c>
      <c r="RM10" s="197">
        <f t="shared" si="104"/>
        <v>2.1505024516736</v>
      </c>
      <c r="RN10" s="198">
        <v>73167.23</v>
      </c>
      <c r="RO10" s="144"/>
      <c r="RP10" s="144"/>
      <c r="RQ10" s="95" t="s">
        <v>137</v>
      </c>
      <c r="RR10" s="212">
        <v>6</v>
      </c>
      <c r="RS10" s="175">
        <v>26815</v>
      </c>
      <c r="RT10" s="175">
        <v>10489</v>
      </c>
      <c r="RU10" s="175">
        <v>5280337.73</v>
      </c>
      <c r="RV10" s="175">
        <v>11634</v>
      </c>
      <c r="RW10" s="175">
        <v>7082110.73</v>
      </c>
      <c r="RX10" s="202">
        <v>6742302</v>
      </c>
      <c r="RY10" s="177">
        <f t="shared" si="105"/>
        <v>339808.73</v>
      </c>
      <c r="RZ10" s="178">
        <v>1000848</v>
      </c>
      <c r="SA10" s="170">
        <v>0</v>
      </c>
      <c r="SB10" s="174">
        <v>88155.77</v>
      </c>
      <c r="SC10" s="171">
        <f t="shared" si="106"/>
        <v>247873.87555</v>
      </c>
      <c r="SD10" s="174">
        <f t="shared" si="107"/>
        <v>8815.577</v>
      </c>
      <c r="SE10" s="171">
        <f t="shared" si="108"/>
        <v>595080</v>
      </c>
      <c r="SF10" s="207">
        <f t="shared" si="109"/>
        <v>-511960.72255</v>
      </c>
      <c r="SG10" s="174">
        <f t="shared" si="110"/>
        <v>608.742541688155</v>
      </c>
      <c r="SH10" s="196">
        <f t="shared" si="111"/>
        <v>2.85020403037442</v>
      </c>
      <c r="SI10" s="197">
        <f t="shared" si="112"/>
        <v>0.398944490181811</v>
      </c>
      <c r="SJ10" s="157"/>
      <c r="SK10" s="157"/>
      <c r="SL10" s="144"/>
      <c r="SM10" s="95" t="s">
        <v>137</v>
      </c>
      <c r="SN10" s="212">
        <v>6</v>
      </c>
      <c r="SO10" s="175">
        <v>17588</v>
      </c>
      <c r="SP10" s="175">
        <v>5262</v>
      </c>
      <c r="SQ10" s="175">
        <v>2770136.43</v>
      </c>
      <c r="SR10" s="175">
        <v>5858</v>
      </c>
      <c r="SS10" s="175">
        <v>3522384.43</v>
      </c>
      <c r="ST10" s="175">
        <v>3492475.17</v>
      </c>
      <c r="SU10" s="177">
        <f t="shared" si="113"/>
        <v>29909.2600000002</v>
      </c>
      <c r="SV10" s="178">
        <v>321550</v>
      </c>
      <c r="SW10" s="170">
        <v>0</v>
      </c>
      <c r="SX10" s="174">
        <v>-144468.37</v>
      </c>
      <c r="SY10" s="171">
        <f t="shared" si="114"/>
        <v>123283.45505</v>
      </c>
      <c r="SZ10" s="174">
        <v>0</v>
      </c>
      <c r="TA10" s="171">
        <f t="shared" si="116"/>
        <v>744000</v>
      </c>
      <c r="TB10" s="207">
        <f t="shared" si="117"/>
        <v>-837374.19505</v>
      </c>
      <c r="TC10" s="174">
        <f t="shared" si="118"/>
        <v>601.294713212701</v>
      </c>
      <c r="TD10" s="196">
        <f t="shared" si="119"/>
        <v>2.33012994228321</v>
      </c>
      <c r="TE10" s="197">
        <f t="shared" si="120"/>
        <v>0.0344861415559645</v>
      </c>
      <c r="TF10" s="156"/>
      <c r="TG10" s="156"/>
      <c r="TH10" s="95" t="s">
        <v>137</v>
      </c>
      <c r="TI10" s="95">
        <v>7</v>
      </c>
      <c r="TJ10" s="95">
        <v>7315</v>
      </c>
      <c r="TK10" s="95">
        <v>2842</v>
      </c>
      <c r="TL10" s="202">
        <v>1204471.53</v>
      </c>
      <c r="TM10" s="202">
        <v>2842</v>
      </c>
      <c r="TN10" s="202">
        <v>1204471.53</v>
      </c>
      <c r="TO10" s="175">
        <v>1301912</v>
      </c>
      <c r="TP10" s="175">
        <f t="shared" si="121"/>
        <v>-97440.47</v>
      </c>
      <c r="TQ10" s="178">
        <v>174200</v>
      </c>
      <c r="TR10" s="170">
        <v>0</v>
      </c>
      <c r="TS10" s="203">
        <v>-156569.96</v>
      </c>
      <c r="TT10" s="170">
        <f t="shared" si="122"/>
        <v>48178.8612</v>
      </c>
      <c r="TU10" s="178">
        <v>0</v>
      </c>
      <c r="TV10" s="170">
        <f t="shared" si="123"/>
        <v>784000</v>
      </c>
      <c r="TW10" s="203">
        <f t="shared" si="124"/>
        <v>-929619.3312</v>
      </c>
      <c r="TX10" s="174">
        <f t="shared" si="125"/>
        <v>423.811235045742</v>
      </c>
      <c r="TY10" s="196">
        <f t="shared" si="126"/>
        <v>1.19683707243592</v>
      </c>
      <c r="TZ10" s="102">
        <f t="shared" si="127"/>
        <v>-0.117090777647838</v>
      </c>
      <c r="UA10" s="84" t="s">
        <v>139</v>
      </c>
      <c r="UB10" s="144"/>
      <c r="UC10" s="144"/>
      <c r="UD10" s="95" t="s">
        <v>137</v>
      </c>
      <c r="UE10" s="95"/>
      <c r="UF10" s="202"/>
      <c r="UG10" s="202"/>
      <c r="UH10" s="202"/>
      <c r="UI10" s="202"/>
      <c r="UJ10" s="202"/>
      <c r="UK10" s="175"/>
      <c r="UL10" s="175">
        <f t="shared" si="128"/>
        <v>0</v>
      </c>
      <c r="UM10" s="170"/>
      <c r="UN10" s="170"/>
      <c r="UO10" s="178"/>
      <c r="UP10" s="170">
        <f t="shared" si="129"/>
        <v>0</v>
      </c>
      <c r="UQ10" s="178">
        <f t="shared" ref="UQ10:UQ13" si="190">UO10*10%</f>
        <v>0</v>
      </c>
      <c r="UR10" s="170">
        <v>0</v>
      </c>
      <c r="US10" s="178">
        <f t="shared" si="131"/>
        <v>0</v>
      </c>
      <c r="UT10" s="174" t="e">
        <f t="shared" si="132"/>
        <v>#DIV/0!</v>
      </c>
      <c r="UU10" s="196" t="e">
        <f t="shared" si="133"/>
        <v>#DIV/0!</v>
      </c>
      <c r="UV10" s="102" t="e">
        <f t="shared" si="134"/>
        <v>#DIV/0!</v>
      </c>
      <c r="UW10" s="144"/>
      <c r="UX10" s="144"/>
      <c r="UY10" s="144"/>
      <c r="UZ10" s="95" t="s">
        <v>137</v>
      </c>
      <c r="VA10" s="95"/>
      <c r="VB10" s="175"/>
      <c r="VC10" s="175"/>
      <c r="VD10" s="175"/>
      <c r="VE10" s="175"/>
      <c r="VF10" s="175"/>
      <c r="VG10" s="175"/>
      <c r="VH10" s="175">
        <f t="shared" si="135"/>
        <v>0</v>
      </c>
      <c r="VI10" s="178"/>
      <c r="VJ10" s="178"/>
      <c r="VK10" s="178"/>
      <c r="VL10" s="178">
        <f t="shared" si="136"/>
        <v>0</v>
      </c>
      <c r="VM10" s="178">
        <v>0</v>
      </c>
      <c r="VN10" s="170">
        <f t="shared" si="142"/>
        <v>0</v>
      </c>
      <c r="VO10" s="178">
        <f t="shared" si="137"/>
        <v>0</v>
      </c>
      <c r="VP10" s="174" t="e">
        <f t="shared" si="138"/>
        <v>#DIV/0!</v>
      </c>
      <c r="VQ10" s="196" t="e">
        <f t="shared" si="139"/>
        <v>#DIV/0!</v>
      </c>
      <c r="VR10" s="102" t="e">
        <f t="shared" si="140"/>
        <v>#DIV/0!</v>
      </c>
      <c r="VS10" s="84" t="s">
        <v>123</v>
      </c>
      <c r="VT10" s="53"/>
      <c r="VU10" s="53"/>
    </row>
    <row r="11" ht="18" hidden="1" customHeight="1" spans="1:593">
      <c r="A11" s="53"/>
      <c r="B11" s="53"/>
      <c r="C11" s="160" t="s">
        <v>140</v>
      </c>
      <c r="D11" s="204"/>
      <c r="E11" s="204"/>
      <c r="F11" s="162"/>
      <c r="G11" s="162"/>
      <c r="H11" s="162"/>
      <c r="I11" s="162"/>
      <c r="J11" s="163"/>
      <c r="K11" s="163"/>
      <c r="L11" s="163"/>
      <c r="M11" s="161"/>
      <c r="N11" s="161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85"/>
      <c r="Z11" s="179"/>
      <c r="AA11" s="167"/>
      <c r="AB11" s="179"/>
      <c r="AC11" s="167"/>
      <c r="AD11" s="167"/>
      <c r="AE11" s="167"/>
      <c r="AF11" s="186"/>
      <c r="AG11" s="187"/>
      <c r="AH11" s="188"/>
      <c r="AI11" s="53"/>
      <c r="AJ11" s="160" t="s">
        <v>140</v>
      </c>
      <c r="AK11" s="204"/>
      <c r="AL11" s="204"/>
      <c r="AM11" s="162"/>
      <c r="AN11" s="162"/>
      <c r="AO11" s="162"/>
      <c r="AP11" s="162"/>
      <c r="AQ11" s="163"/>
      <c r="AR11" s="163"/>
      <c r="AS11" s="163"/>
      <c r="AT11" s="161"/>
      <c r="AU11" s="161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85"/>
      <c r="BG11" s="179"/>
      <c r="BH11" s="167"/>
      <c r="BI11" s="179"/>
      <c r="BJ11" s="167"/>
      <c r="BK11" s="167"/>
      <c r="BL11" s="167"/>
      <c r="BM11" s="186"/>
      <c r="BN11" s="187"/>
      <c r="BO11" s="188"/>
      <c r="BP11" s="53"/>
      <c r="BQ11" s="160" t="s">
        <v>140</v>
      </c>
      <c r="BR11" s="204">
        <v>0</v>
      </c>
      <c r="BS11" s="204">
        <v>0</v>
      </c>
      <c r="BT11" s="162">
        <v>0</v>
      </c>
      <c r="BU11" s="162" t="e">
        <v>#DIV/0!</v>
      </c>
      <c r="BV11" s="162">
        <v>1830</v>
      </c>
      <c r="BW11" s="162">
        <v>1036</v>
      </c>
      <c r="BX11" s="163">
        <v>153506</v>
      </c>
      <c r="BY11" s="163">
        <v>215789</v>
      </c>
      <c r="BZ11" s="163">
        <v>161636</v>
      </c>
      <c r="CA11" s="161">
        <v>544130</v>
      </c>
      <c r="CB11" s="161">
        <v>431607</v>
      </c>
      <c r="CC11" s="162">
        <v>112523</v>
      </c>
      <c r="CD11" s="162">
        <v>876</v>
      </c>
      <c r="CE11" s="162">
        <v>175018</v>
      </c>
      <c r="CF11" s="162">
        <v>139720</v>
      </c>
      <c r="CG11" s="162">
        <v>11016</v>
      </c>
      <c r="CH11" s="162">
        <v>9633</v>
      </c>
      <c r="CI11" s="162">
        <v>9092797</v>
      </c>
      <c r="CJ11" s="162">
        <v>7970174</v>
      </c>
      <c r="CK11" s="162">
        <f>CI11-CJ11</f>
        <v>1122623</v>
      </c>
      <c r="CL11" s="162">
        <v>258220</v>
      </c>
      <c r="CM11" s="185">
        <v>882241.31</v>
      </c>
      <c r="CN11" s="179">
        <f t="shared" si="149"/>
        <v>318247.895</v>
      </c>
      <c r="CO11" s="167">
        <f t="shared" si="21"/>
        <v>176448.262</v>
      </c>
      <c r="CP11" s="179">
        <f>(BR11*3200)*CI1</f>
        <v>0</v>
      </c>
      <c r="CQ11" s="167">
        <f>(BS11*1733)*CI1</f>
        <v>0</v>
      </c>
      <c r="CR11" s="167">
        <f t="shared" si="22"/>
        <v>369706.843</v>
      </c>
      <c r="CS11" s="167">
        <f t="shared" si="150"/>
        <v>208.290540540541</v>
      </c>
      <c r="CT11" s="186">
        <f t="shared" si="151"/>
        <v>825.417302106028</v>
      </c>
      <c r="CU11" s="187">
        <f t="shared" si="25"/>
        <v>0.722696670726379</v>
      </c>
      <c r="CV11" s="188">
        <f t="shared" si="26"/>
        <v>1.49103321739448</v>
      </c>
      <c r="CW11" s="53" t="s">
        <v>141</v>
      </c>
      <c r="CX11" s="160" t="s">
        <v>140</v>
      </c>
      <c r="CY11" s="204">
        <v>1</v>
      </c>
      <c r="CZ11" s="204">
        <v>1</v>
      </c>
      <c r="DA11" s="162">
        <v>77</v>
      </c>
      <c r="DB11" s="162">
        <v>0.892207792207792</v>
      </c>
      <c r="DC11" s="162">
        <v>3585</v>
      </c>
      <c r="DD11" s="162">
        <v>2061</v>
      </c>
      <c r="DE11" s="163">
        <v>287293</v>
      </c>
      <c r="DF11" s="163">
        <v>426962</v>
      </c>
      <c r="DG11" s="163">
        <v>318943.18</v>
      </c>
      <c r="DH11" s="161">
        <v>1265170</v>
      </c>
      <c r="DI11" s="161">
        <v>1143021.18</v>
      </c>
      <c r="DJ11" s="162">
        <f t="shared" si="152"/>
        <v>122148.82</v>
      </c>
      <c r="DK11" s="162">
        <v>1788</v>
      </c>
      <c r="DL11" s="162">
        <v>349893</v>
      </c>
      <c r="DM11" s="162">
        <v>257589.18</v>
      </c>
      <c r="DN11" s="162">
        <v>14137</v>
      </c>
      <c r="DO11" s="162">
        <v>11665</v>
      </c>
      <c r="DP11" s="162">
        <v>9402976</v>
      </c>
      <c r="DQ11" s="162">
        <v>8579421</v>
      </c>
      <c r="DR11" s="162">
        <f t="shared" si="153"/>
        <v>823555</v>
      </c>
      <c r="DS11" s="162">
        <v>317190</v>
      </c>
      <c r="DT11" s="185">
        <v>580898.86</v>
      </c>
      <c r="DU11" s="179">
        <f t="shared" si="154"/>
        <v>329104.16</v>
      </c>
      <c r="DV11" s="167">
        <f t="shared" si="30"/>
        <v>116179.772</v>
      </c>
      <c r="DW11" s="179">
        <f>(CY11*3200)*DP1</f>
        <v>96000</v>
      </c>
      <c r="DX11" s="167">
        <f>(CZ11*1733)*DP1</f>
        <v>51990</v>
      </c>
      <c r="DY11" s="167">
        <f t="shared" si="31"/>
        <v>-86908.932</v>
      </c>
      <c r="DZ11" s="167">
        <f t="shared" si="155"/>
        <v>207.162542455119</v>
      </c>
      <c r="EA11" s="186">
        <f t="shared" si="156"/>
        <v>665.132347739973</v>
      </c>
      <c r="EB11" s="187">
        <f t="shared" si="34"/>
        <v>1.47374306061049</v>
      </c>
      <c r="EC11" s="188">
        <f t="shared" si="35"/>
        <v>0.904544343882916</v>
      </c>
      <c r="ED11" s="53"/>
      <c r="EE11" s="160" t="s">
        <v>140</v>
      </c>
      <c r="EF11" s="160">
        <v>1</v>
      </c>
      <c r="EG11" s="160">
        <v>1</v>
      </c>
      <c r="EH11" s="162">
        <v>92</v>
      </c>
      <c r="EI11" s="162">
        <v>0.892706872370266</v>
      </c>
      <c r="EJ11" s="162">
        <v>5085</v>
      </c>
      <c r="EK11" s="162">
        <v>2546</v>
      </c>
      <c r="EL11" s="163">
        <v>411337</v>
      </c>
      <c r="EM11" s="163">
        <v>586658</v>
      </c>
      <c r="EN11" s="163">
        <v>377740</v>
      </c>
      <c r="EO11" s="161">
        <v>1801010</v>
      </c>
      <c r="EP11" s="161">
        <v>1797382</v>
      </c>
      <c r="EQ11" s="162">
        <v>3628</v>
      </c>
      <c r="ER11" s="162">
        <v>2190</v>
      </c>
      <c r="ES11" s="162">
        <v>487594</v>
      </c>
      <c r="ET11" s="162">
        <v>321381</v>
      </c>
      <c r="EU11" s="162">
        <v>14957</v>
      </c>
      <c r="EV11" s="162">
        <v>12031</v>
      </c>
      <c r="EW11" s="162">
        <v>9846289</v>
      </c>
      <c r="EX11" s="162">
        <v>8813876</v>
      </c>
      <c r="EY11" s="162">
        <v>1032413</v>
      </c>
      <c r="EZ11" s="162">
        <v>265470</v>
      </c>
      <c r="FA11" s="185">
        <v>832060.72</v>
      </c>
      <c r="FB11" s="179">
        <v>344620.115</v>
      </c>
      <c r="FC11" s="167">
        <v>166412.144</v>
      </c>
      <c r="FD11" s="179">
        <f>(EF11*3200)*EW1</f>
        <v>99200</v>
      </c>
      <c r="FE11" s="167">
        <f>(EG11*1733)*EW1</f>
        <v>53723</v>
      </c>
      <c r="FF11" s="167">
        <v>86464.741</v>
      </c>
      <c r="FG11" s="167">
        <v>230.423409269442</v>
      </c>
      <c r="FH11" s="186">
        <v>658.306411713579</v>
      </c>
      <c r="FI11" s="187">
        <v>2.01855975476256</v>
      </c>
      <c r="FJ11" s="188">
        <v>1.09140535983586</v>
      </c>
      <c r="FK11" s="53"/>
      <c r="FL11" s="53"/>
      <c r="FM11" s="53"/>
      <c r="FN11" s="160" t="s">
        <v>140</v>
      </c>
      <c r="FO11" s="160">
        <v>1</v>
      </c>
      <c r="FP11" s="160">
        <v>1</v>
      </c>
      <c r="FQ11" s="162">
        <v>66</v>
      </c>
      <c r="FR11" s="162">
        <f>(FT11/FQ11)/GF1</f>
        <v>1.05519480519481</v>
      </c>
      <c r="FS11" s="162">
        <v>3812</v>
      </c>
      <c r="FT11" s="162">
        <v>1950</v>
      </c>
      <c r="FU11" s="163">
        <v>284359</v>
      </c>
      <c r="FV11" s="163">
        <v>405955</v>
      </c>
      <c r="FW11" s="163">
        <v>193969</v>
      </c>
      <c r="FX11" s="161">
        <v>1068283</v>
      </c>
      <c r="FY11" s="161">
        <v>855905</v>
      </c>
      <c r="FZ11" s="162">
        <f t="shared" si="157"/>
        <v>212378</v>
      </c>
      <c r="GA11" s="162">
        <v>1659</v>
      </c>
      <c r="GB11" s="162">
        <v>341004</v>
      </c>
      <c r="GC11" s="162">
        <v>157770</v>
      </c>
      <c r="GD11" s="162">
        <v>13449</v>
      </c>
      <c r="GE11" s="162">
        <v>11499</v>
      </c>
      <c r="GF11" s="162">
        <v>8820770</v>
      </c>
      <c r="GG11" s="162">
        <v>7792812</v>
      </c>
      <c r="GH11" s="162">
        <v>1027958</v>
      </c>
      <c r="GI11" s="162">
        <v>223010</v>
      </c>
      <c r="GJ11" s="185">
        <v>881940.64</v>
      </c>
      <c r="GK11" s="179">
        <v>308726.95</v>
      </c>
      <c r="GL11" s="167">
        <v>176388.128</v>
      </c>
      <c r="GM11" s="179">
        <f>(FO11*3200)*GF1</f>
        <v>89600</v>
      </c>
      <c r="GN11" s="167">
        <f>(FP11*1733)*GF1</f>
        <v>48524</v>
      </c>
      <c r="GO11" s="167">
        <v>166784.922</v>
      </c>
      <c r="GP11" s="167">
        <v>208.182051282051</v>
      </c>
      <c r="GQ11" s="186">
        <v>655.868094282103</v>
      </c>
      <c r="GR11" s="187">
        <f t="shared" si="37"/>
        <v>1.33916186097386</v>
      </c>
      <c r="GS11" s="188">
        <f t="shared" si="38"/>
        <v>1.21472274147636</v>
      </c>
      <c r="GT11" s="53"/>
      <c r="GU11" s="53"/>
      <c r="GV11" s="160" t="s">
        <v>140</v>
      </c>
      <c r="GW11" s="160">
        <v>1</v>
      </c>
      <c r="GX11" s="160">
        <v>1</v>
      </c>
      <c r="GY11" s="162">
        <v>62</v>
      </c>
      <c r="GZ11" s="162">
        <f>(HB11/GY11)/HL1</f>
        <v>0.793964620187305</v>
      </c>
      <c r="HA11" s="162">
        <v>2836</v>
      </c>
      <c r="HB11" s="162">
        <v>1526</v>
      </c>
      <c r="HC11" s="163">
        <v>238604</v>
      </c>
      <c r="HD11" s="163">
        <v>341712</v>
      </c>
      <c r="HE11" s="163">
        <v>249618</v>
      </c>
      <c r="HF11" s="161">
        <v>1231252</v>
      </c>
      <c r="HG11" s="161">
        <v>1158676</v>
      </c>
      <c r="HH11" s="162">
        <f t="shared" si="158"/>
        <v>72576</v>
      </c>
      <c r="HI11" s="162">
        <v>1250</v>
      </c>
      <c r="HJ11" s="162">
        <v>276048</v>
      </c>
      <c r="HK11" s="162">
        <v>179856</v>
      </c>
      <c r="HL11" s="162">
        <v>14132</v>
      </c>
      <c r="HM11" s="162">
        <v>12606</v>
      </c>
      <c r="HN11" s="162">
        <v>8434349</v>
      </c>
      <c r="HO11" s="162">
        <v>7612774</v>
      </c>
      <c r="HP11" s="162">
        <v>821575</v>
      </c>
      <c r="HQ11" s="162">
        <v>177660</v>
      </c>
      <c r="HR11" s="185">
        <v>552691.81</v>
      </c>
      <c r="HS11" s="179">
        <v>295202.215</v>
      </c>
      <c r="HT11" s="167">
        <v>66731.06</v>
      </c>
      <c r="HU11" s="179">
        <f t="shared" si="159"/>
        <v>99200</v>
      </c>
      <c r="HV11" s="167">
        <f t="shared" si="160"/>
        <v>53723</v>
      </c>
      <c r="HW11" s="167">
        <v>112535.725</v>
      </c>
      <c r="HX11" s="167">
        <v>223.926605504587</v>
      </c>
      <c r="HY11" s="186">
        <v>596.826280781206</v>
      </c>
      <c r="HZ11" s="187">
        <f t="shared" si="42"/>
        <v>1.92746550126095</v>
      </c>
      <c r="IA11" s="188">
        <f t="shared" si="43"/>
        <v>1.18636201004807</v>
      </c>
      <c r="IB11" s="53"/>
      <c r="IC11" s="53"/>
      <c r="ID11" s="160" t="s">
        <v>140</v>
      </c>
      <c r="IE11" s="160">
        <v>2</v>
      </c>
      <c r="IF11" s="160">
        <v>0</v>
      </c>
      <c r="IG11" s="162">
        <v>44</v>
      </c>
      <c r="IH11" s="162">
        <f>(IJ11/IG11)/IT1</f>
        <v>1.75439882697947</v>
      </c>
      <c r="II11" s="162">
        <v>4492</v>
      </c>
      <c r="IJ11" s="162">
        <v>2393</v>
      </c>
      <c r="IK11" s="163">
        <v>361538</v>
      </c>
      <c r="IL11" s="163">
        <v>512935</v>
      </c>
      <c r="IM11" s="163">
        <v>306657</v>
      </c>
      <c r="IN11" s="161">
        <v>1609815</v>
      </c>
      <c r="IO11" s="161">
        <v>1560944</v>
      </c>
      <c r="IP11" s="162">
        <f t="shared" si="161"/>
        <v>48871</v>
      </c>
      <c r="IQ11" s="162">
        <v>2038</v>
      </c>
      <c r="IR11" s="162">
        <v>438621</v>
      </c>
      <c r="IS11" s="162">
        <v>250295</v>
      </c>
      <c r="IT11" s="162">
        <v>17203</v>
      </c>
      <c r="IU11" s="162">
        <v>14810</v>
      </c>
      <c r="IV11" s="162">
        <v>9433861</v>
      </c>
      <c r="IW11" s="162">
        <v>8264830</v>
      </c>
      <c r="IX11" s="162">
        <f t="shared" si="162"/>
        <v>1169031</v>
      </c>
      <c r="IY11" s="162">
        <v>222840</v>
      </c>
      <c r="IZ11" s="185">
        <v>869686.61</v>
      </c>
      <c r="JA11" s="179">
        <f t="shared" si="163"/>
        <v>330185.135</v>
      </c>
      <c r="JB11" s="167">
        <f t="shared" si="164"/>
        <v>173937.322</v>
      </c>
      <c r="JC11" s="179">
        <v>135174</v>
      </c>
      <c r="JD11" s="167">
        <v>0</v>
      </c>
      <c r="JE11" s="167">
        <f t="shared" si="165"/>
        <v>306894.543</v>
      </c>
      <c r="JF11" s="167">
        <f t="shared" si="166"/>
        <v>214.348098620978</v>
      </c>
      <c r="JG11" s="186">
        <f t="shared" si="167"/>
        <v>548.384642213567</v>
      </c>
      <c r="JH11" s="187">
        <f t="shared" si="168"/>
        <v>0.594958020665167</v>
      </c>
      <c r="JI11" s="188">
        <f t="shared" si="169"/>
        <v>1.35596980096157</v>
      </c>
      <c r="JJ11" s="190"/>
      <c r="JK11" s="53"/>
      <c r="JL11" s="160" t="s">
        <v>140</v>
      </c>
      <c r="JM11" s="160">
        <v>3</v>
      </c>
      <c r="JN11" s="160">
        <v>44</v>
      </c>
      <c r="JO11" s="162"/>
      <c r="JP11" s="162"/>
      <c r="JQ11" s="162">
        <v>4301</v>
      </c>
      <c r="JR11" s="162">
        <v>2317</v>
      </c>
      <c r="JS11" s="163">
        <v>388495</v>
      </c>
      <c r="JT11" s="163">
        <v>606875</v>
      </c>
      <c r="JU11" s="163">
        <v>336456</v>
      </c>
      <c r="JV11" s="161">
        <v>1361274</v>
      </c>
      <c r="JW11" s="161">
        <v>968815</v>
      </c>
      <c r="JX11" s="162">
        <f t="shared" si="53"/>
        <v>392459</v>
      </c>
      <c r="JY11" s="162">
        <v>1950</v>
      </c>
      <c r="JZ11" s="162">
        <v>533241</v>
      </c>
      <c r="KA11" s="162">
        <v>295595</v>
      </c>
      <c r="KB11" s="162">
        <v>16511</v>
      </c>
      <c r="KC11" s="162">
        <v>14194</v>
      </c>
      <c r="KD11" s="162">
        <v>9215049</v>
      </c>
      <c r="KE11" s="162">
        <v>7422406</v>
      </c>
      <c r="KF11" s="162">
        <f t="shared" si="170"/>
        <v>1792643</v>
      </c>
      <c r="KG11" s="162">
        <v>345220</v>
      </c>
      <c r="KH11" s="185">
        <v>1549504</v>
      </c>
      <c r="KI11" s="179">
        <f t="shared" si="171"/>
        <v>322526.715</v>
      </c>
      <c r="KJ11" s="167">
        <f t="shared" si="172"/>
        <v>309900.8</v>
      </c>
      <c r="KK11" s="179">
        <v>155970</v>
      </c>
      <c r="KL11" s="167"/>
      <c r="KM11" s="167">
        <f t="shared" si="173"/>
        <v>659025.485</v>
      </c>
      <c r="KN11" s="167">
        <f t="shared" si="174"/>
        <v>261.922744928787</v>
      </c>
      <c r="KO11" s="186">
        <f t="shared" si="175"/>
        <v>558.115741021137</v>
      </c>
      <c r="KP11" s="187">
        <f t="shared" si="176"/>
        <v>0.53534370452983</v>
      </c>
      <c r="KQ11" s="188">
        <f t="shared" si="177"/>
        <v>1.58134730301869</v>
      </c>
      <c r="KR11" s="53"/>
      <c r="KS11" s="53"/>
      <c r="KT11" s="213" t="s">
        <v>140</v>
      </c>
      <c r="KU11" s="213">
        <v>3</v>
      </c>
      <c r="KV11" s="213"/>
      <c r="KW11" s="214">
        <v>92</v>
      </c>
      <c r="KX11" s="214"/>
      <c r="KY11" s="214">
        <v>10138</v>
      </c>
      <c r="KZ11" s="214">
        <v>5312</v>
      </c>
      <c r="LA11" s="215">
        <v>846736</v>
      </c>
      <c r="LB11" s="215">
        <v>1284876</v>
      </c>
      <c r="LC11" s="215">
        <v>726381</v>
      </c>
      <c r="LD11" s="216">
        <v>4062778</v>
      </c>
      <c r="LE11" s="216">
        <v>3547033</v>
      </c>
      <c r="LF11" s="216"/>
      <c r="LG11" s="214">
        <v>4273</v>
      </c>
      <c r="LH11" s="214">
        <v>1008982</v>
      </c>
      <c r="LI11" s="214">
        <v>764534</v>
      </c>
      <c r="LJ11" s="214">
        <v>27016</v>
      </c>
      <c r="LK11" s="214">
        <v>21704</v>
      </c>
      <c r="LL11" s="214">
        <v>12756382</v>
      </c>
      <c r="LM11" s="214">
        <v>10905781</v>
      </c>
      <c r="LN11" s="214">
        <v>1850601</v>
      </c>
      <c r="LO11" s="216">
        <v>477200</v>
      </c>
      <c r="LP11" s="217">
        <v>437141.55</v>
      </c>
      <c r="LQ11" s="218">
        <v>446473.37</v>
      </c>
      <c r="LR11" s="219">
        <v>87428.31</v>
      </c>
      <c r="LS11" s="218">
        <v>161169</v>
      </c>
      <c r="LT11" s="218"/>
      <c r="LU11" s="219">
        <v>678330.32</v>
      </c>
      <c r="LV11" s="219">
        <v>241.881777108434</v>
      </c>
      <c r="LW11" s="220">
        <v>472.178782943441</v>
      </c>
      <c r="LX11" s="221">
        <v>1.09605743956677</v>
      </c>
      <c r="LY11" s="222">
        <v>1.5786464948522</v>
      </c>
      <c r="LZ11" s="191"/>
      <c r="MA11" s="192"/>
      <c r="MB11" s="213" t="s">
        <v>140</v>
      </c>
      <c r="MC11" s="213">
        <v>3</v>
      </c>
      <c r="MD11" s="213"/>
      <c r="ME11" s="214">
        <v>102</v>
      </c>
      <c r="MF11" s="214"/>
      <c r="MG11" s="214">
        <v>13731</v>
      </c>
      <c r="MH11" s="214">
        <v>6336</v>
      </c>
      <c r="MI11" s="215">
        <v>939556</v>
      </c>
      <c r="MJ11" s="215">
        <v>1465643</v>
      </c>
      <c r="MK11" s="215">
        <v>1076080</v>
      </c>
      <c r="ML11" s="216">
        <v>4036806</v>
      </c>
      <c r="MM11" s="216">
        <v>3321493</v>
      </c>
      <c r="MN11" s="216"/>
      <c r="MO11" s="214">
        <v>5179</v>
      </c>
      <c r="MP11" s="214">
        <v>1230311</v>
      </c>
      <c r="MQ11" s="214">
        <v>831644</v>
      </c>
      <c r="MR11" s="214">
        <v>30122</v>
      </c>
      <c r="MS11" s="214">
        <v>23786</v>
      </c>
      <c r="MT11" s="214">
        <v>12326644</v>
      </c>
      <c r="MU11" s="214">
        <v>10295980</v>
      </c>
      <c r="MV11" s="214">
        <f t="shared" si="178"/>
        <v>2030664</v>
      </c>
      <c r="MW11" s="216">
        <v>439130</v>
      </c>
      <c r="MX11" s="217">
        <v>1515380.18</v>
      </c>
      <c r="MY11" s="218">
        <f t="shared" si="179"/>
        <v>431432.54</v>
      </c>
      <c r="MZ11" s="219">
        <f t="shared" si="145"/>
        <v>303076.036</v>
      </c>
      <c r="NA11" s="218">
        <v>155970</v>
      </c>
      <c r="NB11" s="219">
        <f t="shared" si="67"/>
        <v>701055.424</v>
      </c>
      <c r="NC11" s="219"/>
      <c r="ND11" s="219">
        <f t="shared" si="180"/>
        <v>231.319917929293</v>
      </c>
      <c r="NE11" s="220">
        <f t="shared" si="181"/>
        <v>409.223955912622</v>
      </c>
      <c r="NF11" s="221">
        <f t="shared" si="70"/>
        <v>1.10231163250259</v>
      </c>
      <c r="NG11" s="222">
        <f t="shared" si="71"/>
        <v>1.52726451728302</v>
      </c>
      <c r="NH11" s="53"/>
      <c r="NI11" s="53"/>
      <c r="NJ11" s="213" t="s">
        <v>140</v>
      </c>
      <c r="NK11" s="213">
        <v>3</v>
      </c>
      <c r="NL11" s="213"/>
      <c r="NM11" s="214">
        <v>90</v>
      </c>
      <c r="NN11" s="214"/>
      <c r="NO11" s="214">
        <v>15280</v>
      </c>
      <c r="NP11" s="214">
        <v>7798</v>
      </c>
      <c r="NQ11" s="215">
        <v>1361848</v>
      </c>
      <c r="NR11" s="215">
        <v>1704619</v>
      </c>
      <c r="NS11" s="215">
        <v>1166683</v>
      </c>
      <c r="NT11" s="216">
        <v>4843598</v>
      </c>
      <c r="NU11" s="216">
        <v>4137731</v>
      </c>
      <c r="NV11" s="216"/>
      <c r="NW11" s="214">
        <v>6512</v>
      </c>
      <c r="NX11" s="214">
        <v>1461463</v>
      </c>
      <c r="NY11" s="214">
        <v>1009595</v>
      </c>
      <c r="NZ11" s="214">
        <v>29501</v>
      </c>
      <c r="OA11" s="214">
        <f t="shared" si="182"/>
        <v>21703</v>
      </c>
      <c r="OB11" s="214">
        <v>11845791</v>
      </c>
      <c r="OC11" s="214">
        <v>9817439</v>
      </c>
      <c r="OD11" s="214">
        <f t="shared" si="183"/>
        <v>2028352</v>
      </c>
      <c r="OE11" s="216">
        <v>560370</v>
      </c>
      <c r="OF11" s="217">
        <v>1486784.91</v>
      </c>
      <c r="OG11" s="218">
        <f t="shared" si="184"/>
        <v>414602.685</v>
      </c>
      <c r="OH11" s="219">
        <f t="shared" si="76"/>
        <v>297356.982</v>
      </c>
      <c r="OI11" s="218">
        <v>161169</v>
      </c>
      <c r="OJ11" s="218"/>
      <c r="OK11" s="219">
        <f t="shared" si="77"/>
        <v>594853.333</v>
      </c>
      <c r="OL11" s="219">
        <f t="shared" si="78"/>
        <v>218.596947935368</v>
      </c>
      <c r="OM11" s="220">
        <f t="shared" si="185"/>
        <v>401.538625809295</v>
      </c>
      <c r="ON11" s="221">
        <f t="shared" si="80"/>
        <v>1.18913190450843</v>
      </c>
      <c r="OO11" s="222">
        <f t="shared" si="81"/>
        <v>1.41496608730366</v>
      </c>
      <c r="OP11" s="53"/>
      <c r="OQ11" s="193"/>
      <c r="OR11" s="53"/>
      <c r="OS11" s="95" t="s">
        <v>140</v>
      </c>
      <c r="OT11" s="95">
        <v>3</v>
      </c>
      <c r="OU11" s="170">
        <v>103</v>
      </c>
      <c r="OV11" s="170">
        <v>19290</v>
      </c>
      <c r="OW11" s="170">
        <v>10454</v>
      </c>
      <c r="OX11" s="170">
        <v>1411461</v>
      </c>
      <c r="OY11" s="170">
        <v>1994026</v>
      </c>
      <c r="OZ11" s="170">
        <v>1210322</v>
      </c>
      <c r="PA11" s="172">
        <v>4979775</v>
      </c>
      <c r="PB11" s="172">
        <v>3978497</v>
      </c>
      <c r="PC11" s="170">
        <v>30472</v>
      </c>
      <c r="PD11" s="170">
        <v>20018</v>
      </c>
      <c r="PE11" s="170">
        <v>11909751</v>
      </c>
      <c r="PF11" s="170">
        <v>10070402</v>
      </c>
      <c r="PG11" s="170">
        <f t="shared" si="82"/>
        <v>1839349</v>
      </c>
      <c r="PH11" s="172">
        <v>982940</v>
      </c>
      <c r="PI11" s="173">
        <v>1196342.59</v>
      </c>
      <c r="PJ11" s="171">
        <f t="shared" si="83"/>
        <v>416841.285</v>
      </c>
      <c r="PK11" s="174">
        <f t="shared" si="84"/>
        <v>239268.518</v>
      </c>
      <c r="PL11" s="171">
        <f>OT11*1733*PF1+1</f>
        <v>161170</v>
      </c>
      <c r="PM11" s="174">
        <f t="shared" si="85"/>
        <v>39129.1969999997</v>
      </c>
      <c r="PN11" s="174">
        <f t="shared" si="86"/>
        <v>190.742873541228</v>
      </c>
      <c r="PO11" s="195">
        <f t="shared" si="87"/>
        <v>390.84244552376</v>
      </c>
      <c r="PP11" s="196">
        <f t="shared" si="88"/>
        <v>1.10765696315363</v>
      </c>
      <c r="PQ11" s="197">
        <f t="shared" si="89"/>
        <v>1.02173578856026</v>
      </c>
      <c r="PR11" s="198"/>
      <c r="PS11" s="157"/>
      <c r="PT11" s="144"/>
      <c r="PU11" s="95" t="s">
        <v>140</v>
      </c>
      <c r="PV11" s="95">
        <v>3</v>
      </c>
      <c r="PW11" s="170">
        <v>160</v>
      </c>
      <c r="PX11" s="170">
        <v>22627</v>
      </c>
      <c r="PY11" s="170">
        <v>10387</v>
      </c>
      <c r="PZ11" s="170">
        <v>1499005</v>
      </c>
      <c r="QA11" s="170">
        <v>2100241</v>
      </c>
      <c r="QB11" s="170">
        <v>1435241</v>
      </c>
      <c r="QC11" s="170">
        <v>27476</v>
      </c>
      <c r="QD11" s="170">
        <v>17089</v>
      </c>
      <c r="QE11" s="170">
        <v>11712488</v>
      </c>
      <c r="QF11" s="171">
        <v>11187395</v>
      </c>
      <c r="QG11" s="171">
        <v>525093</v>
      </c>
      <c r="QH11" s="172">
        <v>925330</v>
      </c>
      <c r="QI11" s="173">
        <v>-79992.36</v>
      </c>
      <c r="QJ11" s="171">
        <f t="shared" si="90"/>
        <v>409937.08</v>
      </c>
      <c r="QK11" s="174">
        <v>0</v>
      </c>
      <c r="QL11" s="171">
        <f>PV11*3306*QG1+1</f>
        <v>297541</v>
      </c>
      <c r="QM11" s="174">
        <f t="shared" si="186"/>
        <v>115155.92</v>
      </c>
      <c r="QN11" s="174">
        <f t="shared" si="187"/>
        <v>144.315490516992</v>
      </c>
      <c r="QO11" s="195">
        <f t="shared" si="188"/>
        <v>426.280681321881</v>
      </c>
      <c r="QP11" s="196">
        <f t="shared" si="95"/>
        <v>1.28627548192927</v>
      </c>
      <c r="QQ11" s="197">
        <f t="shared" si="96"/>
        <v>1.28091120715403</v>
      </c>
      <c r="QR11" s="199" t="s">
        <v>118</v>
      </c>
      <c r="QS11" s="206"/>
      <c r="QT11" s="144" t="s">
        <v>142</v>
      </c>
      <c r="QU11" s="95" t="s">
        <v>140</v>
      </c>
      <c r="QV11" s="95">
        <v>3</v>
      </c>
      <c r="QW11" s="175">
        <v>16584</v>
      </c>
      <c r="QX11" s="175">
        <v>7625</v>
      </c>
      <c r="QY11" s="175">
        <v>3669150</v>
      </c>
      <c r="QZ11" s="175">
        <v>8562</v>
      </c>
      <c r="RA11" s="175">
        <v>10985613</v>
      </c>
      <c r="RB11" s="202">
        <v>9782073</v>
      </c>
      <c r="RC11" s="177">
        <f t="shared" si="97"/>
        <v>9091873</v>
      </c>
      <c r="RD11" s="171">
        <f t="shared" si="141"/>
        <v>1203540</v>
      </c>
      <c r="RE11" s="170">
        <v>690200</v>
      </c>
      <c r="RF11" s="173">
        <v>759868.56</v>
      </c>
      <c r="RG11" s="171">
        <f t="shared" si="98"/>
        <v>384496.455</v>
      </c>
      <c r="RH11" s="174">
        <f t="shared" si="189"/>
        <v>75986.856</v>
      </c>
      <c r="RI11" s="171">
        <f t="shared" si="148"/>
        <v>307458</v>
      </c>
      <c r="RJ11" s="176">
        <f t="shared" si="101"/>
        <v>743056.689</v>
      </c>
      <c r="RK11" s="174">
        <f t="shared" si="102"/>
        <v>1283.06622284513</v>
      </c>
      <c r="RL11" s="201">
        <f t="shared" si="103"/>
        <v>2.51631990145295</v>
      </c>
      <c r="RM11" s="197">
        <f t="shared" si="104"/>
        <v>2.61364520982607</v>
      </c>
      <c r="RN11" s="198"/>
      <c r="RO11" s="144"/>
      <c r="RP11" s="144"/>
      <c r="RQ11" s="95" t="s">
        <v>140</v>
      </c>
      <c r="RR11" s="95">
        <v>2</v>
      </c>
      <c r="RS11" s="175">
        <v>6429</v>
      </c>
      <c r="RT11" s="175">
        <v>2648</v>
      </c>
      <c r="RU11" s="175">
        <v>1611948</v>
      </c>
      <c r="RV11" s="175">
        <v>3223</v>
      </c>
      <c r="RW11" s="175">
        <v>9693213</v>
      </c>
      <c r="RX11" s="175">
        <v>8292377</v>
      </c>
      <c r="RY11" s="177">
        <f t="shared" si="105"/>
        <v>1400836</v>
      </c>
      <c r="RZ11" s="170">
        <v>403680</v>
      </c>
      <c r="SA11" s="170">
        <v>0</v>
      </c>
      <c r="SB11" s="171">
        <v>1265813.89</v>
      </c>
      <c r="SC11" s="171">
        <f t="shared" si="106"/>
        <v>339262.455</v>
      </c>
      <c r="SD11" s="174">
        <f t="shared" si="107"/>
        <v>126581.389</v>
      </c>
      <c r="SE11" s="171">
        <f t="shared" si="108"/>
        <v>198360</v>
      </c>
      <c r="SF11" s="207">
        <f t="shared" si="109"/>
        <v>736632.156</v>
      </c>
      <c r="SG11" s="174">
        <f t="shared" si="110"/>
        <v>3007.51256593236</v>
      </c>
      <c r="SH11" s="196">
        <f t="shared" si="111"/>
        <v>1.50947877810576</v>
      </c>
      <c r="SI11" s="197">
        <f t="shared" si="112"/>
        <v>2.10904530688022</v>
      </c>
      <c r="SJ11" s="144" t="s">
        <v>143</v>
      </c>
      <c r="SK11" s="144"/>
      <c r="SL11" s="144"/>
      <c r="SM11" s="95" t="s">
        <v>140</v>
      </c>
      <c r="SN11" s="95">
        <v>3</v>
      </c>
      <c r="SO11" s="175">
        <v>4417</v>
      </c>
      <c r="SP11" s="175">
        <v>1529</v>
      </c>
      <c r="SQ11" s="175">
        <v>1172788</v>
      </c>
      <c r="SR11" s="175">
        <v>2011</v>
      </c>
      <c r="SS11" s="175">
        <v>8452896</v>
      </c>
      <c r="ST11" s="175">
        <v>7957166</v>
      </c>
      <c r="SU11" s="177">
        <f t="shared" si="113"/>
        <v>495730</v>
      </c>
      <c r="SV11" s="170">
        <v>72200</v>
      </c>
      <c r="SW11" s="170">
        <v>0</v>
      </c>
      <c r="SX11" s="171">
        <v>438651.86</v>
      </c>
      <c r="SY11" s="171">
        <f t="shared" si="114"/>
        <v>295851.36</v>
      </c>
      <c r="SZ11" s="174">
        <f t="shared" ref="SZ11:SZ13" si="191">SX11*10%</f>
        <v>43865.186</v>
      </c>
      <c r="TA11" s="171">
        <f t="shared" si="116"/>
        <v>372000</v>
      </c>
      <c r="TB11" s="207">
        <f t="shared" si="117"/>
        <v>-215986.546</v>
      </c>
      <c r="TC11" s="174">
        <f t="shared" si="118"/>
        <v>4203.32968672302</v>
      </c>
      <c r="TD11" s="196">
        <f t="shared" si="119"/>
        <v>1.49606231171449</v>
      </c>
      <c r="TE11" s="197">
        <f t="shared" si="120"/>
        <v>0.696527294168035</v>
      </c>
      <c r="TF11" s="156"/>
      <c r="TG11" s="156"/>
      <c r="TH11" s="95" t="s">
        <v>140</v>
      </c>
      <c r="TI11" s="95">
        <v>5</v>
      </c>
      <c r="TJ11" s="95">
        <v>6241</v>
      </c>
      <c r="TK11" s="95">
        <v>1650</v>
      </c>
      <c r="TL11" s="175">
        <v>2702009</v>
      </c>
      <c r="TM11" s="175">
        <v>2020</v>
      </c>
      <c r="TN11" s="175">
        <v>8954093</v>
      </c>
      <c r="TO11" s="175">
        <v>8350972</v>
      </c>
      <c r="TP11" s="175">
        <f t="shared" si="121"/>
        <v>603121</v>
      </c>
      <c r="TQ11" s="178">
        <v>6350</v>
      </c>
      <c r="TR11" s="170">
        <v>0</v>
      </c>
      <c r="TS11" s="170">
        <v>616011.92</v>
      </c>
      <c r="TT11" s="170">
        <f t="shared" si="122"/>
        <v>358163.72</v>
      </c>
      <c r="TU11" s="178">
        <f t="shared" si="147"/>
        <v>61601.192</v>
      </c>
      <c r="TV11" s="170">
        <f t="shared" si="123"/>
        <v>560000</v>
      </c>
      <c r="TW11" s="203">
        <f t="shared" si="124"/>
        <v>-376643.912</v>
      </c>
      <c r="TX11" s="174">
        <f t="shared" si="125"/>
        <v>4432.71930693069</v>
      </c>
      <c r="TY11" s="196">
        <f t="shared" si="126"/>
        <v>2.74005490345936</v>
      </c>
      <c r="TZ11" s="102">
        <f t="shared" si="127"/>
        <v>0.615577260027454</v>
      </c>
      <c r="UA11" s="156"/>
      <c r="UB11" s="144"/>
      <c r="UC11" s="144"/>
      <c r="UD11" s="95" t="s">
        <v>140</v>
      </c>
      <c r="UE11" s="95">
        <v>3</v>
      </c>
      <c r="UF11" s="175">
        <v>5537</v>
      </c>
      <c r="UG11" s="175">
        <v>1745</v>
      </c>
      <c r="UH11" s="175">
        <v>3379772</v>
      </c>
      <c r="UI11" s="175">
        <v>2035</v>
      </c>
      <c r="UJ11" s="175">
        <v>8162950</v>
      </c>
      <c r="UK11" s="175">
        <v>7087639</v>
      </c>
      <c r="UL11" s="175">
        <f t="shared" si="128"/>
        <v>1075311</v>
      </c>
      <c r="UM11" s="170">
        <v>142000</v>
      </c>
      <c r="UN11" s="170">
        <v>0</v>
      </c>
      <c r="UO11" s="170">
        <v>994856.96</v>
      </c>
      <c r="UP11" s="170">
        <f t="shared" si="129"/>
        <v>326518</v>
      </c>
      <c r="UQ11" s="178">
        <f t="shared" si="190"/>
        <v>99485.696</v>
      </c>
      <c r="UR11" s="170">
        <f t="shared" ref="UR11:UR13" si="192">UE11*4000*31</f>
        <v>372000</v>
      </c>
      <c r="US11" s="178">
        <f t="shared" si="131"/>
        <v>277307.304</v>
      </c>
      <c r="UT11" s="174">
        <f t="shared" si="132"/>
        <v>4011.27764127764</v>
      </c>
      <c r="UU11" s="196">
        <f t="shared" si="133"/>
        <v>3.59548799050679</v>
      </c>
      <c r="UV11" s="102">
        <f t="shared" si="134"/>
        <v>1.34750127773844</v>
      </c>
      <c r="UW11" s="144"/>
      <c r="UX11" s="144"/>
      <c r="UY11" s="144"/>
      <c r="UZ11" s="95" t="s">
        <v>140</v>
      </c>
      <c r="VA11" s="95">
        <v>3</v>
      </c>
      <c r="VB11" s="175">
        <v>3327</v>
      </c>
      <c r="VC11" s="175">
        <v>1504</v>
      </c>
      <c r="VD11" s="175">
        <v>1739071</v>
      </c>
      <c r="VE11" s="175">
        <v>1649</v>
      </c>
      <c r="VF11" s="175">
        <v>4063633</v>
      </c>
      <c r="VG11" s="175">
        <v>4177704</v>
      </c>
      <c r="VH11" s="175">
        <f t="shared" si="135"/>
        <v>-114071</v>
      </c>
      <c r="VI11" s="178">
        <v>239400</v>
      </c>
      <c r="VJ11" s="178">
        <v>0</v>
      </c>
      <c r="VK11" s="203">
        <v>-142626.37</v>
      </c>
      <c r="VL11" s="178">
        <f t="shared" si="136"/>
        <v>162545.32</v>
      </c>
      <c r="VM11" s="178">
        <v>0</v>
      </c>
      <c r="VN11" s="170">
        <f>VA11*4000*31</f>
        <v>372000</v>
      </c>
      <c r="VO11" s="178">
        <f t="shared" si="137"/>
        <v>-648616.32</v>
      </c>
      <c r="VP11" s="174">
        <f t="shared" si="138"/>
        <v>2464.30139478472</v>
      </c>
      <c r="VQ11" s="196">
        <f t="shared" si="139"/>
        <v>2.24702050010458</v>
      </c>
      <c r="VR11" s="102">
        <f t="shared" si="140"/>
        <v>-0.213398182964168</v>
      </c>
      <c r="VS11" s="84"/>
      <c r="VT11" s="53"/>
      <c r="VU11" s="53"/>
    </row>
    <row r="12" ht="18" hidden="1" customHeight="1" spans="1:593">
      <c r="A12" s="53"/>
      <c r="B12" s="53"/>
      <c r="C12" s="160" t="s">
        <v>144</v>
      </c>
      <c r="D12" s="204"/>
      <c r="E12" s="204"/>
      <c r="F12" s="162"/>
      <c r="G12" s="162"/>
      <c r="H12" s="162"/>
      <c r="I12" s="162"/>
      <c r="J12" s="163"/>
      <c r="K12" s="163"/>
      <c r="L12" s="163"/>
      <c r="M12" s="161"/>
      <c r="N12" s="161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85"/>
      <c r="Z12" s="179"/>
      <c r="AA12" s="167"/>
      <c r="AB12" s="179"/>
      <c r="AC12" s="179"/>
      <c r="AD12" s="167"/>
      <c r="AE12" s="179"/>
      <c r="AF12" s="179"/>
      <c r="AG12" s="187"/>
      <c r="AH12" s="188"/>
      <c r="AI12" s="53"/>
      <c r="AJ12" s="160" t="s">
        <v>144</v>
      </c>
      <c r="AK12" s="204"/>
      <c r="AL12" s="204"/>
      <c r="AM12" s="162"/>
      <c r="AN12" s="162"/>
      <c r="AO12" s="162"/>
      <c r="AP12" s="162"/>
      <c r="AQ12" s="163"/>
      <c r="AR12" s="163"/>
      <c r="AS12" s="163"/>
      <c r="AT12" s="161"/>
      <c r="AU12" s="161"/>
      <c r="AV12" s="162"/>
      <c r="AW12" s="162"/>
      <c r="AX12" s="162"/>
      <c r="AY12" s="162"/>
      <c r="AZ12" s="162"/>
      <c r="BA12" s="162"/>
      <c r="BB12" s="162"/>
      <c r="BC12" s="162"/>
      <c r="BD12" s="162"/>
      <c r="BE12" s="162"/>
      <c r="BF12" s="185"/>
      <c r="BG12" s="179"/>
      <c r="BH12" s="167"/>
      <c r="BI12" s="179"/>
      <c r="BJ12" s="179"/>
      <c r="BK12" s="167"/>
      <c r="BL12" s="179"/>
      <c r="BM12" s="179"/>
      <c r="BN12" s="187"/>
      <c r="BO12" s="188"/>
      <c r="BP12" s="53"/>
      <c r="BQ12" s="160" t="s">
        <v>144</v>
      </c>
      <c r="BR12" s="204"/>
      <c r="BS12" s="204"/>
      <c r="BT12" s="162"/>
      <c r="BU12" s="162"/>
      <c r="BV12" s="162"/>
      <c r="BW12" s="162"/>
      <c r="BX12" s="163"/>
      <c r="BY12" s="163"/>
      <c r="BZ12" s="163"/>
      <c r="CA12" s="161"/>
      <c r="CB12" s="161"/>
      <c r="CC12" s="162"/>
      <c r="CD12" s="162"/>
      <c r="CE12" s="162"/>
      <c r="CF12" s="162"/>
      <c r="CG12" s="162"/>
      <c r="CH12" s="162"/>
      <c r="CI12" s="162"/>
      <c r="CJ12" s="162"/>
      <c r="CK12" s="162"/>
      <c r="CL12" s="162"/>
      <c r="CM12" s="185"/>
      <c r="CN12" s="179"/>
      <c r="CO12" s="167">
        <f t="shared" si="21"/>
        <v>0</v>
      </c>
      <c r="CP12" s="179"/>
      <c r="CQ12" s="179"/>
      <c r="CR12" s="167">
        <f t="shared" si="22"/>
        <v>0</v>
      </c>
      <c r="CS12" s="179"/>
      <c r="CT12" s="179"/>
      <c r="CU12" s="187" t="e">
        <f t="shared" si="25"/>
        <v>#DIV/0!</v>
      </c>
      <c r="CV12" s="188" t="e">
        <f t="shared" si="26"/>
        <v>#DIV/0!</v>
      </c>
      <c r="CW12" s="53"/>
      <c r="CX12" s="160" t="s">
        <v>144</v>
      </c>
      <c r="CY12" s="204"/>
      <c r="CZ12" s="204"/>
      <c r="DA12" s="162"/>
      <c r="DB12" s="162"/>
      <c r="DC12" s="162"/>
      <c r="DD12" s="162"/>
      <c r="DE12" s="163"/>
      <c r="DF12" s="163"/>
      <c r="DG12" s="163"/>
      <c r="DH12" s="161"/>
      <c r="DI12" s="161"/>
      <c r="DJ12" s="162"/>
      <c r="DK12" s="162"/>
      <c r="DL12" s="162"/>
      <c r="DM12" s="162"/>
      <c r="DN12" s="162"/>
      <c r="DO12" s="162"/>
      <c r="DP12" s="162"/>
      <c r="DQ12" s="162"/>
      <c r="DR12" s="162"/>
      <c r="DS12" s="162"/>
      <c r="DT12" s="185"/>
      <c r="DU12" s="179"/>
      <c r="DV12" s="167">
        <f t="shared" si="30"/>
        <v>0</v>
      </c>
      <c r="DW12" s="179"/>
      <c r="DX12" s="179"/>
      <c r="DY12" s="167">
        <f t="shared" si="31"/>
        <v>0</v>
      </c>
      <c r="DZ12" s="179"/>
      <c r="EA12" s="179"/>
      <c r="EB12" s="187" t="e">
        <f t="shared" si="34"/>
        <v>#DIV/0!</v>
      </c>
      <c r="EC12" s="188" t="e">
        <f t="shared" si="35"/>
        <v>#DIV/0!</v>
      </c>
      <c r="ED12" s="53"/>
      <c r="EE12" s="160" t="s">
        <v>144</v>
      </c>
      <c r="EF12" s="160"/>
      <c r="EG12" s="160"/>
      <c r="EH12" s="162"/>
      <c r="EI12" s="162"/>
      <c r="EJ12" s="162"/>
      <c r="EK12" s="162"/>
      <c r="EL12" s="163"/>
      <c r="EM12" s="163"/>
      <c r="EN12" s="163"/>
      <c r="EO12" s="161"/>
      <c r="EP12" s="161"/>
      <c r="EQ12" s="162"/>
      <c r="ER12" s="162"/>
      <c r="ES12" s="162"/>
      <c r="ET12" s="162"/>
      <c r="EU12" s="162"/>
      <c r="EV12" s="162"/>
      <c r="EW12" s="162"/>
      <c r="EX12" s="162"/>
      <c r="EY12" s="162"/>
      <c r="EZ12" s="162"/>
      <c r="FA12" s="185"/>
      <c r="FB12" s="179"/>
      <c r="FC12" s="167">
        <v>0</v>
      </c>
      <c r="FD12" s="179"/>
      <c r="FE12" s="167"/>
      <c r="FF12" s="167">
        <v>0</v>
      </c>
      <c r="FG12" s="167"/>
      <c r="FH12" s="186"/>
      <c r="FI12" s="187" t="e">
        <v>#DIV/0!</v>
      </c>
      <c r="FJ12" s="188" t="e">
        <v>#DIV/0!</v>
      </c>
      <c r="FK12" s="53"/>
      <c r="FL12" s="53"/>
      <c r="FM12" s="53"/>
      <c r="FN12" s="160" t="s">
        <v>144</v>
      </c>
      <c r="FO12" s="160"/>
      <c r="FP12" s="160"/>
      <c r="FQ12" s="162"/>
      <c r="FR12" s="162"/>
      <c r="FS12" s="162"/>
      <c r="FT12" s="162"/>
      <c r="FU12" s="163"/>
      <c r="FV12" s="163"/>
      <c r="FW12" s="163"/>
      <c r="FX12" s="161"/>
      <c r="FY12" s="161"/>
      <c r="FZ12" s="162"/>
      <c r="GA12" s="162"/>
      <c r="GB12" s="162"/>
      <c r="GC12" s="162"/>
      <c r="GD12" s="162"/>
      <c r="GE12" s="162"/>
      <c r="GF12" s="162"/>
      <c r="GG12" s="162"/>
      <c r="GH12" s="162"/>
      <c r="GI12" s="162"/>
      <c r="GJ12" s="185"/>
      <c r="GK12" s="179"/>
      <c r="GL12" s="167"/>
      <c r="GM12" s="179"/>
      <c r="GN12" s="167"/>
      <c r="GO12" s="167">
        <f t="shared" si="143"/>
        <v>0</v>
      </c>
      <c r="GP12" s="167"/>
      <c r="GQ12" s="186"/>
      <c r="GR12" s="187" t="e">
        <f t="shared" si="37"/>
        <v>#DIV/0!</v>
      </c>
      <c r="GS12" s="188" t="e">
        <f t="shared" si="38"/>
        <v>#DIV/0!</v>
      </c>
      <c r="GT12" s="53"/>
      <c r="GU12" s="53"/>
      <c r="GV12" s="160" t="s">
        <v>144</v>
      </c>
      <c r="GW12" s="160"/>
      <c r="GX12" s="160"/>
      <c r="GY12" s="162"/>
      <c r="GZ12" s="162"/>
      <c r="HA12" s="162"/>
      <c r="HB12" s="162"/>
      <c r="HC12" s="163"/>
      <c r="HD12" s="163"/>
      <c r="HE12" s="163"/>
      <c r="HF12" s="161"/>
      <c r="HG12" s="161"/>
      <c r="HH12" s="162"/>
      <c r="HI12" s="162"/>
      <c r="HJ12" s="162"/>
      <c r="HK12" s="162"/>
      <c r="HL12" s="162"/>
      <c r="HM12" s="162"/>
      <c r="HN12" s="162"/>
      <c r="HO12" s="162"/>
      <c r="HP12" s="162"/>
      <c r="HQ12" s="162"/>
      <c r="HR12" s="185"/>
      <c r="HS12" s="179"/>
      <c r="HT12" s="167"/>
      <c r="HU12" s="179"/>
      <c r="HV12" s="167"/>
      <c r="HW12" s="167">
        <f t="shared" si="144"/>
        <v>0</v>
      </c>
      <c r="HX12" s="167"/>
      <c r="HY12" s="186"/>
      <c r="HZ12" s="187" t="e">
        <f t="shared" si="42"/>
        <v>#DIV/0!</v>
      </c>
      <c r="IA12" s="188" t="e">
        <f t="shared" si="43"/>
        <v>#DIV/0!</v>
      </c>
      <c r="IB12" s="53"/>
      <c r="IC12" s="53"/>
      <c r="ID12" s="160" t="s">
        <v>144</v>
      </c>
      <c r="IE12" s="160"/>
      <c r="IF12" s="160"/>
      <c r="IG12" s="162"/>
      <c r="IH12" s="162"/>
      <c r="II12" s="162"/>
      <c r="IJ12" s="162"/>
      <c r="IK12" s="163"/>
      <c r="IL12" s="163"/>
      <c r="IM12" s="163"/>
      <c r="IN12" s="161"/>
      <c r="IO12" s="161"/>
      <c r="IP12" s="162"/>
      <c r="IQ12" s="162"/>
      <c r="IR12" s="162"/>
      <c r="IS12" s="162"/>
      <c r="IT12" s="162"/>
      <c r="IU12" s="162"/>
      <c r="IV12" s="162"/>
      <c r="IW12" s="162"/>
      <c r="IX12" s="162"/>
      <c r="IY12" s="162"/>
      <c r="IZ12" s="185"/>
      <c r="JA12" s="179"/>
      <c r="JB12" s="167"/>
      <c r="JC12" s="179"/>
      <c r="JD12" s="167"/>
      <c r="JE12" s="167"/>
      <c r="JF12" s="167"/>
      <c r="JG12" s="186"/>
      <c r="JH12" s="187"/>
      <c r="JI12" s="188"/>
      <c r="JJ12" s="190"/>
      <c r="JK12" s="53"/>
      <c r="JL12" s="160" t="s">
        <v>144</v>
      </c>
      <c r="JM12" s="160"/>
      <c r="JN12" s="160"/>
      <c r="JO12" s="162"/>
      <c r="JP12" s="162"/>
      <c r="JQ12" s="162"/>
      <c r="JR12" s="162"/>
      <c r="JS12" s="163"/>
      <c r="JT12" s="163"/>
      <c r="JU12" s="163"/>
      <c r="JV12" s="161"/>
      <c r="JW12" s="161"/>
      <c r="JX12" s="162">
        <f t="shared" si="53"/>
        <v>0</v>
      </c>
      <c r="JY12" s="162"/>
      <c r="JZ12" s="162"/>
      <c r="KA12" s="162"/>
      <c r="KB12" s="162"/>
      <c r="KC12" s="162"/>
      <c r="KD12" s="162"/>
      <c r="KE12" s="162"/>
      <c r="KF12" s="162"/>
      <c r="KG12" s="162"/>
      <c r="KH12" s="185"/>
      <c r="KI12" s="179"/>
      <c r="KJ12" s="167"/>
      <c r="KK12" s="179"/>
      <c r="KL12" s="167"/>
      <c r="KM12" s="167"/>
      <c r="KN12" s="167"/>
      <c r="KO12" s="186"/>
      <c r="KP12" s="187"/>
      <c r="KQ12" s="188"/>
      <c r="KR12" s="53"/>
      <c r="KS12" s="53"/>
      <c r="KT12" s="213" t="s">
        <v>144</v>
      </c>
      <c r="KU12" s="213"/>
      <c r="KV12" s="213"/>
      <c r="KW12" s="216"/>
      <c r="KX12" s="216"/>
      <c r="KY12" s="216"/>
      <c r="KZ12" s="216"/>
      <c r="LA12" s="223"/>
      <c r="LB12" s="223"/>
      <c r="LC12" s="223"/>
      <c r="LD12" s="216"/>
      <c r="LE12" s="216"/>
      <c r="LF12" s="216"/>
      <c r="LG12" s="216"/>
      <c r="LH12" s="216"/>
      <c r="LI12" s="216"/>
      <c r="LJ12" s="216"/>
      <c r="LK12" s="216"/>
      <c r="LL12" s="216"/>
      <c r="LM12" s="216"/>
      <c r="LN12" s="214">
        <v>0</v>
      </c>
      <c r="LO12" s="216"/>
      <c r="LP12" s="217"/>
      <c r="LQ12" s="217"/>
      <c r="LR12" s="219">
        <v>0</v>
      </c>
      <c r="LS12" s="217"/>
      <c r="LT12" s="217"/>
      <c r="LU12" s="219">
        <v>0</v>
      </c>
      <c r="LV12" s="224"/>
      <c r="LW12" s="225"/>
      <c r="LX12" s="221" t="e">
        <v>#DIV/0!</v>
      </c>
      <c r="LY12" s="222" t="e">
        <v>#DIV/0!</v>
      </c>
      <c r="LZ12" s="191"/>
      <c r="MA12" s="192"/>
      <c r="MB12" s="213" t="s">
        <v>144</v>
      </c>
      <c r="MC12" s="213"/>
      <c r="MD12" s="213"/>
      <c r="ME12" s="216"/>
      <c r="MF12" s="216"/>
      <c r="MG12" s="216"/>
      <c r="MH12" s="216"/>
      <c r="MI12" s="223"/>
      <c r="MJ12" s="223"/>
      <c r="MK12" s="223"/>
      <c r="ML12" s="216"/>
      <c r="MM12" s="216"/>
      <c r="MN12" s="216"/>
      <c r="MO12" s="216"/>
      <c r="MP12" s="216"/>
      <c r="MQ12" s="216"/>
      <c r="MR12" s="216"/>
      <c r="MS12" s="216"/>
      <c r="MT12" s="216"/>
      <c r="MU12" s="216"/>
      <c r="MV12" s="216"/>
      <c r="MW12" s="216"/>
      <c r="MX12" s="217"/>
      <c r="MY12" s="217"/>
      <c r="MZ12" s="219">
        <f t="shared" si="145"/>
        <v>0</v>
      </c>
      <c r="NA12" s="217"/>
      <c r="NB12" s="219">
        <f t="shared" si="67"/>
        <v>0</v>
      </c>
      <c r="NC12" s="224"/>
      <c r="ND12" s="224"/>
      <c r="NE12" s="225"/>
      <c r="NF12" s="221" t="e">
        <f t="shared" si="70"/>
        <v>#DIV/0!</v>
      </c>
      <c r="NG12" s="222" t="e">
        <f t="shared" si="71"/>
        <v>#DIV/0!</v>
      </c>
      <c r="NH12" s="53"/>
      <c r="NI12" s="53"/>
      <c r="NJ12" s="213" t="s">
        <v>144</v>
      </c>
      <c r="NK12" s="213"/>
      <c r="NL12" s="213"/>
      <c r="NM12" s="214"/>
      <c r="NN12" s="214"/>
      <c r="NO12" s="214"/>
      <c r="NP12" s="214"/>
      <c r="NQ12" s="215"/>
      <c r="NR12" s="215"/>
      <c r="NS12" s="215"/>
      <c r="NT12" s="216"/>
      <c r="NU12" s="216"/>
      <c r="NV12" s="216"/>
      <c r="NW12" s="214"/>
      <c r="NX12" s="214"/>
      <c r="NY12" s="214"/>
      <c r="NZ12" s="214"/>
      <c r="OA12" s="214"/>
      <c r="OB12" s="214"/>
      <c r="OC12" s="214"/>
      <c r="OD12" s="214"/>
      <c r="OE12" s="216"/>
      <c r="OF12" s="217"/>
      <c r="OG12" s="218"/>
      <c r="OH12" s="219">
        <f t="shared" si="76"/>
        <v>0</v>
      </c>
      <c r="OI12" s="218"/>
      <c r="OJ12" s="218"/>
      <c r="OK12" s="219">
        <f t="shared" si="77"/>
        <v>0</v>
      </c>
      <c r="OL12" s="219" t="e">
        <f t="shared" si="78"/>
        <v>#DIV/0!</v>
      </c>
      <c r="OM12" s="220"/>
      <c r="ON12" s="221" t="e">
        <f t="shared" si="80"/>
        <v>#DIV/0!</v>
      </c>
      <c r="OO12" s="222" t="e">
        <f t="shared" si="81"/>
        <v>#DIV/0!</v>
      </c>
      <c r="OP12" s="53"/>
      <c r="OQ12" s="193"/>
      <c r="OR12" s="53"/>
      <c r="OS12" s="95" t="s">
        <v>144</v>
      </c>
      <c r="OT12" s="95">
        <v>0</v>
      </c>
      <c r="OU12" s="170"/>
      <c r="OV12" s="170"/>
      <c r="OW12" s="170"/>
      <c r="OX12" s="170"/>
      <c r="OY12" s="170"/>
      <c r="OZ12" s="170"/>
      <c r="PA12" s="172"/>
      <c r="PB12" s="172"/>
      <c r="PC12" s="170">
        <v>4605</v>
      </c>
      <c r="PD12" s="170">
        <v>4605</v>
      </c>
      <c r="PE12" s="170"/>
      <c r="PF12" s="170"/>
      <c r="PG12" s="170">
        <f t="shared" si="82"/>
        <v>0</v>
      </c>
      <c r="PH12" s="172"/>
      <c r="PI12" s="173"/>
      <c r="PJ12" s="171">
        <f t="shared" si="83"/>
        <v>0</v>
      </c>
      <c r="PK12" s="174">
        <f t="shared" si="84"/>
        <v>0</v>
      </c>
      <c r="PL12" s="171">
        <f t="shared" si="146"/>
        <v>1</v>
      </c>
      <c r="PM12" s="174">
        <f t="shared" si="85"/>
        <v>-1</v>
      </c>
      <c r="PN12" s="174" t="e">
        <f t="shared" si="86"/>
        <v>#DIV/0!</v>
      </c>
      <c r="PO12" s="195">
        <f t="shared" si="87"/>
        <v>0</v>
      </c>
      <c r="PP12" s="196">
        <f t="shared" si="88"/>
        <v>0</v>
      </c>
      <c r="PQ12" s="197">
        <f t="shared" si="89"/>
        <v>0</v>
      </c>
      <c r="PR12" s="198"/>
      <c r="PS12" s="157"/>
      <c r="PT12" s="144"/>
      <c r="PU12" s="95" t="s">
        <v>144</v>
      </c>
      <c r="PV12" s="95">
        <v>0</v>
      </c>
      <c r="PW12" s="170"/>
      <c r="PX12" s="170"/>
      <c r="PY12" s="170"/>
      <c r="PZ12" s="170"/>
      <c r="QA12" s="170"/>
      <c r="QB12" s="170"/>
      <c r="QC12" s="170"/>
      <c r="QD12" s="170"/>
      <c r="QE12" s="170"/>
      <c r="QF12" s="171"/>
      <c r="QG12" s="171">
        <v>706272</v>
      </c>
      <c r="QH12" s="172"/>
      <c r="QI12" s="173"/>
      <c r="QJ12" s="171">
        <f t="shared" si="90"/>
        <v>0</v>
      </c>
      <c r="QK12" s="174">
        <f>QI12*10%</f>
        <v>0</v>
      </c>
      <c r="QL12" s="171"/>
      <c r="QM12" s="174">
        <v>0</v>
      </c>
      <c r="QN12" s="174"/>
      <c r="QO12" s="195"/>
      <c r="QP12" s="196" t="e">
        <f t="shared" si="95"/>
        <v>#DIV/0!</v>
      </c>
      <c r="QQ12" s="197" t="e">
        <f t="shared" si="96"/>
        <v>#DIV/0!</v>
      </c>
      <c r="QR12" s="199" t="s">
        <v>118</v>
      </c>
      <c r="QS12" s="206"/>
      <c r="QT12" s="210" t="s">
        <v>145</v>
      </c>
      <c r="QU12" s="95" t="s">
        <v>144</v>
      </c>
      <c r="QV12" s="95">
        <v>0</v>
      </c>
      <c r="QW12" s="175"/>
      <c r="QX12" s="175"/>
      <c r="QY12" s="175"/>
      <c r="QZ12" s="175">
        <v>2875</v>
      </c>
      <c r="RA12" s="175">
        <v>1584523</v>
      </c>
      <c r="RB12" s="175">
        <v>1354073</v>
      </c>
      <c r="RC12" s="177">
        <f t="shared" si="97"/>
        <v>1354073</v>
      </c>
      <c r="RD12" s="171">
        <f t="shared" si="141"/>
        <v>230450</v>
      </c>
      <c r="RE12" s="170"/>
      <c r="RF12" s="173">
        <v>172858.96</v>
      </c>
      <c r="RG12" s="171">
        <f t="shared" si="98"/>
        <v>55458.305</v>
      </c>
      <c r="RH12" s="174">
        <f t="shared" si="189"/>
        <v>17285.896</v>
      </c>
      <c r="RI12" s="171">
        <v>0</v>
      </c>
      <c r="RJ12" s="176">
        <f t="shared" si="101"/>
        <v>157705.799</v>
      </c>
      <c r="RK12" s="174">
        <f t="shared" si="102"/>
        <v>551.138434782609</v>
      </c>
      <c r="RL12" s="201">
        <f t="shared" si="103"/>
        <v>0</v>
      </c>
      <c r="RM12" s="197">
        <f t="shared" si="104"/>
        <v>3.16795011605117</v>
      </c>
      <c r="RN12" s="198"/>
      <c r="RO12" s="144"/>
      <c r="RP12" s="144"/>
      <c r="RQ12" s="95" t="s">
        <v>144</v>
      </c>
      <c r="RR12" s="95">
        <v>1</v>
      </c>
      <c r="RS12" s="175"/>
      <c r="RT12" s="175"/>
      <c r="RU12" s="175"/>
      <c r="RV12" s="175">
        <v>1720</v>
      </c>
      <c r="RW12" s="175">
        <v>1374863</v>
      </c>
      <c r="RX12" s="175">
        <v>1354990</v>
      </c>
      <c r="RY12" s="177">
        <f t="shared" si="105"/>
        <v>19873</v>
      </c>
      <c r="RZ12" s="170"/>
      <c r="SA12" s="170">
        <v>0</v>
      </c>
      <c r="SB12" s="171">
        <v>-68784.4</v>
      </c>
      <c r="SC12" s="171">
        <f t="shared" si="106"/>
        <v>48120.205</v>
      </c>
      <c r="SD12" s="174">
        <v>0</v>
      </c>
      <c r="SE12" s="171">
        <f t="shared" si="108"/>
        <v>99180</v>
      </c>
      <c r="SF12" s="207">
        <f t="shared" si="109"/>
        <v>-127427.205</v>
      </c>
      <c r="SG12" s="174">
        <f t="shared" si="110"/>
        <v>799.338953488372</v>
      </c>
      <c r="SH12" s="196">
        <f t="shared" si="111"/>
        <v>0</v>
      </c>
      <c r="SI12" s="197">
        <f t="shared" si="112"/>
        <v>0.134914951408248</v>
      </c>
      <c r="SJ12" s="144" t="s">
        <v>143</v>
      </c>
      <c r="SK12" s="144"/>
      <c r="SL12" s="144"/>
      <c r="SM12" s="95" t="s">
        <v>144</v>
      </c>
      <c r="SN12" s="95">
        <v>2</v>
      </c>
      <c r="SO12" s="175"/>
      <c r="SP12" s="175"/>
      <c r="SQ12" s="175"/>
      <c r="SR12" s="175">
        <v>641</v>
      </c>
      <c r="SS12" s="175">
        <v>1078373</v>
      </c>
      <c r="ST12" s="175">
        <v>971201</v>
      </c>
      <c r="SU12" s="177">
        <f t="shared" si="113"/>
        <v>107172</v>
      </c>
      <c r="SV12" s="170"/>
      <c r="SW12" s="170">
        <v>0</v>
      </c>
      <c r="SX12" s="171">
        <v>94235.36</v>
      </c>
      <c r="SY12" s="171">
        <f t="shared" si="114"/>
        <v>37743.055</v>
      </c>
      <c r="SZ12" s="174">
        <f t="shared" si="191"/>
        <v>9423.536</v>
      </c>
      <c r="TA12" s="171">
        <f t="shared" si="116"/>
        <v>248000</v>
      </c>
      <c r="TB12" s="207">
        <f t="shared" si="117"/>
        <v>-187994.591</v>
      </c>
      <c r="TC12" s="174">
        <f t="shared" si="118"/>
        <v>1682.32917316693</v>
      </c>
      <c r="TD12" s="196">
        <f t="shared" si="119"/>
        <v>0</v>
      </c>
      <c r="TE12" s="197">
        <f t="shared" si="120"/>
        <v>0.363089872864372</v>
      </c>
      <c r="TF12" s="156"/>
      <c r="TG12" s="156"/>
      <c r="TH12" s="95" t="s">
        <v>144</v>
      </c>
      <c r="TI12" s="95">
        <v>3</v>
      </c>
      <c r="TJ12" s="95"/>
      <c r="TK12" s="95"/>
      <c r="TL12" s="175"/>
      <c r="TM12" s="175">
        <v>508</v>
      </c>
      <c r="TN12" s="175">
        <v>1376668</v>
      </c>
      <c r="TO12" s="175">
        <v>1136772</v>
      </c>
      <c r="TP12" s="175">
        <f t="shared" si="121"/>
        <v>239896</v>
      </c>
      <c r="TQ12" s="178">
        <v>8360</v>
      </c>
      <c r="TR12" s="170">
        <v>0</v>
      </c>
      <c r="TS12" s="170">
        <v>230776.3</v>
      </c>
      <c r="TT12" s="170">
        <f t="shared" si="122"/>
        <v>55066.72</v>
      </c>
      <c r="TU12" s="178">
        <f t="shared" si="147"/>
        <v>23077.63</v>
      </c>
      <c r="TV12" s="170">
        <f t="shared" si="123"/>
        <v>336000</v>
      </c>
      <c r="TW12" s="203">
        <f t="shared" si="124"/>
        <v>-174248.35</v>
      </c>
      <c r="TX12" s="174">
        <f t="shared" si="125"/>
        <v>2709.97637795276</v>
      </c>
      <c r="TY12" s="196">
        <f t="shared" si="126"/>
        <v>0</v>
      </c>
      <c r="TZ12" s="102">
        <f t="shared" si="127"/>
        <v>0.579256966803966</v>
      </c>
      <c r="UA12" s="156"/>
      <c r="UB12" s="144"/>
      <c r="UC12" s="144"/>
      <c r="UD12" s="95" t="s">
        <v>144</v>
      </c>
      <c r="UE12" s="95">
        <v>2</v>
      </c>
      <c r="UF12" s="175"/>
      <c r="UG12" s="175"/>
      <c r="UH12" s="175"/>
      <c r="UI12" s="175">
        <v>725</v>
      </c>
      <c r="UJ12" s="175">
        <v>1044329</v>
      </c>
      <c r="UK12" s="175">
        <v>940938</v>
      </c>
      <c r="UL12" s="175">
        <f t="shared" si="128"/>
        <v>103391</v>
      </c>
      <c r="UM12" s="170">
        <v>94000</v>
      </c>
      <c r="UN12" s="170">
        <v>0</v>
      </c>
      <c r="UO12" s="170">
        <v>83226.97</v>
      </c>
      <c r="UP12" s="170">
        <f t="shared" si="129"/>
        <v>41773.16</v>
      </c>
      <c r="UQ12" s="178">
        <f t="shared" si="190"/>
        <v>8322.697</v>
      </c>
      <c r="UR12" s="170">
        <f t="shared" si="192"/>
        <v>248000</v>
      </c>
      <c r="US12" s="203">
        <f t="shared" si="131"/>
        <v>-194704.857</v>
      </c>
      <c r="UT12" s="174">
        <f t="shared" si="132"/>
        <v>1440.45379310345</v>
      </c>
      <c r="UU12" s="196">
        <f t="shared" si="133"/>
        <v>0</v>
      </c>
      <c r="UV12" s="102">
        <f t="shared" si="134"/>
        <v>0.34683809778678</v>
      </c>
      <c r="UW12" s="144"/>
      <c r="UX12" s="144"/>
      <c r="UY12" s="144"/>
      <c r="UZ12" s="95" t="s">
        <v>144</v>
      </c>
      <c r="VA12" s="95">
        <v>2</v>
      </c>
      <c r="VB12" s="175"/>
      <c r="VC12" s="175"/>
      <c r="VD12" s="175"/>
      <c r="VE12" s="175">
        <v>529</v>
      </c>
      <c r="VF12" s="175">
        <v>682164</v>
      </c>
      <c r="VG12" s="175">
        <v>1249836</v>
      </c>
      <c r="VH12" s="175">
        <f t="shared" si="135"/>
        <v>-567672</v>
      </c>
      <c r="VI12" s="178">
        <v>0</v>
      </c>
      <c r="VJ12" s="178">
        <v>0</v>
      </c>
      <c r="VK12" s="203">
        <v>-569631.23</v>
      </c>
      <c r="VL12" s="178">
        <f t="shared" si="136"/>
        <v>27286.56</v>
      </c>
      <c r="VM12" s="178">
        <v>0</v>
      </c>
      <c r="VN12" s="170">
        <f>VA12*4000*12</f>
        <v>96000</v>
      </c>
      <c r="VO12" s="178">
        <f t="shared" si="137"/>
        <v>-690958.56</v>
      </c>
      <c r="VP12" s="174">
        <f t="shared" si="138"/>
        <v>1289.53497164461</v>
      </c>
      <c r="VQ12" s="196">
        <f t="shared" si="139"/>
        <v>0</v>
      </c>
      <c r="VR12" s="102">
        <f t="shared" si="140"/>
        <v>-4.60449216848941</v>
      </c>
      <c r="VS12" s="84" t="s">
        <v>146</v>
      </c>
      <c r="VT12" s="53"/>
      <c r="VU12" s="53"/>
    </row>
    <row r="13" ht="18" hidden="1" customHeight="1" spans="1:593">
      <c r="A13" s="53"/>
      <c r="B13" s="53"/>
      <c r="C13" s="160" t="s">
        <v>147</v>
      </c>
      <c r="D13" s="204"/>
      <c r="E13" s="204"/>
      <c r="F13" s="162"/>
      <c r="G13" s="162"/>
      <c r="H13" s="162"/>
      <c r="I13" s="162"/>
      <c r="J13" s="163"/>
      <c r="K13" s="163"/>
      <c r="L13" s="163"/>
      <c r="M13" s="161"/>
      <c r="N13" s="161"/>
      <c r="O13" s="226"/>
      <c r="P13" s="162"/>
      <c r="Q13" s="162"/>
      <c r="R13" s="162"/>
      <c r="S13" s="162"/>
      <c r="T13" s="162"/>
      <c r="U13" s="162"/>
      <c r="V13" s="162"/>
      <c r="W13" s="162"/>
      <c r="X13" s="162"/>
      <c r="Y13" s="185"/>
      <c r="Z13" s="179"/>
      <c r="AA13" s="167"/>
      <c r="AB13" s="179"/>
      <c r="AC13" s="167"/>
      <c r="AD13" s="167"/>
      <c r="AE13" s="167"/>
      <c r="AF13" s="186"/>
      <c r="AG13" s="187"/>
      <c r="AH13" s="188"/>
      <c r="AI13" s="53"/>
      <c r="AJ13" s="160" t="s">
        <v>147</v>
      </c>
      <c r="AK13" s="204"/>
      <c r="AL13" s="204"/>
      <c r="AM13" s="162"/>
      <c r="AN13" s="162"/>
      <c r="AO13" s="162"/>
      <c r="AP13" s="162"/>
      <c r="AQ13" s="163"/>
      <c r="AR13" s="163"/>
      <c r="AS13" s="163"/>
      <c r="AT13" s="161"/>
      <c r="AU13" s="161"/>
      <c r="AV13" s="226"/>
      <c r="AW13" s="162"/>
      <c r="AX13" s="162"/>
      <c r="AY13" s="162"/>
      <c r="AZ13" s="162"/>
      <c r="BA13" s="162"/>
      <c r="BB13" s="162"/>
      <c r="BC13" s="162"/>
      <c r="BD13" s="162"/>
      <c r="BE13" s="162"/>
      <c r="BF13" s="185"/>
      <c r="BG13" s="179"/>
      <c r="BH13" s="167"/>
      <c r="BI13" s="179"/>
      <c r="BJ13" s="167"/>
      <c r="BK13" s="167"/>
      <c r="BL13" s="167"/>
      <c r="BM13" s="186"/>
      <c r="BN13" s="187"/>
      <c r="BO13" s="188"/>
      <c r="BP13" s="53"/>
      <c r="BQ13" s="160" t="s">
        <v>147</v>
      </c>
      <c r="BR13" s="204">
        <v>1</v>
      </c>
      <c r="BS13" s="204">
        <v>2</v>
      </c>
      <c r="BT13" s="162">
        <v>18</v>
      </c>
      <c r="BU13" s="162">
        <v>3.28673835125448</v>
      </c>
      <c r="BV13" s="162">
        <v>3167</v>
      </c>
      <c r="BW13" s="162">
        <v>1834</v>
      </c>
      <c r="BX13" s="163">
        <v>270293</v>
      </c>
      <c r="BY13" s="163">
        <v>369409</v>
      </c>
      <c r="BZ13" s="163">
        <v>259756.76</v>
      </c>
      <c r="CA13" s="161">
        <v>746154</v>
      </c>
      <c r="CB13" s="161">
        <v>620747.11</v>
      </c>
      <c r="CC13" s="226">
        <v>125406.89</v>
      </c>
      <c r="CD13" s="162">
        <v>1677</v>
      </c>
      <c r="CE13" s="162">
        <v>338819</v>
      </c>
      <c r="CF13" s="162">
        <v>234061.11</v>
      </c>
      <c r="CG13" s="162">
        <v>6193</v>
      </c>
      <c r="CH13" s="162">
        <v>4359</v>
      </c>
      <c r="CI13" s="162">
        <v>3622124</v>
      </c>
      <c r="CJ13" s="162">
        <v>2424360</v>
      </c>
      <c r="CK13" s="162">
        <f>CI13-CJ13</f>
        <v>1197764</v>
      </c>
      <c r="CL13" s="162">
        <v>247660</v>
      </c>
      <c r="CM13" s="185">
        <v>1018054.56</v>
      </c>
      <c r="CN13" s="179">
        <f t="shared" si="149"/>
        <v>126774.34</v>
      </c>
      <c r="CO13" s="167">
        <f t="shared" si="21"/>
        <v>203610.912</v>
      </c>
      <c r="CP13" s="179">
        <f>(BR13*3200)*CI1</f>
        <v>99200</v>
      </c>
      <c r="CQ13" s="167">
        <f>(BS13*1733)*CI1</f>
        <v>107446</v>
      </c>
      <c r="CR13" s="167">
        <f t="shared" si="22"/>
        <v>413072.748</v>
      </c>
      <c r="CS13" s="167">
        <f t="shared" si="150"/>
        <v>201.422573609596</v>
      </c>
      <c r="CT13" s="186">
        <f t="shared" si="151"/>
        <v>584.873889875666</v>
      </c>
      <c r="CU13" s="187">
        <f t="shared" si="25"/>
        <v>1.10174858782177</v>
      </c>
      <c r="CV13" s="188">
        <f t="shared" si="26"/>
        <v>1.52641436609261</v>
      </c>
      <c r="CW13" s="53"/>
      <c r="CX13" s="160" t="s">
        <v>147</v>
      </c>
      <c r="CY13" s="204">
        <v>1</v>
      </c>
      <c r="CZ13" s="204">
        <v>2</v>
      </c>
      <c r="DA13" s="162">
        <v>28</v>
      </c>
      <c r="DB13" s="162">
        <v>2.30833333333333</v>
      </c>
      <c r="DC13" s="162">
        <v>3638</v>
      </c>
      <c r="DD13" s="162">
        <v>1939</v>
      </c>
      <c r="DE13" s="163">
        <v>292996</v>
      </c>
      <c r="DF13" s="163">
        <v>415328</v>
      </c>
      <c r="DG13" s="163">
        <v>332388.61</v>
      </c>
      <c r="DH13" s="161">
        <v>944364</v>
      </c>
      <c r="DI13" s="161">
        <v>925862.61</v>
      </c>
      <c r="DJ13" s="226">
        <f t="shared" si="152"/>
        <v>18501.39</v>
      </c>
      <c r="DK13" s="162">
        <v>1764</v>
      </c>
      <c r="DL13" s="162">
        <v>331474</v>
      </c>
      <c r="DM13" s="162">
        <v>280047.61</v>
      </c>
      <c r="DN13" s="162">
        <v>6568</v>
      </c>
      <c r="DO13" s="162">
        <v>4629</v>
      </c>
      <c r="DP13" s="162">
        <v>3822160</v>
      </c>
      <c r="DQ13" s="162">
        <v>2889454</v>
      </c>
      <c r="DR13" s="162">
        <f t="shared" si="153"/>
        <v>932706</v>
      </c>
      <c r="DS13" s="162">
        <v>273440</v>
      </c>
      <c r="DT13" s="185">
        <v>773289.53</v>
      </c>
      <c r="DU13" s="179">
        <f t="shared" si="154"/>
        <v>133775.6</v>
      </c>
      <c r="DV13" s="167">
        <f t="shared" si="30"/>
        <v>154657.906</v>
      </c>
      <c r="DW13" s="179">
        <f>(CY13*3200)*DP1</f>
        <v>96000</v>
      </c>
      <c r="DX13" s="167">
        <f>(CZ13*1733)*DP1</f>
        <v>103980</v>
      </c>
      <c r="DY13" s="167">
        <f t="shared" si="31"/>
        <v>170852.494</v>
      </c>
      <c r="DZ13" s="167">
        <f t="shared" si="155"/>
        <v>214.197008767406</v>
      </c>
      <c r="EA13" s="186">
        <f t="shared" si="156"/>
        <v>581.936662606577</v>
      </c>
      <c r="EB13" s="187">
        <f t="shared" si="34"/>
        <v>1.43547960419005</v>
      </c>
      <c r="EC13" s="188">
        <f t="shared" si="35"/>
        <v>1.2242589850338</v>
      </c>
      <c r="ED13" s="227"/>
      <c r="EE13" s="160" t="s">
        <v>147</v>
      </c>
      <c r="EF13" s="160">
        <v>1</v>
      </c>
      <c r="EG13" s="160">
        <v>2</v>
      </c>
      <c r="EH13" s="162">
        <v>25</v>
      </c>
      <c r="EI13" s="162">
        <v>2.92645161290323</v>
      </c>
      <c r="EJ13" s="162">
        <v>3829</v>
      </c>
      <c r="EK13" s="162">
        <v>2268</v>
      </c>
      <c r="EL13" s="163">
        <v>353322</v>
      </c>
      <c r="EM13" s="163">
        <v>473242</v>
      </c>
      <c r="EN13" s="163">
        <v>373187</v>
      </c>
      <c r="EO13" s="161">
        <v>1070414</v>
      </c>
      <c r="EP13" s="161">
        <v>1053760</v>
      </c>
      <c r="EQ13" s="162">
        <v>16654</v>
      </c>
      <c r="ER13" s="162">
        <v>2048</v>
      </c>
      <c r="ES13" s="162">
        <v>427625</v>
      </c>
      <c r="ET13" s="162">
        <v>323138</v>
      </c>
      <c r="EU13" s="162">
        <v>8873</v>
      </c>
      <c r="EV13" s="162">
        <v>6605</v>
      </c>
      <c r="EW13" s="162">
        <v>5556155</v>
      </c>
      <c r="EX13" s="162">
        <v>3819076</v>
      </c>
      <c r="EY13" s="162">
        <v>1737079</v>
      </c>
      <c r="EZ13" s="162">
        <v>249610</v>
      </c>
      <c r="FA13" s="185">
        <v>1648344.84</v>
      </c>
      <c r="FB13" s="179">
        <v>194465.425</v>
      </c>
      <c r="FC13" s="167">
        <v>329668.968</v>
      </c>
      <c r="FD13" s="179">
        <f>(EF13*3200)*EW1</f>
        <v>99200</v>
      </c>
      <c r="FE13" s="167">
        <f>(EG13*1733)*EW1</f>
        <v>107446</v>
      </c>
      <c r="FF13" s="167">
        <v>740165.607</v>
      </c>
      <c r="FG13" s="167">
        <v>208.660493827161</v>
      </c>
      <c r="FH13" s="186">
        <v>626.186746309027</v>
      </c>
      <c r="FI13" s="187">
        <v>1.20343253549712</v>
      </c>
      <c r="FJ13" s="188">
        <v>1.74245728084024</v>
      </c>
      <c r="FK13" s="227"/>
      <c r="FL13" s="227"/>
      <c r="FM13" s="227"/>
      <c r="FN13" s="160" t="s">
        <v>147</v>
      </c>
      <c r="FO13" s="160">
        <v>1</v>
      </c>
      <c r="FP13" s="160">
        <v>2</v>
      </c>
      <c r="FQ13" s="162">
        <v>32</v>
      </c>
      <c r="FR13" s="162">
        <f>(FT13/FQ13)/GF1</f>
        <v>2.2265625</v>
      </c>
      <c r="FS13" s="162">
        <v>3858</v>
      </c>
      <c r="FT13" s="162">
        <v>1995</v>
      </c>
      <c r="FU13" s="163">
        <v>296431</v>
      </c>
      <c r="FV13" s="163">
        <v>426263</v>
      </c>
      <c r="FW13" s="163">
        <v>258756</v>
      </c>
      <c r="FX13" s="161">
        <v>1092752</v>
      </c>
      <c r="FY13" s="161">
        <v>1042840</v>
      </c>
      <c r="FZ13" s="162">
        <f t="shared" si="157"/>
        <v>49912</v>
      </c>
      <c r="GA13" s="162">
        <v>1764</v>
      </c>
      <c r="GB13" s="162">
        <v>369957</v>
      </c>
      <c r="GC13" s="162">
        <v>218093</v>
      </c>
      <c r="GD13" s="162">
        <v>8562</v>
      </c>
      <c r="GE13" s="162">
        <v>6567</v>
      </c>
      <c r="GF13" s="162">
        <v>4134364</v>
      </c>
      <c r="GG13" s="162">
        <v>3970593</v>
      </c>
      <c r="GH13" s="162">
        <v>163771</v>
      </c>
      <c r="GI13" s="162">
        <v>240130</v>
      </c>
      <c r="GJ13" s="185">
        <v>61881.27</v>
      </c>
      <c r="GK13" s="179">
        <v>144702.74</v>
      </c>
      <c r="GL13" s="167">
        <v>12376.254</v>
      </c>
      <c r="GM13" s="179">
        <f>(FO13*3200)*GF1</f>
        <v>89600</v>
      </c>
      <c r="GN13" s="167">
        <f>(FP13*1733)*GF1</f>
        <v>97048</v>
      </c>
      <c r="GO13" s="167">
        <v>-435009.994</v>
      </c>
      <c r="GP13" s="167">
        <v>213.665664160401</v>
      </c>
      <c r="GQ13" s="186">
        <v>482.873627657089</v>
      </c>
      <c r="GR13" s="187">
        <f t="shared" si="37"/>
        <v>2.24472434459582</v>
      </c>
      <c r="GS13" s="188">
        <f t="shared" si="38"/>
        <v>0.280498481105803</v>
      </c>
      <c r="GT13" s="53"/>
      <c r="GU13" s="53"/>
      <c r="GV13" s="160" t="s">
        <v>147</v>
      </c>
      <c r="GW13" s="160">
        <v>1</v>
      </c>
      <c r="GX13" s="160">
        <v>2</v>
      </c>
      <c r="GY13" s="162">
        <v>21</v>
      </c>
      <c r="GZ13" s="162">
        <f>(HB13/GY13)/HL1</f>
        <v>2.37327188940092</v>
      </c>
      <c r="HA13" s="162">
        <v>3143</v>
      </c>
      <c r="HB13" s="162">
        <v>1545</v>
      </c>
      <c r="HC13" s="163">
        <v>240576</v>
      </c>
      <c r="HD13" s="163">
        <v>320363</v>
      </c>
      <c r="HE13" s="163">
        <v>175420</v>
      </c>
      <c r="HF13" s="161">
        <v>715225</v>
      </c>
      <c r="HG13" s="161">
        <v>573858</v>
      </c>
      <c r="HH13" s="162">
        <f t="shared" si="158"/>
        <v>141367</v>
      </c>
      <c r="HI13" s="162">
        <v>1325</v>
      </c>
      <c r="HJ13" s="162">
        <v>283798</v>
      </c>
      <c r="HK13" s="162">
        <v>151269</v>
      </c>
      <c r="HL13" s="162">
        <v>8844</v>
      </c>
      <c r="HM13" s="162">
        <v>7299</v>
      </c>
      <c r="HN13" s="162">
        <v>4729862</v>
      </c>
      <c r="HO13" s="162">
        <v>5267151</v>
      </c>
      <c r="HP13" s="162">
        <v>-537289</v>
      </c>
      <c r="HQ13" s="162">
        <v>195530</v>
      </c>
      <c r="HR13" s="185">
        <v>-720760.05</v>
      </c>
      <c r="HS13" s="179">
        <v>165545.17</v>
      </c>
      <c r="HT13" s="167">
        <v>0</v>
      </c>
      <c r="HU13" s="179">
        <f t="shared" si="159"/>
        <v>99200</v>
      </c>
      <c r="HV13" s="167">
        <f t="shared" si="160"/>
        <v>107446</v>
      </c>
      <c r="HW13" s="167">
        <v>-1121533.17</v>
      </c>
      <c r="HX13" s="167">
        <v>207.354692556634</v>
      </c>
      <c r="HY13" s="186">
        <v>534.81026684758</v>
      </c>
      <c r="HZ13" s="187">
        <f t="shared" si="42"/>
        <v>1.55390741586169</v>
      </c>
      <c r="IA13" s="188">
        <f t="shared" si="43"/>
        <v>-0.946395921786746</v>
      </c>
      <c r="IB13" s="53"/>
      <c r="IC13" s="53"/>
      <c r="ID13" s="160" t="s">
        <v>147</v>
      </c>
      <c r="IE13" s="160">
        <v>3</v>
      </c>
      <c r="IF13" s="160">
        <v>0</v>
      </c>
      <c r="IG13" s="162">
        <v>28</v>
      </c>
      <c r="IH13" s="162">
        <f>(IJ13/IG13)/IT1</f>
        <v>2.43548387096774</v>
      </c>
      <c r="II13" s="162">
        <v>4114</v>
      </c>
      <c r="IJ13" s="162">
        <v>2114</v>
      </c>
      <c r="IK13" s="163">
        <v>349028</v>
      </c>
      <c r="IL13" s="163">
        <v>518471</v>
      </c>
      <c r="IM13" s="163">
        <v>348394</v>
      </c>
      <c r="IN13" s="161">
        <v>1296240</v>
      </c>
      <c r="IO13" s="161">
        <v>1174121</v>
      </c>
      <c r="IP13" s="162">
        <f t="shared" si="161"/>
        <v>122119</v>
      </c>
      <c r="IQ13" s="162">
        <v>1821</v>
      </c>
      <c r="IR13" s="162">
        <v>451728</v>
      </c>
      <c r="IS13" s="162">
        <v>276913</v>
      </c>
      <c r="IT13" s="162">
        <v>10829</v>
      </c>
      <c r="IU13" s="162">
        <v>8715</v>
      </c>
      <c r="IV13" s="162">
        <v>4851950</v>
      </c>
      <c r="IW13" s="162">
        <v>4199439</v>
      </c>
      <c r="IX13" s="162">
        <f t="shared" si="162"/>
        <v>652511</v>
      </c>
      <c r="IY13" s="162">
        <v>313480</v>
      </c>
      <c r="IZ13" s="185">
        <v>475370.08</v>
      </c>
      <c r="JA13" s="179">
        <f t="shared" si="163"/>
        <v>169818.25</v>
      </c>
      <c r="JB13" s="167">
        <f t="shared" si="164"/>
        <v>95074.016</v>
      </c>
      <c r="JC13" s="179">
        <v>161169</v>
      </c>
      <c r="JD13" s="167">
        <v>0</v>
      </c>
      <c r="JE13" s="167">
        <f t="shared" si="165"/>
        <v>-87030.266</v>
      </c>
      <c r="JF13" s="167">
        <f t="shared" si="166"/>
        <v>245.255912961211</v>
      </c>
      <c r="JG13" s="186">
        <f t="shared" si="167"/>
        <v>448.051528303629</v>
      </c>
      <c r="JH13" s="187">
        <f t="shared" si="168"/>
        <v>0.701071088033105</v>
      </c>
      <c r="JI13" s="188">
        <f t="shared" si="169"/>
        <v>0.882318580448221</v>
      </c>
      <c r="JJ13" s="190"/>
      <c r="JK13" s="53"/>
      <c r="JL13" s="160" t="s">
        <v>147</v>
      </c>
      <c r="JM13" s="160">
        <v>3</v>
      </c>
      <c r="JN13" s="160">
        <v>45</v>
      </c>
      <c r="JO13" s="162"/>
      <c r="JP13" s="162"/>
      <c r="JQ13" s="162">
        <v>4282</v>
      </c>
      <c r="JR13" s="162">
        <v>2436</v>
      </c>
      <c r="JS13" s="163">
        <v>387373</v>
      </c>
      <c r="JT13" s="163">
        <v>526544</v>
      </c>
      <c r="JU13" s="163">
        <v>351190</v>
      </c>
      <c r="JV13" s="161">
        <v>1371177</v>
      </c>
      <c r="JW13" s="161">
        <v>1195133</v>
      </c>
      <c r="JX13" s="162">
        <f t="shared" si="53"/>
        <v>176044</v>
      </c>
      <c r="JY13" s="162">
        <v>2084</v>
      </c>
      <c r="JZ13" s="162">
        <v>464203</v>
      </c>
      <c r="KA13" s="162">
        <v>289440</v>
      </c>
      <c r="KB13" s="162">
        <v>11873</v>
      </c>
      <c r="KC13" s="162">
        <v>9437</v>
      </c>
      <c r="KD13" s="162">
        <v>10236710</v>
      </c>
      <c r="KE13" s="162">
        <v>9339816</v>
      </c>
      <c r="KF13" s="162">
        <f t="shared" si="170"/>
        <v>896894</v>
      </c>
      <c r="KG13" s="162">
        <v>352780</v>
      </c>
      <c r="KH13" s="185">
        <v>830083.43</v>
      </c>
      <c r="KI13" s="179">
        <f t="shared" si="171"/>
        <v>358284.85</v>
      </c>
      <c r="KJ13" s="167">
        <f t="shared" si="172"/>
        <v>166016.686</v>
      </c>
      <c r="KK13" s="179">
        <v>155970</v>
      </c>
      <c r="KL13" s="167"/>
      <c r="KM13" s="167">
        <f t="shared" si="173"/>
        <v>-136157.536</v>
      </c>
      <c r="KN13" s="167">
        <f t="shared" si="174"/>
        <v>216.151067323481</v>
      </c>
      <c r="KO13" s="186">
        <f t="shared" si="175"/>
        <v>862.183946769982</v>
      </c>
      <c r="KP13" s="187">
        <f t="shared" si="176"/>
        <v>0.509697707859562</v>
      </c>
      <c r="KQ13" s="188">
        <f t="shared" si="177"/>
        <v>0.868198699430616</v>
      </c>
      <c r="KR13" s="53"/>
      <c r="KS13" s="53"/>
      <c r="KT13" s="213" t="s">
        <v>147</v>
      </c>
      <c r="KU13" s="213">
        <v>3</v>
      </c>
      <c r="KV13" s="213"/>
      <c r="KW13" s="214">
        <v>72</v>
      </c>
      <c r="KX13" s="214"/>
      <c r="KY13" s="214">
        <v>9095</v>
      </c>
      <c r="KZ13" s="214">
        <v>4776</v>
      </c>
      <c r="LA13" s="215">
        <v>798263</v>
      </c>
      <c r="LB13" s="215">
        <v>1132247</v>
      </c>
      <c r="LC13" s="215">
        <v>1094100</v>
      </c>
      <c r="LD13" s="216">
        <v>4891824</v>
      </c>
      <c r="LE13" s="216">
        <v>4170434</v>
      </c>
      <c r="LF13" s="216"/>
      <c r="LG13" s="214">
        <v>4052</v>
      </c>
      <c r="LH13" s="214">
        <v>972876</v>
      </c>
      <c r="LI13" s="214">
        <v>983291</v>
      </c>
      <c r="LJ13" s="214">
        <v>19907</v>
      </c>
      <c r="LK13" s="214">
        <v>15131</v>
      </c>
      <c r="LL13" s="214">
        <v>9160445</v>
      </c>
      <c r="LM13" s="214">
        <v>8103609</v>
      </c>
      <c r="LN13" s="214">
        <v>1056836</v>
      </c>
      <c r="LO13" s="216">
        <v>447110</v>
      </c>
      <c r="LP13" s="217">
        <v>948618.73</v>
      </c>
      <c r="LQ13" s="218">
        <v>320615.575</v>
      </c>
      <c r="LR13" s="219">
        <v>189723.746</v>
      </c>
      <c r="LS13" s="218">
        <v>161169</v>
      </c>
      <c r="LT13" s="218"/>
      <c r="LU13" s="219">
        <v>-61782.321</v>
      </c>
      <c r="LV13" s="219">
        <v>237.070142378559</v>
      </c>
      <c r="LW13" s="220">
        <v>460.162003315417</v>
      </c>
      <c r="LX13" s="221">
        <v>1.01218349346166</v>
      </c>
      <c r="LY13" s="222">
        <v>0.944769078210011</v>
      </c>
      <c r="LZ13" s="191"/>
      <c r="MA13" s="192"/>
      <c r="MB13" s="213" t="s">
        <v>147</v>
      </c>
      <c r="MC13" s="213">
        <v>3</v>
      </c>
      <c r="MD13" s="213"/>
      <c r="ME13" s="214">
        <v>118</v>
      </c>
      <c r="MF13" s="214"/>
      <c r="MG13" s="214">
        <v>11659</v>
      </c>
      <c r="MH13" s="214">
        <v>6763</v>
      </c>
      <c r="MI13" s="215">
        <v>1047122</v>
      </c>
      <c r="MJ13" s="215">
        <v>1514896</v>
      </c>
      <c r="MK13" s="215">
        <v>1164478</v>
      </c>
      <c r="ML13" s="216">
        <v>4093359</v>
      </c>
      <c r="MM13" s="216">
        <v>3715062</v>
      </c>
      <c r="MN13" s="216"/>
      <c r="MO13" s="214">
        <v>5832</v>
      </c>
      <c r="MP13" s="214">
        <v>1302490</v>
      </c>
      <c r="MQ13" s="214">
        <v>954601</v>
      </c>
      <c r="MR13" s="214">
        <v>20754</v>
      </c>
      <c r="MS13" s="214">
        <v>13991</v>
      </c>
      <c r="MT13" s="214">
        <v>6380530</v>
      </c>
      <c r="MU13" s="214">
        <v>5842079</v>
      </c>
      <c r="MV13" s="214">
        <f t="shared" si="178"/>
        <v>538451</v>
      </c>
      <c r="MW13" s="216">
        <v>549130</v>
      </c>
      <c r="MX13" s="217">
        <v>373278.12</v>
      </c>
      <c r="MY13" s="218">
        <f t="shared" si="179"/>
        <v>223318.55</v>
      </c>
      <c r="MZ13" s="219">
        <f t="shared" si="145"/>
        <v>74655.624</v>
      </c>
      <c r="NA13" s="218">
        <v>155970</v>
      </c>
      <c r="NB13" s="219">
        <f t="shared" si="67"/>
        <v>-464623.174</v>
      </c>
      <c r="NC13" s="219"/>
      <c r="ND13" s="219">
        <f t="shared" si="180"/>
        <v>223.997634186012</v>
      </c>
      <c r="NE13" s="220">
        <f t="shared" si="181"/>
        <v>307.43615688542</v>
      </c>
      <c r="NF13" s="221">
        <f t="shared" si="70"/>
        <v>1.51025321882128</v>
      </c>
      <c r="NG13" s="222">
        <f t="shared" si="71"/>
        <v>0.536800780995883</v>
      </c>
      <c r="NH13" s="53"/>
      <c r="NI13" s="53"/>
      <c r="NJ13" s="213" t="s">
        <v>147</v>
      </c>
      <c r="NK13" s="213">
        <v>3</v>
      </c>
      <c r="NL13" s="213"/>
      <c r="NM13" s="214">
        <v>56</v>
      </c>
      <c r="NN13" s="214"/>
      <c r="NO13" s="214">
        <v>7253</v>
      </c>
      <c r="NP13" s="214">
        <v>4437</v>
      </c>
      <c r="NQ13" s="215">
        <v>629791</v>
      </c>
      <c r="NR13" s="215">
        <v>949999</v>
      </c>
      <c r="NS13" s="215">
        <v>643401</v>
      </c>
      <c r="NT13" s="216">
        <v>2317866</v>
      </c>
      <c r="NU13" s="216">
        <v>1999992</v>
      </c>
      <c r="NV13" s="216"/>
      <c r="NW13" s="214">
        <v>3850</v>
      </c>
      <c r="NX13" s="214">
        <v>795466</v>
      </c>
      <c r="NY13" s="214">
        <v>524850</v>
      </c>
      <c r="NZ13" s="214">
        <v>12453</v>
      </c>
      <c r="OA13" s="214">
        <f t="shared" si="182"/>
        <v>8016</v>
      </c>
      <c r="OB13" s="214">
        <v>3641164</v>
      </c>
      <c r="OC13" s="214">
        <v>3089299</v>
      </c>
      <c r="OD13" s="214">
        <f t="shared" si="183"/>
        <v>551865</v>
      </c>
      <c r="OE13" s="216">
        <v>388890</v>
      </c>
      <c r="OF13" s="217">
        <v>340109.22</v>
      </c>
      <c r="OG13" s="218">
        <f t="shared" si="184"/>
        <v>127440.74</v>
      </c>
      <c r="OH13" s="219">
        <f t="shared" si="76"/>
        <v>68021.844</v>
      </c>
      <c r="OI13" s="218">
        <v>161169</v>
      </c>
      <c r="OJ13" s="218"/>
      <c r="OK13" s="219">
        <f t="shared" si="77"/>
        <v>-193656.584</v>
      </c>
      <c r="OL13" s="219">
        <f t="shared" si="78"/>
        <v>214.108406581023</v>
      </c>
      <c r="OM13" s="220">
        <f t="shared" si="185"/>
        <v>292.392515859632</v>
      </c>
      <c r="ON13" s="221">
        <f t="shared" si="80"/>
        <v>1.27427430726137</v>
      </c>
      <c r="OO13" s="222">
        <f t="shared" si="81"/>
        <v>0.740240137702036</v>
      </c>
      <c r="OP13" s="53"/>
      <c r="OQ13" s="193"/>
      <c r="OR13" s="53"/>
      <c r="OS13" s="95" t="s">
        <v>147</v>
      </c>
      <c r="OT13" s="95">
        <v>3</v>
      </c>
      <c r="OU13" s="170">
        <v>35</v>
      </c>
      <c r="OV13" s="170">
        <v>7316</v>
      </c>
      <c r="OW13" s="170">
        <v>4311</v>
      </c>
      <c r="OX13" s="170">
        <v>645357</v>
      </c>
      <c r="OY13" s="170">
        <v>847657</v>
      </c>
      <c r="OZ13" s="170">
        <v>593968</v>
      </c>
      <c r="PA13" s="172">
        <v>1987956</v>
      </c>
      <c r="PB13" s="172">
        <v>1692123</v>
      </c>
      <c r="PC13" s="170">
        <v>11993</v>
      </c>
      <c r="PD13" s="170">
        <v>7682</v>
      </c>
      <c r="PE13" s="194">
        <v>3190162</v>
      </c>
      <c r="PF13" s="194">
        <v>2711417</v>
      </c>
      <c r="PG13" s="170">
        <f t="shared" si="82"/>
        <v>478745</v>
      </c>
      <c r="PH13" s="172">
        <v>376880</v>
      </c>
      <c r="PI13" s="173">
        <v>287083.66</v>
      </c>
      <c r="PJ13" s="171">
        <f t="shared" si="83"/>
        <v>111655.67</v>
      </c>
      <c r="PK13" s="174">
        <f t="shared" si="84"/>
        <v>57416.732</v>
      </c>
      <c r="PL13" s="171">
        <f>OT13*1733*PF1+1</f>
        <v>161170</v>
      </c>
      <c r="PM13" s="174">
        <f t="shared" si="85"/>
        <v>-228377.402</v>
      </c>
      <c r="PN13" s="174">
        <f t="shared" si="86"/>
        <v>196.626536766412</v>
      </c>
      <c r="PO13" s="195">
        <f t="shared" si="87"/>
        <v>266.002001167348</v>
      </c>
      <c r="PP13" s="196">
        <f t="shared" si="88"/>
        <v>1.19874154404176</v>
      </c>
      <c r="PQ13" s="197">
        <f t="shared" si="89"/>
        <v>0.67703271547604</v>
      </c>
      <c r="PR13" s="198"/>
      <c r="PS13" s="157"/>
      <c r="PT13" s="144"/>
      <c r="PU13" s="95" t="s">
        <v>147</v>
      </c>
      <c r="PV13" s="95">
        <v>3</v>
      </c>
      <c r="PW13" s="170">
        <v>60</v>
      </c>
      <c r="PX13" s="170">
        <v>10184</v>
      </c>
      <c r="PY13" s="170">
        <v>4852</v>
      </c>
      <c r="PZ13" s="170">
        <v>684067</v>
      </c>
      <c r="QA13" s="170">
        <v>926087</v>
      </c>
      <c r="QB13" s="170">
        <v>687098</v>
      </c>
      <c r="QC13" s="170">
        <v>10535</v>
      </c>
      <c r="QD13" s="170">
        <v>5683</v>
      </c>
      <c r="QE13" s="194">
        <v>2937505</v>
      </c>
      <c r="QF13" s="171">
        <v>2856819</v>
      </c>
      <c r="QG13" s="171">
        <v>80686</v>
      </c>
      <c r="QH13" s="172">
        <v>353910</v>
      </c>
      <c r="QI13" s="173">
        <v>-144426.89</v>
      </c>
      <c r="QJ13" s="171">
        <f>QE13*4%</f>
        <v>117500.2</v>
      </c>
      <c r="QK13" s="174">
        <v>0</v>
      </c>
      <c r="QL13" s="171">
        <f>PV13*3306*QG1+1</f>
        <v>297541</v>
      </c>
      <c r="QM13" s="174">
        <f t="shared" si="186"/>
        <v>-36814.2</v>
      </c>
      <c r="QN13" s="174">
        <f t="shared" si="187"/>
        <v>140.98660346249</v>
      </c>
      <c r="QO13" s="195">
        <f t="shared" si="188"/>
        <v>278.832937826293</v>
      </c>
      <c r="QP13" s="196">
        <f t="shared" si="95"/>
        <v>1.20435080925812</v>
      </c>
      <c r="QQ13" s="197">
        <f t="shared" si="96"/>
        <v>0.686688192871161</v>
      </c>
      <c r="QR13" s="199"/>
      <c r="QS13" s="206"/>
      <c r="QT13" s="144" t="s">
        <v>148</v>
      </c>
      <c r="QU13" s="95" t="s">
        <v>147</v>
      </c>
      <c r="QV13" s="95">
        <v>2</v>
      </c>
      <c r="QW13" s="175">
        <v>4745</v>
      </c>
      <c r="QX13" s="175">
        <v>1998</v>
      </c>
      <c r="QY13" s="175">
        <v>869757</v>
      </c>
      <c r="QZ13" s="175">
        <v>2100</v>
      </c>
      <c r="RA13" s="175">
        <v>1034573</v>
      </c>
      <c r="RB13" s="202">
        <v>844994</v>
      </c>
      <c r="RC13" s="177">
        <f t="shared" si="97"/>
        <v>704834</v>
      </c>
      <c r="RD13" s="171">
        <f t="shared" si="141"/>
        <v>189579</v>
      </c>
      <c r="RE13" s="170">
        <v>140160</v>
      </c>
      <c r="RF13" s="173">
        <v>102634.16</v>
      </c>
      <c r="RG13" s="171">
        <f>RA13*4%</f>
        <v>41382.92</v>
      </c>
      <c r="RH13" s="174">
        <f t="shared" si="189"/>
        <v>10263.416</v>
      </c>
      <c r="RI13" s="171">
        <f>QV13*3306*31</f>
        <v>204972</v>
      </c>
      <c r="RJ13" s="176">
        <f t="shared" si="101"/>
        <v>137932.664</v>
      </c>
      <c r="RK13" s="174">
        <f t="shared" si="102"/>
        <v>492.65380952381</v>
      </c>
      <c r="RL13" s="201">
        <f t="shared" si="103"/>
        <v>2.19204760211505</v>
      </c>
      <c r="RM13" s="197">
        <f t="shared" si="104"/>
        <v>3.67071538240389</v>
      </c>
      <c r="RN13" s="198"/>
      <c r="RO13" s="144"/>
      <c r="RP13" s="144"/>
      <c r="RQ13" s="95" t="s">
        <v>147</v>
      </c>
      <c r="RR13" s="95">
        <v>1</v>
      </c>
      <c r="RS13" s="175">
        <v>588</v>
      </c>
      <c r="RT13" s="175">
        <v>227</v>
      </c>
      <c r="RU13" s="175">
        <v>93771</v>
      </c>
      <c r="RV13" s="175">
        <v>227</v>
      </c>
      <c r="RW13" s="175">
        <v>91771</v>
      </c>
      <c r="RX13" s="202">
        <v>65722</v>
      </c>
      <c r="RY13" s="177">
        <f t="shared" si="105"/>
        <v>26049</v>
      </c>
      <c r="RZ13" s="170">
        <v>0</v>
      </c>
      <c r="SA13" s="170">
        <v>0</v>
      </c>
      <c r="SB13" s="171">
        <v>17242.33</v>
      </c>
      <c r="SC13" s="171">
        <f>RW13*4%</f>
        <v>3670.84</v>
      </c>
      <c r="SD13" s="174">
        <f>SB13*10%</f>
        <v>1724.233</v>
      </c>
      <c r="SE13" s="171">
        <f t="shared" si="108"/>
        <v>99180</v>
      </c>
      <c r="SF13" s="207">
        <f t="shared" si="109"/>
        <v>-78526.073</v>
      </c>
      <c r="SG13" s="174">
        <f t="shared" si="110"/>
        <v>404.277533039648</v>
      </c>
      <c r="SH13" s="196">
        <f t="shared" si="111"/>
        <v>0.896685962628972</v>
      </c>
      <c r="SI13" s="197">
        <f t="shared" si="112"/>
        <v>0.249093777826003</v>
      </c>
      <c r="SJ13" s="144" t="s">
        <v>149</v>
      </c>
      <c r="SK13" s="144"/>
      <c r="SL13" s="144"/>
      <c r="SM13" s="95"/>
      <c r="SN13" s="95"/>
      <c r="SO13" s="175"/>
      <c r="SP13" s="175"/>
      <c r="SQ13" s="175"/>
      <c r="SR13" s="175"/>
      <c r="SS13" s="175"/>
      <c r="ST13" s="175"/>
      <c r="SU13" s="177">
        <f t="shared" si="113"/>
        <v>0</v>
      </c>
      <c r="SV13" s="170"/>
      <c r="SW13" s="170"/>
      <c r="SX13" s="171"/>
      <c r="SY13" s="171">
        <f t="shared" si="114"/>
        <v>0</v>
      </c>
      <c r="SZ13" s="174">
        <f t="shared" si="191"/>
        <v>0</v>
      </c>
      <c r="TA13" s="171">
        <f t="shared" si="116"/>
        <v>0</v>
      </c>
      <c r="TB13" s="207">
        <f t="shared" si="117"/>
        <v>0</v>
      </c>
      <c r="TC13" s="174" t="e">
        <f t="shared" si="118"/>
        <v>#DIV/0!</v>
      </c>
      <c r="TD13" s="196" t="e">
        <f t="shared" si="119"/>
        <v>#DIV/0!</v>
      </c>
      <c r="TE13" s="197" t="e">
        <f t="shared" si="120"/>
        <v>#DIV/0!</v>
      </c>
      <c r="TF13" s="156"/>
      <c r="TG13" s="84"/>
      <c r="TH13" s="95"/>
      <c r="TI13" s="95"/>
      <c r="TJ13" s="95"/>
      <c r="TK13" s="95"/>
      <c r="TL13" s="175"/>
      <c r="TM13" s="175"/>
      <c r="TN13" s="175"/>
      <c r="TO13" s="175"/>
      <c r="TP13" s="175">
        <f t="shared" si="121"/>
        <v>0</v>
      </c>
      <c r="TQ13" s="178"/>
      <c r="TR13" s="170"/>
      <c r="TS13" s="170"/>
      <c r="TT13" s="170">
        <f t="shared" si="122"/>
        <v>0</v>
      </c>
      <c r="TU13" s="178">
        <f t="shared" si="147"/>
        <v>0</v>
      </c>
      <c r="TV13" s="170">
        <f t="shared" si="123"/>
        <v>0</v>
      </c>
      <c r="TW13" s="203">
        <f t="shared" si="124"/>
        <v>0</v>
      </c>
      <c r="TX13" s="174" t="e">
        <f t="shared" si="125"/>
        <v>#DIV/0!</v>
      </c>
      <c r="TY13" s="196" t="e">
        <f t="shared" si="126"/>
        <v>#DIV/0!</v>
      </c>
      <c r="TZ13" s="102" t="e">
        <f t="shared" si="127"/>
        <v>#DIV/0!</v>
      </c>
      <c r="UA13" s="156"/>
      <c r="UB13" s="144"/>
      <c r="UC13" s="144"/>
      <c r="UD13" s="95"/>
      <c r="UE13" s="95"/>
      <c r="UF13" s="175"/>
      <c r="UG13" s="175"/>
      <c r="UH13" s="175"/>
      <c r="UI13" s="175"/>
      <c r="UJ13" s="175"/>
      <c r="UK13" s="175"/>
      <c r="UL13" s="175">
        <f t="shared" si="128"/>
        <v>0</v>
      </c>
      <c r="UM13" s="170">
        <v>94000</v>
      </c>
      <c r="UN13" s="170"/>
      <c r="UO13" s="170"/>
      <c r="UP13" s="170">
        <f t="shared" si="129"/>
        <v>0</v>
      </c>
      <c r="UQ13" s="178">
        <f t="shared" si="190"/>
        <v>0</v>
      </c>
      <c r="UR13" s="170">
        <f t="shared" si="192"/>
        <v>0</v>
      </c>
      <c r="US13" s="203">
        <f t="shared" si="131"/>
        <v>0</v>
      </c>
      <c r="UT13" s="174" t="e">
        <f t="shared" si="132"/>
        <v>#DIV/0!</v>
      </c>
      <c r="UU13" s="196">
        <f t="shared" si="133"/>
        <v>0</v>
      </c>
      <c r="UV13" s="102" t="e">
        <f t="shared" si="134"/>
        <v>#DIV/0!</v>
      </c>
      <c r="UW13" s="144"/>
      <c r="UX13" s="144"/>
      <c r="UY13" s="144"/>
      <c r="UZ13" s="95"/>
      <c r="VA13" s="95"/>
      <c r="VB13" s="175"/>
      <c r="VC13" s="175"/>
      <c r="VD13" s="175"/>
      <c r="VE13" s="175"/>
      <c r="VF13" s="175"/>
      <c r="VG13" s="175"/>
      <c r="VH13" s="175">
        <f t="shared" si="135"/>
        <v>0</v>
      </c>
      <c r="VI13" s="178">
        <v>0</v>
      </c>
      <c r="VJ13" s="178"/>
      <c r="VK13" s="203"/>
      <c r="VL13" s="178">
        <f t="shared" si="136"/>
        <v>0</v>
      </c>
      <c r="VM13" s="178">
        <v>0</v>
      </c>
      <c r="VN13" s="170">
        <f>VA13*4000*12</f>
        <v>0</v>
      </c>
      <c r="VO13" s="178">
        <f t="shared" si="137"/>
        <v>0</v>
      </c>
      <c r="VP13" s="174" t="e">
        <f t="shared" si="138"/>
        <v>#DIV/0!</v>
      </c>
      <c r="VQ13" s="196" t="e">
        <f t="shared" si="139"/>
        <v>#DIV/0!</v>
      </c>
      <c r="VR13" s="102" t="e">
        <f t="shared" si="140"/>
        <v>#DIV/0!</v>
      </c>
      <c r="VS13" s="84"/>
      <c r="VT13" s="53"/>
      <c r="VU13" s="53"/>
    </row>
    <row r="14" ht="18" hidden="1" customHeight="1" spans="1:593">
      <c r="A14" s="53"/>
      <c r="B14" s="53"/>
      <c r="C14" s="160" t="s">
        <v>150</v>
      </c>
      <c r="D14" s="160">
        <v>1</v>
      </c>
      <c r="E14" s="160">
        <v>0</v>
      </c>
      <c r="F14" s="162">
        <f>'PH35'!AJ4</f>
        <v>17</v>
      </c>
      <c r="G14" s="162">
        <f>(I14/F14)/S1</f>
        <v>2.57239819004525</v>
      </c>
      <c r="H14" s="162">
        <f>'PH35'!G4</f>
        <v>1712</v>
      </c>
      <c r="I14" s="162">
        <f>'PH35'!H4</f>
        <v>1137</v>
      </c>
      <c r="J14" s="163">
        <f>'PH35'!T4</f>
        <v>292884</v>
      </c>
      <c r="K14" s="163">
        <f>'PH35'!U4</f>
        <v>380552</v>
      </c>
      <c r="L14" s="163">
        <f>'PH35'!V4</f>
        <v>324686</v>
      </c>
      <c r="M14" s="161">
        <v>741672</v>
      </c>
      <c r="N14" s="161">
        <v>648435</v>
      </c>
      <c r="O14" s="162">
        <f>M14-N14</f>
        <v>93237</v>
      </c>
      <c r="P14" s="162">
        <f>'PH35'!J4</f>
        <v>1047</v>
      </c>
      <c r="Q14" s="162">
        <f>'PH35'!R4</f>
        <v>360303</v>
      </c>
      <c r="R14" s="162">
        <f>'PH35'!S4</f>
        <v>295322</v>
      </c>
      <c r="S14" s="162">
        <f>'PH35'!K4</f>
        <v>2128</v>
      </c>
      <c r="T14" s="162">
        <f>S14-I14</f>
        <v>991</v>
      </c>
      <c r="U14" s="162">
        <f>'PH35'!W4</f>
        <v>960128</v>
      </c>
      <c r="V14" s="162">
        <f>'PH35'!X4</f>
        <v>830473</v>
      </c>
      <c r="W14" s="162">
        <f>U14-V14</f>
        <v>129655</v>
      </c>
      <c r="X14" s="162">
        <f>'PH35'!D4</f>
        <v>150719</v>
      </c>
      <c r="Y14" s="185">
        <v>119746.35</v>
      </c>
      <c r="Z14" s="179">
        <f>U14*3.5%</f>
        <v>33604.48</v>
      </c>
      <c r="AA14" s="167">
        <f>IF(Y14&gt;0,Y14*20%,0)</f>
        <v>23949.27</v>
      </c>
      <c r="AB14" s="179">
        <f>(D14*3200)*S1</f>
        <v>83200</v>
      </c>
      <c r="AC14" s="167">
        <f>(E14*1733)*S1</f>
        <v>0</v>
      </c>
      <c r="AD14" s="167">
        <f>W14-Z14-AA14-X14-AB14-AC14</f>
        <v>-161817.75</v>
      </c>
      <c r="AE14" s="167">
        <f>K14/I14</f>
        <v>334.698328935796</v>
      </c>
      <c r="AF14" s="186">
        <f>U14/S14</f>
        <v>451.187969924812</v>
      </c>
      <c r="AG14" s="187">
        <f>M14/(Z14+AA14+X14+AB14+AC14)</f>
        <v>2.54456720225133</v>
      </c>
      <c r="AH14" s="188">
        <f>W14/(Z14+AA14+X14+AB14+AC14)</f>
        <v>0.444827175096128</v>
      </c>
      <c r="AI14" s="53"/>
      <c r="AJ14" s="160" t="s">
        <v>150</v>
      </c>
      <c r="AK14" s="160">
        <v>1</v>
      </c>
      <c r="AL14" s="160">
        <v>0</v>
      </c>
      <c r="AM14" s="162">
        <v>14</v>
      </c>
      <c r="AN14" s="162">
        <f>(AP14/AM14)/AZ1</f>
        <v>1.55238095238095</v>
      </c>
      <c r="AO14" s="162">
        <v>1179</v>
      </c>
      <c r="AP14" s="162">
        <v>652</v>
      </c>
      <c r="AQ14" s="163">
        <v>200178</v>
      </c>
      <c r="AR14" s="163">
        <v>286106</v>
      </c>
      <c r="AS14" s="163">
        <v>146067.5</v>
      </c>
      <c r="AT14" s="161">
        <v>571926</v>
      </c>
      <c r="AU14" s="161">
        <v>453472.21</v>
      </c>
      <c r="AV14" s="162">
        <f>AT14-AU14</f>
        <v>118453.79</v>
      </c>
      <c r="AW14" s="162">
        <v>275175</v>
      </c>
      <c r="AX14" s="162">
        <v>275175</v>
      </c>
      <c r="AY14" s="162">
        <v>138522.5</v>
      </c>
      <c r="AZ14" s="162">
        <v>1130</v>
      </c>
      <c r="BA14" s="162">
        <v>478</v>
      </c>
      <c r="BB14" s="162">
        <v>571962</v>
      </c>
      <c r="BC14" s="162">
        <v>453472.21</v>
      </c>
      <c r="BD14" s="162">
        <f>BB14-BC14</f>
        <v>118489.79</v>
      </c>
      <c r="BE14" s="162">
        <v>45415</v>
      </c>
      <c r="BF14" s="185">
        <v>104021.16</v>
      </c>
      <c r="BG14" s="179">
        <f>BB14*3.5%</f>
        <v>20018.67</v>
      </c>
      <c r="BH14" s="167">
        <f>IF(BF14&gt;0,BF14*20%,0)</f>
        <v>20804.232</v>
      </c>
      <c r="BI14" s="179">
        <f>(AK14*3200)*AZ1</f>
        <v>96000</v>
      </c>
      <c r="BJ14" s="167">
        <f>(AL14*1733)*AZ1</f>
        <v>0</v>
      </c>
      <c r="BK14" s="167">
        <f>BD14-BG14-BH14-BE14-BI14-BJ14</f>
        <v>-63748.112</v>
      </c>
      <c r="BL14" s="167">
        <f>AR14/AP14</f>
        <v>438.812883435583</v>
      </c>
      <c r="BM14" s="186">
        <f>BB14/AZ14</f>
        <v>506.161061946903</v>
      </c>
      <c r="BN14" s="187">
        <f>AT14/(BG14+BH14+BE14+BI14)</f>
        <v>3.13834824547091</v>
      </c>
      <c r="BO14" s="188">
        <f>BD14/(BG14+BH14+BE14+BI14+BJ14)</f>
        <v>0.650192900047763</v>
      </c>
      <c r="BP14" s="53"/>
      <c r="BQ14" s="160"/>
      <c r="BR14" s="160"/>
      <c r="BS14" s="161"/>
      <c r="BT14" s="161"/>
      <c r="BU14" s="161"/>
      <c r="BV14" s="161"/>
      <c r="BW14" s="161"/>
      <c r="BX14" s="228"/>
      <c r="BY14" s="228"/>
      <c r="BZ14" s="228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85"/>
      <c r="CN14" s="164"/>
      <c r="CO14" s="229"/>
      <c r="CP14" s="164"/>
      <c r="CQ14" s="229"/>
      <c r="CR14" s="229"/>
      <c r="CS14" s="229"/>
      <c r="CT14" s="230"/>
      <c r="CU14" s="231"/>
      <c r="CV14" s="188"/>
      <c r="CW14" s="53"/>
      <c r="CX14" s="160"/>
      <c r="CY14" s="160"/>
      <c r="CZ14" s="161"/>
      <c r="DA14" s="161"/>
      <c r="DB14" s="161"/>
      <c r="DC14" s="161"/>
      <c r="DD14" s="161"/>
      <c r="DE14" s="228"/>
      <c r="DF14" s="228"/>
      <c r="DG14" s="228"/>
      <c r="DH14" s="161"/>
      <c r="DI14" s="161"/>
      <c r="DJ14" s="161"/>
      <c r="DK14" s="161"/>
      <c r="DL14" s="161"/>
      <c r="DM14" s="161"/>
      <c r="DN14" s="161"/>
      <c r="DO14" s="161"/>
      <c r="DP14" s="161"/>
      <c r="DQ14" s="161"/>
      <c r="DR14" s="161"/>
      <c r="DS14" s="161"/>
      <c r="DT14" s="185"/>
      <c r="DU14" s="164"/>
      <c r="DV14" s="229"/>
      <c r="DW14" s="164"/>
      <c r="DX14" s="229"/>
      <c r="DY14" s="229"/>
      <c r="DZ14" s="229"/>
      <c r="EA14" s="230"/>
      <c r="EB14" s="231"/>
      <c r="EC14" s="188"/>
      <c r="ED14" s="53"/>
      <c r="EE14" s="213"/>
      <c r="EF14" s="213"/>
      <c r="EG14" s="213"/>
      <c r="EH14" s="213"/>
      <c r="EI14" s="213"/>
      <c r="EJ14" s="213"/>
      <c r="EK14" s="213"/>
      <c r="EL14" s="213"/>
      <c r="EM14" s="213"/>
      <c r="EN14" s="213"/>
      <c r="EO14" s="216"/>
      <c r="EP14" s="216"/>
      <c r="EQ14" s="216"/>
      <c r="ER14" s="213"/>
      <c r="ES14" s="213"/>
      <c r="ET14" s="213"/>
      <c r="EU14" s="213"/>
      <c r="EV14" s="213"/>
      <c r="EW14" s="213"/>
      <c r="EX14" s="213"/>
      <c r="EY14" s="213"/>
      <c r="EZ14" s="213"/>
      <c r="FA14" s="232"/>
      <c r="FB14" s="213"/>
      <c r="FC14" s="213"/>
      <c r="FD14" s="213"/>
      <c r="FE14" s="213"/>
      <c r="FF14" s="213"/>
      <c r="FG14" s="213"/>
      <c r="FH14" s="213"/>
      <c r="FI14" s="221"/>
      <c r="FJ14" s="222"/>
      <c r="FK14" s="53"/>
      <c r="FL14" s="53"/>
      <c r="FM14" s="53"/>
      <c r="FN14" s="213"/>
      <c r="FO14" s="213"/>
      <c r="FP14" s="213"/>
      <c r="FQ14" s="213"/>
      <c r="FR14" s="213"/>
      <c r="FS14" s="213"/>
      <c r="FT14" s="213"/>
      <c r="FU14" s="213"/>
      <c r="FV14" s="213"/>
      <c r="FW14" s="213"/>
      <c r="FX14" s="216"/>
      <c r="FY14" s="216"/>
      <c r="FZ14" s="213"/>
      <c r="GA14" s="213"/>
      <c r="GB14" s="213"/>
      <c r="GC14" s="213"/>
      <c r="GD14" s="213"/>
      <c r="GE14" s="213"/>
      <c r="GF14" s="213"/>
      <c r="GG14" s="213"/>
      <c r="GH14" s="213"/>
      <c r="GI14" s="213"/>
      <c r="GJ14" s="232"/>
      <c r="GK14" s="213"/>
      <c r="GL14" s="213"/>
      <c r="GM14" s="213"/>
      <c r="GN14" s="213"/>
      <c r="GO14" s="213"/>
      <c r="GP14" s="213"/>
      <c r="GQ14" s="213"/>
      <c r="GR14" s="221"/>
      <c r="GS14" s="222"/>
      <c r="GT14" s="53"/>
      <c r="GU14" s="53"/>
      <c r="GV14" s="213"/>
      <c r="GW14" s="213"/>
      <c r="GX14" s="213"/>
      <c r="GY14" s="213"/>
      <c r="GZ14" s="213"/>
      <c r="HA14" s="213"/>
      <c r="HB14" s="213"/>
      <c r="HC14" s="213"/>
      <c r="HD14" s="213"/>
      <c r="HE14" s="213"/>
      <c r="HF14" s="216"/>
      <c r="HG14" s="216"/>
      <c r="HH14" s="216"/>
      <c r="HI14" s="213"/>
      <c r="HJ14" s="213"/>
      <c r="HK14" s="213"/>
      <c r="HL14" s="213"/>
      <c r="HM14" s="213"/>
      <c r="HN14" s="213"/>
      <c r="HO14" s="213"/>
      <c r="HP14" s="213"/>
      <c r="HQ14" s="213"/>
      <c r="HR14" s="232"/>
      <c r="HS14" s="213"/>
      <c r="HT14" s="213"/>
      <c r="HU14" s="213"/>
      <c r="HV14" s="213"/>
      <c r="HW14" s="213"/>
      <c r="HX14" s="213"/>
      <c r="HY14" s="213"/>
      <c r="HZ14" s="221"/>
      <c r="IA14" s="222"/>
      <c r="IB14" s="53"/>
      <c r="IC14" s="53"/>
      <c r="ID14" s="160"/>
      <c r="IE14" s="160"/>
      <c r="IF14" s="160"/>
      <c r="IG14" s="162"/>
      <c r="IH14" s="162"/>
      <c r="II14" s="162"/>
      <c r="IJ14" s="162"/>
      <c r="IK14" s="163"/>
      <c r="IL14" s="163"/>
      <c r="IM14" s="163"/>
      <c r="IN14" s="161"/>
      <c r="IO14" s="161"/>
      <c r="IP14" s="162"/>
      <c r="IQ14" s="162"/>
      <c r="IR14" s="162"/>
      <c r="IS14" s="162"/>
      <c r="IT14" s="162"/>
      <c r="IU14" s="162"/>
      <c r="IV14" s="162"/>
      <c r="IW14" s="162"/>
      <c r="IX14" s="162"/>
      <c r="IY14" s="162"/>
      <c r="IZ14" s="185"/>
      <c r="JA14" s="179"/>
      <c r="JB14" s="167"/>
      <c r="JC14" s="179"/>
      <c r="JD14" s="167"/>
      <c r="JE14" s="167"/>
      <c r="JF14" s="167"/>
      <c r="JG14" s="186"/>
      <c r="JH14" s="187"/>
      <c r="JI14" s="188"/>
      <c r="JJ14" s="53"/>
      <c r="JK14" s="53"/>
      <c r="JL14" s="213"/>
      <c r="JM14" s="213"/>
      <c r="JN14" s="213"/>
      <c r="JO14" s="213"/>
      <c r="JP14" s="213"/>
      <c r="JQ14" s="213"/>
      <c r="JR14" s="213"/>
      <c r="JS14" s="213"/>
      <c r="JT14" s="213"/>
      <c r="JU14" s="213"/>
      <c r="JV14" s="213"/>
      <c r="JW14" s="213"/>
      <c r="JX14" s="162">
        <f t="shared" si="53"/>
        <v>0</v>
      </c>
      <c r="JY14" s="213"/>
      <c r="JZ14" s="213"/>
      <c r="KA14" s="213"/>
      <c r="KB14" s="213"/>
      <c r="KC14" s="213"/>
      <c r="KD14" s="213"/>
      <c r="KE14" s="213"/>
      <c r="KF14" s="213"/>
      <c r="KG14" s="213"/>
      <c r="KH14" s="213"/>
      <c r="KI14" s="213"/>
      <c r="KJ14" s="213"/>
      <c r="KK14" s="213"/>
      <c r="KL14" s="213"/>
      <c r="KM14" s="213"/>
      <c r="KN14" s="213"/>
      <c r="KO14" s="213"/>
      <c r="KP14" s="221"/>
      <c r="KQ14" s="222"/>
      <c r="KR14" s="53"/>
      <c r="KS14" s="233"/>
      <c r="KT14" s="213"/>
      <c r="KU14" s="213"/>
      <c r="KV14" s="213"/>
      <c r="KW14" s="214"/>
      <c r="KX14" s="214"/>
      <c r="KY14" s="214"/>
      <c r="KZ14" s="214"/>
      <c r="LA14" s="215"/>
      <c r="LB14" s="215"/>
      <c r="LC14" s="215"/>
      <c r="LD14" s="216"/>
      <c r="LE14" s="216"/>
      <c r="LF14" s="216"/>
      <c r="LG14" s="214"/>
      <c r="LH14" s="214"/>
      <c r="LI14" s="214"/>
      <c r="LJ14" s="214"/>
      <c r="LK14" s="214"/>
      <c r="LL14" s="214"/>
      <c r="LM14" s="214"/>
      <c r="LN14" s="214">
        <v>0</v>
      </c>
      <c r="LO14" s="216"/>
      <c r="LP14" s="217"/>
      <c r="LQ14" s="218">
        <v>0</v>
      </c>
      <c r="LR14" s="219">
        <v>0</v>
      </c>
      <c r="LS14" s="218">
        <v>53723</v>
      </c>
      <c r="LT14" s="218"/>
      <c r="LU14" s="219">
        <v>0</v>
      </c>
      <c r="LV14" s="219" t="e">
        <v>#DIV/0!</v>
      </c>
      <c r="LW14" s="220" t="e">
        <v>#DIV/0!</v>
      </c>
      <c r="LX14" s="221" t="e">
        <v>#DIV/0!</v>
      </c>
      <c r="LY14" s="222">
        <v>0</v>
      </c>
      <c r="LZ14" s="192"/>
      <c r="MA14" s="192"/>
      <c r="MB14" s="213" t="s">
        <v>151</v>
      </c>
      <c r="MC14" s="213">
        <v>1</v>
      </c>
      <c r="MD14" s="213"/>
      <c r="ME14" s="214">
        <f>'[1]PH11'!AB4</f>
        <v>3</v>
      </c>
      <c r="MF14" s="214"/>
      <c r="MG14" s="214">
        <f>'[1]PH11'!G4</f>
        <v>0</v>
      </c>
      <c r="MH14" s="214">
        <f>'[1]PH11'!H4</f>
        <v>0</v>
      </c>
      <c r="MI14" s="215">
        <f>'[1]PH11'!Q4</f>
        <v>0</v>
      </c>
      <c r="MJ14" s="215">
        <f>'[1]PH11'!R4</f>
        <v>0</v>
      </c>
      <c r="MK14" s="215">
        <f>'[1]PH11'!S4</f>
        <v>0</v>
      </c>
      <c r="ML14" s="216"/>
      <c r="MM14" s="216"/>
      <c r="MN14" s="216"/>
      <c r="MO14" s="214"/>
      <c r="MP14" s="214"/>
      <c r="MQ14" s="214"/>
      <c r="MR14" s="214">
        <f>'[1]PH11'!J4</f>
        <v>0</v>
      </c>
      <c r="MS14" s="214">
        <f>MR14-MH14</f>
        <v>0</v>
      </c>
      <c r="MT14" s="214">
        <f>'[1]PH11'!T4</f>
        <v>0</v>
      </c>
      <c r="MU14" s="214">
        <f>'[1]PH11'!U4</f>
        <v>0</v>
      </c>
      <c r="MV14" s="214">
        <f t="shared" si="178"/>
        <v>0</v>
      </c>
      <c r="MW14" s="216">
        <v>5940</v>
      </c>
      <c r="MX14" s="217">
        <v>14424.05</v>
      </c>
      <c r="MY14" s="218">
        <f t="shared" si="179"/>
        <v>0</v>
      </c>
      <c r="MZ14" s="219">
        <f>MX14*10%</f>
        <v>1442.405</v>
      </c>
      <c r="NA14" s="218">
        <f>'[1]PH11'!B4</f>
        <v>0</v>
      </c>
      <c r="NB14" s="219">
        <f>MV14-MY14-MZ14</f>
        <v>-1442.405</v>
      </c>
      <c r="NC14" s="219"/>
      <c r="ND14" s="219" t="e">
        <f>MI14/MH14</f>
        <v>#DIV/0!</v>
      </c>
      <c r="NE14" s="220" t="e">
        <f t="shared" si="181"/>
        <v>#DIV/0!</v>
      </c>
      <c r="NF14" s="221">
        <f>MJ14/(MY14+MZ14)</f>
        <v>0</v>
      </c>
      <c r="NG14" s="222">
        <f>MV14/(MY14+MZ14)</f>
        <v>0</v>
      </c>
      <c r="NH14" s="53"/>
      <c r="NI14" s="53"/>
      <c r="NJ14" s="213" t="s">
        <v>151</v>
      </c>
      <c r="NK14" s="213">
        <v>1</v>
      </c>
      <c r="NL14" s="213"/>
      <c r="NM14" s="214">
        <v>10</v>
      </c>
      <c r="NN14" s="214"/>
      <c r="NO14" s="214">
        <v>432</v>
      </c>
      <c r="NP14" s="214">
        <v>206</v>
      </c>
      <c r="NQ14" s="215">
        <v>36686</v>
      </c>
      <c r="NR14" s="215">
        <v>1773</v>
      </c>
      <c r="NS14" s="215">
        <v>0</v>
      </c>
      <c r="NT14" s="214"/>
      <c r="NU14" s="214"/>
      <c r="NV14" s="214"/>
      <c r="NW14" s="214"/>
      <c r="NX14" s="214"/>
      <c r="NY14" s="214"/>
      <c r="NZ14" s="214">
        <v>302</v>
      </c>
      <c r="OA14" s="214">
        <f t="shared" si="182"/>
        <v>96</v>
      </c>
      <c r="OB14" s="214">
        <v>76447</v>
      </c>
      <c r="OC14" s="214">
        <v>41913</v>
      </c>
      <c r="OD14" s="214">
        <f t="shared" si="183"/>
        <v>34534</v>
      </c>
      <c r="OE14" s="216">
        <v>7970</v>
      </c>
      <c r="OF14" s="217">
        <v>47929.4</v>
      </c>
      <c r="OG14" s="218">
        <f t="shared" si="184"/>
        <v>2675.645</v>
      </c>
      <c r="OH14" s="219">
        <f>OF14*10%</f>
        <v>4792.94</v>
      </c>
      <c r="OI14" s="218">
        <v>102487</v>
      </c>
      <c r="OJ14" s="218"/>
      <c r="OK14" s="219">
        <f>OD14-OG14-OH14</f>
        <v>27065.415</v>
      </c>
      <c r="OL14" s="219">
        <f>NQ14/NP14</f>
        <v>178.087378640777</v>
      </c>
      <c r="OM14" s="220">
        <f t="shared" si="185"/>
        <v>253.135761589404</v>
      </c>
      <c r="ON14" s="221">
        <f>NR14/(OG14+OH14)</f>
        <v>0.237394365867162</v>
      </c>
      <c r="OO14" s="222">
        <f>OD14/(OG14+OH14)</f>
        <v>4.62390131463992</v>
      </c>
      <c r="OP14" s="53" t="s">
        <v>152</v>
      </c>
      <c r="OQ14" s="193"/>
      <c r="OR14" s="53"/>
      <c r="OS14" s="95"/>
      <c r="OT14" s="95"/>
      <c r="OU14" s="170"/>
      <c r="OV14" s="170"/>
      <c r="OW14" s="170"/>
      <c r="OX14" s="170"/>
      <c r="OY14" s="170"/>
      <c r="OZ14" s="170"/>
      <c r="PA14" s="170"/>
      <c r="PB14" s="170"/>
      <c r="PC14" s="170"/>
      <c r="PD14" s="170"/>
      <c r="PE14" s="194"/>
      <c r="PF14" s="194"/>
      <c r="PG14" s="170"/>
      <c r="PH14" s="172"/>
      <c r="PI14" s="173"/>
      <c r="PJ14" s="171"/>
      <c r="PK14" s="174"/>
      <c r="PL14" s="171"/>
      <c r="PM14" s="174"/>
      <c r="PN14" s="174"/>
      <c r="PO14" s="195"/>
      <c r="PP14" s="196"/>
      <c r="PQ14" s="197"/>
      <c r="PR14" s="198"/>
      <c r="PS14" s="157"/>
      <c r="PT14" s="144"/>
      <c r="PU14" s="95"/>
      <c r="PV14" s="95"/>
      <c r="PW14" s="175"/>
      <c r="PX14" s="175"/>
      <c r="PY14" s="175"/>
      <c r="PZ14" s="175"/>
      <c r="QA14" s="175"/>
      <c r="QB14" s="175"/>
      <c r="QC14" s="175"/>
      <c r="QD14" s="175"/>
      <c r="QE14" s="202"/>
      <c r="QF14" s="177"/>
      <c r="QG14" s="171"/>
      <c r="QH14" s="170"/>
      <c r="QI14" s="173"/>
      <c r="QJ14" s="171"/>
      <c r="QK14" s="174"/>
      <c r="QL14" s="171"/>
      <c r="QM14" s="174"/>
      <c r="QN14" s="174"/>
      <c r="QO14" s="195"/>
      <c r="QP14" s="196"/>
      <c r="QQ14" s="197"/>
      <c r="QR14" s="199"/>
      <c r="QS14" s="206"/>
      <c r="QT14" s="144"/>
      <c r="QU14" s="95"/>
      <c r="QV14" s="95"/>
      <c r="QW14" s="175"/>
      <c r="QX14" s="175"/>
      <c r="QY14" s="175"/>
      <c r="QZ14" s="175"/>
      <c r="RA14" s="175"/>
      <c r="RB14" s="202"/>
      <c r="RC14" s="177"/>
      <c r="RD14" s="171"/>
      <c r="RE14" s="170"/>
      <c r="RF14" s="173"/>
      <c r="RG14" s="171"/>
      <c r="RH14" s="174"/>
      <c r="RI14" s="171"/>
      <c r="RJ14" s="176"/>
      <c r="RK14" s="174"/>
      <c r="RL14" s="201"/>
      <c r="RM14" s="197"/>
      <c r="RN14" s="198"/>
      <c r="RO14" s="144"/>
      <c r="RP14" s="144"/>
      <c r="RQ14" s="95"/>
      <c r="RR14" s="95"/>
      <c r="RS14" s="175"/>
      <c r="RT14" s="175"/>
      <c r="RU14" s="175"/>
      <c r="RV14" s="175"/>
      <c r="RW14" s="175"/>
      <c r="RX14" s="202"/>
      <c r="RY14" s="177"/>
      <c r="RZ14" s="170"/>
      <c r="SA14" s="170"/>
      <c r="SB14" s="171"/>
      <c r="SC14" s="171"/>
      <c r="SD14" s="174"/>
      <c r="SE14" s="171"/>
      <c r="SF14" s="207"/>
      <c r="SG14" s="174"/>
      <c r="SH14" s="196"/>
      <c r="SI14" s="197"/>
      <c r="SJ14" s="144"/>
      <c r="SK14" s="144"/>
      <c r="SL14" s="144"/>
      <c r="SM14" s="95"/>
      <c r="SN14" s="95"/>
      <c r="SO14" s="175"/>
      <c r="SP14" s="175"/>
      <c r="SQ14" s="175"/>
      <c r="SR14" s="175"/>
      <c r="SS14" s="175"/>
      <c r="ST14" s="175"/>
      <c r="SU14" s="177"/>
      <c r="SV14" s="170"/>
      <c r="SW14" s="170"/>
      <c r="SX14" s="171"/>
      <c r="SY14" s="171"/>
      <c r="SZ14" s="174"/>
      <c r="TA14" s="171"/>
      <c r="TB14" s="207"/>
      <c r="TC14" s="174"/>
      <c r="TD14" s="196"/>
      <c r="TE14" s="197"/>
      <c r="TF14" s="156"/>
      <c r="TG14" s="84"/>
      <c r="TH14" s="95"/>
      <c r="TI14" s="95"/>
      <c r="TJ14" s="95"/>
      <c r="TK14" s="95"/>
      <c r="TL14" s="175"/>
      <c r="TM14" s="175"/>
      <c r="TN14" s="175"/>
      <c r="TO14" s="175"/>
      <c r="TP14" s="175"/>
      <c r="TQ14" s="178"/>
      <c r="TR14" s="170"/>
      <c r="TS14" s="170"/>
      <c r="TT14" s="170"/>
      <c r="TU14" s="178"/>
      <c r="TV14" s="170"/>
      <c r="TW14" s="203"/>
      <c r="TX14" s="174"/>
      <c r="TY14" s="196"/>
      <c r="TZ14" s="102"/>
      <c r="UA14" s="156"/>
      <c r="UB14" s="144"/>
      <c r="UC14" s="144"/>
      <c r="UD14" s="95"/>
      <c r="UE14" s="95"/>
      <c r="UF14" s="175"/>
      <c r="UG14" s="175"/>
      <c r="UH14" s="175"/>
      <c r="UI14" s="175"/>
      <c r="UJ14" s="175"/>
      <c r="UK14" s="175"/>
      <c r="UL14" s="175"/>
      <c r="UM14" s="170"/>
      <c r="UN14" s="170"/>
      <c r="UO14" s="170"/>
      <c r="UP14" s="170"/>
      <c r="UQ14" s="178"/>
      <c r="UR14" s="170"/>
      <c r="US14" s="203"/>
      <c r="UT14" s="174"/>
      <c r="UU14" s="196"/>
      <c r="UV14" s="102"/>
      <c r="UW14" s="144"/>
      <c r="UX14" s="144"/>
      <c r="UY14" s="144"/>
      <c r="UZ14" s="95"/>
      <c r="VA14" s="95"/>
      <c r="VB14" s="175"/>
      <c r="VC14" s="175"/>
      <c r="VD14" s="175"/>
      <c r="VE14" s="175"/>
      <c r="VF14" s="175"/>
      <c r="VG14" s="175"/>
      <c r="VH14" s="175"/>
      <c r="VI14" s="178"/>
      <c r="VJ14" s="178"/>
      <c r="VK14" s="203"/>
      <c r="VL14" s="178"/>
      <c r="VM14" s="178"/>
      <c r="VN14" s="170"/>
      <c r="VO14" s="178"/>
      <c r="VP14" s="174"/>
      <c r="VQ14" s="196"/>
      <c r="VR14" s="102"/>
      <c r="VS14" s="84"/>
      <c r="VT14" s="53"/>
      <c r="VU14" s="53"/>
    </row>
    <row r="15" ht="18" hidden="1" customHeight="1" spans="1:593">
      <c r="A15" s="53"/>
      <c r="B15" s="53"/>
      <c r="C15" s="160"/>
      <c r="D15" s="160"/>
      <c r="E15" s="161"/>
      <c r="F15" s="161"/>
      <c r="G15" s="161"/>
      <c r="H15" s="161"/>
      <c r="I15" s="161"/>
      <c r="J15" s="228"/>
      <c r="K15" s="228"/>
      <c r="L15" s="228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85"/>
      <c r="Z15" s="164"/>
      <c r="AA15" s="229"/>
      <c r="AB15" s="164"/>
      <c r="AC15" s="229"/>
      <c r="AD15" s="229"/>
      <c r="AE15" s="229"/>
      <c r="AF15" s="230"/>
      <c r="AG15" s="231"/>
      <c r="AH15" s="188"/>
      <c r="AI15" s="53"/>
      <c r="AJ15" s="160"/>
      <c r="AK15" s="160"/>
      <c r="AL15" s="161"/>
      <c r="AM15" s="161"/>
      <c r="AN15" s="161"/>
      <c r="AO15" s="161"/>
      <c r="AP15" s="161"/>
      <c r="AQ15" s="228"/>
      <c r="AR15" s="228"/>
      <c r="AS15" s="228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85"/>
      <c r="BG15" s="164"/>
      <c r="BH15" s="229"/>
      <c r="BI15" s="164"/>
      <c r="BJ15" s="229"/>
      <c r="BK15" s="229"/>
      <c r="BL15" s="229"/>
      <c r="BM15" s="230"/>
      <c r="BN15" s="231"/>
      <c r="BO15" s="188"/>
      <c r="BP15" s="53"/>
      <c r="BQ15" s="160"/>
      <c r="BR15" s="160"/>
      <c r="BS15" s="161"/>
      <c r="BT15" s="161"/>
      <c r="BU15" s="161"/>
      <c r="BV15" s="161"/>
      <c r="BW15" s="161"/>
      <c r="BX15" s="228"/>
      <c r="BY15" s="228"/>
      <c r="BZ15" s="228"/>
      <c r="CA15" s="161"/>
      <c r="CB15" s="161"/>
      <c r="CC15" s="161"/>
      <c r="CD15" s="161"/>
      <c r="CE15" s="161"/>
      <c r="CF15" s="161"/>
      <c r="CG15" s="161"/>
      <c r="CH15" s="161"/>
      <c r="CI15" s="161"/>
      <c r="CJ15" s="161"/>
      <c r="CK15" s="161"/>
      <c r="CL15" s="161"/>
      <c r="CM15" s="185"/>
      <c r="CN15" s="164"/>
      <c r="CO15" s="229"/>
      <c r="CP15" s="164"/>
      <c r="CQ15" s="229"/>
      <c r="CR15" s="229"/>
      <c r="CS15" s="229"/>
      <c r="CT15" s="230"/>
      <c r="CU15" s="231"/>
      <c r="CV15" s="188"/>
      <c r="CW15" s="53"/>
      <c r="CX15" s="160"/>
      <c r="CY15" s="160"/>
      <c r="CZ15" s="161"/>
      <c r="DA15" s="161"/>
      <c r="DB15" s="161"/>
      <c r="DC15" s="161"/>
      <c r="DD15" s="161"/>
      <c r="DE15" s="228"/>
      <c r="DF15" s="228"/>
      <c r="DG15" s="228"/>
      <c r="DH15" s="161"/>
      <c r="DI15" s="161"/>
      <c r="DJ15" s="161"/>
      <c r="DK15" s="161"/>
      <c r="DL15" s="161"/>
      <c r="DM15" s="161"/>
      <c r="DN15" s="161"/>
      <c r="DO15" s="161"/>
      <c r="DP15" s="161"/>
      <c r="DQ15" s="161"/>
      <c r="DR15" s="161"/>
      <c r="DS15" s="161"/>
      <c r="DT15" s="185"/>
      <c r="DU15" s="164"/>
      <c r="DV15" s="229"/>
      <c r="DW15" s="164"/>
      <c r="DX15" s="229"/>
      <c r="DY15" s="229"/>
      <c r="DZ15" s="229"/>
      <c r="EA15" s="230"/>
      <c r="EB15" s="231"/>
      <c r="EC15" s="188"/>
      <c r="ED15" s="53"/>
      <c r="EE15" s="213"/>
      <c r="EF15" s="213"/>
      <c r="EG15" s="216"/>
      <c r="EH15" s="216"/>
      <c r="EI15" s="216"/>
      <c r="EJ15" s="216"/>
      <c r="EK15" s="216"/>
      <c r="EL15" s="223"/>
      <c r="EM15" s="223"/>
      <c r="EN15" s="223"/>
      <c r="EO15" s="216"/>
      <c r="EP15" s="216"/>
      <c r="EQ15" s="216"/>
      <c r="ER15" s="216"/>
      <c r="ES15" s="216"/>
      <c r="ET15" s="216"/>
      <c r="EU15" s="216"/>
      <c r="EV15" s="216"/>
      <c r="EW15" s="216"/>
      <c r="EX15" s="216"/>
      <c r="EY15" s="216"/>
      <c r="EZ15" s="216"/>
      <c r="FA15" s="232"/>
      <c r="FB15" s="217"/>
      <c r="FC15" s="224"/>
      <c r="FD15" s="217"/>
      <c r="FE15" s="224"/>
      <c r="FF15" s="224"/>
      <c r="FG15" s="224"/>
      <c r="FH15" s="225"/>
      <c r="FI15" s="234"/>
      <c r="FJ15" s="222"/>
      <c r="FK15" s="53"/>
      <c r="FL15" s="53"/>
      <c r="FM15" s="53"/>
      <c r="FN15" s="213"/>
      <c r="FO15" s="213"/>
      <c r="FP15" s="216"/>
      <c r="FQ15" s="216"/>
      <c r="FR15" s="216"/>
      <c r="FS15" s="216"/>
      <c r="FT15" s="216"/>
      <c r="FU15" s="223"/>
      <c r="FV15" s="223"/>
      <c r="FW15" s="223"/>
      <c r="FX15" s="216"/>
      <c r="FY15" s="216"/>
      <c r="FZ15" s="216"/>
      <c r="GA15" s="216"/>
      <c r="GB15" s="216"/>
      <c r="GC15" s="216"/>
      <c r="GD15" s="216"/>
      <c r="GE15" s="216"/>
      <c r="GF15" s="216"/>
      <c r="GG15" s="216"/>
      <c r="GH15" s="216"/>
      <c r="GI15" s="216"/>
      <c r="GJ15" s="232"/>
      <c r="GK15" s="217"/>
      <c r="GL15" s="224"/>
      <c r="GM15" s="217"/>
      <c r="GN15" s="224"/>
      <c r="GO15" s="224"/>
      <c r="GP15" s="224"/>
      <c r="GQ15" s="225"/>
      <c r="GR15" s="234"/>
      <c r="GS15" s="222"/>
      <c r="GT15" s="53"/>
      <c r="GU15" s="53"/>
      <c r="GV15" s="213"/>
      <c r="GW15" s="213"/>
      <c r="GX15" s="216"/>
      <c r="GY15" s="216"/>
      <c r="GZ15" s="216"/>
      <c r="HA15" s="216"/>
      <c r="HB15" s="216"/>
      <c r="HC15" s="223"/>
      <c r="HD15" s="223"/>
      <c r="HE15" s="223"/>
      <c r="HF15" s="216"/>
      <c r="HG15" s="216"/>
      <c r="HH15" s="216"/>
      <c r="HI15" s="216"/>
      <c r="HJ15" s="216"/>
      <c r="HK15" s="216"/>
      <c r="HL15" s="216"/>
      <c r="HM15" s="216"/>
      <c r="HN15" s="216"/>
      <c r="HO15" s="216"/>
      <c r="HP15" s="216"/>
      <c r="HQ15" s="216"/>
      <c r="HR15" s="232"/>
      <c r="HS15" s="217"/>
      <c r="HT15" s="224"/>
      <c r="HU15" s="217"/>
      <c r="HV15" s="224"/>
      <c r="HW15" s="224"/>
      <c r="HX15" s="224"/>
      <c r="HY15" s="225"/>
      <c r="HZ15" s="234"/>
      <c r="IA15" s="222"/>
      <c r="IB15" s="53"/>
      <c r="IC15" s="53"/>
      <c r="ID15" s="160"/>
      <c r="IE15" s="160"/>
      <c r="IF15" s="160"/>
      <c r="IG15" s="162"/>
      <c r="IH15" s="162"/>
      <c r="II15" s="162"/>
      <c r="IJ15" s="162"/>
      <c r="IK15" s="163"/>
      <c r="IL15" s="163"/>
      <c r="IM15" s="163"/>
      <c r="IN15" s="161"/>
      <c r="IO15" s="161"/>
      <c r="IP15" s="162"/>
      <c r="IQ15" s="162"/>
      <c r="IR15" s="162"/>
      <c r="IS15" s="162"/>
      <c r="IT15" s="162"/>
      <c r="IU15" s="162"/>
      <c r="IV15" s="162"/>
      <c r="IW15" s="162"/>
      <c r="IX15" s="162"/>
      <c r="IY15" s="162"/>
      <c r="IZ15" s="185"/>
      <c r="JA15" s="179"/>
      <c r="JB15" s="167"/>
      <c r="JC15" s="179"/>
      <c r="JD15" s="167"/>
      <c r="JE15" s="167"/>
      <c r="JF15" s="167"/>
      <c r="JG15" s="186"/>
      <c r="JH15" s="187"/>
      <c r="JI15" s="188"/>
      <c r="JJ15" s="53"/>
      <c r="JK15" s="53"/>
      <c r="JL15" s="213"/>
      <c r="JM15" s="213"/>
      <c r="JN15" s="216"/>
      <c r="JO15" s="216"/>
      <c r="JP15" s="216"/>
      <c r="JQ15" s="216"/>
      <c r="JR15" s="216"/>
      <c r="JS15" s="223"/>
      <c r="JT15" s="223"/>
      <c r="JU15" s="223"/>
      <c r="JV15" s="216"/>
      <c r="JW15" s="216"/>
      <c r="JX15" s="162">
        <f t="shared" si="53"/>
        <v>0</v>
      </c>
      <c r="JY15" s="216"/>
      <c r="JZ15" s="216"/>
      <c r="KA15" s="216"/>
      <c r="KB15" s="216"/>
      <c r="KC15" s="216"/>
      <c r="KD15" s="216"/>
      <c r="KE15" s="216"/>
      <c r="KF15" s="216"/>
      <c r="KG15" s="216"/>
      <c r="KH15" s="217"/>
      <c r="KI15" s="217"/>
      <c r="KJ15" s="224"/>
      <c r="KK15" s="217"/>
      <c r="KL15" s="224"/>
      <c r="KM15" s="224"/>
      <c r="KN15" s="224"/>
      <c r="KO15" s="225"/>
      <c r="KP15" s="234"/>
      <c r="KQ15" s="222"/>
      <c r="KR15" s="53"/>
      <c r="KS15" s="53"/>
      <c r="KT15" s="213"/>
      <c r="KU15" s="213"/>
      <c r="KV15" s="213"/>
      <c r="KW15" s="216"/>
      <c r="KX15" s="216"/>
      <c r="KY15" s="216"/>
      <c r="KZ15" s="216"/>
      <c r="LA15" s="223"/>
      <c r="LB15" s="223"/>
      <c r="LC15" s="223"/>
      <c r="LD15" s="216"/>
      <c r="LE15" s="216"/>
      <c r="LF15" s="216"/>
      <c r="LG15" s="216"/>
      <c r="LH15" s="216"/>
      <c r="LI15" s="216"/>
      <c r="LJ15" s="216"/>
      <c r="LK15" s="216"/>
      <c r="LL15" s="216"/>
      <c r="LM15" s="216"/>
      <c r="LN15" s="216"/>
      <c r="LO15" s="216"/>
      <c r="LP15" s="217"/>
      <c r="LQ15" s="217"/>
      <c r="LR15" s="224"/>
      <c r="LS15" s="217"/>
      <c r="LT15" s="217"/>
      <c r="LU15" s="224"/>
      <c r="LV15" s="224"/>
      <c r="LW15" s="225"/>
      <c r="LX15" s="234"/>
      <c r="LY15" s="222"/>
      <c r="LZ15" s="192"/>
      <c r="MA15" s="192"/>
      <c r="MB15" s="213"/>
      <c r="MC15" s="213"/>
      <c r="MD15" s="213"/>
      <c r="ME15" s="216"/>
      <c r="MF15" s="216"/>
      <c r="MG15" s="216"/>
      <c r="MH15" s="216"/>
      <c r="MI15" s="223"/>
      <c r="MJ15" s="223"/>
      <c r="MK15" s="223"/>
      <c r="ML15" s="216"/>
      <c r="MM15" s="216"/>
      <c r="MN15" s="216"/>
      <c r="MO15" s="216"/>
      <c r="MP15" s="216"/>
      <c r="MQ15" s="216"/>
      <c r="MR15" s="216"/>
      <c r="MS15" s="216"/>
      <c r="MT15" s="216"/>
      <c r="MU15" s="216"/>
      <c r="MV15" s="216"/>
      <c r="MW15" s="216"/>
      <c r="MX15" s="217"/>
      <c r="MY15" s="217"/>
      <c r="MZ15" s="224"/>
      <c r="NA15" s="217"/>
      <c r="NB15" s="224"/>
      <c r="NC15" s="224"/>
      <c r="ND15" s="224"/>
      <c r="NE15" s="225"/>
      <c r="NF15" s="234"/>
      <c r="NG15" s="222"/>
      <c r="NH15" s="53"/>
      <c r="NI15" s="53"/>
      <c r="NJ15" s="213"/>
      <c r="NK15" s="213"/>
      <c r="NL15" s="213"/>
      <c r="NM15" s="214"/>
      <c r="NN15" s="214"/>
      <c r="NO15" s="214"/>
      <c r="NP15" s="214"/>
      <c r="NQ15" s="215"/>
      <c r="NR15" s="215"/>
      <c r="NS15" s="215"/>
      <c r="NT15" s="214"/>
      <c r="NU15" s="214"/>
      <c r="NV15" s="214"/>
      <c r="NW15" s="214"/>
      <c r="NX15" s="214"/>
      <c r="NY15" s="214"/>
      <c r="NZ15" s="214"/>
      <c r="OA15" s="214"/>
      <c r="OB15" s="214"/>
      <c r="OC15" s="214"/>
      <c r="OD15" s="214"/>
      <c r="OE15" s="216"/>
      <c r="OF15" s="217"/>
      <c r="OG15" s="218"/>
      <c r="OH15" s="219"/>
      <c r="OI15" s="218"/>
      <c r="OJ15" s="218"/>
      <c r="OK15" s="219"/>
      <c r="OL15" s="219"/>
      <c r="OM15" s="220"/>
      <c r="ON15" s="221"/>
      <c r="OO15" s="222"/>
      <c r="OP15" s="53"/>
      <c r="OQ15" s="193"/>
      <c r="OR15" s="53"/>
      <c r="OS15" s="95"/>
      <c r="OT15" s="95"/>
      <c r="OU15" s="170"/>
      <c r="OV15" s="170"/>
      <c r="OW15" s="170"/>
      <c r="OX15" s="170"/>
      <c r="OY15" s="170"/>
      <c r="OZ15" s="170"/>
      <c r="PA15" s="170"/>
      <c r="PB15" s="170"/>
      <c r="PC15" s="170"/>
      <c r="PD15" s="170"/>
      <c r="PE15" s="194"/>
      <c r="PF15" s="194"/>
      <c r="PG15" s="170"/>
      <c r="PH15" s="172"/>
      <c r="PI15" s="173"/>
      <c r="PJ15" s="171"/>
      <c r="PK15" s="174"/>
      <c r="PL15" s="171"/>
      <c r="PM15" s="174"/>
      <c r="PN15" s="174"/>
      <c r="PO15" s="195"/>
      <c r="PP15" s="196"/>
      <c r="PQ15" s="197"/>
      <c r="PR15" s="198"/>
      <c r="PS15" s="157"/>
      <c r="PT15" s="144"/>
      <c r="PU15" s="95"/>
      <c r="PV15" s="95"/>
      <c r="PW15" s="175"/>
      <c r="PX15" s="175"/>
      <c r="PY15" s="175"/>
      <c r="PZ15" s="175"/>
      <c r="QA15" s="175"/>
      <c r="QB15" s="175"/>
      <c r="QC15" s="175"/>
      <c r="QD15" s="175"/>
      <c r="QE15" s="202"/>
      <c r="QF15" s="177"/>
      <c r="QG15" s="171"/>
      <c r="QH15" s="170"/>
      <c r="QI15" s="173"/>
      <c r="QJ15" s="171"/>
      <c r="QK15" s="174"/>
      <c r="QL15" s="171"/>
      <c r="QM15" s="174"/>
      <c r="QN15" s="174"/>
      <c r="QO15" s="195"/>
      <c r="QP15" s="196"/>
      <c r="QQ15" s="197"/>
      <c r="QR15" s="199"/>
      <c r="QS15" s="206"/>
      <c r="QT15" s="144"/>
      <c r="QU15" s="95"/>
      <c r="QV15" s="95"/>
      <c r="QW15" s="175"/>
      <c r="QX15" s="175"/>
      <c r="QY15" s="175"/>
      <c r="QZ15" s="175"/>
      <c r="RA15" s="175"/>
      <c r="RB15" s="202"/>
      <c r="RC15" s="177"/>
      <c r="RD15" s="171"/>
      <c r="RE15" s="170"/>
      <c r="RF15" s="173"/>
      <c r="RG15" s="171"/>
      <c r="RH15" s="174"/>
      <c r="RI15" s="171"/>
      <c r="RJ15" s="176"/>
      <c r="RK15" s="174"/>
      <c r="RL15" s="201"/>
      <c r="RM15" s="197"/>
      <c r="RN15" s="198"/>
      <c r="RO15" s="144"/>
      <c r="RP15" s="144"/>
      <c r="RQ15" s="95"/>
      <c r="RR15" s="95"/>
      <c r="RS15" s="175"/>
      <c r="RT15" s="175"/>
      <c r="RU15" s="175"/>
      <c r="RV15" s="175"/>
      <c r="RW15" s="175"/>
      <c r="RX15" s="202"/>
      <c r="RY15" s="177"/>
      <c r="RZ15" s="170"/>
      <c r="SA15" s="170"/>
      <c r="SB15" s="171"/>
      <c r="SC15" s="171"/>
      <c r="SD15" s="174"/>
      <c r="SE15" s="171"/>
      <c r="SF15" s="207"/>
      <c r="SG15" s="174"/>
      <c r="SH15" s="196"/>
      <c r="SI15" s="197"/>
      <c r="SJ15" s="144"/>
      <c r="SK15" s="144"/>
      <c r="SL15" s="144"/>
      <c r="SM15" s="95"/>
      <c r="SN15" s="95"/>
      <c r="SO15" s="175"/>
      <c r="SP15" s="175"/>
      <c r="SQ15" s="175"/>
      <c r="SR15" s="175"/>
      <c r="SS15" s="175"/>
      <c r="ST15" s="175"/>
      <c r="SU15" s="177"/>
      <c r="SV15" s="170"/>
      <c r="SW15" s="170"/>
      <c r="SX15" s="171"/>
      <c r="SY15" s="171"/>
      <c r="SZ15" s="174"/>
      <c r="TA15" s="171"/>
      <c r="TB15" s="207"/>
      <c r="TC15" s="174"/>
      <c r="TD15" s="196"/>
      <c r="TE15" s="197"/>
      <c r="TF15" s="156"/>
      <c r="TG15" s="84"/>
      <c r="TH15" s="95"/>
      <c r="TI15" s="95"/>
      <c r="TJ15" s="95"/>
      <c r="TK15" s="95"/>
      <c r="TL15" s="175"/>
      <c r="TM15" s="175"/>
      <c r="TN15" s="175"/>
      <c r="TO15" s="175"/>
      <c r="TP15" s="175"/>
      <c r="TQ15" s="178"/>
      <c r="TR15" s="170"/>
      <c r="TS15" s="170"/>
      <c r="TT15" s="170"/>
      <c r="TU15" s="178"/>
      <c r="TV15" s="170"/>
      <c r="TW15" s="203"/>
      <c r="TX15" s="174"/>
      <c r="TY15" s="196"/>
      <c r="TZ15" s="102"/>
      <c r="UA15" s="156"/>
      <c r="UB15" s="144"/>
      <c r="UC15" s="144"/>
      <c r="UD15" s="95"/>
      <c r="UE15" s="95"/>
      <c r="UF15" s="175"/>
      <c r="UG15" s="175"/>
      <c r="UH15" s="175"/>
      <c r="UI15" s="175"/>
      <c r="UJ15" s="175"/>
      <c r="UK15" s="175"/>
      <c r="UL15" s="175"/>
      <c r="UM15" s="170"/>
      <c r="UN15" s="170"/>
      <c r="UO15" s="170"/>
      <c r="UP15" s="170"/>
      <c r="UQ15" s="178"/>
      <c r="UR15" s="170"/>
      <c r="US15" s="203"/>
      <c r="UT15" s="174"/>
      <c r="UU15" s="196"/>
      <c r="UV15" s="102"/>
      <c r="UW15" s="144"/>
      <c r="UX15" s="144"/>
      <c r="UY15" s="144"/>
      <c r="UZ15" s="95"/>
      <c r="VA15" s="95"/>
      <c r="VB15" s="175"/>
      <c r="VC15" s="175"/>
      <c r="VD15" s="175"/>
      <c r="VE15" s="175"/>
      <c r="VF15" s="175"/>
      <c r="VG15" s="175"/>
      <c r="VH15" s="175"/>
      <c r="VI15" s="178"/>
      <c r="VJ15" s="178"/>
      <c r="VK15" s="203"/>
      <c r="VL15" s="178"/>
      <c r="VM15" s="178"/>
      <c r="VN15" s="170"/>
      <c r="VO15" s="178"/>
      <c r="VP15" s="174"/>
      <c r="VQ15" s="196"/>
      <c r="VR15" s="102"/>
      <c r="VS15" s="84"/>
      <c r="VT15" s="53"/>
      <c r="VU15" s="53"/>
    </row>
    <row r="16" ht="18" customHeight="1" spans="1:593">
      <c r="A16" s="53"/>
      <c r="B16" s="53"/>
      <c r="C16" s="235" t="s">
        <v>153</v>
      </c>
      <c r="D16" s="236">
        <f t="shared" ref="D16:F16" si="193">SUM(D4:D13)</f>
        <v>11</v>
      </c>
      <c r="E16" s="236">
        <f t="shared" si="193"/>
        <v>9</v>
      </c>
      <c r="F16" s="236">
        <f t="shared" si="193"/>
        <v>155</v>
      </c>
      <c r="G16" s="236">
        <f>(I16/F16)/S1</f>
        <v>3.7394540942928</v>
      </c>
      <c r="H16" s="236">
        <f t="shared" ref="H16:Y16" si="194">SUM(H4:H14)</f>
        <v>28468</v>
      </c>
      <c r="I16" s="236">
        <f t="shared" si="194"/>
        <v>15070</v>
      </c>
      <c r="J16" s="236">
        <f t="shared" si="194"/>
        <v>2496829</v>
      </c>
      <c r="K16" s="236">
        <f t="shared" si="194"/>
        <v>3446491</v>
      </c>
      <c r="L16" s="236">
        <f t="shared" si="194"/>
        <v>2351061.08</v>
      </c>
      <c r="M16" s="236">
        <f t="shared" si="194"/>
        <v>7939679</v>
      </c>
      <c r="N16" s="236">
        <f t="shared" si="194"/>
        <v>7241578.89</v>
      </c>
      <c r="O16" s="236">
        <f t="shared" si="194"/>
        <v>698100.11</v>
      </c>
      <c r="P16" s="236">
        <f t="shared" si="194"/>
        <v>12564</v>
      </c>
      <c r="Q16" s="236">
        <f t="shared" si="194"/>
        <v>2852665</v>
      </c>
      <c r="R16" s="236">
        <f t="shared" si="194"/>
        <v>2003691.68</v>
      </c>
      <c r="S16" s="236">
        <f t="shared" si="194"/>
        <v>75123</v>
      </c>
      <c r="T16" s="236">
        <f t="shared" si="194"/>
        <v>60053</v>
      </c>
      <c r="U16" s="236">
        <f t="shared" si="194"/>
        <v>43562769.4</v>
      </c>
      <c r="V16" s="236">
        <f t="shared" si="194"/>
        <v>37325498.07</v>
      </c>
      <c r="W16" s="236">
        <f t="shared" si="194"/>
        <v>6237271.33</v>
      </c>
      <c r="X16" s="236">
        <f t="shared" si="194"/>
        <v>2430944</v>
      </c>
      <c r="Y16" s="236">
        <f t="shared" si="194"/>
        <v>5601834.5</v>
      </c>
      <c r="Z16" s="237">
        <f>U16*3.5%</f>
        <v>1524696.929</v>
      </c>
      <c r="AA16" s="238">
        <f>IF(Y16&gt;0,Y16*20%,0)</f>
        <v>1120366.9</v>
      </c>
      <c r="AB16" s="236">
        <f>SUM(AB4:AB14)</f>
        <v>998400</v>
      </c>
      <c r="AC16" s="236">
        <f>SUM(AC4:AC14)</f>
        <v>405522</v>
      </c>
      <c r="AD16" s="237">
        <f>W16-X16-Z16-AA16-AB16-AC16</f>
        <v>-242658.498999998</v>
      </c>
      <c r="AE16" s="238">
        <f>K16/I16</f>
        <v>228.698805573988</v>
      </c>
      <c r="AF16" s="237">
        <f>U16/S16</f>
        <v>579.885912436937</v>
      </c>
      <c r="AG16" s="239">
        <f>K16/(Z16+AA16+X16+AB16+AC16)</f>
        <v>0.531871654624364</v>
      </c>
      <c r="AH16" s="240">
        <f>W16/(Z16+AA16+X16+AB16+AC16)</f>
        <v>0.962552295255727</v>
      </c>
      <c r="AI16" s="53"/>
      <c r="AJ16" s="235" t="s">
        <v>153</v>
      </c>
      <c r="AK16" s="236">
        <f>SUM(AK4:AK13)</f>
        <v>8</v>
      </c>
      <c r="AL16" s="236">
        <f>SUM(AL4:AL13)</f>
        <v>10</v>
      </c>
      <c r="AM16" s="236">
        <f t="shared" ref="AM16:BF16" si="195">SUM(AM4:AM14)</f>
        <v>196</v>
      </c>
      <c r="AN16" s="236">
        <f>(AP16/AM16)/AZ1</f>
        <v>2.75510204081633</v>
      </c>
      <c r="AO16" s="236">
        <f t="shared" si="195"/>
        <v>31862</v>
      </c>
      <c r="AP16" s="236">
        <f t="shared" si="195"/>
        <v>16200</v>
      </c>
      <c r="AQ16" s="236">
        <f t="shared" si="195"/>
        <v>2609832</v>
      </c>
      <c r="AR16" s="236">
        <f t="shared" si="195"/>
        <v>4179788</v>
      </c>
      <c r="AS16" s="236">
        <f t="shared" si="195"/>
        <v>2349771.98</v>
      </c>
      <c r="AT16" s="236">
        <f t="shared" si="195"/>
        <v>9488069.46</v>
      </c>
      <c r="AU16" s="236">
        <f t="shared" si="195"/>
        <v>7651603.34</v>
      </c>
      <c r="AV16" s="236">
        <f t="shared" si="195"/>
        <v>1836466.12</v>
      </c>
      <c r="AW16" s="236">
        <f t="shared" si="195"/>
        <v>3743220</v>
      </c>
      <c r="AX16" s="236">
        <f t="shared" si="195"/>
        <v>3743220</v>
      </c>
      <c r="AY16" s="236">
        <f t="shared" si="195"/>
        <v>2020867.02</v>
      </c>
      <c r="AZ16" s="236">
        <f t="shared" si="195"/>
        <v>82787</v>
      </c>
      <c r="BA16" s="236">
        <f t="shared" si="195"/>
        <v>66587</v>
      </c>
      <c r="BB16" s="236">
        <f t="shared" si="195"/>
        <v>48874327.46</v>
      </c>
      <c r="BC16" s="236">
        <f t="shared" si="195"/>
        <v>40472560.58</v>
      </c>
      <c r="BD16" s="236">
        <f t="shared" si="195"/>
        <v>8401766.88</v>
      </c>
      <c r="BE16" s="236">
        <f t="shared" si="195"/>
        <v>2368058</v>
      </c>
      <c r="BF16" s="236">
        <f t="shared" si="195"/>
        <v>8061950.44</v>
      </c>
      <c r="BG16" s="237">
        <f>BB16*3.5%</f>
        <v>1710601.4611</v>
      </c>
      <c r="BH16" s="238">
        <f>IF(BF16&gt;0,BF16*20%,0)</f>
        <v>1612390.088</v>
      </c>
      <c r="BI16" s="236">
        <f>SUM(BI4:BI14)</f>
        <v>864000</v>
      </c>
      <c r="BJ16" s="236">
        <f>SUM(BJ4:BJ14)</f>
        <v>519900</v>
      </c>
      <c r="BK16" s="237">
        <f>BD16-BE16-BG16-BH16-BI16-BJ16</f>
        <v>1326817.3309</v>
      </c>
      <c r="BL16" s="238">
        <f>AR16/AP16</f>
        <v>258.011604938272</v>
      </c>
      <c r="BM16" s="237">
        <f>BB16/AZ16</f>
        <v>590.362345054175</v>
      </c>
      <c r="BN16" s="239">
        <f>AR16/(BG16+BH16+BE16+BI16)</f>
        <v>0.637643997759541</v>
      </c>
      <c r="BO16" s="240">
        <f>BD16/(BG16+BH16+BE16+BI16+BJ16)</f>
        <v>1.18753735580613</v>
      </c>
      <c r="BP16" s="53"/>
      <c r="BQ16" s="235" t="s">
        <v>153</v>
      </c>
      <c r="BR16" s="236">
        <f t="shared" ref="BR16:BT16" si="196">SUM(BR4:BR13)</f>
        <v>9</v>
      </c>
      <c r="BS16" s="236">
        <f t="shared" si="196"/>
        <v>13</v>
      </c>
      <c r="BT16" s="236">
        <f t="shared" si="196"/>
        <v>332</v>
      </c>
      <c r="BU16" s="236">
        <f>(BW16/BT16)/CI1</f>
        <v>1.37922658375437</v>
      </c>
      <c r="BV16" s="236">
        <f t="shared" ref="BV16:CB16" si="197">SUM(BV4:BV13)</f>
        <v>28602</v>
      </c>
      <c r="BW16" s="236">
        <f t="shared" si="197"/>
        <v>14195</v>
      </c>
      <c r="BX16" s="236">
        <f t="shared" si="197"/>
        <v>2194904.4</v>
      </c>
      <c r="BY16" s="236">
        <f t="shared" si="197"/>
        <v>3783165.7</v>
      </c>
      <c r="BZ16" s="236">
        <f t="shared" si="197"/>
        <v>2045647.72</v>
      </c>
      <c r="CA16" s="236">
        <f t="shared" si="197"/>
        <v>8647785.1</v>
      </c>
      <c r="CB16" s="236">
        <f t="shared" si="197"/>
        <v>7521787.59</v>
      </c>
      <c r="CC16" s="236">
        <f>CA16-CB16</f>
        <v>1125997.51</v>
      </c>
      <c r="CD16" s="236">
        <f t="shared" ref="CD16:CM16" si="198">SUM(CD4:CD13)</f>
        <v>12299</v>
      </c>
      <c r="CE16" s="236">
        <f t="shared" si="198"/>
        <v>2667207.7</v>
      </c>
      <c r="CF16" s="236">
        <f t="shared" si="198"/>
        <v>1741392.16</v>
      </c>
      <c r="CG16" s="236">
        <f t="shared" si="198"/>
        <v>97484</v>
      </c>
      <c r="CH16" s="236">
        <f t="shared" si="198"/>
        <v>84275</v>
      </c>
      <c r="CI16" s="236">
        <f t="shared" si="198"/>
        <v>64157971.91</v>
      </c>
      <c r="CJ16" s="236">
        <f t="shared" si="198"/>
        <v>52520716</v>
      </c>
      <c r="CK16" s="236">
        <f t="shared" si="198"/>
        <v>11368355.31</v>
      </c>
      <c r="CL16" s="236">
        <f t="shared" si="198"/>
        <v>1939180</v>
      </c>
      <c r="CM16" s="236">
        <f t="shared" si="198"/>
        <v>9874981.85</v>
      </c>
      <c r="CN16" s="237">
        <f>CI16*3.5%</f>
        <v>2245529.01685</v>
      </c>
      <c r="CO16" s="238">
        <f>IF(CM16&gt;0,CM16*20%,0)</f>
        <v>1974996.37</v>
      </c>
      <c r="CP16" s="236">
        <f>SUM(CP4:CP13)</f>
        <v>892800</v>
      </c>
      <c r="CQ16" s="236">
        <f>SUM(CQ4:CQ13)</f>
        <v>698399</v>
      </c>
      <c r="CR16" s="237">
        <f>CK16-CL16-CN16-CO16-CP16-CQ16</f>
        <v>3617450.92315</v>
      </c>
      <c r="CS16" s="238">
        <f>BY16/BW16</f>
        <v>266.513962662909</v>
      </c>
      <c r="CT16" s="237">
        <f>CI16/CG16</f>
        <v>658.138483340856</v>
      </c>
      <c r="CU16" s="239">
        <f>BY16/(CN16+CO16+CL16+CP16)</f>
        <v>0.536428615432756</v>
      </c>
      <c r="CV16" s="240">
        <f t="shared" ref="CV16:CV23" si="199">CK16/(CN16+CO16+CL16+CP16+CQ16)</f>
        <v>1.46671339789551</v>
      </c>
      <c r="CW16" s="53"/>
      <c r="CX16" s="235" t="s">
        <v>153</v>
      </c>
      <c r="CY16" s="236">
        <f t="shared" ref="CY16:DA16" si="200">SUM(CY4:CY13)</f>
        <v>10</v>
      </c>
      <c r="CZ16" s="236">
        <f t="shared" si="200"/>
        <v>11</v>
      </c>
      <c r="DA16" s="236">
        <f t="shared" si="200"/>
        <v>309</v>
      </c>
      <c r="DB16" s="236">
        <f>(DD16/DA16)/DP1</f>
        <v>1.64778856526429</v>
      </c>
      <c r="DC16" s="236">
        <f t="shared" ref="DC16:DI16" si="201">SUM(DC4:DC13)</f>
        <v>28850</v>
      </c>
      <c r="DD16" s="236">
        <f t="shared" si="201"/>
        <v>15275</v>
      </c>
      <c r="DE16" s="236">
        <f t="shared" si="201"/>
        <v>2276296</v>
      </c>
      <c r="DF16" s="236">
        <f t="shared" si="201"/>
        <v>3650994</v>
      </c>
      <c r="DG16" s="236">
        <f t="shared" si="201"/>
        <v>2070114.05</v>
      </c>
      <c r="DH16" s="236">
        <f t="shared" si="201"/>
        <v>8663242.33</v>
      </c>
      <c r="DI16" s="236">
        <f t="shared" si="201"/>
        <v>7693770.17</v>
      </c>
      <c r="DJ16" s="236">
        <f>DH16-DI16</f>
        <v>969472.16</v>
      </c>
      <c r="DK16" s="236">
        <f t="shared" ref="DK16:DT16" si="202">SUM(DK4:DK13)</f>
        <v>13257</v>
      </c>
      <c r="DL16" s="236">
        <f t="shared" si="202"/>
        <v>2633217</v>
      </c>
      <c r="DM16" s="236">
        <f t="shared" si="202"/>
        <v>1711116.85</v>
      </c>
      <c r="DN16" s="236">
        <f t="shared" si="202"/>
        <v>109171</v>
      </c>
      <c r="DO16" s="236">
        <f t="shared" si="202"/>
        <v>93485</v>
      </c>
      <c r="DP16" s="236">
        <f t="shared" si="202"/>
        <v>63938220.27</v>
      </c>
      <c r="DQ16" s="236">
        <f t="shared" si="202"/>
        <v>56488886</v>
      </c>
      <c r="DR16" s="236">
        <f t="shared" si="202"/>
        <v>7449334.27</v>
      </c>
      <c r="DS16" s="236">
        <f t="shared" si="202"/>
        <v>2367130</v>
      </c>
      <c r="DT16" s="236">
        <f t="shared" si="202"/>
        <v>6141914.33</v>
      </c>
      <c r="DU16" s="237">
        <f>DP16*3.5%</f>
        <v>2237837.70945</v>
      </c>
      <c r="DV16" s="238">
        <f>IF(DT16&gt;0,DT16*20%,0)</f>
        <v>1228382.866</v>
      </c>
      <c r="DW16" s="236">
        <f>SUM(DW4:DW13)</f>
        <v>960000</v>
      </c>
      <c r="DX16" s="236">
        <f>SUM(DX4:DX13)</f>
        <v>571890</v>
      </c>
      <c r="DY16" s="237">
        <f>DR16-DS16-DU16-DV16-DW16-DX16</f>
        <v>84093.6945499999</v>
      </c>
      <c r="DZ16" s="238">
        <f>DF16/DD16</f>
        <v>239.017610474632</v>
      </c>
      <c r="EA16" s="237">
        <f>DP16/DN16</f>
        <v>585.670372809629</v>
      </c>
      <c r="EB16" s="239">
        <f>DF16/(DU16+DV16+DS16+DW16)</f>
        <v>0.537436418075355</v>
      </c>
      <c r="EC16" s="240">
        <f t="shared" ref="EC16:EC23" si="203">DR16/(DU16+DV16+DS16+DW16+DX16)</f>
        <v>1.01141764395725</v>
      </c>
      <c r="ED16" s="53"/>
      <c r="EE16" s="235" t="s">
        <v>153</v>
      </c>
      <c r="EF16" s="236">
        <f>SUM(EF4:EF13)</f>
        <v>12</v>
      </c>
      <c r="EG16" s="236">
        <f>SUM(EG4:EG13)</f>
        <v>11</v>
      </c>
      <c r="EH16" s="236">
        <f>SUM(EH4:EH13)</f>
        <v>417</v>
      </c>
      <c r="EI16" s="236">
        <f>(EK16/EH16)/EW1</f>
        <v>1.81983445501663</v>
      </c>
      <c r="EJ16" s="236">
        <f t="shared" ref="EJ16:EP16" si="204">SUM(EJ4:EJ13)</f>
        <v>44903</v>
      </c>
      <c r="EK16" s="236">
        <f t="shared" si="204"/>
        <v>23525</v>
      </c>
      <c r="EL16" s="236">
        <f t="shared" si="204"/>
        <v>3654209.51</v>
      </c>
      <c r="EM16" s="236">
        <f t="shared" si="204"/>
        <v>5594475.51</v>
      </c>
      <c r="EN16" s="236">
        <f t="shared" si="204"/>
        <v>3153773.54</v>
      </c>
      <c r="EO16" s="236">
        <f t="shared" si="204"/>
        <v>13140115.85</v>
      </c>
      <c r="EP16" s="236">
        <f t="shared" si="204"/>
        <v>11736890.47</v>
      </c>
      <c r="EQ16" s="236">
        <f>EO16-EP16</f>
        <v>1403225.38</v>
      </c>
      <c r="ER16" s="236">
        <f t="shared" ref="ER16:FA16" si="205">SUM(ER4:ER13)</f>
        <v>20042</v>
      </c>
      <c r="ES16" s="236">
        <f t="shared" si="205"/>
        <v>4326534.41</v>
      </c>
      <c r="ET16" s="236">
        <f t="shared" si="205"/>
        <v>2619784.44</v>
      </c>
      <c r="EU16" s="236">
        <f t="shared" si="205"/>
        <v>139415</v>
      </c>
      <c r="EV16" s="236">
        <f t="shared" si="205"/>
        <v>115510</v>
      </c>
      <c r="EW16" s="236">
        <f t="shared" si="205"/>
        <v>75688300.43</v>
      </c>
      <c r="EX16" s="236">
        <f t="shared" si="205"/>
        <v>65206205</v>
      </c>
      <c r="EY16" s="236">
        <f t="shared" si="205"/>
        <v>10482095.43</v>
      </c>
      <c r="EZ16" s="236">
        <f t="shared" si="205"/>
        <v>3191940</v>
      </c>
      <c r="FA16" s="236">
        <f t="shared" si="205"/>
        <v>9176987.96</v>
      </c>
      <c r="FB16" s="237">
        <f>EW16*3.5%</f>
        <v>2649090.51505</v>
      </c>
      <c r="FC16" s="238">
        <f>IF(FA16&gt;0,FA16*20%,0)</f>
        <v>1835397.592</v>
      </c>
      <c r="FD16" s="236">
        <f>SUM(FD4:FD13)</f>
        <v>1190400</v>
      </c>
      <c r="FE16" s="236">
        <f>SUM(FE4:FE13)</f>
        <v>590953</v>
      </c>
      <c r="FF16" s="237">
        <f>EY16-EZ16-FB16-FC16-FD16-FE16</f>
        <v>1024314.32295</v>
      </c>
      <c r="FG16" s="238">
        <f>EM16/EK16</f>
        <v>237.809798512221</v>
      </c>
      <c r="FH16" s="237">
        <f>EW16/EU16</f>
        <v>542.899260696482</v>
      </c>
      <c r="FI16" s="239">
        <f>EM16/(FB16+FC16+EZ16+FD16)</f>
        <v>0.630944396627227</v>
      </c>
      <c r="FJ16" s="240">
        <f>EY16/(FB16+FC16+EZ16+FD16+FE16)</f>
        <v>1.1083038729017</v>
      </c>
      <c r="FK16" s="53"/>
      <c r="FL16" s="53"/>
      <c r="FM16" s="53"/>
      <c r="FN16" s="235" t="s">
        <v>153</v>
      </c>
      <c r="FO16" s="236">
        <f>SUM(FO4:FO13)</f>
        <v>12</v>
      </c>
      <c r="FP16" s="236">
        <f>SUM(FP4:FP13)</f>
        <v>14</v>
      </c>
      <c r="FQ16" s="236">
        <f>SUM(FQ4:FQ13)</f>
        <v>550</v>
      </c>
      <c r="FR16" s="236">
        <f>(FT16/FQ16)/$GF$1</f>
        <v>1.62987012987013</v>
      </c>
      <c r="FS16" s="236">
        <f t="shared" ref="FS16:FY16" si="206">SUM(FS4:FS13)</f>
        <v>51985</v>
      </c>
      <c r="FT16" s="236">
        <f t="shared" si="206"/>
        <v>25100</v>
      </c>
      <c r="FU16" s="236">
        <f t="shared" si="206"/>
        <v>3923093.21</v>
      </c>
      <c r="FV16" s="236">
        <f t="shared" si="206"/>
        <v>6290027.21</v>
      </c>
      <c r="FW16" s="236">
        <f t="shared" si="206"/>
        <v>3846324.2</v>
      </c>
      <c r="FX16" s="236">
        <f t="shared" si="206"/>
        <v>18475421.66</v>
      </c>
      <c r="FY16" s="236">
        <f t="shared" si="206"/>
        <v>17651447.2</v>
      </c>
      <c r="FZ16" s="236">
        <f>FX16-FY16</f>
        <v>823974.460000001</v>
      </c>
      <c r="GA16" s="236">
        <f t="shared" ref="GA16:GJ16" si="207">SUM(GA4:GA13)</f>
        <v>21130</v>
      </c>
      <c r="GB16" s="236">
        <f t="shared" si="207"/>
        <v>4880368.21</v>
      </c>
      <c r="GC16" s="236">
        <f t="shared" si="207"/>
        <v>3181011.2</v>
      </c>
      <c r="GD16" s="236">
        <f t="shared" si="207"/>
        <v>144394</v>
      </c>
      <c r="GE16" s="236">
        <f t="shared" si="207"/>
        <v>119294</v>
      </c>
      <c r="GF16" s="236">
        <f t="shared" si="207"/>
        <v>75361986.79</v>
      </c>
      <c r="GG16" s="236">
        <f t="shared" si="207"/>
        <v>69002517.25</v>
      </c>
      <c r="GH16" s="236">
        <f t="shared" si="207"/>
        <v>6359469.54</v>
      </c>
      <c r="GI16" s="236">
        <f t="shared" si="207"/>
        <v>3119930</v>
      </c>
      <c r="GJ16" s="236">
        <f t="shared" si="207"/>
        <v>5083802.5</v>
      </c>
      <c r="GK16" s="237">
        <f>GF16*3.5%</f>
        <v>2637669.53765</v>
      </c>
      <c r="GL16" s="238">
        <f>GJ16*20%</f>
        <v>1016760.5</v>
      </c>
      <c r="GM16" s="236">
        <f>SUM(GM4:GM13)</f>
        <v>1075200</v>
      </c>
      <c r="GN16" s="236">
        <f>SUM(GN4:GN13)</f>
        <v>679336</v>
      </c>
      <c r="GO16" s="237">
        <f>GH16-GI16-GK16-GL16-GM16-GN16</f>
        <v>-2169426.49765</v>
      </c>
      <c r="GP16" s="238">
        <f>FV16/FT16</f>
        <v>250.598693625498</v>
      </c>
      <c r="GQ16" s="237">
        <f>GF16/GD16</f>
        <v>521.919101832486</v>
      </c>
      <c r="GR16" s="239">
        <f>FV16/(GK16+GL16+GI16+GM16)</f>
        <v>0.801322262627487</v>
      </c>
      <c r="GS16" s="240">
        <f t="shared" ref="GS16:GS23" si="208">GH16/(GK16+GL16+GI16+GM16+GN16)</f>
        <v>0.745638065222829</v>
      </c>
      <c r="GT16" s="53"/>
      <c r="GU16" s="53"/>
      <c r="GV16" s="235" t="s">
        <v>153</v>
      </c>
      <c r="GW16" s="236">
        <f t="shared" ref="GW16:GY16" si="209">SUM(GW4:GW13)</f>
        <v>13</v>
      </c>
      <c r="GX16" s="236">
        <f t="shared" si="209"/>
        <v>13</v>
      </c>
      <c r="GY16" s="236">
        <f t="shared" si="209"/>
        <v>417</v>
      </c>
      <c r="GZ16" s="236">
        <f>(HB16/GY16)/HL1</f>
        <v>1.72360176375029</v>
      </c>
      <c r="HA16" s="236">
        <f t="shared" ref="HA16:HG16" si="210">SUM(HA4:HA13)</f>
        <v>48563</v>
      </c>
      <c r="HB16" s="236">
        <f t="shared" si="210"/>
        <v>22281</v>
      </c>
      <c r="HC16" s="236">
        <f t="shared" si="210"/>
        <v>3494216.1082</v>
      </c>
      <c r="HD16" s="236">
        <f t="shared" si="210"/>
        <v>5017472.89</v>
      </c>
      <c r="HE16" s="236">
        <f t="shared" si="210"/>
        <v>3430372</v>
      </c>
      <c r="HF16" s="236">
        <f t="shared" si="210"/>
        <v>14389131.85</v>
      </c>
      <c r="HG16" s="236">
        <f t="shared" si="210"/>
        <v>13093924</v>
      </c>
      <c r="HH16" s="236">
        <f>HF16-HG16</f>
        <v>1295207.85</v>
      </c>
      <c r="HI16" s="236">
        <f t="shared" ref="HI16:HR16" si="211">SUM(HI4:HI13)</f>
        <v>18396</v>
      </c>
      <c r="HJ16" s="236">
        <f t="shared" si="211"/>
        <v>4164740</v>
      </c>
      <c r="HK16" s="236">
        <f t="shared" si="211"/>
        <v>2761254</v>
      </c>
      <c r="HL16" s="236">
        <f t="shared" si="211"/>
        <v>158038</v>
      </c>
      <c r="HM16" s="236">
        <f t="shared" si="211"/>
        <v>135757</v>
      </c>
      <c r="HN16" s="236">
        <f t="shared" si="211"/>
        <v>78901314.36</v>
      </c>
      <c r="HO16" s="236">
        <f t="shared" si="211"/>
        <v>72114921</v>
      </c>
      <c r="HP16" s="236">
        <f t="shared" si="211"/>
        <v>6786393.36</v>
      </c>
      <c r="HQ16" s="236">
        <f t="shared" si="211"/>
        <v>3110090</v>
      </c>
      <c r="HR16" s="236">
        <f t="shared" si="211"/>
        <v>5414129.09</v>
      </c>
      <c r="HS16" s="237">
        <f>HN16*3.5%</f>
        <v>2761546.0026</v>
      </c>
      <c r="HT16" s="238">
        <f>HR16*20%</f>
        <v>1082825.818</v>
      </c>
      <c r="HU16" s="236">
        <f>SUM(HU4:HU13)</f>
        <v>1289600</v>
      </c>
      <c r="HV16" s="236">
        <f>SUM(HV4:HV13)</f>
        <v>698399</v>
      </c>
      <c r="HW16" s="237">
        <f>HP16-HQ16-HS16-HT16-HU16-HV16</f>
        <v>-2156067.4606</v>
      </c>
      <c r="HX16" s="238">
        <f>HD16/HB16</f>
        <v>225.19065077869</v>
      </c>
      <c r="HY16" s="237">
        <f>HN16/HL16</f>
        <v>499.255333274276</v>
      </c>
      <c r="HZ16" s="239">
        <f>HD16/(HS16+HT16+HQ16+HU16)</f>
        <v>0.608616601765709</v>
      </c>
      <c r="IA16" s="240">
        <f t="shared" ref="IA16:IA23" si="212">HP16/(HS16+HT16+HQ16+HU16+HV16)</f>
        <v>0.758895509429211</v>
      </c>
      <c r="IB16" s="190">
        <f>(IJ16/IG16)/30</f>
        <v>2.62094763092269</v>
      </c>
      <c r="IC16" s="53"/>
      <c r="ID16" s="235" t="s">
        <v>153</v>
      </c>
      <c r="IE16" s="236">
        <f>SUM(IE4:IE13)</f>
        <v>26</v>
      </c>
      <c r="IF16" s="236">
        <f>SUM(IF4:IF13)</f>
        <v>0</v>
      </c>
      <c r="IG16" s="236">
        <f>SUM(IG4:IG13)</f>
        <v>401</v>
      </c>
      <c r="IH16" s="236">
        <f>(IJ16/IG16)/IT1</f>
        <v>2.53640093315099</v>
      </c>
      <c r="II16" s="236">
        <f t="shared" ref="II16:IO16" si="213">SUM(II4:II13)</f>
        <v>72851</v>
      </c>
      <c r="IJ16" s="236">
        <f t="shared" si="213"/>
        <v>31530</v>
      </c>
      <c r="IK16" s="236">
        <f t="shared" si="213"/>
        <v>4894721.85</v>
      </c>
      <c r="IL16" s="236">
        <f t="shared" si="213"/>
        <v>7169762.84</v>
      </c>
      <c r="IM16" s="236">
        <f t="shared" si="213"/>
        <v>4592105.56</v>
      </c>
      <c r="IN16" s="236">
        <f t="shared" si="213"/>
        <v>21408808.54</v>
      </c>
      <c r="IO16" s="236">
        <f t="shared" si="213"/>
        <v>19127528.56</v>
      </c>
      <c r="IP16" s="236">
        <f>IN16-IO16</f>
        <v>2281279.98</v>
      </c>
      <c r="IQ16" s="236">
        <f t="shared" ref="IQ16:IZ16" si="214">SUM(IQ4:IQ13)</f>
        <v>26126</v>
      </c>
      <c r="IR16" s="236">
        <f t="shared" si="214"/>
        <v>5987356.78</v>
      </c>
      <c r="IS16" s="236">
        <f t="shared" si="214"/>
        <v>3722045</v>
      </c>
      <c r="IT16" s="236">
        <f t="shared" si="214"/>
        <v>195779</v>
      </c>
      <c r="IU16" s="236">
        <f t="shared" si="214"/>
        <v>164249</v>
      </c>
      <c r="IV16" s="236">
        <f t="shared" si="214"/>
        <v>94022373.55</v>
      </c>
      <c r="IW16" s="236">
        <f t="shared" si="214"/>
        <v>80567959</v>
      </c>
      <c r="IX16" s="236">
        <f t="shared" si="214"/>
        <v>13454414.55</v>
      </c>
      <c r="IY16" s="236">
        <f t="shared" si="214"/>
        <v>3481530</v>
      </c>
      <c r="IZ16" s="236">
        <f t="shared" si="214"/>
        <v>11307553.44</v>
      </c>
      <c r="JA16" s="237">
        <f>IV16*3.5%</f>
        <v>3290783.07425</v>
      </c>
      <c r="JB16" s="238">
        <f>IZ16*20%</f>
        <v>2261510.688</v>
      </c>
      <c r="JC16" s="236">
        <f>SUM(JC4:JC13)</f>
        <v>1497312</v>
      </c>
      <c r="JD16" s="236">
        <f>SUM(JD4:JD13)</f>
        <v>0</v>
      </c>
      <c r="JE16" s="237">
        <f>IX16-IY16-JA16-JB16-JC16</f>
        <v>2923278.78775</v>
      </c>
      <c r="JF16" s="238">
        <f>IL16/IJ16</f>
        <v>227.394952109102</v>
      </c>
      <c r="JG16" s="237">
        <f>IV16/IT16</f>
        <v>480.24749104858</v>
      </c>
      <c r="JH16" s="239">
        <f>IL16/(JA16+JB16+IY16+JC16)</f>
        <v>0.680815726039806</v>
      </c>
      <c r="JI16" s="240">
        <f>IX16/(JA16+JB16+IY16+JC16)</f>
        <v>1.2775843796667</v>
      </c>
      <c r="JJ16" s="53"/>
      <c r="JK16" s="53"/>
      <c r="JL16" s="235" t="s">
        <v>153</v>
      </c>
      <c r="JM16" s="236">
        <f t="shared" ref="JM16:JO16" si="215">SUM(JM4:JM13)</f>
        <v>31</v>
      </c>
      <c r="JN16" s="236">
        <v>0</v>
      </c>
      <c r="JO16" s="236">
        <f t="shared" si="215"/>
        <v>453</v>
      </c>
      <c r="JP16" s="236">
        <f>(JR16/JO16)/KB1</f>
        <v>1.84186902133922</v>
      </c>
      <c r="JQ16" s="236">
        <f t="shared" ref="JQ16:JW16" si="216">SUM(JQ4:JQ13)</f>
        <v>60717</v>
      </c>
      <c r="JR16" s="236">
        <f t="shared" si="216"/>
        <v>25031</v>
      </c>
      <c r="JS16" s="236">
        <f t="shared" si="216"/>
        <v>3843437</v>
      </c>
      <c r="JT16" s="236">
        <f t="shared" si="216"/>
        <v>5553326</v>
      </c>
      <c r="JU16" s="236">
        <f t="shared" si="216"/>
        <v>3570139</v>
      </c>
      <c r="JV16" s="236">
        <f t="shared" si="216"/>
        <v>12894309.76</v>
      </c>
      <c r="JW16" s="236">
        <f t="shared" si="216"/>
        <v>10358110</v>
      </c>
      <c r="JX16" s="236">
        <f t="shared" si="53"/>
        <v>2536199.76</v>
      </c>
      <c r="JY16" s="236">
        <f t="shared" ref="JY16:KH16" si="217">SUM(JY4:JY13)</f>
        <v>1127343</v>
      </c>
      <c r="JZ16" s="236">
        <f t="shared" si="217"/>
        <v>4613195</v>
      </c>
      <c r="KA16" s="236">
        <f t="shared" si="217"/>
        <v>2736435</v>
      </c>
      <c r="KB16" s="236">
        <f t="shared" si="217"/>
        <v>162176</v>
      </c>
      <c r="KC16" s="236">
        <f t="shared" si="217"/>
        <v>137145</v>
      </c>
      <c r="KD16" s="236">
        <f t="shared" si="217"/>
        <v>85829092.32</v>
      </c>
      <c r="KE16" s="236">
        <f t="shared" si="217"/>
        <v>72384619</v>
      </c>
      <c r="KF16" s="236">
        <f t="shared" si="217"/>
        <v>13444473.32</v>
      </c>
      <c r="KG16" s="236">
        <f t="shared" si="217"/>
        <v>3098470</v>
      </c>
      <c r="KH16" s="236">
        <f t="shared" si="217"/>
        <v>12112133.12</v>
      </c>
      <c r="KI16" s="237">
        <f>KD16*3.5%</f>
        <v>3004018.2312</v>
      </c>
      <c r="KJ16" s="238">
        <f>KH16*10%</f>
        <v>1211213.312</v>
      </c>
      <c r="KK16" s="236">
        <f>SUM(KK4:KK13)</f>
        <v>1597826</v>
      </c>
      <c r="KL16" s="236">
        <f>SUM(KL4:KL13)</f>
        <v>0</v>
      </c>
      <c r="KM16" s="237">
        <f>KF16-KG16-KI16-KJ16-KK16</f>
        <v>4532945.7768</v>
      </c>
      <c r="KN16" s="238">
        <f>JT16/JR16</f>
        <v>221.857936159163</v>
      </c>
      <c r="KO16" s="237">
        <f>KD16/KB16</f>
        <v>529.234241318074</v>
      </c>
      <c r="KP16" s="239">
        <f>JT16/(KI16+KJ16+KG16+KK16)</f>
        <v>0.623162075534121</v>
      </c>
      <c r="KQ16" s="240">
        <f>KF16/(KI16+KJ16+KG16+KK16)</f>
        <v>1.5086609175392</v>
      </c>
      <c r="KR16" s="53"/>
      <c r="KS16" s="53"/>
      <c r="KT16" s="235" t="s">
        <v>153</v>
      </c>
      <c r="KU16" s="236">
        <v>31</v>
      </c>
      <c r="KV16" s="236">
        <v>0</v>
      </c>
      <c r="KW16" s="236">
        <v>952</v>
      </c>
      <c r="KX16" s="236">
        <f>(KZ16/KW16)/LJ1</f>
        <v>1.49688262401735</v>
      </c>
      <c r="KY16" s="236">
        <v>102868</v>
      </c>
      <c r="KZ16" s="236">
        <v>44176</v>
      </c>
      <c r="LA16" s="236">
        <v>6768998</v>
      </c>
      <c r="LB16" s="236">
        <v>10069307</v>
      </c>
      <c r="LC16" s="236">
        <v>6846573.48</v>
      </c>
      <c r="LD16" s="236">
        <v>30778401.39</v>
      </c>
      <c r="LE16" s="236">
        <v>26019469.48</v>
      </c>
      <c r="LF16" s="236">
        <f>LD16-LE16</f>
        <v>4758931.91</v>
      </c>
      <c r="LG16" s="236">
        <v>35989</v>
      </c>
      <c r="LH16" s="236">
        <v>8237886</v>
      </c>
      <c r="LI16" s="236">
        <v>5707732.48</v>
      </c>
      <c r="LJ16" s="236">
        <v>246617</v>
      </c>
      <c r="LK16" s="236">
        <v>202441</v>
      </c>
      <c r="LL16" s="236">
        <v>110310584.17</v>
      </c>
      <c r="LM16" s="236">
        <v>95191420</v>
      </c>
      <c r="LN16" s="236">
        <v>15119164.17</v>
      </c>
      <c r="LO16" s="236">
        <v>4180250</v>
      </c>
      <c r="LP16" s="236">
        <v>12056688.99</v>
      </c>
      <c r="LQ16" s="237">
        <v>3860870.44595</v>
      </c>
      <c r="LR16" s="238">
        <v>1205668.899</v>
      </c>
      <c r="LS16" s="236">
        <v>1651549</v>
      </c>
      <c r="LT16" s="236">
        <v>0</v>
      </c>
      <c r="LU16" s="237">
        <v>4220825.82505</v>
      </c>
      <c r="LV16" s="238">
        <v>227.936141796451</v>
      </c>
      <c r="LW16" s="237">
        <v>447.295134439232</v>
      </c>
      <c r="LX16" s="239">
        <v>0.923930481995528</v>
      </c>
      <c r="LY16" s="240">
        <v>1.38729076777157</v>
      </c>
      <c r="LZ16" s="241"/>
      <c r="MA16" s="241"/>
      <c r="MB16" s="235" t="s">
        <v>153</v>
      </c>
      <c r="MC16" s="236">
        <f t="shared" ref="MC16:MF16" si="218">SUM(MC4:MC13)</f>
        <v>32</v>
      </c>
      <c r="MD16" s="236">
        <f t="shared" si="218"/>
        <v>0</v>
      </c>
      <c r="ME16" s="236">
        <f t="shared" si="218"/>
        <v>1113</v>
      </c>
      <c r="MF16" s="236">
        <f>(MH16/ME16)/MR1</f>
        <v>2.03638814016172</v>
      </c>
      <c r="MG16" s="236">
        <f>SUM(MG4:MG13)</f>
        <v>170708</v>
      </c>
      <c r="MH16" s="236">
        <f>SUM(MH4:MH13)</f>
        <v>67995</v>
      </c>
      <c r="MI16" s="236">
        <f t="shared" ref="MI16:MN16" si="219">SUM(MI4:MI13)</f>
        <v>10169622.44</v>
      </c>
      <c r="MJ16" s="236">
        <f t="shared" si="219"/>
        <v>15511479</v>
      </c>
      <c r="MK16" s="236">
        <f t="shared" si="219"/>
        <v>10531421</v>
      </c>
      <c r="ML16" s="236">
        <f t="shared" si="219"/>
        <v>43278927.6</v>
      </c>
      <c r="MM16" s="236">
        <f t="shared" si="219"/>
        <v>36040584.6</v>
      </c>
      <c r="MN16" s="236">
        <f>ML16-MM16</f>
        <v>7238343</v>
      </c>
      <c r="MO16" s="236">
        <f t="shared" ref="MO16:MX16" si="220">SUM(MO4:MO13)</f>
        <v>55657</v>
      </c>
      <c r="MP16" s="236">
        <f t="shared" si="220"/>
        <v>12766540.44</v>
      </c>
      <c r="MQ16" s="236">
        <f t="shared" si="220"/>
        <v>7977589</v>
      </c>
      <c r="MR16" s="236">
        <f t="shared" si="220"/>
        <v>285017</v>
      </c>
      <c r="MS16" s="236">
        <f t="shared" si="220"/>
        <v>217022</v>
      </c>
      <c r="MT16" s="236">
        <f t="shared" si="220"/>
        <v>119833164.03</v>
      </c>
      <c r="MU16" s="236">
        <f t="shared" si="220"/>
        <v>102245800</v>
      </c>
      <c r="MV16" s="236">
        <f t="shared" si="220"/>
        <v>17587364.03</v>
      </c>
      <c r="MW16" s="236">
        <f t="shared" si="220"/>
        <v>5280910</v>
      </c>
      <c r="MX16" s="236">
        <f t="shared" si="220"/>
        <v>15284564.61</v>
      </c>
      <c r="MY16" s="237">
        <f>MT16*3.5%</f>
        <v>4194160.74105</v>
      </c>
      <c r="MZ16" s="238">
        <f t="shared" ref="MZ16:MZ23" si="221">MX16*20%</f>
        <v>3056912.922</v>
      </c>
      <c r="NA16" s="236">
        <f>SUM(NA4:NA13)</f>
        <v>1677544</v>
      </c>
      <c r="NB16" s="236">
        <f>MV16-MW16-MY16-MZ16-NA16</f>
        <v>3377836.36695</v>
      </c>
      <c r="NC16" s="237">
        <f>MW16-MX16-MZ16-NA16-NB16</f>
        <v>-18115947.89895</v>
      </c>
      <c r="ND16" s="238">
        <f>MJ16/MH16</f>
        <v>228.126759320538</v>
      </c>
      <c r="NE16" s="237">
        <f>MT16/MR16</f>
        <v>420.4421632043</v>
      </c>
      <c r="NF16" s="239">
        <f t="shared" ref="NF16:NF23" si="222">MJ16/(MY16+MZ16+MW16+NA16)</f>
        <v>1.09162523680049</v>
      </c>
      <c r="NG16" s="240">
        <f t="shared" ref="NG16:NG23" si="223">MV16/(MY16+MZ16+MW16+NA16)</f>
        <v>1.23771630183976</v>
      </c>
      <c r="NH16" s="53"/>
      <c r="NI16" s="53"/>
      <c r="NJ16" s="235" t="s">
        <v>153</v>
      </c>
      <c r="NK16" s="236">
        <f>SUM(NK4:NK13)</f>
        <v>35</v>
      </c>
      <c r="NL16" s="236">
        <f>SUM(NL4:NL13)</f>
        <v>0</v>
      </c>
      <c r="NM16" s="236">
        <f>SUM(NM4:NM13)</f>
        <v>851</v>
      </c>
      <c r="NN16" s="236">
        <f>(NP16/NM16)/NZ1</f>
        <v>2.77286683598044</v>
      </c>
      <c r="NO16" s="236">
        <f t="shared" ref="NO16:NU16" si="224">SUM(NO4:NO13)</f>
        <v>156722</v>
      </c>
      <c r="NP16" s="236">
        <f t="shared" si="224"/>
        <v>73151</v>
      </c>
      <c r="NQ16" s="236">
        <f t="shared" si="224"/>
        <v>10766364.02</v>
      </c>
      <c r="NR16" s="236">
        <f t="shared" si="224"/>
        <v>15669759.22</v>
      </c>
      <c r="NS16" s="236">
        <f t="shared" si="224"/>
        <v>10329120</v>
      </c>
      <c r="NT16" s="236">
        <f t="shared" si="224"/>
        <v>43072363.38</v>
      </c>
      <c r="NU16" s="236">
        <f t="shared" si="224"/>
        <v>36142180</v>
      </c>
      <c r="NV16" s="236">
        <f>NT16-NU16</f>
        <v>6930183.38</v>
      </c>
      <c r="NW16" s="236">
        <f t="shared" ref="NW16:OF16" si="225">SUM(NW4:NW13)</f>
        <v>59696</v>
      </c>
      <c r="NX16" s="236">
        <f t="shared" si="225"/>
        <v>12830713.24</v>
      </c>
      <c r="NY16" s="236">
        <f t="shared" si="225"/>
        <v>8378548</v>
      </c>
      <c r="NZ16" s="236">
        <f t="shared" si="225"/>
        <v>282504</v>
      </c>
      <c r="OA16" s="236">
        <f t="shared" si="225"/>
        <v>209353</v>
      </c>
      <c r="OB16" s="236">
        <f t="shared" si="225"/>
        <v>106727122.22</v>
      </c>
      <c r="OC16" s="236">
        <f t="shared" si="225"/>
        <v>90361044</v>
      </c>
      <c r="OD16" s="236">
        <f t="shared" si="225"/>
        <v>16366078.22</v>
      </c>
      <c r="OE16" s="236">
        <f t="shared" si="225"/>
        <v>6094560</v>
      </c>
      <c r="OF16" s="236">
        <f t="shared" si="225"/>
        <v>13247481.73</v>
      </c>
      <c r="OG16" s="237">
        <f>OB16*3.5%</f>
        <v>3735449.2777</v>
      </c>
      <c r="OH16" s="238">
        <f t="shared" ref="OH16:OH23" si="226">OF16*20%</f>
        <v>2649496.346</v>
      </c>
      <c r="OI16" s="236">
        <f>SUM(OI4:OI13)</f>
        <v>1734733</v>
      </c>
      <c r="OJ16" s="236">
        <f>SUM(OJ4:OJ13)</f>
        <v>0</v>
      </c>
      <c r="OK16" s="237">
        <f t="shared" ref="OK16:OK23" si="227">OD16-OG16-OH16-OE16-OI16</f>
        <v>2151839.5963</v>
      </c>
      <c r="OL16" s="238">
        <f t="shared" ref="OL16:OL23" si="228">NR16/NP16</f>
        <v>214.211141611188</v>
      </c>
      <c r="OM16" s="237">
        <f t="shared" ref="OM16:OM23" si="229">OB16/NZ16</f>
        <v>377.789773666922</v>
      </c>
      <c r="ON16" s="239">
        <f t="shared" ref="ON16:ON23" si="230">NR16/(OG16+OH16+OE16+OI16)</f>
        <v>1.10239877314801</v>
      </c>
      <c r="OO16" s="240">
        <f t="shared" ref="OO16:OO23" si="231">OD16/(OG16+OH16+OE16+OI16)</f>
        <v>1.1513862017704</v>
      </c>
      <c r="OP16" s="53"/>
      <c r="OQ16" s="53"/>
      <c r="OR16" s="53"/>
      <c r="OS16" s="242" t="s">
        <v>153</v>
      </c>
      <c r="OT16" s="243">
        <f t="shared" ref="OT16:PF16" si="232">SUM(OT4:OT13)</f>
        <v>31</v>
      </c>
      <c r="OU16" s="243">
        <f t="shared" si="232"/>
        <v>1029</v>
      </c>
      <c r="OV16" s="243">
        <f t="shared" si="232"/>
        <v>193185</v>
      </c>
      <c r="OW16" s="243">
        <f t="shared" si="232"/>
        <v>90387</v>
      </c>
      <c r="OX16" s="243">
        <f t="shared" si="232"/>
        <v>12853449.86</v>
      </c>
      <c r="OY16" s="243">
        <f t="shared" si="232"/>
        <v>17788355</v>
      </c>
      <c r="OZ16" s="243">
        <f t="shared" si="232"/>
        <v>11166247</v>
      </c>
      <c r="PA16" s="243">
        <f t="shared" si="232"/>
        <v>44279026.34</v>
      </c>
      <c r="PB16" s="243">
        <f t="shared" si="232"/>
        <v>36758730</v>
      </c>
      <c r="PC16" s="243">
        <f t="shared" si="232"/>
        <v>304840</v>
      </c>
      <c r="PD16" s="243">
        <f t="shared" si="232"/>
        <v>214453</v>
      </c>
      <c r="PE16" s="243">
        <f t="shared" si="232"/>
        <v>100115360.27</v>
      </c>
      <c r="PF16" s="243">
        <f t="shared" si="232"/>
        <v>83307543</v>
      </c>
      <c r="PG16" s="243">
        <f t="shared" ref="PG16:PG23" si="233">PE16-PF16</f>
        <v>16807817.27</v>
      </c>
      <c r="PH16" s="243">
        <f t="shared" ref="PH16:PL16" si="234">SUM(PH4:PH13)</f>
        <v>8013840</v>
      </c>
      <c r="PI16" s="243">
        <f t="shared" si="234"/>
        <v>13221817.36</v>
      </c>
      <c r="PJ16" s="244">
        <f>PE16*3.5%</f>
        <v>3504037.60945</v>
      </c>
      <c r="PK16" s="244">
        <f t="shared" ref="PK16:PK23" si="235">PI16*20%</f>
        <v>2644363.472</v>
      </c>
      <c r="PL16" s="243">
        <f t="shared" si="234"/>
        <v>1665423</v>
      </c>
      <c r="PM16" s="244">
        <f t="shared" ref="PM16:PM23" si="236">PG16-PJ16-PK16-PH16-PL16</f>
        <v>980153.188550008</v>
      </c>
      <c r="PN16" s="245">
        <f t="shared" ref="PN16:PN23" si="237">OY16/OW16</f>
        <v>196.802139688229</v>
      </c>
      <c r="PO16" s="244">
        <f t="shared" ref="PO16:PO23" si="238">PE16/PC16</f>
        <v>328.419368422779</v>
      </c>
      <c r="PP16" s="246">
        <f t="shared" ref="PP16:PP23" si="239">OY16/(PH16+PJ16+PK16+PL16)</f>
        <v>1.12387746596467</v>
      </c>
      <c r="PQ16" s="247">
        <f t="shared" ref="PQ16:PQ23" si="240">PG16/(PJ16+PK16+PH16+PL16)</f>
        <v>1.06192658521852</v>
      </c>
      <c r="PR16" s="198"/>
      <c r="PS16" s="144"/>
      <c r="PT16" s="144"/>
      <c r="PU16" s="242" t="s">
        <v>153</v>
      </c>
      <c r="PV16" s="242">
        <f t="shared" ref="PV16:QJ16" si="241">SUM(PV4:PV13)</f>
        <v>30</v>
      </c>
      <c r="PW16" s="242">
        <f t="shared" si="241"/>
        <v>1223</v>
      </c>
      <c r="PX16" s="243">
        <f t="shared" si="241"/>
        <v>181492</v>
      </c>
      <c r="PY16" s="243">
        <f t="shared" si="241"/>
        <v>76919</v>
      </c>
      <c r="PZ16" s="243">
        <f t="shared" si="241"/>
        <v>11470292.5</v>
      </c>
      <c r="QA16" s="243">
        <f t="shared" si="241"/>
        <v>14823512</v>
      </c>
      <c r="QB16" s="243">
        <f t="shared" si="241"/>
        <v>9017672</v>
      </c>
      <c r="QC16" s="243">
        <f t="shared" si="241"/>
        <v>245522</v>
      </c>
      <c r="QD16" s="243">
        <f t="shared" si="241"/>
        <v>168603</v>
      </c>
      <c r="QE16" s="243">
        <f t="shared" si="241"/>
        <v>87715350.14</v>
      </c>
      <c r="QF16" s="243">
        <f t="shared" si="241"/>
        <v>78028757</v>
      </c>
      <c r="QG16" s="244">
        <f t="shared" si="241"/>
        <v>10948061.14</v>
      </c>
      <c r="QH16" s="243">
        <f t="shared" si="241"/>
        <v>6991100</v>
      </c>
      <c r="QI16" s="243">
        <f t="shared" si="241"/>
        <v>6184534.23</v>
      </c>
      <c r="QJ16" s="244">
        <f t="shared" si="241"/>
        <v>3084724.7799</v>
      </c>
      <c r="QK16" s="244">
        <f t="shared" ref="QK16:QK23" si="242">QI16*20%</f>
        <v>1236906.846</v>
      </c>
      <c r="QL16" s="244">
        <f t="shared" ref="QL16:QN16" si="243">SUM(QL4:QL13)</f>
        <v>2975407</v>
      </c>
      <c r="QM16" s="244">
        <f t="shared" si="243"/>
        <v>5320077.6641</v>
      </c>
      <c r="QN16" s="243">
        <f t="shared" si="243"/>
        <v>1052.87117940705</v>
      </c>
      <c r="QO16" s="244">
        <f t="shared" ref="QO16:QO23" si="244">QE16/QC16</f>
        <v>357.260653383404</v>
      </c>
      <c r="QP16" s="246">
        <f t="shared" ref="QP16:QP23" si="245">QA16/(QH16+QJ16+QK16+QL16)</f>
        <v>1.0374697774229</v>
      </c>
      <c r="QQ16" s="247">
        <f t="shared" ref="QQ16:QQ26" si="246">QG16/(QJ16+QK16)</f>
        <v>2.5333166006994</v>
      </c>
      <c r="QR16" s="157"/>
      <c r="QS16" s="144"/>
      <c r="QT16" s="144"/>
      <c r="QU16" s="242" t="s">
        <v>153</v>
      </c>
      <c r="QV16" s="242">
        <f t="shared" ref="QV16:RB16" si="247">SUM(QV4:QV13)</f>
        <v>27</v>
      </c>
      <c r="QW16" s="243">
        <f t="shared" si="247"/>
        <v>195196</v>
      </c>
      <c r="QX16" s="243">
        <f t="shared" si="247"/>
        <v>76125</v>
      </c>
      <c r="QY16" s="243">
        <f t="shared" si="247"/>
        <v>38184988.83</v>
      </c>
      <c r="QZ16" s="243">
        <f t="shared" si="247"/>
        <v>104463</v>
      </c>
      <c r="RA16" s="243">
        <f t="shared" si="247"/>
        <v>95609552.41</v>
      </c>
      <c r="RB16" s="243">
        <f t="shared" si="247"/>
        <v>84755568.76</v>
      </c>
      <c r="RC16" s="244">
        <f t="shared" ref="RC16:RC26" si="248">RB16-RE16</f>
        <v>78333908.76</v>
      </c>
      <c r="RD16" s="244">
        <f t="shared" ref="RD16:RI16" si="249">SUM(RD4:RD13)</f>
        <v>14009923.65</v>
      </c>
      <c r="RE16" s="243">
        <f t="shared" si="249"/>
        <v>6421660</v>
      </c>
      <c r="RF16" s="243">
        <f t="shared" si="249"/>
        <v>7570843.76</v>
      </c>
      <c r="RG16" s="244">
        <f t="shared" si="249"/>
        <v>3351507.19935</v>
      </c>
      <c r="RH16" s="244">
        <f t="shared" si="249"/>
        <v>788202.671</v>
      </c>
      <c r="RI16" s="244">
        <f t="shared" si="249"/>
        <v>2767122</v>
      </c>
      <c r="RJ16" s="248">
        <f t="shared" ref="RJ16:RJ26" si="250">RD16-RG16-RH16</f>
        <v>9870213.77965</v>
      </c>
      <c r="RK16" s="249">
        <f t="shared" ref="RK16:RK23" si="251">RA16/QZ16</f>
        <v>915.248005609642</v>
      </c>
      <c r="RL16" s="250">
        <f t="shared" ref="RL16:RL23" si="252">QY16/(RE16+RG16+RH16+RI16)</f>
        <v>2.86491444054107</v>
      </c>
      <c r="RM16" s="247">
        <f t="shared" ref="RM16:RM26" si="253">RD16/(RG16+RH16)</f>
        <v>3.38427669782943</v>
      </c>
      <c r="RN16" s="198"/>
      <c r="RO16" s="144"/>
      <c r="RP16" s="144"/>
      <c r="RQ16" s="242" t="s">
        <v>153</v>
      </c>
      <c r="RR16" s="242">
        <f t="shared" ref="RR16:SF16" si="254">SUM(RR4:RR13)</f>
        <v>28</v>
      </c>
      <c r="RS16" s="243">
        <f t="shared" si="254"/>
        <v>166013</v>
      </c>
      <c r="RT16" s="243">
        <f t="shared" si="254"/>
        <v>57435</v>
      </c>
      <c r="RU16" s="243">
        <f t="shared" si="254"/>
        <v>30128332.49</v>
      </c>
      <c r="RV16" s="243">
        <f t="shared" si="254"/>
        <v>85913</v>
      </c>
      <c r="RW16" s="243">
        <f t="shared" si="254"/>
        <v>75915439.73</v>
      </c>
      <c r="RX16" s="243">
        <f t="shared" si="254"/>
        <v>68088871</v>
      </c>
      <c r="RY16" s="244">
        <f t="shared" si="254"/>
        <v>7826568.73</v>
      </c>
      <c r="RZ16" s="243">
        <f t="shared" si="254"/>
        <v>5297618</v>
      </c>
      <c r="SA16" s="244">
        <f t="shared" si="254"/>
        <v>0</v>
      </c>
      <c r="SB16" s="243">
        <f t="shared" si="254"/>
        <v>5316021.97</v>
      </c>
      <c r="SC16" s="244">
        <f t="shared" si="254"/>
        <v>2657499.24555</v>
      </c>
      <c r="SD16" s="244">
        <f t="shared" si="254"/>
        <v>581220.619</v>
      </c>
      <c r="SE16" s="244">
        <f t="shared" si="254"/>
        <v>2777040</v>
      </c>
      <c r="SF16" s="244">
        <f t="shared" si="254"/>
        <v>1810808.86545</v>
      </c>
      <c r="SG16" s="249">
        <f t="shared" ref="SG16:SG23" si="255">RW16/RV16</f>
        <v>883.631577642499</v>
      </c>
      <c r="SH16" s="246">
        <f t="shared" ref="SH16:SH23" si="256">RU16/(RZ16+SC16+SD16+SE16)</f>
        <v>2.66307135240359</v>
      </c>
      <c r="SI16" s="247">
        <f t="shared" ref="SI16:SI26" si="257">RY16/(SC16+SD16+SE16)</f>
        <v>1.3010108292588</v>
      </c>
      <c r="SJ16" s="157"/>
      <c r="SK16" s="144"/>
      <c r="SL16" s="157"/>
      <c r="SM16" s="242" t="s">
        <v>153</v>
      </c>
      <c r="SN16" s="242">
        <f t="shared" ref="SN16:TB16" si="258">SUM(SN4:SN13)</f>
        <v>36</v>
      </c>
      <c r="SO16" s="243">
        <f t="shared" si="258"/>
        <v>154057</v>
      </c>
      <c r="SP16" s="243">
        <f t="shared" si="258"/>
        <v>51910</v>
      </c>
      <c r="SQ16" s="243">
        <f t="shared" si="258"/>
        <v>25554460.3</v>
      </c>
      <c r="SR16" s="243">
        <f t="shared" si="258"/>
        <v>72756</v>
      </c>
      <c r="SS16" s="243">
        <f t="shared" si="258"/>
        <v>70302123.57</v>
      </c>
      <c r="ST16" s="243">
        <f t="shared" si="258"/>
        <v>64016126.17</v>
      </c>
      <c r="SU16" s="244">
        <f t="shared" si="258"/>
        <v>6285997.4</v>
      </c>
      <c r="SV16" s="243">
        <f t="shared" si="258"/>
        <v>4697847</v>
      </c>
      <c r="SW16" s="244">
        <f t="shared" si="258"/>
        <v>0</v>
      </c>
      <c r="SX16" s="244">
        <f t="shared" si="258"/>
        <v>4586484.81</v>
      </c>
      <c r="SY16" s="244">
        <f t="shared" si="258"/>
        <v>2460574.32495</v>
      </c>
      <c r="SZ16" s="244">
        <f t="shared" si="258"/>
        <v>490214.286</v>
      </c>
      <c r="TA16" s="244">
        <f t="shared" si="258"/>
        <v>4464000</v>
      </c>
      <c r="TB16" s="244">
        <f t="shared" si="258"/>
        <v>-1128791.21095</v>
      </c>
      <c r="TC16" s="249">
        <f t="shared" ref="TC16:TC23" si="259">SS16/SR16</f>
        <v>966.272521441531</v>
      </c>
      <c r="TD16" s="246">
        <f t="shared" ref="TD16:TD23" si="260">SQ16/(SV16+SY16+SZ16+TA16)</f>
        <v>2.10973574379621</v>
      </c>
      <c r="TE16" s="247">
        <f t="shared" ref="TE16:TE26" si="261">SU16/(SY16+SZ16+TA16)</f>
        <v>0.84776488310361</v>
      </c>
      <c r="TF16" s="156"/>
      <c r="TG16" s="84"/>
      <c r="TH16" s="242" t="s">
        <v>153</v>
      </c>
      <c r="TI16" s="242">
        <f t="shared" ref="TI16:TW16" si="262">SUM(TI4:TI13)</f>
        <v>39</v>
      </c>
      <c r="TJ16" s="243">
        <f t="shared" si="262"/>
        <v>154976</v>
      </c>
      <c r="TK16" s="243">
        <f t="shared" si="262"/>
        <v>55888</v>
      </c>
      <c r="TL16" s="243">
        <f t="shared" si="262"/>
        <v>27507759.23</v>
      </c>
      <c r="TM16" s="243">
        <f t="shared" si="262"/>
        <v>74928</v>
      </c>
      <c r="TN16" s="243">
        <f t="shared" si="262"/>
        <v>64527053.99</v>
      </c>
      <c r="TO16" s="243">
        <f t="shared" si="262"/>
        <v>61662572</v>
      </c>
      <c r="TP16" s="244">
        <f t="shared" si="262"/>
        <v>2864481.99</v>
      </c>
      <c r="TQ16" s="243">
        <f t="shared" si="262"/>
        <v>6199180</v>
      </c>
      <c r="TR16" s="244">
        <f t="shared" si="262"/>
        <v>0</v>
      </c>
      <c r="TS16" s="244">
        <f t="shared" si="262"/>
        <v>2279044.07</v>
      </c>
      <c r="TT16" s="244">
        <f t="shared" si="262"/>
        <v>2581082.1596</v>
      </c>
      <c r="TU16" s="244">
        <f t="shared" si="262"/>
        <v>350164.236</v>
      </c>
      <c r="TV16" s="244">
        <f t="shared" si="262"/>
        <v>4368000</v>
      </c>
      <c r="TW16" s="244">
        <f t="shared" si="262"/>
        <v>-4434764.4056</v>
      </c>
      <c r="TX16" s="249">
        <f t="shared" ref="TX16:TX23" si="263">TN16/TM16</f>
        <v>861.187459828102</v>
      </c>
      <c r="TY16" s="246">
        <f t="shared" ref="TY16:TY23" si="264">TL16/(TQ16+TT16+TU16+TV16)</f>
        <v>2.03784933323536</v>
      </c>
      <c r="TZ16" s="247">
        <f t="shared" ref="TZ16:TZ26" si="265">TP16/(TT16+TU16+TV16)</f>
        <v>0.392435305612743</v>
      </c>
      <c r="UA16" s="156"/>
      <c r="UB16" s="144"/>
      <c r="UC16" s="144"/>
      <c r="UD16" s="242" t="s">
        <v>153</v>
      </c>
      <c r="UE16" s="242">
        <f t="shared" ref="UE16:US16" si="266">SUM(UE4:UE13)</f>
        <v>28</v>
      </c>
      <c r="UF16" s="243">
        <f t="shared" si="266"/>
        <v>146046</v>
      </c>
      <c r="UG16" s="243">
        <f t="shared" si="266"/>
        <v>51468</v>
      </c>
      <c r="UH16" s="243">
        <f t="shared" si="266"/>
        <v>29823406.78</v>
      </c>
      <c r="UI16" s="243">
        <f t="shared" si="266"/>
        <v>66396</v>
      </c>
      <c r="UJ16" s="243">
        <f t="shared" si="266"/>
        <v>62117849.91</v>
      </c>
      <c r="UK16" s="243">
        <f t="shared" si="266"/>
        <v>58857443</v>
      </c>
      <c r="UL16" s="244">
        <f t="shared" si="266"/>
        <v>3260406.91</v>
      </c>
      <c r="UM16" s="243">
        <f t="shared" si="266"/>
        <v>5026190</v>
      </c>
      <c r="UN16" s="244">
        <f t="shared" si="266"/>
        <v>0</v>
      </c>
      <c r="UO16" s="244">
        <f t="shared" si="266"/>
        <v>1933798.44</v>
      </c>
      <c r="UP16" s="244">
        <f t="shared" si="266"/>
        <v>2484713.9964</v>
      </c>
      <c r="UQ16" s="244">
        <f t="shared" si="266"/>
        <v>339700.788</v>
      </c>
      <c r="UR16" s="244">
        <f t="shared" si="266"/>
        <v>3120000</v>
      </c>
      <c r="US16" s="244">
        <f t="shared" si="266"/>
        <v>-2684007.8744</v>
      </c>
      <c r="UT16" s="249">
        <f t="shared" ref="UT16:UT23" si="267">UJ16/UI16</f>
        <v>935.566147207663</v>
      </c>
      <c r="UU16" s="246">
        <f>UH16/UM16</f>
        <v>5.93360115315975</v>
      </c>
      <c r="UV16" s="247">
        <f t="shared" ref="UV16:UV23" si="268">UL16/(UP16+UQ16+UR16)</f>
        <v>0.548482403777799</v>
      </c>
      <c r="UW16" s="144"/>
      <c r="UX16" s="144"/>
      <c r="UY16" s="144"/>
      <c r="UZ16" s="242" t="s">
        <v>153</v>
      </c>
      <c r="VA16" s="242">
        <f t="shared" ref="VA16:VO16" si="269">SUM(VA4:VA13)</f>
        <v>20</v>
      </c>
      <c r="VB16" s="243">
        <f t="shared" si="269"/>
        <v>105880</v>
      </c>
      <c r="VC16" s="243">
        <f t="shared" si="269"/>
        <v>37094</v>
      </c>
      <c r="VD16" s="243">
        <f t="shared" si="269"/>
        <v>22695884.76</v>
      </c>
      <c r="VE16" s="243">
        <f t="shared" si="269"/>
        <v>48239</v>
      </c>
      <c r="VF16" s="243">
        <f t="shared" si="269"/>
        <v>49300263.98</v>
      </c>
      <c r="VG16" s="243">
        <f t="shared" si="269"/>
        <v>51237237</v>
      </c>
      <c r="VH16" s="244">
        <f t="shared" si="269"/>
        <v>-1936973.02</v>
      </c>
      <c r="VI16" s="243">
        <f t="shared" si="269"/>
        <v>3364325</v>
      </c>
      <c r="VJ16" s="244">
        <f t="shared" si="269"/>
        <v>0</v>
      </c>
      <c r="VK16" s="244">
        <f t="shared" si="269"/>
        <v>-2897465.43</v>
      </c>
      <c r="VL16" s="244">
        <f t="shared" si="269"/>
        <v>1972010.5592</v>
      </c>
      <c r="VM16" s="244">
        <f t="shared" si="269"/>
        <v>0</v>
      </c>
      <c r="VN16" s="244">
        <f t="shared" si="269"/>
        <v>1768000</v>
      </c>
      <c r="VO16" s="244">
        <f t="shared" si="269"/>
        <v>-5676983.5792</v>
      </c>
      <c r="VP16" s="249">
        <f t="shared" ref="VP16:VP23" si="270">VF16/VE16</f>
        <v>1022.00012396609</v>
      </c>
      <c r="VQ16" s="246">
        <f>VD16/VI16</f>
        <v>6.74604408313703</v>
      </c>
      <c r="VR16" s="247">
        <f t="shared" ref="VR16:VR23" si="271">VH16/(VL16+VM16+VN16)</f>
        <v>-0.517905762387561</v>
      </c>
      <c r="VS16" s="84"/>
      <c r="VT16" s="53"/>
      <c r="VU16" s="53"/>
    </row>
    <row r="17" ht="18" customHeight="1" spans="1:593">
      <c r="A17" s="53"/>
      <c r="B17" s="53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  <c r="AI17" s="53"/>
      <c r="AJ17" s="251"/>
      <c r="AK17" s="251"/>
      <c r="AL17" s="251"/>
      <c r="AM17" s="251"/>
      <c r="AN17" s="251"/>
      <c r="AO17" s="251"/>
      <c r="AP17" s="251"/>
      <c r="AQ17" s="251"/>
      <c r="AR17" s="251"/>
      <c r="AS17" s="251"/>
      <c r="AT17" s="251"/>
      <c r="AU17" s="251"/>
      <c r="AV17" s="251"/>
      <c r="AW17" s="251"/>
      <c r="AX17" s="251"/>
      <c r="AY17" s="251"/>
      <c r="AZ17" s="251"/>
      <c r="BA17" s="251"/>
      <c r="BB17" s="251"/>
      <c r="BC17" s="251"/>
      <c r="BD17" s="251"/>
      <c r="BE17" s="251"/>
      <c r="BF17" s="251"/>
      <c r="BG17" s="251"/>
      <c r="BH17" s="251"/>
      <c r="BI17" s="251"/>
      <c r="BJ17" s="251"/>
      <c r="BK17" s="251"/>
      <c r="BL17" s="251"/>
      <c r="BM17" s="251"/>
      <c r="BN17" s="251"/>
      <c r="BO17" s="251"/>
      <c r="BP17" s="252"/>
      <c r="BQ17" s="251"/>
      <c r="BR17" s="251"/>
      <c r="BS17" s="251"/>
      <c r="BT17" s="251"/>
      <c r="BU17" s="251"/>
      <c r="BV17" s="251"/>
      <c r="BW17" s="251"/>
      <c r="BX17" s="251"/>
      <c r="BY17" s="251"/>
      <c r="BZ17" s="251"/>
      <c r="CA17" s="251"/>
      <c r="CB17" s="251"/>
      <c r="CC17" s="251"/>
      <c r="CD17" s="251"/>
      <c r="CE17" s="251"/>
      <c r="CF17" s="251"/>
      <c r="CG17" s="251"/>
      <c r="CH17" s="251"/>
      <c r="CI17" s="251"/>
      <c r="CJ17" s="251"/>
      <c r="CK17" s="251"/>
      <c r="CL17" s="251"/>
      <c r="CM17" s="251"/>
      <c r="CN17" s="251"/>
      <c r="CO17" s="251"/>
      <c r="CP17" s="251"/>
      <c r="CQ17" s="251"/>
      <c r="CR17" s="251"/>
      <c r="CS17" s="251"/>
      <c r="CT17" s="251"/>
      <c r="CU17" s="251"/>
      <c r="CV17" s="251"/>
      <c r="CW17" s="252"/>
      <c r="CX17" s="251"/>
      <c r="CY17" s="251"/>
      <c r="CZ17" s="251"/>
      <c r="DA17" s="251"/>
      <c r="DB17" s="251"/>
      <c r="DC17" s="251"/>
      <c r="DD17" s="251"/>
      <c r="DE17" s="251"/>
      <c r="DF17" s="251"/>
      <c r="DG17" s="251"/>
      <c r="DH17" s="251"/>
      <c r="DI17" s="251"/>
      <c r="DJ17" s="251"/>
      <c r="DK17" s="251"/>
      <c r="DL17" s="251"/>
      <c r="DM17" s="251"/>
      <c r="DN17" s="251"/>
      <c r="DO17" s="251"/>
      <c r="DP17" s="251"/>
      <c r="DQ17" s="251"/>
      <c r="DR17" s="251"/>
      <c r="DS17" s="251"/>
      <c r="DT17" s="251"/>
      <c r="DU17" s="251"/>
      <c r="DV17" s="251"/>
      <c r="DW17" s="251"/>
      <c r="DX17" s="251"/>
      <c r="DY17" s="251"/>
      <c r="DZ17" s="251"/>
      <c r="EA17" s="251"/>
      <c r="EB17" s="251"/>
      <c r="EC17" s="251"/>
      <c r="ED17" s="252"/>
      <c r="EE17" s="142"/>
      <c r="EF17" s="142"/>
      <c r="EG17" s="142"/>
      <c r="EH17" s="142"/>
      <c r="EI17" s="142"/>
      <c r="EJ17" s="142"/>
      <c r="EK17" s="142"/>
      <c r="EL17" s="142"/>
      <c r="EM17" s="142"/>
      <c r="EN17" s="142"/>
      <c r="EO17" s="142"/>
      <c r="EP17" s="142"/>
      <c r="EQ17" s="142"/>
      <c r="ER17" s="142"/>
      <c r="ES17" s="142"/>
      <c r="ET17" s="142"/>
      <c r="EU17" s="142"/>
      <c r="EV17" s="142"/>
      <c r="EW17" s="142"/>
      <c r="EX17" s="142"/>
      <c r="EY17" s="142"/>
      <c r="EZ17" s="142"/>
      <c r="FA17" s="142"/>
      <c r="FB17" s="142"/>
      <c r="FC17" s="142"/>
      <c r="FD17" s="142"/>
      <c r="FE17" s="142"/>
      <c r="FF17" s="142"/>
      <c r="FG17" s="142"/>
      <c r="FH17" s="142"/>
      <c r="FI17" s="142"/>
      <c r="FJ17" s="142"/>
      <c r="FK17" s="252"/>
      <c r="FL17" s="252"/>
      <c r="FM17" s="252"/>
      <c r="FN17" s="142"/>
      <c r="FO17" s="142"/>
      <c r="FP17" s="142"/>
      <c r="FQ17" s="142"/>
      <c r="FR17" s="142"/>
      <c r="FS17" s="142"/>
      <c r="FT17" s="142"/>
      <c r="FU17" s="142"/>
      <c r="FV17" s="142"/>
      <c r="FW17" s="142"/>
      <c r="FX17" s="142"/>
      <c r="FY17" s="142"/>
      <c r="FZ17" s="142"/>
      <c r="GA17" s="142"/>
      <c r="GB17" s="142"/>
      <c r="GC17" s="142"/>
      <c r="GD17" s="142"/>
      <c r="GE17" s="142"/>
      <c r="GF17" s="142"/>
      <c r="GG17" s="142"/>
      <c r="GH17" s="142"/>
      <c r="GI17" s="142"/>
      <c r="GJ17" s="142"/>
      <c r="GK17" s="142"/>
      <c r="GL17" s="142"/>
      <c r="GM17" s="142"/>
      <c r="GN17" s="142"/>
      <c r="GO17" s="142"/>
      <c r="GP17" s="142"/>
      <c r="GQ17" s="142"/>
      <c r="GR17" s="142"/>
      <c r="GS17" s="142"/>
      <c r="GT17" s="53"/>
      <c r="GU17" s="53"/>
      <c r="GV17" s="142"/>
      <c r="GW17" s="142"/>
      <c r="GX17" s="142"/>
      <c r="GY17" s="142"/>
      <c r="GZ17" s="142"/>
      <c r="HA17" s="142"/>
      <c r="HB17" s="142"/>
      <c r="HC17" s="142"/>
      <c r="HD17" s="142"/>
      <c r="HE17" s="142"/>
      <c r="HF17" s="142"/>
      <c r="HG17" s="142"/>
      <c r="HH17" s="142"/>
      <c r="HI17" s="142"/>
      <c r="HJ17" s="142"/>
      <c r="HK17" s="142"/>
      <c r="HL17" s="142"/>
      <c r="HM17" s="142"/>
      <c r="HN17" s="142"/>
      <c r="HO17" s="142"/>
      <c r="HP17" s="142"/>
      <c r="HQ17" s="142"/>
      <c r="HR17" s="142"/>
      <c r="HS17" s="142"/>
      <c r="HT17" s="142"/>
      <c r="HU17" s="142"/>
      <c r="HV17" s="142"/>
      <c r="HW17" s="142"/>
      <c r="HX17" s="142"/>
      <c r="HY17" s="142"/>
      <c r="HZ17" s="142"/>
      <c r="IA17" s="142"/>
      <c r="IB17" s="53"/>
      <c r="IC17" s="53"/>
      <c r="ID17" s="142"/>
      <c r="IE17" s="142"/>
      <c r="IF17" s="142"/>
      <c r="IG17" s="142"/>
      <c r="IH17" s="142"/>
      <c r="II17" s="142"/>
      <c r="IJ17" s="142"/>
      <c r="IK17" s="142"/>
      <c r="IL17" s="142"/>
      <c r="IM17" s="142"/>
      <c r="IN17" s="142"/>
      <c r="IO17" s="142"/>
      <c r="IP17" s="142"/>
      <c r="IQ17" s="142"/>
      <c r="IR17" s="142"/>
      <c r="IS17" s="142"/>
      <c r="IT17" s="142"/>
      <c r="IU17" s="142"/>
      <c r="IV17" s="142"/>
      <c r="IW17" s="142"/>
      <c r="IX17" s="142"/>
      <c r="IY17" s="142"/>
      <c r="IZ17" s="142"/>
      <c r="JA17" s="142"/>
      <c r="JB17" s="142"/>
      <c r="JC17" s="142"/>
      <c r="JD17" s="142"/>
      <c r="JE17" s="142"/>
      <c r="JF17" s="142"/>
      <c r="JG17" s="142"/>
      <c r="JH17" s="142"/>
      <c r="JI17" s="142"/>
      <c r="JJ17" s="53"/>
      <c r="JK17" s="53"/>
      <c r="JL17" s="142"/>
      <c r="JM17" s="142"/>
      <c r="JN17" s="142"/>
      <c r="JO17" s="142"/>
      <c r="JP17" s="142"/>
      <c r="JQ17" s="142"/>
      <c r="JR17" s="142"/>
      <c r="JS17" s="142"/>
      <c r="JT17" s="142"/>
      <c r="JU17" s="142"/>
      <c r="JV17" s="142"/>
      <c r="JW17" s="142"/>
      <c r="JX17" s="142"/>
      <c r="JY17" s="142"/>
      <c r="JZ17" s="142"/>
      <c r="KA17" s="142"/>
      <c r="KB17" s="142"/>
      <c r="KC17" s="142"/>
      <c r="KD17" s="142"/>
      <c r="KE17" s="142"/>
      <c r="KF17" s="142"/>
      <c r="KG17" s="142"/>
      <c r="KH17" s="142"/>
      <c r="KI17" s="142"/>
      <c r="KJ17" s="142"/>
      <c r="KK17" s="142"/>
      <c r="KL17" s="142"/>
      <c r="KM17" s="142"/>
      <c r="KN17" s="142"/>
      <c r="KO17" s="142"/>
      <c r="KP17" s="142"/>
      <c r="KQ17" s="142"/>
      <c r="KR17" s="53"/>
      <c r="KS17" s="53"/>
      <c r="KT17" s="142"/>
      <c r="KU17" s="142"/>
      <c r="KV17" s="142"/>
      <c r="KW17" s="142"/>
      <c r="KX17" s="142"/>
      <c r="KY17" s="142"/>
      <c r="KZ17" s="142"/>
      <c r="LA17" s="142"/>
      <c r="LB17" s="142"/>
      <c r="LC17" s="142"/>
      <c r="LD17" s="142"/>
      <c r="LE17" s="142"/>
      <c r="LF17" s="142"/>
      <c r="LG17" s="142"/>
      <c r="LH17" s="142"/>
      <c r="LI17" s="142"/>
      <c r="LJ17" s="142"/>
      <c r="LK17" s="142"/>
      <c r="LL17" s="142"/>
      <c r="LM17" s="142"/>
      <c r="LN17" s="142"/>
      <c r="LO17" s="142"/>
      <c r="LP17" s="142"/>
      <c r="LQ17" s="142"/>
      <c r="LR17" s="142"/>
      <c r="LS17" s="142"/>
      <c r="LT17" s="142"/>
      <c r="LU17" s="142"/>
      <c r="LV17" s="142"/>
      <c r="LW17" s="142"/>
      <c r="LX17" s="142"/>
      <c r="LY17" s="142"/>
      <c r="LZ17" s="241"/>
      <c r="MA17" s="241"/>
      <c r="MB17" s="142"/>
      <c r="MC17" s="142"/>
      <c r="MD17" s="142"/>
      <c r="ME17" s="142"/>
      <c r="MF17" s="142"/>
      <c r="MG17" s="142"/>
      <c r="MH17" s="142"/>
      <c r="MI17" s="142"/>
      <c r="MJ17" s="142"/>
      <c r="MK17" s="142"/>
      <c r="ML17" s="142"/>
      <c r="MM17" s="142"/>
      <c r="MN17" s="142"/>
      <c r="MO17" s="142"/>
      <c r="MP17" s="142"/>
      <c r="MQ17" s="142"/>
      <c r="MR17" s="142"/>
      <c r="MS17" s="142"/>
      <c r="MT17" s="142"/>
      <c r="MU17" s="142"/>
      <c r="MV17" s="142"/>
      <c r="MW17" s="142"/>
      <c r="MX17" s="142"/>
      <c r="MY17" s="142"/>
      <c r="MZ17" s="142"/>
      <c r="NA17" s="142"/>
      <c r="NB17" s="142"/>
      <c r="NC17" s="142"/>
      <c r="ND17" s="142"/>
      <c r="NE17" s="142"/>
      <c r="NF17" s="142"/>
      <c r="NG17" s="142"/>
      <c r="NH17" s="53"/>
      <c r="NI17" s="53"/>
      <c r="NJ17" s="46"/>
      <c r="NK17" s="46"/>
      <c r="NL17" s="46"/>
      <c r="NM17" s="46"/>
      <c r="NN17" s="46"/>
      <c r="NO17" s="46"/>
      <c r="NP17" s="46"/>
      <c r="NQ17" s="46"/>
      <c r="NR17" s="46"/>
      <c r="NS17" s="46"/>
      <c r="NT17" s="46"/>
      <c r="NU17" s="46"/>
      <c r="NV17" s="46"/>
      <c r="NW17" s="46"/>
      <c r="NX17" s="46"/>
      <c r="NY17" s="46"/>
      <c r="NZ17" s="46"/>
      <c r="OA17" s="46"/>
      <c r="OB17" s="46"/>
      <c r="OC17" s="46"/>
      <c r="OD17" s="46"/>
      <c r="OE17" s="46"/>
      <c r="OF17" s="46"/>
      <c r="OG17" s="46"/>
      <c r="OH17" s="46"/>
      <c r="OI17" s="46"/>
      <c r="OJ17" s="46"/>
      <c r="OK17" s="46"/>
      <c r="OL17" s="46"/>
      <c r="OM17" s="46"/>
      <c r="ON17" s="46"/>
      <c r="OO17" s="46"/>
      <c r="OP17" s="53"/>
      <c r="OQ17" s="53"/>
      <c r="OR17" s="53"/>
      <c r="OS17" s="144"/>
      <c r="OT17" s="144"/>
      <c r="OU17" s="144"/>
      <c r="OV17" s="144"/>
      <c r="OW17" s="144"/>
      <c r="OX17" s="144"/>
      <c r="OY17" s="144"/>
      <c r="OZ17" s="144"/>
      <c r="PA17" s="144"/>
      <c r="PB17" s="144"/>
      <c r="PC17" s="144"/>
      <c r="PD17" s="144"/>
      <c r="PE17" s="144"/>
      <c r="PF17" s="144"/>
      <c r="PG17" s="144"/>
      <c r="PH17" s="144"/>
      <c r="PI17" s="144"/>
      <c r="PJ17" s="144"/>
      <c r="PK17" s="144"/>
      <c r="PL17" s="144"/>
      <c r="PM17" s="144"/>
      <c r="PN17" s="144"/>
      <c r="PO17" s="144"/>
      <c r="PP17" s="144"/>
      <c r="PQ17" s="144"/>
      <c r="PR17" s="144"/>
      <c r="PS17" s="144"/>
      <c r="PT17" s="144"/>
      <c r="PU17" s="144"/>
      <c r="PV17" s="144"/>
      <c r="PW17" s="144"/>
      <c r="PX17" s="144"/>
      <c r="PY17" s="144"/>
      <c r="PZ17" s="144"/>
      <c r="QA17" s="144"/>
      <c r="QB17" s="144"/>
      <c r="QC17" s="144"/>
      <c r="QD17" s="144"/>
      <c r="QE17" s="144"/>
      <c r="QF17" s="144"/>
      <c r="QG17" s="144"/>
      <c r="QH17" s="144"/>
      <c r="QI17" s="144"/>
      <c r="QJ17" s="144"/>
      <c r="QK17" s="144"/>
      <c r="QL17" s="144"/>
      <c r="QM17" s="144"/>
      <c r="QN17" s="144"/>
      <c r="QO17" s="144"/>
      <c r="QP17" s="144"/>
      <c r="QQ17" s="144"/>
      <c r="QR17" s="144"/>
      <c r="QS17" s="144"/>
      <c r="QT17" s="144"/>
      <c r="QU17" s="144"/>
      <c r="QV17" s="144"/>
      <c r="QW17" s="144"/>
      <c r="QX17" s="144"/>
      <c r="QY17" s="144"/>
      <c r="QZ17" s="144"/>
      <c r="RA17" s="144"/>
      <c r="RB17" s="144"/>
      <c r="RC17" s="144"/>
      <c r="RD17" s="144"/>
      <c r="RE17" s="144"/>
      <c r="RF17" s="144"/>
      <c r="RG17" s="144"/>
      <c r="RH17" s="144"/>
      <c r="RI17" s="144"/>
      <c r="RJ17" s="144"/>
      <c r="RK17" s="144"/>
      <c r="RL17" s="144"/>
      <c r="RM17" s="144"/>
      <c r="RN17" s="144"/>
      <c r="RO17" s="144"/>
      <c r="RP17" s="144"/>
      <c r="RQ17" s="144"/>
      <c r="RR17" s="144"/>
      <c r="RS17" s="144"/>
      <c r="RT17" s="144"/>
      <c r="RU17" s="144"/>
      <c r="RV17" s="144"/>
      <c r="RW17" s="144"/>
      <c r="RX17" s="144"/>
      <c r="RY17" s="144"/>
      <c r="RZ17" s="144"/>
      <c r="SA17" s="144"/>
      <c r="SB17" s="144"/>
      <c r="SC17" s="144"/>
      <c r="SD17" s="144"/>
      <c r="SE17" s="144"/>
      <c r="SF17" s="144"/>
      <c r="SG17" s="144"/>
      <c r="SH17" s="144"/>
      <c r="SI17" s="144"/>
      <c r="SJ17" s="144"/>
      <c r="SK17" s="144"/>
      <c r="SL17" s="144"/>
      <c r="SM17" s="144"/>
      <c r="SN17" s="144"/>
      <c r="SO17" s="144"/>
      <c r="SP17" s="144"/>
      <c r="SQ17" s="144"/>
      <c r="SR17" s="144"/>
      <c r="SS17" s="144"/>
      <c r="ST17" s="144"/>
      <c r="SU17" s="144"/>
      <c r="SV17" s="144"/>
      <c r="SW17" s="144"/>
      <c r="SX17" s="144"/>
      <c r="SY17" s="144"/>
      <c r="SZ17" s="144"/>
      <c r="TA17" s="144"/>
      <c r="TB17" s="144"/>
      <c r="TC17" s="144"/>
      <c r="TD17" s="144"/>
      <c r="TE17" s="144"/>
      <c r="TF17" s="144"/>
      <c r="TG17" s="144"/>
      <c r="TH17" s="144"/>
      <c r="TI17" s="144"/>
      <c r="TJ17" s="144"/>
      <c r="TK17" s="144"/>
      <c r="TL17" s="144"/>
      <c r="TM17" s="144"/>
      <c r="TN17" s="144"/>
      <c r="TO17" s="144"/>
      <c r="TP17" s="144"/>
      <c r="TQ17" s="144"/>
      <c r="TR17" s="144"/>
      <c r="TS17" s="144"/>
      <c r="TT17" s="144"/>
      <c r="TU17" s="144"/>
      <c r="TV17" s="144"/>
      <c r="TW17" s="144"/>
      <c r="TX17" s="144"/>
      <c r="TY17" s="144"/>
      <c r="TZ17" s="144"/>
      <c r="UA17" s="144"/>
      <c r="UB17" s="144"/>
      <c r="UC17" s="253"/>
      <c r="UD17" s="253"/>
      <c r="UE17" s="253"/>
      <c r="UF17" s="253"/>
      <c r="UG17" s="253"/>
      <c r="UH17" s="253"/>
      <c r="UI17" s="253"/>
      <c r="UJ17" s="253"/>
      <c r="UK17" s="253"/>
      <c r="UL17" s="253"/>
      <c r="UM17" s="253"/>
      <c r="UN17" s="253"/>
      <c r="UO17" s="253"/>
      <c r="UP17" s="253"/>
      <c r="UQ17" s="253"/>
      <c r="UR17" s="253"/>
      <c r="US17" s="253"/>
      <c r="UT17" s="253"/>
      <c r="UU17" s="253"/>
      <c r="UV17" s="253"/>
      <c r="UW17" s="253"/>
      <c r="UX17" s="253"/>
      <c r="UY17" s="253"/>
      <c r="UZ17" s="253"/>
      <c r="VA17" s="253"/>
      <c r="VB17" s="253"/>
      <c r="VC17" s="253"/>
      <c r="VD17" s="253"/>
      <c r="VE17" s="253"/>
      <c r="VF17" s="253"/>
      <c r="VG17" s="253"/>
      <c r="VH17" s="253"/>
      <c r="VI17" s="253"/>
      <c r="VJ17" s="253"/>
      <c r="VK17" s="253"/>
      <c r="VL17" s="253"/>
      <c r="VM17" s="253"/>
      <c r="VN17" s="253"/>
      <c r="VO17" s="253"/>
      <c r="VP17" s="253"/>
      <c r="VQ17" s="253"/>
      <c r="VR17" s="253"/>
      <c r="VS17" s="253"/>
      <c r="VT17" s="252"/>
      <c r="VU17" s="252"/>
    </row>
    <row r="18" ht="18" hidden="1" customHeight="1" spans="1:593">
      <c r="A18" s="53"/>
      <c r="B18" s="53"/>
      <c r="C18" s="160" t="s">
        <v>20</v>
      </c>
      <c r="D18" s="160" t="s">
        <v>21</v>
      </c>
      <c r="E18" s="161" t="s">
        <v>22</v>
      </c>
      <c r="F18" s="162" t="s">
        <v>23</v>
      </c>
      <c r="G18" s="162" t="s">
        <v>24</v>
      </c>
      <c r="H18" s="162" t="s">
        <v>25</v>
      </c>
      <c r="I18" s="162" t="s">
        <v>26</v>
      </c>
      <c r="J18" s="162" t="s">
        <v>27</v>
      </c>
      <c r="K18" s="162" t="s">
        <v>28</v>
      </c>
      <c r="L18" s="162" t="s">
        <v>29</v>
      </c>
      <c r="M18" s="161" t="s">
        <v>30</v>
      </c>
      <c r="N18" s="161" t="s">
        <v>31</v>
      </c>
      <c r="O18" s="162" t="s">
        <v>32</v>
      </c>
      <c r="P18" s="162" t="s">
        <v>33</v>
      </c>
      <c r="Q18" s="162" t="s">
        <v>34</v>
      </c>
      <c r="R18" s="162" t="s">
        <v>35</v>
      </c>
      <c r="S18" s="162" t="s">
        <v>36</v>
      </c>
      <c r="T18" s="162" t="s">
        <v>37</v>
      </c>
      <c r="U18" s="162" t="s">
        <v>38</v>
      </c>
      <c r="V18" s="162" t="s">
        <v>39</v>
      </c>
      <c r="W18" s="162" t="s">
        <v>40</v>
      </c>
      <c r="X18" s="163" t="s">
        <v>41</v>
      </c>
      <c r="Y18" s="164" t="s">
        <v>42</v>
      </c>
      <c r="Z18" s="165" t="s">
        <v>43</v>
      </c>
      <c r="AA18" s="166" t="s">
        <v>44</v>
      </c>
      <c r="AB18" s="165" t="s">
        <v>45</v>
      </c>
      <c r="AC18" s="166" t="s">
        <v>46</v>
      </c>
      <c r="AD18" s="167" t="s">
        <v>47</v>
      </c>
      <c r="AE18" s="166" t="s">
        <v>48</v>
      </c>
      <c r="AF18" s="166" t="s">
        <v>49</v>
      </c>
      <c r="AG18" s="168" t="s">
        <v>50</v>
      </c>
      <c r="AH18" s="169" t="s">
        <v>51</v>
      </c>
      <c r="AI18" s="53"/>
      <c r="AJ18" s="160" t="s">
        <v>20</v>
      </c>
      <c r="AK18" s="160" t="s">
        <v>21</v>
      </c>
      <c r="AL18" s="161" t="s">
        <v>154</v>
      </c>
      <c r="AM18" s="162" t="s">
        <v>23</v>
      </c>
      <c r="AN18" s="162" t="s">
        <v>24</v>
      </c>
      <c r="AO18" s="162" t="s">
        <v>25</v>
      </c>
      <c r="AP18" s="162" t="s">
        <v>26</v>
      </c>
      <c r="AQ18" s="162" t="s">
        <v>27</v>
      </c>
      <c r="AR18" s="162" t="s">
        <v>28</v>
      </c>
      <c r="AS18" s="162" t="s">
        <v>29</v>
      </c>
      <c r="AT18" s="161" t="s">
        <v>30</v>
      </c>
      <c r="AU18" s="161" t="s">
        <v>31</v>
      </c>
      <c r="AV18" s="162" t="s">
        <v>32</v>
      </c>
      <c r="AW18" s="162" t="s">
        <v>33</v>
      </c>
      <c r="AX18" s="162" t="s">
        <v>34</v>
      </c>
      <c r="AY18" s="162" t="s">
        <v>35</v>
      </c>
      <c r="AZ18" s="162" t="s">
        <v>36</v>
      </c>
      <c r="BA18" s="162" t="s">
        <v>37</v>
      </c>
      <c r="BB18" s="162" t="s">
        <v>38</v>
      </c>
      <c r="BC18" s="162" t="s">
        <v>39</v>
      </c>
      <c r="BD18" s="162" t="s">
        <v>40</v>
      </c>
      <c r="BE18" s="163" t="s">
        <v>155</v>
      </c>
      <c r="BF18" s="164" t="s">
        <v>42</v>
      </c>
      <c r="BG18" s="165" t="s">
        <v>156</v>
      </c>
      <c r="BH18" s="166" t="s">
        <v>53</v>
      </c>
      <c r="BI18" s="165" t="s">
        <v>59</v>
      </c>
      <c r="BJ18" s="166" t="s">
        <v>154</v>
      </c>
      <c r="BK18" s="167" t="s">
        <v>47</v>
      </c>
      <c r="BL18" s="166" t="s">
        <v>157</v>
      </c>
      <c r="BM18" s="166" t="s">
        <v>61</v>
      </c>
      <c r="BN18" s="168" t="s">
        <v>158</v>
      </c>
      <c r="BO18" s="169" t="s">
        <v>51</v>
      </c>
      <c r="BP18" s="53"/>
      <c r="BQ18" s="160" t="s">
        <v>20</v>
      </c>
      <c r="BR18" s="160" t="s">
        <v>21</v>
      </c>
      <c r="BS18" s="161" t="s">
        <v>154</v>
      </c>
      <c r="BT18" s="162" t="s">
        <v>23</v>
      </c>
      <c r="BU18" s="162" t="s">
        <v>24</v>
      </c>
      <c r="BV18" s="162" t="s">
        <v>25</v>
      </c>
      <c r="BW18" s="162" t="s">
        <v>26</v>
      </c>
      <c r="BX18" s="162" t="s">
        <v>27</v>
      </c>
      <c r="BY18" s="162" t="s">
        <v>28</v>
      </c>
      <c r="BZ18" s="162" t="s">
        <v>29</v>
      </c>
      <c r="CA18" s="161" t="s">
        <v>30</v>
      </c>
      <c r="CB18" s="161" t="s">
        <v>31</v>
      </c>
      <c r="CC18" s="162" t="s">
        <v>32</v>
      </c>
      <c r="CD18" s="162" t="s">
        <v>33</v>
      </c>
      <c r="CE18" s="162" t="s">
        <v>34</v>
      </c>
      <c r="CF18" s="162" t="s">
        <v>35</v>
      </c>
      <c r="CG18" s="162" t="s">
        <v>36</v>
      </c>
      <c r="CH18" s="162" t="s">
        <v>37</v>
      </c>
      <c r="CI18" s="162" t="s">
        <v>38</v>
      </c>
      <c r="CJ18" s="162" t="s">
        <v>39</v>
      </c>
      <c r="CK18" s="162" t="s">
        <v>40</v>
      </c>
      <c r="CL18" s="163" t="s">
        <v>155</v>
      </c>
      <c r="CM18" s="164" t="s">
        <v>42</v>
      </c>
      <c r="CN18" s="165" t="s">
        <v>156</v>
      </c>
      <c r="CO18" s="166" t="s">
        <v>53</v>
      </c>
      <c r="CP18" s="165" t="s">
        <v>59</v>
      </c>
      <c r="CQ18" s="166" t="s">
        <v>154</v>
      </c>
      <c r="CR18" s="167" t="s">
        <v>47</v>
      </c>
      <c r="CS18" s="166" t="s">
        <v>157</v>
      </c>
      <c r="CT18" s="166" t="s">
        <v>61</v>
      </c>
      <c r="CU18" s="168" t="s">
        <v>158</v>
      </c>
      <c r="CV18" s="169" t="s">
        <v>51</v>
      </c>
      <c r="CW18" s="53"/>
      <c r="CX18" s="160" t="s">
        <v>20</v>
      </c>
      <c r="CY18" s="160" t="s">
        <v>21</v>
      </c>
      <c r="CZ18" s="161" t="s">
        <v>22</v>
      </c>
      <c r="DA18" s="162" t="s">
        <v>23</v>
      </c>
      <c r="DB18" s="162" t="s">
        <v>24</v>
      </c>
      <c r="DC18" s="162" t="s">
        <v>25</v>
      </c>
      <c r="DD18" s="162" t="s">
        <v>26</v>
      </c>
      <c r="DE18" s="162" t="s">
        <v>27</v>
      </c>
      <c r="DF18" s="162" t="s">
        <v>28</v>
      </c>
      <c r="DG18" s="162" t="s">
        <v>29</v>
      </c>
      <c r="DH18" s="161" t="s">
        <v>30</v>
      </c>
      <c r="DI18" s="161" t="s">
        <v>31</v>
      </c>
      <c r="DJ18" s="162" t="s">
        <v>32</v>
      </c>
      <c r="DK18" s="162" t="s">
        <v>33</v>
      </c>
      <c r="DL18" s="162" t="s">
        <v>34</v>
      </c>
      <c r="DM18" s="162" t="s">
        <v>35</v>
      </c>
      <c r="DN18" s="162" t="s">
        <v>36</v>
      </c>
      <c r="DO18" s="162" t="s">
        <v>37</v>
      </c>
      <c r="DP18" s="162" t="s">
        <v>38</v>
      </c>
      <c r="DQ18" s="162" t="s">
        <v>39</v>
      </c>
      <c r="DR18" s="162" t="s">
        <v>40</v>
      </c>
      <c r="DS18" s="163" t="s">
        <v>41</v>
      </c>
      <c r="DT18" s="164" t="s">
        <v>42</v>
      </c>
      <c r="DU18" s="165" t="s">
        <v>43</v>
      </c>
      <c r="DV18" s="166" t="s">
        <v>44</v>
      </c>
      <c r="DW18" s="165" t="s">
        <v>45</v>
      </c>
      <c r="DX18" s="166" t="s">
        <v>46</v>
      </c>
      <c r="DY18" s="167" t="s">
        <v>47</v>
      </c>
      <c r="DZ18" s="166" t="s">
        <v>48</v>
      </c>
      <c r="EA18" s="166" t="s">
        <v>49</v>
      </c>
      <c r="EB18" s="168" t="s">
        <v>50</v>
      </c>
      <c r="EC18" s="169" t="s">
        <v>51</v>
      </c>
      <c r="ED18" s="53"/>
      <c r="EE18" s="160" t="s">
        <v>20</v>
      </c>
      <c r="EF18" s="160" t="s">
        <v>21</v>
      </c>
      <c r="EG18" s="161" t="s">
        <v>22</v>
      </c>
      <c r="EH18" s="162" t="s">
        <v>23</v>
      </c>
      <c r="EI18" s="162" t="s">
        <v>24</v>
      </c>
      <c r="EJ18" s="162" t="s">
        <v>25</v>
      </c>
      <c r="EK18" s="162" t="s">
        <v>26</v>
      </c>
      <c r="EL18" s="162" t="s">
        <v>27</v>
      </c>
      <c r="EM18" s="162" t="s">
        <v>28</v>
      </c>
      <c r="EN18" s="162" t="s">
        <v>29</v>
      </c>
      <c r="EO18" s="161" t="s">
        <v>30</v>
      </c>
      <c r="EP18" s="161" t="s">
        <v>31</v>
      </c>
      <c r="EQ18" s="162" t="s">
        <v>32</v>
      </c>
      <c r="ER18" s="162" t="s">
        <v>33</v>
      </c>
      <c r="ES18" s="162" t="s">
        <v>34</v>
      </c>
      <c r="ET18" s="162" t="s">
        <v>35</v>
      </c>
      <c r="EU18" s="162" t="s">
        <v>36</v>
      </c>
      <c r="EV18" s="162" t="s">
        <v>37</v>
      </c>
      <c r="EW18" s="162" t="s">
        <v>38</v>
      </c>
      <c r="EX18" s="162" t="s">
        <v>39</v>
      </c>
      <c r="EY18" s="162" t="s">
        <v>40</v>
      </c>
      <c r="EZ18" s="163" t="s">
        <v>41</v>
      </c>
      <c r="FA18" s="164" t="s">
        <v>42</v>
      </c>
      <c r="FB18" s="165" t="s">
        <v>43</v>
      </c>
      <c r="FC18" s="166" t="s">
        <v>44</v>
      </c>
      <c r="FD18" s="165" t="s">
        <v>45</v>
      </c>
      <c r="FE18" s="166" t="s">
        <v>46</v>
      </c>
      <c r="FF18" s="167" t="s">
        <v>47</v>
      </c>
      <c r="FG18" s="166" t="s">
        <v>48</v>
      </c>
      <c r="FH18" s="166" t="s">
        <v>49</v>
      </c>
      <c r="FI18" s="168" t="s">
        <v>50</v>
      </c>
      <c r="FJ18" s="169" t="s">
        <v>51</v>
      </c>
      <c r="FK18" s="53"/>
      <c r="FL18" s="53"/>
      <c r="FM18" s="53"/>
      <c r="FN18" s="160" t="s">
        <v>20</v>
      </c>
      <c r="FO18" s="160" t="s">
        <v>21</v>
      </c>
      <c r="FP18" s="161" t="s">
        <v>22</v>
      </c>
      <c r="FQ18" s="162" t="s">
        <v>23</v>
      </c>
      <c r="FR18" s="162" t="s">
        <v>24</v>
      </c>
      <c r="FS18" s="162" t="s">
        <v>25</v>
      </c>
      <c r="FT18" s="162" t="s">
        <v>26</v>
      </c>
      <c r="FU18" s="162" t="s">
        <v>27</v>
      </c>
      <c r="FV18" s="162" t="s">
        <v>28</v>
      </c>
      <c r="FW18" s="162" t="s">
        <v>29</v>
      </c>
      <c r="FX18" s="161" t="s">
        <v>30</v>
      </c>
      <c r="FY18" s="161" t="s">
        <v>31</v>
      </c>
      <c r="FZ18" s="162" t="s">
        <v>32</v>
      </c>
      <c r="GA18" s="162" t="s">
        <v>33</v>
      </c>
      <c r="GB18" s="162" t="s">
        <v>34</v>
      </c>
      <c r="GC18" s="162" t="s">
        <v>35</v>
      </c>
      <c r="GD18" s="162" t="s">
        <v>36</v>
      </c>
      <c r="GE18" s="162" t="s">
        <v>37</v>
      </c>
      <c r="GF18" s="162" t="s">
        <v>38</v>
      </c>
      <c r="GG18" s="162" t="s">
        <v>39</v>
      </c>
      <c r="GH18" s="162" t="s">
        <v>40</v>
      </c>
      <c r="GI18" s="163" t="s">
        <v>41</v>
      </c>
      <c r="GJ18" s="164" t="s">
        <v>42</v>
      </c>
      <c r="GK18" s="165" t="s">
        <v>43</v>
      </c>
      <c r="GL18" s="166" t="s">
        <v>44</v>
      </c>
      <c r="GM18" s="165" t="s">
        <v>45</v>
      </c>
      <c r="GN18" s="166" t="s">
        <v>46</v>
      </c>
      <c r="GO18" s="167" t="s">
        <v>47</v>
      </c>
      <c r="GP18" s="166" t="s">
        <v>48</v>
      </c>
      <c r="GQ18" s="166" t="s">
        <v>49</v>
      </c>
      <c r="GR18" s="168" t="s">
        <v>50</v>
      </c>
      <c r="GS18" s="169" t="s">
        <v>51</v>
      </c>
      <c r="GT18" s="53"/>
      <c r="GU18" s="53"/>
      <c r="GV18" s="160" t="s">
        <v>20</v>
      </c>
      <c r="GW18" s="160" t="s">
        <v>21</v>
      </c>
      <c r="GX18" s="161" t="s">
        <v>22</v>
      </c>
      <c r="GY18" s="162" t="s">
        <v>23</v>
      </c>
      <c r="GZ18" s="162" t="s">
        <v>24</v>
      </c>
      <c r="HA18" s="162" t="s">
        <v>25</v>
      </c>
      <c r="HB18" s="162" t="s">
        <v>26</v>
      </c>
      <c r="HC18" s="162" t="s">
        <v>27</v>
      </c>
      <c r="HD18" s="162" t="s">
        <v>28</v>
      </c>
      <c r="HE18" s="162" t="s">
        <v>29</v>
      </c>
      <c r="HF18" s="161" t="s">
        <v>30</v>
      </c>
      <c r="HG18" s="161" t="s">
        <v>31</v>
      </c>
      <c r="HH18" s="162" t="s">
        <v>32</v>
      </c>
      <c r="HI18" s="162" t="s">
        <v>33</v>
      </c>
      <c r="HJ18" s="162" t="s">
        <v>34</v>
      </c>
      <c r="HK18" s="162" t="s">
        <v>35</v>
      </c>
      <c r="HL18" s="162" t="s">
        <v>36</v>
      </c>
      <c r="HM18" s="162" t="s">
        <v>37</v>
      </c>
      <c r="HN18" s="162" t="s">
        <v>38</v>
      </c>
      <c r="HO18" s="162" t="s">
        <v>39</v>
      </c>
      <c r="HP18" s="162" t="s">
        <v>40</v>
      </c>
      <c r="HQ18" s="163" t="s">
        <v>41</v>
      </c>
      <c r="HR18" s="164" t="s">
        <v>42</v>
      </c>
      <c r="HS18" s="165" t="s">
        <v>43</v>
      </c>
      <c r="HT18" s="166" t="s">
        <v>44</v>
      </c>
      <c r="HU18" s="165" t="s">
        <v>45</v>
      </c>
      <c r="HV18" s="166" t="s">
        <v>46</v>
      </c>
      <c r="HW18" s="167" t="s">
        <v>47</v>
      </c>
      <c r="HX18" s="166" t="s">
        <v>48</v>
      </c>
      <c r="HY18" s="166" t="s">
        <v>49</v>
      </c>
      <c r="HZ18" s="168" t="s">
        <v>50</v>
      </c>
      <c r="IA18" s="169" t="s">
        <v>51</v>
      </c>
      <c r="IB18" s="53"/>
      <c r="IC18" s="53"/>
      <c r="ID18" s="160" t="s">
        <v>20</v>
      </c>
      <c r="IE18" s="160" t="s">
        <v>21</v>
      </c>
      <c r="IF18" s="161" t="s">
        <v>22</v>
      </c>
      <c r="IG18" s="162" t="s">
        <v>23</v>
      </c>
      <c r="IH18" s="162" t="s">
        <v>24</v>
      </c>
      <c r="II18" s="162" t="s">
        <v>25</v>
      </c>
      <c r="IJ18" s="162" t="s">
        <v>26</v>
      </c>
      <c r="IK18" s="162" t="s">
        <v>27</v>
      </c>
      <c r="IL18" s="162" t="s">
        <v>28</v>
      </c>
      <c r="IM18" s="162" t="s">
        <v>29</v>
      </c>
      <c r="IN18" s="161" t="s">
        <v>30</v>
      </c>
      <c r="IO18" s="161" t="s">
        <v>31</v>
      </c>
      <c r="IP18" s="162" t="s">
        <v>32</v>
      </c>
      <c r="IQ18" s="162" t="s">
        <v>33</v>
      </c>
      <c r="IR18" s="162" t="s">
        <v>34</v>
      </c>
      <c r="IS18" s="162" t="s">
        <v>35</v>
      </c>
      <c r="IT18" s="162" t="s">
        <v>36</v>
      </c>
      <c r="IU18" s="162" t="s">
        <v>37</v>
      </c>
      <c r="IV18" s="162" t="s">
        <v>38</v>
      </c>
      <c r="IW18" s="162" t="s">
        <v>39</v>
      </c>
      <c r="IX18" s="162" t="s">
        <v>40</v>
      </c>
      <c r="IY18" s="163" t="s">
        <v>41</v>
      </c>
      <c r="IZ18" s="164" t="s">
        <v>42</v>
      </c>
      <c r="JA18" s="165" t="s">
        <v>43</v>
      </c>
      <c r="JB18" s="166" t="s">
        <v>44</v>
      </c>
      <c r="JC18" s="165" t="s">
        <v>45</v>
      </c>
      <c r="JD18" s="166" t="s">
        <v>46</v>
      </c>
      <c r="JE18" s="167" t="s">
        <v>47</v>
      </c>
      <c r="JF18" s="166" t="s">
        <v>48</v>
      </c>
      <c r="JG18" s="166" t="s">
        <v>49</v>
      </c>
      <c r="JH18" s="168" t="s">
        <v>50</v>
      </c>
      <c r="JI18" s="169" t="s">
        <v>51</v>
      </c>
      <c r="JJ18" s="53"/>
      <c r="JK18" s="53"/>
      <c r="JL18" s="160" t="s">
        <v>20</v>
      </c>
      <c r="JM18" s="160" t="s">
        <v>21</v>
      </c>
      <c r="JN18" s="161" t="s">
        <v>22</v>
      </c>
      <c r="JO18" s="162" t="s">
        <v>23</v>
      </c>
      <c r="JP18" s="162" t="s">
        <v>24</v>
      </c>
      <c r="JQ18" s="162" t="s">
        <v>25</v>
      </c>
      <c r="JR18" s="162" t="s">
        <v>26</v>
      </c>
      <c r="JS18" s="162" t="s">
        <v>27</v>
      </c>
      <c r="JT18" s="162" t="s">
        <v>28</v>
      </c>
      <c r="JU18" s="162" t="s">
        <v>29</v>
      </c>
      <c r="JV18" s="161" t="s">
        <v>30</v>
      </c>
      <c r="JW18" s="161" t="s">
        <v>31</v>
      </c>
      <c r="JX18" s="162" t="s">
        <v>32</v>
      </c>
      <c r="JY18" s="162" t="s">
        <v>33</v>
      </c>
      <c r="JZ18" s="162" t="s">
        <v>34</v>
      </c>
      <c r="KA18" s="162" t="s">
        <v>35</v>
      </c>
      <c r="KB18" s="162" t="s">
        <v>36</v>
      </c>
      <c r="KC18" s="162" t="s">
        <v>37</v>
      </c>
      <c r="KD18" s="162" t="s">
        <v>38</v>
      </c>
      <c r="KE18" s="162" t="s">
        <v>39</v>
      </c>
      <c r="KF18" s="162" t="s">
        <v>40</v>
      </c>
      <c r="KG18" s="163" t="s">
        <v>41</v>
      </c>
      <c r="KH18" s="164" t="s">
        <v>42</v>
      </c>
      <c r="KI18" s="165" t="s">
        <v>43</v>
      </c>
      <c r="KJ18" s="166" t="s">
        <v>44</v>
      </c>
      <c r="KK18" s="165" t="s">
        <v>45</v>
      </c>
      <c r="KL18" s="166" t="s">
        <v>46</v>
      </c>
      <c r="KM18" s="167" t="s">
        <v>47</v>
      </c>
      <c r="KN18" s="166" t="s">
        <v>48</v>
      </c>
      <c r="KO18" s="166" t="s">
        <v>49</v>
      </c>
      <c r="KP18" s="168" t="s">
        <v>50</v>
      </c>
      <c r="KQ18" s="169" t="s">
        <v>51</v>
      </c>
      <c r="KR18" s="53"/>
      <c r="KS18" s="53"/>
      <c r="KT18" s="254" t="s">
        <v>20</v>
      </c>
      <c r="KU18" s="254" t="s">
        <v>21</v>
      </c>
      <c r="KV18" s="254"/>
      <c r="KW18" s="255" t="s">
        <v>23</v>
      </c>
      <c r="KX18" s="255"/>
      <c r="KY18" s="255" t="s">
        <v>54</v>
      </c>
      <c r="KZ18" s="255" t="s">
        <v>55</v>
      </c>
      <c r="LA18" s="255" t="s">
        <v>27</v>
      </c>
      <c r="LB18" s="255" t="s">
        <v>159</v>
      </c>
      <c r="LC18" s="255" t="s">
        <v>29</v>
      </c>
      <c r="LD18" s="256" t="s">
        <v>30</v>
      </c>
      <c r="LE18" s="256" t="s">
        <v>31</v>
      </c>
      <c r="LF18" s="256"/>
      <c r="LG18" s="255" t="s">
        <v>33</v>
      </c>
      <c r="LH18" s="255" t="s">
        <v>34</v>
      </c>
      <c r="LI18" s="255" t="s">
        <v>35</v>
      </c>
      <c r="LJ18" s="255" t="s">
        <v>36</v>
      </c>
      <c r="LK18" s="255" t="s">
        <v>37</v>
      </c>
      <c r="LL18" s="255" t="s">
        <v>38</v>
      </c>
      <c r="LM18" s="255" t="s">
        <v>39</v>
      </c>
      <c r="LN18" s="255" t="s">
        <v>40</v>
      </c>
      <c r="LO18" s="256" t="s">
        <v>155</v>
      </c>
      <c r="LP18" s="257" t="s">
        <v>42</v>
      </c>
      <c r="LQ18" s="258" t="s">
        <v>156</v>
      </c>
      <c r="LR18" s="259" t="s">
        <v>53</v>
      </c>
      <c r="LS18" s="258" t="s">
        <v>59</v>
      </c>
      <c r="LT18" s="258"/>
      <c r="LU18" s="259" t="s">
        <v>47</v>
      </c>
      <c r="LV18" s="259" t="s">
        <v>157</v>
      </c>
      <c r="LW18" s="259" t="s">
        <v>61</v>
      </c>
      <c r="LX18" s="260" t="s">
        <v>158</v>
      </c>
      <c r="LY18" s="260" t="s">
        <v>51</v>
      </c>
      <c r="LZ18" s="241"/>
      <c r="MA18" s="241"/>
      <c r="MB18" s="254" t="s">
        <v>20</v>
      </c>
      <c r="MC18" s="254" t="s">
        <v>21</v>
      </c>
      <c r="MD18" s="254"/>
      <c r="ME18" s="255" t="s">
        <v>23</v>
      </c>
      <c r="MF18" s="255"/>
      <c r="MG18" s="255" t="s">
        <v>54</v>
      </c>
      <c r="MH18" s="255" t="s">
        <v>55</v>
      </c>
      <c r="MI18" s="255" t="s">
        <v>27</v>
      </c>
      <c r="MJ18" s="255" t="s">
        <v>159</v>
      </c>
      <c r="MK18" s="255" t="s">
        <v>29</v>
      </c>
      <c r="ML18" s="256" t="s">
        <v>30</v>
      </c>
      <c r="MM18" s="256" t="s">
        <v>31</v>
      </c>
      <c r="MN18" s="256"/>
      <c r="MO18" s="255" t="s">
        <v>33</v>
      </c>
      <c r="MP18" s="255" t="s">
        <v>34</v>
      </c>
      <c r="MQ18" s="255" t="s">
        <v>35</v>
      </c>
      <c r="MR18" s="255" t="s">
        <v>36</v>
      </c>
      <c r="MS18" s="255" t="s">
        <v>37</v>
      </c>
      <c r="MT18" s="255" t="s">
        <v>38</v>
      </c>
      <c r="MU18" s="255" t="s">
        <v>39</v>
      </c>
      <c r="MV18" s="255" t="s">
        <v>40</v>
      </c>
      <c r="MW18" s="256" t="s">
        <v>155</v>
      </c>
      <c r="MX18" s="257" t="s">
        <v>42</v>
      </c>
      <c r="MY18" s="258" t="s">
        <v>156</v>
      </c>
      <c r="MZ18" s="259" t="s">
        <v>53</v>
      </c>
      <c r="NA18" s="258" t="s">
        <v>59</v>
      </c>
      <c r="NB18" s="259" t="s">
        <v>47</v>
      </c>
      <c r="NC18" s="259"/>
      <c r="ND18" s="259" t="s">
        <v>157</v>
      </c>
      <c r="NE18" s="259" t="s">
        <v>61</v>
      </c>
      <c r="NF18" s="260" t="s">
        <v>158</v>
      </c>
      <c r="NG18" s="260" t="s">
        <v>51</v>
      </c>
      <c r="NH18" s="53"/>
      <c r="NI18" s="53"/>
      <c r="NJ18" s="254" t="s">
        <v>20</v>
      </c>
      <c r="NK18" s="254" t="s">
        <v>21</v>
      </c>
      <c r="NL18" s="254"/>
      <c r="NM18" s="255" t="s">
        <v>23</v>
      </c>
      <c r="NN18" s="255"/>
      <c r="NO18" s="255" t="s">
        <v>54</v>
      </c>
      <c r="NP18" s="255" t="s">
        <v>55</v>
      </c>
      <c r="NQ18" s="255" t="s">
        <v>27</v>
      </c>
      <c r="NR18" s="255" t="s">
        <v>159</v>
      </c>
      <c r="NS18" s="255" t="s">
        <v>29</v>
      </c>
      <c r="NT18" s="256" t="s">
        <v>30</v>
      </c>
      <c r="NU18" s="256" t="s">
        <v>31</v>
      </c>
      <c r="NV18" s="261"/>
      <c r="NW18" s="262" t="s">
        <v>33</v>
      </c>
      <c r="NX18" s="262" t="s">
        <v>34</v>
      </c>
      <c r="NY18" s="262" t="s">
        <v>35</v>
      </c>
      <c r="NZ18" s="255" t="s">
        <v>36</v>
      </c>
      <c r="OA18" s="255" t="s">
        <v>37</v>
      </c>
      <c r="OB18" s="255" t="s">
        <v>38</v>
      </c>
      <c r="OC18" s="255" t="s">
        <v>39</v>
      </c>
      <c r="OD18" s="255" t="s">
        <v>40</v>
      </c>
      <c r="OE18" s="256" t="s">
        <v>58</v>
      </c>
      <c r="OF18" s="257" t="s">
        <v>42</v>
      </c>
      <c r="OG18" s="258" t="s">
        <v>156</v>
      </c>
      <c r="OH18" s="259" t="s">
        <v>53</v>
      </c>
      <c r="OI18" s="258" t="s">
        <v>59</v>
      </c>
      <c r="OJ18" s="258"/>
      <c r="OK18" s="259" t="s">
        <v>47</v>
      </c>
      <c r="OL18" s="259" t="s">
        <v>157</v>
      </c>
      <c r="OM18" s="259" t="s">
        <v>61</v>
      </c>
      <c r="ON18" s="260" t="s">
        <v>158</v>
      </c>
      <c r="OO18" s="260" t="s">
        <v>51</v>
      </c>
      <c r="OP18" s="53"/>
      <c r="OQ18" s="53"/>
      <c r="OR18" s="53"/>
      <c r="OS18" s="95" t="s">
        <v>20</v>
      </c>
      <c r="OT18" s="95" t="s">
        <v>21</v>
      </c>
      <c r="OU18" s="170" t="s">
        <v>23</v>
      </c>
      <c r="OV18" s="170" t="s">
        <v>54</v>
      </c>
      <c r="OW18" s="170" t="s">
        <v>55</v>
      </c>
      <c r="OX18" s="170" t="s">
        <v>27</v>
      </c>
      <c r="OY18" s="170" t="s">
        <v>159</v>
      </c>
      <c r="OZ18" s="170" t="s">
        <v>29</v>
      </c>
      <c r="PA18" s="172" t="s">
        <v>30</v>
      </c>
      <c r="PB18" s="172" t="s">
        <v>31</v>
      </c>
      <c r="PC18" s="170" t="s">
        <v>36</v>
      </c>
      <c r="PD18" s="170" t="s">
        <v>37</v>
      </c>
      <c r="PE18" s="170" t="s">
        <v>38</v>
      </c>
      <c r="PF18" s="170" t="s">
        <v>39</v>
      </c>
      <c r="PG18" s="170" t="s">
        <v>40</v>
      </c>
      <c r="PH18" s="172" t="s">
        <v>58</v>
      </c>
      <c r="PI18" s="173" t="s">
        <v>42</v>
      </c>
      <c r="PJ18" s="171" t="s">
        <v>156</v>
      </c>
      <c r="PK18" s="174" t="s">
        <v>53</v>
      </c>
      <c r="PL18" s="171" t="s">
        <v>59</v>
      </c>
      <c r="PM18" s="174" t="s">
        <v>47</v>
      </c>
      <c r="PN18" s="174" t="s">
        <v>157</v>
      </c>
      <c r="PO18" s="174" t="s">
        <v>61</v>
      </c>
      <c r="PP18" s="102" t="s">
        <v>158</v>
      </c>
      <c r="PQ18" s="102" t="s">
        <v>51</v>
      </c>
      <c r="PR18" s="198"/>
      <c r="PS18" s="144"/>
      <c r="PT18" s="144"/>
      <c r="PU18" s="95" t="s">
        <v>20</v>
      </c>
      <c r="PV18" s="95" t="s">
        <v>21</v>
      </c>
      <c r="PW18" s="170" t="s">
        <v>23</v>
      </c>
      <c r="PX18" s="170" t="s">
        <v>54</v>
      </c>
      <c r="PY18" s="170" t="s">
        <v>55</v>
      </c>
      <c r="PZ18" s="170" t="s">
        <v>27</v>
      </c>
      <c r="QA18" s="170" t="s">
        <v>56</v>
      </c>
      <c r="QB18" s="170" t="s">
        <v>57</v>
      </c>
      <c r="QC18" s="170" t="s">
        <v>36</v>
      </c>
      <c r="QD18" s="170" t="s">
        <v>37</v>
      </c>
      <c r="QE18" s="170" t="s">
        <v>38</v>
      </c>
      <c r="QF18" s="170" t="s">
        <v>39</v>
      </c>
      <c r="QG18" s="171" t="s">
        <v>40</v>
      </c>
      <c r="QH18" s="172" t="s">
        <v>58</v>
      </c>
      <c r="QI18" s="173" t="s">
        <v>42</v>
      </c>
      <c r="QJ18" s="171" t="s">
        <v>156</v>
      </c>
      <c r="QK18" s="174" t="s">
        <v>53</v>
      </c>
      <c r="QL18" s="171" t="s">
        <v>59</v>
      </c>
      <c r="QM18" s="174" t="s">
        <v>47</v>
      </c>
      <c r="QN18" s="174" t="s">
        <v>60</v>
      </c>
      <c r="QO18" s="174" t="s">
        <v>61</v>
      </c>
      <c r="QP18" s="102" t="s">
        <v>158</v>
      </c>
      <c r="QQ18" s="102" t="s">
        <v>51</v>
      </c>
      <c r="QR18" s="157"/>
      <c r="QS18" s="144"/>
      <c r="QT18" s="144"/>
      <c r="QU18" s="95" t="s">
        <v>20</v>
      </c>
      <c r="QV18" s="95" t="s">
        <v>62</v>
      </c>
      <c r="QW18" s="175" t="s">
        <v>54</v>
      </c>
      <c r="QX18" s="175" t="s">
        <v>55</v>
      </c>
      <c r="QY18" s="175" t="s">
        <v>63</v>
      </c>
      <c r="QZ18" s="175" t="s">
        <v>36</v>
      </c>
      <c r="RA18" s="175" t="s">
        <v>38</v>
      </c>
      <c r="RB18" s="175" t="s">
        <v>39</v>
      </c>
      <c r="RC18" s="175" t="s">
        <v>39</v>
      </c>
      <c r="RD18" s="171" t="s">
        <v>40</v>
      </c>
      <c r="RE18" s="170" t="s">
        <v>58</v>
      </c>
      <c r="RF18" s="173" t="s">
        <v>42</v>
      </c>
      <c r="RG18" s="171" t="s">
        <v>156</v>
      </c>
      <c r="RH18" s="174" t="s">
        <v>64</v>
      </c>
      <c r="RI18" s="171" t="s">
        <v>59</v>
      </c>
      <c r="RJ18" s="176" t="s">
        <v>47</v>
      </c>
      <c r="RK18" s="174" t="s">
        <v>61</v>
      </c>
      <c r="RL18" s="263" t="s">
        <v>158</v>
      </c>
      <c r="RM18" s="102" t="s">
        <v>51</v>
      </c>
      <c r="RN18" s="198"/>
      <c r="RO18" s="144"/>
      <c r="RP18" s="144"/>
      <c r="RQ18" s="95" t="s">
        <v>20</v>
      </c>
      <c r="RR18" s="95" t="s">
        <v>62</v>
      </c>
      <c r="RS18" s="175" t="s">
        <v>54</v>
      </c>
      <c r="RT18" s="175" t="s">
        <v>55</v>
      </c>
      <c r="RU18" s="175" t="s">
        <v>63</v>
      </c>
      <c r="RV18" s="175" t="s">
        <v>36</v>
      </c>
      <c r="RW18" s="175" t="s">
        <v>38</v>
      </c>
      <c r="RX18" s="175" t="s">
        <v>39</v>
      </c>
      <c r="RY18" s="177" t="s">
        <v>40</v>
      </c>
      <c r="RZ18" s="170" t="s">
        <v>58</v>
      </c>
      <c r="SA18" s="170" t="s">
        <v>65</v>
      </c>
      <c r="SB18" s="171" t="s">
        <v>42</v>
      </c>
      <c r="SC18" s="171" t="s">
        <v>156</v>
      </c>
      <c r="SD18" s="174" t="s">
        <v>64</v>
      </c>
      <c r="SE18" s="171" t="s">
        <v>59</v>
      </c>
      <c r="SF18" s="174" t="s">
        <v>47</v>
      </c>
      <c r="SG18" s="174" t="s">
        <v>61</v>
      </c>
      <c r="SH18" s="102" t="s">
        <v>158</v>
      </c>
      <c r="SI18" s="102" t="s">
        <v>51</v>
      </c>
      <c r="SJ18" s="157"/>
      <c r="SK18" s="144"/>
      <c r="SL18" s="157"/>
      <c r="SM18" s="95" t="s">
        <v>20</v>
      </c>
      <c r="SN18" s="95" t="s">
        <v>62</v>
      </c>
      <c r="SO18" s="175" t="s">
        <v>54</v>
      </c>
      <c r="SP18" s="175" t="s">
        <v>55</v>
      </c>
      <c r="SQ18" s="175" t="s">
        <v>63</v>
      </c>
      <c r="SR18" s="175" t="s">
        <v>36</v>
      </c>
      <c r="SS18" s="175" t="s">
        <v>38</v>
      </c>
      <c r="ST18" s="175" t="s">
        <v>39</v>
      </c>
      <c r="SU18" s="177" t="s">
        <v>40</v>
      </c>
      <c r="SV18" s="170" t="s">
        <v>58</v>
      </c>
      <c r="SW18" s="170" t="s">
        <v>65</v>
      </c>
      <c r="SX18" s="171" t="s">
        <v>42</v>
      </c>
      <c r="SY18" s="171" t="s">
        <v>156</v>
      </c>
      <c r="SZ18" s="174" t="s">
        <v>64</v>
      </c>
      <c r="TA18" s="171" t="s">
        <v>59</v>
      </c>
      <c r="TB18" s="174" t="s">
        <v>47</v>
      </c>
      <c r="TC18" s="174" t="s">
        <v>61</v>
      </c>
      <c r="TD18" s="102" t="s">
        <v>158</v>
      </c>
      <c r="TE18" s="102" t="s">
        <v>51</v>
      </c>
      <c r="TF18" s="156"/>
      <c r="TG18" s="84"/>
      <c r="TH18" s="95" t="s">
        <v>20</v>
      </c>
      <c r="TI18" s="95" t="s">
        <v>62</v>
      </c>
      <c r="TJ18" s="175" t="s">
        <v>54</v>
      </c>
      <c r="TK18" s="175" t="s">
        <v>55</v>
      </c>
      <c r="TL18" s="175" t="s">
        <v>63</v>
      </c>
      <c r="TM18" s="175" t="s">
        <v>36</v>
      </c>
      <c r="TN18" s="175" t="s">
        <v>38</v>
      </c>
      <c r="TO18" s="175" t="s">
        <v>39</v>
      </c>
      <c r="TP18" s="177" t="s">
        <v>40</v>
      </c>
      <c r="TQ18" s="170" t="s">
        <v>58</v>
      </c>
      <c r="TR18" s="170" t="s">
        <v>160</v>
      </c>
      <c r="TS18" s="171" t="s">
        <v>42</v>
      </c>
      <c r="TT18" s="171" t="s">
        <v>156</v>
      </c>
      <c r="TU18" s="174" t="s">
        <v>64</v>
      </c>
      <c r="TV18" s="171" t="s">
        <v>59</v>
      </c>
      <c r="TW18" s="174" t="s">
        <v>47</v>
      </c>
      <c r="TX18" s="174" t="s">
        <v>61</v>
      </c>
      <c r="TY18" s="102" t="s">
        <v>158</v>
      </c>
      <c r="TZ18" s="102" t="s">
        <v>51</v>
      </c>
      <c r="UA18" s="156"/>
      <c r="UB18" s="144"/>
      <c r="UC18" s="144"/>
      <c r="UD18" s="95" t="s">
        <v>20</v>
      </c>
      <c r="UE18" s="95" t="s">
        <v>62</v>
      </c>
      <c r="UF18" s="175" t="s">
        <v>54</v>
      </c>
      <c r="UG18" s="175" t="s">
        <v>55</v>
      </c>
      <c r="UH18" s="175" t="s">
        <v>63</v>
      </c>
      <c r="UI18" s="175" t="s">
        <v>36</v>
      </c>
      <c r="UJ18" s="175" t="s">
        <v>38</v>
      </c>
      <c r="UK18" s="175" t="s">
        <v>39</v>
      </c>
      <c r="UL18" s="177" t="s">
        <v>40</v>
      </c>
      <c r="UM18" s="170" t="s">
        <v>58</v>
      </c>
      <c r="UN18" s="170" t="s">
        <v>160</v>
      </c>
      <c r="UO18" s="171" t="s">
        <v>42</v>
      </c>
      <c r="UP18" s="171" t="s">
        <v>156</v>
      </c>
      <c r="UQ18" s="174" t="s">
        <v>64</v>
      </c>
      <c r="UR18" s="171" t="s">
        <v>59</v>
      </c>
      <c r="US18" s="174" t="s">
        <v>47</v>
      </c>
      <c r="UT18" s="174" t="s">
        <v>61</v>
      </c>
      <c r="UU18" s="102" t="s">
        <v>158</v>
      </c>
      <c r="UV18" s="102" t="s">
        <v>51</v>
      </c>
      <c r="UW18" s="144"/>
      <c r="UX18" s="144"/>
      <c r="UY18" s="144"/>
      <c r="UZ18" s="95" t="s">
        <v>20</v>
      </c>
      <c r="VA18" s="95" t="s">
        <v>62</v>
      </c>
      <c r="VB18" s="175" t="s">
        <v>54</v>
      </c>
      <c r="VC18" s="175" t="s">
        <v>55</v>
      </c>
      <c r="VD18" s="175" t="s">
        <v>63</v>
      </c>
      <c r="VE18" s="175" t="s">
        <v>36</v>
      </c>
      <c r="VF18" s="175" t="s">
        <v>38</v>
      </c>
      <c r="VG18" s="175" t="s">
        <v>39</v>
      </c>
      <c r="VH18" s="177" t="s">
        <v>40</v>
      </c>
      <c r="VI18" s="170" t="s">
        <v>58</v>
      </c>
      <c r="VJ18" s="170" t="s">
        <v>160</v>
      </c>
      <c r="VK18" s="171" t="s">
        <v>42</v>
      </c>
      <c r="VL18" s="171" t="s">
        <v>156</v>
      </c>
      <c r="VM18" s="174" t="s">
        <v>64</v>
      </c>
      <c r="VN18" s="171" t="s">
        <v>59</v>
      </c>
      <c r="VO18" s="174" t="s">
        <v>47</v>
      </c>
      <c r="VP18" s="174" t="s">
        <v>61</v>
      </c>
      <c r="VQ18" s="102" t="s">
        <v>158</v>
      </c>
      <c r="VR18" s="102" t="s">
        <v>51</v>
      </c>
      <c r="VS18" s="84"/>
      <c r="VT18" s="53"/>
      <c r="VU18" s="53"/>
    </row>
    <row r="19" ht="18" hidden="1" customHeight="1" spans="1:593">
      <c r="A19" s="53"/>
      <c r="B19" s="53"/>
      <c r="C19" s="160" t="s">
        <v>161</v>
      </c>
      <c r="D19" s="264"/>
      <c r="E19" s="161"/>
      <c r="F19" s="161"/>
      <c r="G19" s="161"/>
      <c r="H19" s="161"/>
      <c r="I19" s="161"/>
      <c r="J19" s="228"/>
      <c r="K19" s="228"/>
      <c r="L19" s="228"/>
      <c r="M19" s="161"/>
      <c r="N19" s="161"/>
      <c r="O19" s="161"/>
      <c r="P19" s="161"/>
      <c r="Q19" s="161"/>
      <c r="R19" s="161"/>
      <c r="S19" s="161"/>
      <c r="T19" s="228"/>
      <c r="U19" s="161"/>
      <c r="V19" s="161"/>
      <c r="W19" s="161"/>
      <c r="X19" s="161"/>
      <c r="Y19" s="164"/>
      <c r="Z19" s="164"/>
      <c r="AA19" s="229"/>
      <c r="AB19" s="164"/>
      <c r="AC19" s="229"/>
      <c r="AD19" s="229"/>
      <c r="AE19" s="229"/>
      <c r="AF19" s="230"/>
      <c r="AG19" s="231"/>
      <c r="AH19" s="188"/>
      <c r="AI19" s="53"/>
      <c r="AJ19" s="160" t="s">
        <v>161</v>
      </c>
      <c r="AK19" s="264"/>
      <c r="AL19" s="161"/>
      <c r="AM19" s="161"/>
      <c r="AN19" s="161"/>
      <c r="AO19" s="161"/>
      <c r="AP19" s="161"/>
      <c r="AQ19" s="228"/>
      <c r="AR19" s="228"/>
      <c r="AS19" s="228"/>
      <c r="AT19" s="161"/>
      <c r="AU19" s="161"/>
      <c r="AV19" s="161"/>
      <c r="AW19" s="161"/>
      <c r="AX19" s="161"/>
      <c r="AY19" s="161"/>
      <c r="AZ19" s="161"/>
      <c r="BA19" s="228"/>
      <c r="BB19" s="161"/>
      <c r="BC19" s="161"/>
      <c r="BD19" s="161"/>
      <c r="BE19" s="161"/>
      <c r="BF19" s="164"/>
      <c r="BG19" s="164"/>
      <c r="BH19" s="229"/>
      <c r="BI19" s="164"/>
      <c r="BJ19" s="229"/>
      <c r="BK19" s="229"/>
      <c r="BL19" s="229"/>
      <c r="BM19" s="230"/>
      <c r="BN19" s="231"/>
      <c r="BO19" s="188"/>
      <c r="BP19" s="53"/>
      <c r="BQ19" s="160" t="s">
        <v>161</v>
      </c>
      <c r="BR19" s="264"/>
      <c r="BS19" s="161"/>
      <c r="BT19" s="161"/>
      <c r="BU19" s="161"/>
      <c r="BV19" s="161"/>
      <c r="BW19" s="161"/>
      <c r="BX19" s="228"/>
      <c r="BY19" s="228"/>
      <c r="BZ19" s="228"/>
      <c r="CA19" s="161"/>
      <c r="CB19" s="161"/>
      <c r="CC19" s="161"/>
      <c r="CD19" s="161"/>
      <c r="CE19" s="161"/>
      <c r="CF19" s="161"/>
      <c r="CG19" s="161"/>
      <c r="CH19" s="228"/>
      <c r="CI19" s="161"/>
      <c r="CJ19" s="161"/>
      <c r="CK19" s="161"/>
      <c r="CL19" s="161"/>
      <c r="CM19" s="164"/>
      <c r="CN19" s="164"/>
      <c r="CO19" s="229"/>
      <c r="CP19" s="164"/>
      <c r="CQ19" s="229"/>
      <c r="CR19" s="229"/>
      <c r="CS19" s="229"/>
      <c r="CT19" s="230"/>
      <c r="CU19" s="231"/>
      <c r="CV19" s="188"/>
      <c r="CW19" s="53"/>
      <c r="CX19" s="160" t="s">
        <v>161</v>
      </c>
      <c r="CY19" s="264"/>
      <c r="CZ19" s="161"/>
      <c r="DA19" s="161"/>
      <c r="DB19" s="161"/>
      <c r="DC19" s="161"/>
      <c r="DD19" s="161"/>
      <c r="DE19" s="228"/>
      <c r="DF19" s="228"/>
      <c r="DG19" s="228"/>
      <c r="DH19" s="161"/>
      <c r="DI19" s="161"/>
      <c r="DJ19" s="161"/>
      <c r="DK19" s="161"/>
      <c r="DL19" s="161"/>
      <c r="DM19" s="161"/>
      <c r="DN19" s="161"/>
      <c r="DO19" s="228"/>
      <c r="DP19" s="161"/>
      <c r="DQ19" s="161"/>
      <c r="DR19" s="161"/>
      <c r="DS19" s="161"/>
      <c r="DT19" s="164"/>
      <c r="DU19" s="164"/>
      <c r="DV19" s="229"/>
      <c r="DW19" s="164"/>
      <c r="DX19" s="229"/>
      <c r="DY19" s="229"/>
      <c r="DZ19" s="229"/>
      <c r="EA19" s="230"/>
      <c r="EB19" s="231"/>
      <c r="EC19" s="188"/>
      <c r="ED19" s="53"/>
      <c r="EE19" s="160" t="s">
        <v>161</v>
      </c>
      <c r="EF19" s="160"/>
      <c r="EG19" s="160"/>
      <c r="EH19" s="162"/>
      <c r="EI19" s="162"/>
      <c r="EJ19" s="162"/>
      <c r="EK19" s="162"/>
      <c r="EL19" s="163"/>
      <c r="EM19" s="163"/>
      <c r="EN19" s="163"/>
      <c r="EO19" s="161"/>
      <c r="EP19" s="161"/>
      <c r="EQ19" s="162"/>
      <c r="ER19" s="162"/>
      <c r="ES19" s="162"/>
      <c r="ET19" s="162"/>
      <c r="EU19" s="162"/>
      <c r="EV19" s="162"/>
      <c r="EW19" s="162"/>
      <c r="EX19" s="162"/>
      <c r="EY19" s="162"/>
      <c r="EZ19" s="162"/>
      <c r="FA19" s="185"/>
      <c r="FB19" s="179"/>
      <c r="FC19" s="167"/>
      <c r="FD19" s="179"/>
      <c r="FE19" s="167"/>
      <c r="FF19" s="167"/>
      <c r="FG19" s="167"/>
      <c r="FH19" s="186"/>
      <c r="FI19" s="187"/>
      <c r="FJ19" s="188"/>
      <c r="FK19" s="53"/>
      <c r="FL19" s="53"/>
      <c r="FM19" s="53"/>
      <c r="FN19" s="160" t="s">
        <v>161</v>
      </c>
      <c r="FO19" s="160"/>
      <c r="FP19" s="160"/>
      <c r="FQ19" s="162"/>
      <c r="FR19" s="162"/>
      <c r="FS19" s="162"/>
      <c r="FT19" s="162"/>
      <c r="FU19" s="163"/>
      <c r="FV19" s="163"/>
      <c r="FW19" s="163"/>
      <c r="FX19" s="161"/>
      <c r="FY19" s="161"/>
      <c r="FZ19" s="162"/>
      <c r="GA19" s="162"/>
      <c r="GB19" s="162"/>
      <c r="GC19" s="162"/>
      <c r="GD19" s="162"/>
      <c r="GE19" s="162"/>
      <c r="GF19" s="162"/>
      <c r="GG19" s="162"/>
      <c r="GH19" s="162"/>
      <c r="GI19" s="162"/>
      <c r="GJ19" s="185"/>
      <c r="GK19" s="179"/>
      <c r="GL19" s="167"/>
      <c r="GM19" s="179"/>
      <c r="GN19" s="167"/>
      <c r="GO19" s="167"/>
      <c r="GP19" s="167"/>
      <c r="GQ19" s="186"/>
      <c r="GR19" s="187"/>
      <c r="GS19" s="188"/>
      <c r="GT19" s="53"/>
      <c r="GU19" s="53"/>
      <c r="GV19" s="160" t="s">
        <v>161</v>
      </c>
      <c r="GW19" s="160"/>
      <c r="GX19" s="160"/>
      <c r="GY19" s="162"/>
      <c r="GZ19" s="162"/>
      <c r="HA19" s="162"/>
      <c r="HB19" s="162"/>
      <c r="HC19" s="163"/>
      <c r="HD19" s="163"/>
      <c r="HE19" s="163"/>
      <c r="HF19" s="161"/>
      <c r="HG19" s="161"/>
      <c r="HH19" s="162"/>
      <c r="HI19" s="162"/>
      <c r="HJ19" s="162"/>
      <c r="HK19" s="162"/>
      <c r="HL19" s="162"/>
      <c r="HM19" s="162"/>
      <c r="HN19" s="162"/>
      <c r="HO19" s="162"/>
      <c r="HP19" s="162"/>
      <c r="HQ19" s="162"/>
      <c r="HR19" s="185"/>
      <c r="HS19" s="179"/>
      <c r="HT19" s="167"/>
      <c r="HU19" s="179"/>
      <c r="HV19" s="167"/>
      <c r="HW19" s="167"/>
      <c r="HX19" s="167"/>
      <c r="HY19" s="186"/>
      <c r="HZ19" s="187"/>
      <c r="IA19" s="188"/>
      <c r="IB19" s="53"/>
      <c r="IC19" s="53"/>
      <c r="ID19" s="160" t="s">
        <v>161</v>
      </c>
      <c r="IE19" s="160"/>
      <c r="IF19" s="160"/>
      <c r="IG19" s="162"/>
      <c r="IH19" s="162"/>
      <c r="II19" s="162"/>
      <c r="IJ19" s="162"/>
      <c r="IK19" s="163"/>
      <c r="IL19" s="163"/>
      <c r="IM19" s="163"/>
      <c r="IN19" s="161"/>
      <c r="IO19" s="161"/>
      <c r="IP19" s="162"/>
      <c r="IQ19" s="162"/>
      <c r="IR19" s="162"/>
      <c r="IS19" s="162"/>
      <c r="IT19" s="162"/>
      <c r="IU19" s="162"/>
      <c r="IV19" s="162"/>
      <c r="IW19" s="162"/>
      <c r="IX19" s="162"/>
      <c r="IY19" s="162"/>
      <c r="IZ19" s="185"/>
      <c r="JA19" s="179"/>
      <c r="JB19" s="167"/>
      <c r="JC19" s="179"/>
      <c r="JD19" s="167"/>
      <c r="JE19" s="167"/>
      <c r="JF19" s="167"/>
      <c r="JG19" s="186"/>
      <c r="JH19" s="187"/>
      <c r="JI19" s="188"/>
      <c r="JJ19" s="53"/>
      <c r="JK19" s="53"/>
      <c r="JL19" s="160" t="s">
        <v>161</v>
      </c>
      <c r="JM19" s="160"/>
      <c r="JN19" s="160"/>
      <c r="JO19" s="162"/>
      <c r="JP19" s="162"/>
      <c r="JQ19" s="162"/>
      <c r="JR19" s="162"/>
      <c r="JS19" s="163"/>
      <c r="JT19" s="163"/>
      <c r="JU19" s="163"/>
      <c r="JV19" s="161"/>
      <c r="JW19" s="161"/>
      <c r="JX19" s="162"/>
      <c r="JY19" s="162"/>
      <c r="JZ19" s="162"/>
      <c r="KA19" s="162"/>
      <c r="KB19" s="162"/>
      <c r="KC19" s="162"/>
      <c r="KD19" s="162"/>
      <c r="KE19" s="162"/>
      <c r="KF19" s="162"/>
      <c r="KG19" s="162"/>
      <c r="KH19" s="185"/>
      <c r="KI19" s="179"/>
      <c r="KJ19" s="167"/>
      <c r="KK19" s="179"/>
      <c r="KL19" s="167"/>
      <c r="KM19" s="167"/>
      <c r="KN19" s="167"/>
      <c r="KO19" s="186"/>
      <c r="KP19" s="187"/>
      <c r="KQ19" s="188"/>
      <c r="KR19" s="53"/>
      <c r="KS19" s="53"/>
      <c r="KT19" s="213" t="s">
        <v>161</v>
      </c>
      <c r="KU19" s="265"/>
      <c r="KV19" s="265"/>
      <c r="KW19" s="216"/>
      <c r="KX19" s="216"/>
      <c r="KY19" s="216"/>
      <c r="KZ19" s="216"/>
      <c r="LA19" s="223"/>
      <c r="LB19" s="223"/>
      <c r="LC19" s="223"/>
      <c r="LD19" s="216"/>
      <c r="LE19" s="216"/>
      <c r="LF19" s="216"/>
      <c r="LG19" s="216"/>
      <c r="LH19" s="216"/>
      <c r="LI19" s="216"/>
      <c r="LJ19" s="216"/>
      <c r="LK19" s="223"/>
      <c r="LL19" s="216"/>
      <c r="LM19" s="216"/>
      <c r="LN19" s="216"/>
      <c r="LO19" s="216"/>
      <c r="LP19" s="217"/>
      <c r="LQ19" s="217"/>
      <c r="LR19" s="224"/>
      <c r="LS19" s="217"/>
      <c r="LT19" s="217"/>
      <c r="LU19" s="224"/>
      <c r="LV19" s="224"/>
      <c r="LW19" s="225"/>
      <c r="LX19" s="234"/>
      <c r="LY19" s="222"/>
      <c r="LZ19" s="241"/>
      <c r="MA19" s="241"/>
      <c r="MB19" s="213" t="s">
        <v>161</v>
      </c>
      <c r="MC19" s="265"/>
      <c r="MD19" s="265"/>
      <c r="ME19" s="216"/>
      <c r="MF19" s="216"/>
      <c r="MG19" s="216"/>
      <c r="MH19" s="216"/>
      <c r="MI19" s="223"/>
      <c r="MJ19" s="223"/>
      <c r="MK19" s="223"/>
      <c r="ML19" s="216"/>
      <c r="MM19" s="216"/>
      <c r="MN19" s="216"/>
      <c r="MO19" s="216"/>
      <c r="MP19" s="216"/>
      <c r="MQ19" s="216"/>
      <c r="MR19" s="216"/>
      <c r="MS19" s="223"/>
      <c r="MT19" s="216"/>
      <c r="MU19" s="216"/>
      <c r="MV19" s="216"/>
      <c r="MW19" s="216"/>
      <c r="MX19" s="217"/>
      <c r="MY19" s="217"/>
      <c r="MZ19" s="224"/>
      <c r="NA19" s="217"/>
      <c r="NB19" s="224"/>
      <c r="NC19" s="224"/>
      <c r="ND19" s="224"/>
      <c r="NE19" s="225"/>
      <c r="NF19" s="234"/>
      <c r="NG19" s="222"/>
      <c r="NH19" s="233" t="s">
        <v>162</v>
      </c>
      <c r="NI19" s="53"/>
      <c r="NJ19" s="213" t="s">
        <v>161</v>
      </c>
      <c r="NK19" s="265">
        <v>2</v>
      </c>
      <c r="NL19" s="265"/>
      <c r="NM19" s="214">
        <v>23</v>
      </c>
      <c r="NN19" s="214"/>
      <c r="NO19" s="214">
        <v>549</v>
      </c>
      <c r="NP19" s="214">
        <v>228</v>
      </c>
      <c r="NQ19" s="215">
        <v>61952</v>
      </c>
      <c r="NR19" s="215">
        <v>88711</v>
      </c>
      <c r="NS19" s="215">
        <v>48859.71</v>
      </c>
      <c r="NT19" s="216">
        <v>227258</v>
      </c>
      <c r="NU19" s="216">
        <v>170518.71</v>
      </c>
      <c r="NV19" s="216"/>
      <c r="NW19" s="214">
        <v>167</v>
      </c>
      <c r="NX19" s="214">
        <v>67139</v>
      </c>
      <c r="NY19" s="214">
        <v>38159.71</v>
      </c>
      <c r="NZ19" s="214">
        <v>2080</v>
      </c>
      <c r="OA19" s="215">
        <v>1852</v>
      </c>
      <c r="OB19" s="214">
        <v>1321060</v>
      </c>
      <c r="OC19" s="214">
        <v>979896</v>
      </c>
      <c r="OD19" s="214">
        <f t="shared" ref="OD19:OD23" si="272">OB19-OC19</f>
        <v>341164</v>
      </c>
      <c r="OE19" s="216">
        <v>4300</v>
      </c>
      <c r="OF19" s="217">
        <v>313133.77</v>
      </c>
      <c r="OG19" s="218">
        <f t="shared" ref="OG19:OG25" si="273">OB19*5.5%</f>
        <v>72658.3</v>
      </c>
      <c r="OH19" s="219">
        <f>OF19*10%</f>
        <v>31313.377</v>
      </c>
      <c r="OI19" s="218">
        <v>228346</v>
      </c>
      <c r="OJ19" s="218"/>
      <c r="OK19" s="219">
        <f t="shared" si="227"/>
        <v>4546.323</v>
      </c>
      <c r="OL19" s="219">
        <f t="shared" si="228"/>
        <v>389.083333333333</v>
      </c>
      <c r="OM19" s="220">
        <f t="shared" si="229"/>
        <v>635.125</v>
      </c>
      <c r="ON19" s="221">
        <f t="shared" si="230"/>
        <v>0.263536367996503</v>
      </c>
      <c r="OO19" s="222">
        <f t="shared" si="231"/>
        <v>1.0135058949979</v>
      </c>
      <c r="OP19" s="233" t="s">
        <v>163</v>
      </c>
      <c r="OQ19" s="193"/>
      <c r="OR19" s="53"/>
      <c r="OS19" s="95" t="s">
        <v>161</v>
      </c>
      <c r="OT19" s="212">
        <v>2</v>
      </c>
      <c r="OU19" s="194">
        <v>19</v>
      </c>
      <c r="OV19" s="194">
        <v>959</v>
      </c>
      <c r="OW19" s="194">
        <v>461</v>
      </c>
      <c r="OX19" s="194">
        <v>147169</v>
      </c>
      <c r="OY19" s="194">
        <v>194942</v>
      </c>
      <c r="OZ19" s="194">
        <v>87926</v>
      </c>
      <c r="PA19" s="208">
        <v>404755</v>
      </c>
      <c r="PB19" s="208">
        <v>303319</v>
      </c>
      <c r="PC19" s="194">
        <v>2607</v>
      </c>
      <c r="PD19" s="194">
        <v>2146</v>
      </c>
      <c r="PE19" s="194">
        <v>1563074</v>
      </c>
      <c r="PF19" s="194">
        <v>1268391</v>
      </c>
      <c r="PG19" s="170">
        <f t="shared" si="233"/>
        <v>294683</v>
      </c>
      <c r="PH19" s="172">
        <v>40650</v>
      </c>
      <c r="PI19" s="173">
        <v>254537.77</v>
      </c>
      <c r="PJ19" s="171">
        <f t="shared" ref="PJ19:PJ26" si="274">PE19*5.5%</f>
        <v>85969.07</v>
      </c>
      <c r="PK19" s="174">
        <f>PI19*10%</f>
        <v>25453.777</v>
      </c>
      <c r="PL19" s="171">
        <v>228346</v>
      </c>
      <c r="PM19" s="174">
        <f t="shared" si="236"/>
        <v>-85735.847</v>
      </c>
      <c r="PN19" s="174">
        <f t="shared" si="237"/>
        <v>422.867678958785</v>
      </c>
      <c r="PO19" s="195">
        <f t="shared" si="238"/>
        <v>599.568085922516</v>
      </c>
      <c r="PP19" s="196">
        <f t="shared" si="239"/>
        <v>0.51244043647501</v>
      </c>
      <c r="PQ19" s="197">
        <f t="shared" si="240"/>
        <v>0.774627761804872</v>
      </c>
      <c r="PR19" s="198"/>
      <c r="PS19" s="144"/>
      <c r="PT19" s="144"/>
      <c r="PU19" s="95" t="s">
        <v>161</v>
      </c>
      <c r="PV19" s="212">
        <v>2</v>
      </c>
      <c r="PW19" s="194">
        <v>22</v>
      </c>
      <c r="PX19" s="194">
        <v>1242</v>
      </c>
      <c r="PY19" s="194">
        <v>707</v>
      </c>
      <c r="PZ19" s="194">
        <v>361465</v>
      </c>
      <c r="QA19" s="194">
        <v>498824</v>
      </c>
      <c r="QB19" s="194">
        <v>359198</v>
      </c>
      <c r="QC19" s="194">
        <v>3110</v>
      </c>
      <c r="QD19" s="170">
        <v>2403</v>
      </c>
      <c r="QE19" s="194">
        <v>2190829</v>
      </c>
      <c r="QF19" s="171">
        <v>1857009</v>
      </c>
      <c r="QG19" s="171">
        <v>333820</v>
      </c>
      <c r="QH19" s="172">
        <v>14530</v>
      </c>
      <c r="QI19" s="173">
        <v>286288.59</v>
      </c>
      <c r="QJ19" s="171">
        <f t="shared" ref="QJ19:QJ25" si="275">QE19*5.5%</f>
        <v>120495.595</v>
      </c>
      <c r="QK19" s="174">
        <f>QI19*10%</f>
        <v>28628.859</v>
      </c>
      <c r="QL19" s="171">
        <f>PV19*6613*QG1+1</f>
        <v>396781</v>
      </c>
      <c r="QM19" s="174">
        <f t="shared" ref="QM19:QM23" si="276">QG19-QJ19-QK19</f>
        <v>184695.546</v>
      </c>
      <c r="QN19" s="174">
        <f t="shared" ref="QN19:QN23" si="277">PZ19/PY19</f>
        <v>511.265912305516</v>
      </c>
      <c r="QO19" s="195">
        <f t="shared" si="244"/>
        <v>704.446623794212</v>
      </c>
      <c r="QP19" s="196">
        <f t="shared" si="245"/>
        <v>0.890065031467477</v>
      </c>
      <c r="QQ19" s="197">
        <f t="shared" si="246"/>
        <v>2.23853292364779</v>
      </c>
      <c r="QR19" s="266"/>
      <c r="QS19" s="206"/>
      <c r="QT19" s="144" t="s">
        <v>164</v>
      </c>
      <c r="QU19" s="95" t="s">
        <v>161</v>
      </c>
      <c r="QV19" s="212">
        <v>5</v>
      </c>
      <c r="QW19" s="202">
        <v>2959</v>
      </c>
      <c r="QX19" s="202">
        <v>1143</v>
      </c>
      <c r="QY19" s="202">
        <v>1348964</v>
      </c>
      <c r="QZ19" s="202">
        <v>1570</v>
      </c>
      <c r="RA19" s="202">
        <v>3198327</v>
      </c>
      <c r="RB19" s="202">
        <v>2957231</v>
      </c>
      <c r="RC19" s="177">
        <f t="shared" si="248"/>
        <v>2930091</v>
      </c>
      <c r="RD19" s="171">
        <f t="shared" ref="RD19:RD25" si="278">RA19-RB19</f>
        <v>241096</v>
      </c>
      <c r="RE19" s="170">
        <v>27140</v>
      </c>
      <c r="RF19" s="173">
        <v>131117.88</v>
      </c>
      <c r="RG19" s="171">
        <f t="shared" ref="RG19:RG25" si="279">RA19*5.5%</f>
        <v>175907.985</v>
      </c>
      <c r="RH19" s="174">
        <f t="shared" ref="RH19:RH25" si="280">RF19*10%</f>
        <v>13111.788</v>
      </c>
      <c r="RI19" s="171">
        <f t="shared" ref="RI19:RI24" si="281">QV19*6613*31</f>
        <v>1025015</v>
      </c>
      <c r="RJ19" s="176">
        <f t="shared" si="250"/>
        <v>52076.227</v>
      </c>
      <c r="RK19" s="174">
        <f t="shared" si="251"/>
        <v>2037.15095541401</v>
      </c>
      <c r="RL19" s="201">
        <f t="shared" si="252"/>
        <v>1.0868445196799</v>
      </c>
      <c r="RM19" s="197">
        <f t="shared" si="253"/>
        <v>1.27550676933677</v>
      </c>
      <c r="RN19" s="198"/>
      <c r="RO19" s="144"/>
      <c r="RP19" s="144"/>
      <c r="RQ19" s="95" t="s">
        <v>161</v>
      </c>
      <c r="RR19" s="212">
        <v>5</v>
      </c>
      <c r="RS19" s="202">
        <v>2802</v>
      </c>
      <c r="RT19" s="202">
        <v>900</v>
      </c>
      <c r="RU19" s="202">
        <v>1275118</v>
      </c>
      <c r="RV19" s="202">
        <v>1185</v>
      </c>
      <c r="RW19" s="202">
        <v>2293386</v>
      </c>
      <c r="RX19" s="202">
        <v>1823734</v>
      </c>
      <c r="RY19" s="177">
        <f t="shared" ref="RY19:RY25" si="282">RW19-RX19</f>
        <v>469652</v>
      </c>
      <c r="RZ19" s="170">
        <v>60640</v>
      </c>
      <c r="SA19" s="170">
        <v>0</v>
      </c>
      <c r="SB19" s="171">
        <v>323980.5</v>
      </c>
      <c r="SC19" s="171">
        <f t="shared" ref="SC19:SC25" si="283">RW19*5.5%</f>
        <v>126136.23</v>
      </c>
      <c r="SD19" s="174">
        <f t="shared" ref="SD19:SD22" si="284">SB19*10%</f>
        <v>32398.05</v>
      </c>
      <c r="SE19" s="171">
        <f t="shared" ref="SE19:SE24" si="285">RR19*6613*30</f>
        <v>991950</v>
      </c>
      <c r="SF19" s="207">
        <f t="shared" ref="SF19:SF25" si="286">RY19-SC19-SD19-SE19</f>
        <v>-680832.28</v>
      </c>
      <c r="SG19" s="174">
        <f t="shared" si="255"/>
        <v>1935.34683544304</v>
      </c>
      <c r="SH19" s="196">
        <f t="shared" si="256"/>
        <v>1.05283827684472</v>
      </c>
      <c r="SI19" s="197">
        <f t="shared" si="257"/>
        <v>0.40822113623317</v>
      </c>
      <c r="SJ19" s="157"/>
      <c r="SK19" s="144"/>
      <c r="SL19" s="144"/>
      <c r="SM19" s="95" t="s">
        <v>161</v>
      </c>
      <c r="SN19" s="212">
        <v>6</v>
      </c>
      <c r="SO19" s="202">
        <v>1554</v>
      </c>
      <c r="SP19" s="202">
        <v>609</v>
      </c>
      <c r="SQ19" s="202">
        <v>656920</v>
      </c>
      <c r="SR19" s="202">
        <v>919</v>
      </c>
      <c r="SS19" s="202">
        <v>1823278</v>
      </c>
      <c r="ST19" s="202">
        <v>1518106.17</v>
      </c>
      <c r="SU19" s="177">
        <f t="shared" ref="SU19:SU25" si="287">SS19-ST19</f>
        <v>305171.83</v>
      </c>
      <c r="SV19" s="170">
        <v>90500</v>
      </c>
      <c r="SW19" s="170">
        <v>0</v>
      </c>
      <c r="SX19" s="171">
        <v>224567.12</v>
      </c>
      <c r="SY19" s="171">
        <f t="shared" ref="SY19:SY25" si="288">SS19*5.5%</f>
        <v>100280.29</v>
      </c>
      <c r="SZ19" s="174">
        <f t="shared" ref="SZ19:SZ21" si="289">SX19*10%</f>
        <v>22456.712</v>
      </c>
      <c r="TA19" s="171">
        <f t="shared" ref="TA19:TA22" si="290">SN19*8500*31</f>
        <v>1581000</v>
      </c>
      <c r="TB19" s="207">
        <f t="shared" ref="TB19:TB25" si="291">SU19-SY19-SZ19-TA19</f>
        <v>-1398565.172</v>
      </c>
      <c r="TC19" s="174">
        <f t="shared" si="259"/>
        <v>1983.98041349293</v>
      </c>
      <c r="TD19" s="196">
        <f t="shared" si="260"/>
        <v>0.36612777423927</v>
      </c>
      <c r="TE19" s="197">
        <f t="shared" si="261"/>
        <v>0.179119095049155</v>
      </c>
      <c r="TF19" s="156"/>
      <c r="TG19" s="156"/>
      <c r="TH19" s="95" t="s">
        <v>161</v>
      </c>
      <c r="TI19" s="95">
        <v>6</v>
      </c>
      <c r="TJ19" s="95">
        <v>2710</v>
      </c>
      <c r="TK19" s="95">
        <v>1637</v>
      </c>
      <c r="TL19" s="202">
        <v>789967</v>
      </c>
      <c r="TM19" s="202">
        <v>1978</v>
      </c>
      <c r="TN19" s="202">
        <v>2491328</v>
      </c>
      <c r="TO19" s="202">
        <v>2138690</v>
      </c>
      <c r="TP19" s="175">
        <f t="shared" ref="TP19:TP25" si="292">TN19-TO19</f>
        <v>352638</v>
      </c>
      <c r="TQ19" s="178">
        <v>414730</v>
      </c>
      <c r="TR19" s="170">
        <v>0</v>
      </c>
      <c r="TS19" s="170">
        <v>352383.48</v>
      </c>
      <c r="TT19" s="170">
        <f t="shared" ref="TT19:TT25" si="293">TN19*4%</f>
        <v>99653.12</v>
      </c>
      <c r="TU19" s="178">
        <f t="shared" ref="TU19:TU24" si="294">TS19*10%</f>
        <v>35238.348</v>
      </c>
      <c r="TV19" s="170">
        <f t="shared" ref="TV19:TV25" si="295">TI19*8500*28</f>
        <v>1428000</v>
      </c>
      <c r="TW19" s="203">
        <f t="shared" ref="TW19:TW25" si="296">TP19-TT19-TU19-TV19</f>
        <v>-1210253.468</v>
      </c>
      <c r="TX19" s="174">
        <f t="shared" si="263"/>
        <v>1259.5187057634</v>
      </c>
      <c r="TY19" s="196">
        <f t="shared" si="264"/>
        <v>0.39945308684321</v>
      </c>
      <c r="TZ19" s="102">
        <f t="shared" si="265"/>
        <v>0.225631790319557</v>
      </c>
      <c r="UA19" s="156"/>
      <c r="UB19" s="144"/>
      <c r="UC19" s="144"/>
      <c r="UD19" s="95" t="s">
        <v>161</v>
      </c>
      <c r="UE19" s="95">
        <v>6</v>
      </c>
      <c r="UF19" s="202">
        <v>5312</v>
      </c>
      <c r="UG19" s="202">
        <v>3519</v>
      </c>
      <c r="UH19" s="202">
        <v>1997383</v>
      </c>
      <c r="UI19" s="202">
        <v>3830</v>
      </c>
      <c r="UJ19" s="202">
        <v>4094857</v>
      </c>
      <c r="UK19" s="175">
        <v>4457483</v>
      </c>
      <c r="UL19" s="175">
        <f t="shared" ref="UL19:UL23" si="297">UJ19-UK19</f>
        <v>-362626</v>
      </c>
      <c r="UM19" s="170">
        <v>1022433.6</v>
      </c>
      <c r="UN19" s="170">
        <v>0</v>
      </c>
      <c r="UO19" s="203">
        <v>-325411.07</v>
      </c>
      <c r="UP19" s="170">
        <f t="shared" ref="UP19:UP23" si="298">UJ19*4%</f>
        <v>163794.28</v>
      </c>
      <c r="UQ19" s="178">
        <v>0</v>
      </c>
      <c r="UR19" s="170">
        <f t="shared" ref="UR19:UR21" si="299">UE19*8500*31</f>
        <v>1581000</v>
      </c>
      <c r="US19" s="203">
        <f t="shared" ref="US19:US23" si="300">UL19-UP19-UQ19-UR19</f>
        <v>-2107420.28</v>
      </c>
      <c r="UT19" s="174">
        <f t="shared" si="267"/>
        <v>1069.15326370757</v>
      </c>
      <c r="UU19" s="196">
        <f t="shared" ref="UU19:UU23" si="301">UH19/(UM19+UP19+UQ19+UR19)</f>
        <v>0.72179924697781</v>
      </c>
      <c r="UV19" s="102">
        <f t="shared" si="268"/>
        <v>-0.207833097664671</v>
      </c>
      <c r="UW19" s="144"/>
      <c r="UX19" s="144"/>
      <c r="UY19" s="144"/>
      <c r="UZ19" s="95" t="s">
        <v>161</v>
      </c>
      <c r="VA19" s="95">
        <v>6</v>
      </c>
      <c r="VB19" s="202">
        <v>3115</v>
      </c>
      <c r="VC19" s="202">
        <v>1733</v>
      </c>
      <c r="VD19" s="202">
        <v>2020800</v>
      </c>
      <c r="VE19" s="202">
        <v>1921</v>
      </c>
      <c r="VF19" s="202">
        <v>3317168</v>
      </c>
      <c r="VG19" s="175">
        <v>3760492</v>
      </c>
      <c r="VH19" s="175">
        <f t="shared" ref="VH19:VH23" si="302">VF19-VG19</f>
        <v>-443324</v>
      </c>
      <c r="VI19" s="178">
        <v>462959.6</v>
      </c>
      <c r="VJ19" s="178">
        <v>0</v>
      </c>
      <c r="VK19" s="203">
        <v>-558669.74</v>
      </c>
      <c r="VL19" s="178">
        <f t="shared" ref="VL19:VL23" si="303">VF19*5.5%</f>
        <v>182444.24</v>
      </c>
      <c r="VM19" s="178">
        <v>0</v>
      </c>
      <c r="VN19" s="170">
        <f>VA19*8500*31</f>
        <v>1581000</v>
      </c>
      <c r="VO19" s="178">
        <f t="shared" ref="VO19:VO23" si="304">VH19-VL19-VM19-VN19</f>
        <v>-2206768.24</v>
      </c>
      <c r="VP19" s="174">
        <f t="shared" si="270"/>
        <v>1726.79229567933</v>
      </c>
      <c r="VQ19" s="196">
        <f t="shared" ref="VQ19:VQ23" si="305">VD19/(VI19+VL19+VM19+VN19)</f>
        <v>0.90765204573129</v>
      </c>
      <c r="VR19" s="102">
        <f t="shared" si="271"/>
        <v>-0.251396664518295</v>
      </c>
      <c r="VS19" s="84"/>
      <c r="VT19" s="53"/>
      <c r="VU19" s="53"/>
    </row>
    <row r="20" ht="18" hidden="1" customHeight="1" spans="1:593">
      <c r="A20" s="53"/>
      <c r="B20" s="53"/>
      <c r="C20" s="160" t="s">
        <v>165</v>
      </c>
      <c r="D20" s="160"/>
      <c r="E20" s="267"/>
      <c r="F20" s="162"/>
      <c r="G20" s="268"/>
      <c r="H20" s="162"/>
      <c r="I20" s="162"/>
      <c r="J20" s="163"/>
      <c r="K20" s="163"/>
      <c r="L20" s="163"/>
      <c r="M20" s="161"/>
      <c r="N20" s="161"/>
      <c r="O20" s="226"/>
      <c r="P20" s="162"/>
      <c r="Q20" s="162"/>
      <c r="R20" s="162"/>
      <c r="S20" s="162"/>
      <c r="T20" s="162"/>
      <c r="U20" s="162"/>
      <c r="V20" s="162"/>
      <c r="W20" s="162"/>
      <c r="X20" s="162"/>
      <c r="Y20" s="185"/>
      <c r="Z20" s="179"/>
      <c r="AA20" s="167"/>
      <c r="AB20" s="179"/>
      <c r="AC20" s="167"/>
      <c r="AD20" s="167"/>
      <c r="AE20" s="167"/>
      <c r="AF20" s="186"/>
      <c r="AG20" s="187"/>
      <c r="AH20" s="188"/>
      <c r="AI20" s="53"/>
      <c r="AJ20" s="160" t="s">
        <v>165</v>
      </c>
      <c r="AK20" s="160"/>
      <c r="AL20" s="267"/>
      <c r="AM20" s="162"/>
      <c r="AN20" s="268"/>
      <c r="AO20" s="162"/>
      <c r="AP20" s="162"/>
      <c r="AQ20" s="163"/>
      <c r="AR20" s="163"/>
      <c r="AS20" s="163"/>
      <c r="AT20" s="161"/>
      <c r="AU20" s="161"/>
      <c r="AV20" s="226"/>
      <c r="AW20" s="162"/>
      <c r="AX20" s="162"/>
      <c r="AY20" s="162"/>
      <c r="AZ20" s="162"/>
      <c r="BA20" s="162"/>
      <c r="BB20" s="162"/>
      <c r="BC20" s="162"/>
      <c r="BD20" s="162"/>
      <c r="BE20" s="162"/>
      <c r="BF20" s="185"/>
      <c r="BG20" s="179"/>
      <c r="BH20" s="167"/>
      <c r="BI20" s="179"/>
      <c r="BJ20" s="167"/>
      <c r="BK20" s="167"/>
      <c r="BL20" s="167"/>
      <c r="BM20" s="186"/>
      <c r="BN20" s="187"/>
      <c r="BO20" s="188"/>
      <c r="BP20" s="53"/>
      <c r="BQ20" s="160" t="s">
        <v>165</v>
      </c>
      <c r="BR20" s="160">
        <v>2</v>
      </c>
      <c r="BS20" s="267">
        <v>0</v>
      </c>
      <c r="BT20" s="162">
        <v>14</v>
      </c>
      <c r="BU20" s="268">
        <v>0.626728110599078</v>
      </c>
      <c r="BV20" s="162">
        <v>661</v>
      </c>
      <c r="BW20" s="162">
        <v>272</v>
      </c>
      <c r="BX20" s="163">
        <v>56863</v>
      </c>
      <c r="BY20" s="163">
        <v>93142</v>
      </c>
      <c r="BZ20" s="163">
        <v>99190</v>
      </c>
      <c r="CA20" s="161">
        <v>255396</v>
      </c>
      <c r="CB20" s="161">
        <v>255278</v>
      </c>
      <c r="CC20" s="226">
        <v>118</v>
      </c>
      <c r="CD20" s="162">
        <v>209</v>
      </c>
      <c r="CE20" s="162">
        <v>73979</v>
      </c>
      <c r="CF20" s="162">
        <v>72388</v>
      </c>
      <c r="CG20" s="162">
        <v>1897</v>
      </c>
      <c r="CH20" s="162">
        <v>1573</v>
      </c>
      <c r="CI20" s="162">
        <v>2453310</v>
      </c>
      <c r="CJ20" s="162">
        <v>2315848</v>
      </c>
      <c r="CK20" s="162">
        <f>CI20-CJ20</f>
        <v>137462</v>
      </c>
      <c r="CL20" s="162">
        <v>4832</v>
      </c>
      <c r="CM20" s="185">
        <v>65093.59</v>
      </c>
      <c r="CN20" s="179">
        <f>CI20*5.5%</f>
        <v>134932.05</v>
      </c>
      <c r="CO20" s="167">
        <f>IF(CM20&gt;0,CM20*20%,0)</f>
        <v>13018.718</v>
      </c>
      <c r="CP20" s="179">
        <f>'[1]BD02'!$B$4</f>
        <v>0</v>
      </c>
      <c r="CQ20" s="167">
        <f>'[1]BD02'!$C$4</f>
        <v>0</v>
      </c>
      <c r="CR20" s="167">
        <f t="shared" ref="CR20:CR23" si="306">CK20-CN20-CO20-CL20-CP20-CQ20</f>
        <v>-15320.768</v>
      </c>
      <c r="CS20" s="167">
        <f>BY20/BW20</f>
        <v>342.433823529412</v>
      </c>
      <c r="CT20" s="186">
        <f>CI20/CG20</f>
        <v>1293.2577754349</v>
      </c>
      <c r="CU20" s="187">
        <f>BY20/(CN20+CO20+CL20+CP20)</f>
        <v>0.609636814539189</v>
      </c>
      <c r="CV20" s="188">
        <f t="shared" si="199"/>
        <v>0.899721884865969</v>
      </c>
      <c r="CW20" s="53"/>
      <c r="CX20" s="160" t="s">
        <v>165</v>
      </c>
      <c r="CY20" s="160">
        <v>2</v>
      </c>
      <c r="CZ20" s="267">
        <v>0</v>
      </c>
      <c r="DA20" s="162">
        <v>19</v>
      </c>
      <c r="DB20" s="268">
        <v>0.331578947368421</v>
      </c>
      <c r="DC20" s="162">
        <v>628</v>
      </c>
      <c r="DD20" s="162">
        <v>189</v>
      </c>
      <c r="DE20" s="163">
        <v>51236</v>
      </c>
      <c r="DF20" s="163">
        <v>74405</v>
      </c>
      <c r="DG20" s="163">
        <v>56153</v>
      </c>
      <c r="DH20" s="161">
        <v>410068</v>
      </c>
      <c r="DI20" s="161">
        <v>392722</v>
      </c>
      <c r="DJ20" s="226">
        <f>DH20-DI20</f>
        <v>17346</v>
      </c>
      <c r="DK20" s="162">
        <v>140</v>
      </c>
      <c r="DL20" s="162">
        <v>57560</v>
      </c>
      <c r="DM20" s="162">
        <v>44510</v>
      </c>
      <c r="DN20" s="162">
        <v>1559</v>
      </c>
      <c r="DO20" s="162">
        <v>1370</v>
      </c>
      <c r="DP20" s="162">
        <v>2001366</v>
      </c>
      <c r="DQ20" s="162">
        <v>1831760</v>
      </c>
      <c r="DR20" s="162">
        <f>DP20-DQ20</f>
        <v>169606</v>
      </c>
      <c r="DS20" s="162">
        <v>3166</v>
      </c>
      <c r="DT20" s="185">
        <v>180516.44</v>
      </c>
      <c r="DU20" s="179">
        <f>DP20*5.5%</f>
        <v>110075.13</v>
      </c>
      <c r="DV20" s="167">
        <f>IF(DT20&gt;0,DT20*20%,0)</f>
        <v>36103.288</v>
      </c>
      <c r="DW20" s="179">
        <f>'[1]BD02'!$B$4</f>
        <v>0</v>
      </c>
      <c r="DX20" s="167">
        <f>'[1]BD02'!$C$4</f>
        <v>0</v>
      </c>
      <c r="DY20" s="167">
        <f t="shared" ref="DY20:DY23" si="307">DR20-DU20-DV20-DS20-DW20-DX20</f>
        <v>20261.582</v>
      </c>
      <c r="DZ20" s="167">
        <f>DF20/DD20</f>
        <v>393.677248677249</v>
      </c>
      <c r="EA20" s="186">
        <f>DP20/DN20</f>
        <v>1283.7498396408</v>
      </c>
      <c r="EB20" s="187">
        <f>DF20/(DU20+DV20+DS20+DW20)</f>
        <v>0.498210786826997</v>
      </c>
      <c r="EC20" s="188">
        <f t="shared" si="203"/>
        <v>1.13567016612566</v>
      </c>
      <c r="ED20" s="53"/>
      <c r="EE20" s="160" t="s">
        <v>165</v>
      </c>
      <c r="EF20" s="160">
        <v>1</v>
      </c>
      <c r="EG20" s="160">
        <v>0</v>
      </c>
      <c r="EH20" s="162">
        <v>12</v>
      </c>
      <c r="EI20" s="162">
        <v>0.758064516129032</v>
      </c>
      <c r="EJ20" s="162">
        <v>636</v>
      </c>
      <c r="EK20" s="162">
        <v>282</v>
      </c>
      <c r="EL20" s="163">
        <v>61792</v>
      </c>
      <c r="EM20" s="163">
        <v>106272</v>
      </c>
      <c r="EN20" s="163">
        <v>68891</v>
      </c>
      <c r="EO20" s="161">
        <v>2327989</v>
      </c>
      <c r="EP20" s="161">
        <v>2592306.01</v>
      </c>
      <c r="EQ20" s="162">
        <v>-264317.01</v>
      </c>
      <c r="ER20" s="162">
        <v>205</v>
      </c>
      <c r="ES20" s="162">
        <v>82535</v>
      </c>
      <c r="ET20" s="162">
        <v>53791</v>
      </c>
      <c r="EU20" s="162">
        <v>1879</v>
      </c>
      <c r="EV20" s="162">
        <v>1597</v>
      </c>
      <c r="EW20" s="162">
        <v>3805631</v>
      </c>
      <c r="EX20" s="162">
        <v>4027921</v>
      </c>
      <c r="EY20" s="162">
        <v>-222290</v>
      </c>
      <c r="EZ20" s="162">
        <v>9998</v>
      </c>
      <c r="FA20" s="185">
        <v>-326364.22</v>
      </c>
      <c r="FB20" s="179">
        <v>209309.705</v>
      </c>
      <c r="FC20" s="167">
        <v>0</v>
      </c>
      <c r="FD20" s="179">
        <v>245923</v>
      </c>
      <c r="FE20" s="167">
        <v>0</v>
      </c>
      <c r="FF20" s="167">
        <v>-687520.705</v>
      </c>
      <c r="FG20" s="167">
        <v>376.851063829787</v>
      </c>
      <c r="FH20" s="186">
        <v>2025.34912187334</v>
      </c>
      <c r="FI20" s="187">
        <v>0.22842860296592</v>
      </c>
      <c r="FJ20" s="188">
        <v>-0.477805952210313</v>
      </c>
      <c r="FK20" s="53"/>
      <c r="FL20" s="53"/>
      <c r="FM20" s="53"/>
      <c r="FN20" s="160" t="s">
        <v>165</v>
      </c>
      <c r="FO20" s="160">
        <v>1</v>
      </c>
      <c r="FP20" s="160">
        <v>0</v>
      </c>
      <c r="FQ20" s="162">
        <v>13</v>
      </c>
      <c r="FR20" s="162">
        <f>(FT20/FQ20)/GF1</f>
        <v>0.631868131868132</v>
      </c>
      <c r="FS20" s="162">
        <v>557</v>
      </c>
      <c r="FT20" s="162">
        <v>230</v>
      </c>
      <c r="FU20" s="163">
        <v>51822</v>
      </c>
      <c r="FV20" s="163">
        <v>83771</v>
      </c>
      <c r="FW20" s="163">
        <v>63036</v>
      </c>
      <c r="FX20" s="161">
        <v>2265663</v>
      </c>
      <c r="FY20" s="161">
        <v>2414291.07</v>
      </c>
      <c r="FZ20" s="162">
        <f>FX20-FY20</f>
        <v>-148628.07</v>
      </c>
      <c r="GA20" s="162">
        <v>166</v>
      </c>
      <c r="GB20" s="162">
        <v>58625</v>
      </c>
      <c r="GC20" s="162">
        <v>47703</v>
      </c>
      <c r="GD20" s="162">
        <v>1549</v>
      </c>
      <c r="GE20" s="162">
        <v>1319</v>
      </c>
      <c r="GF20" s="162">
        <v>3398087</v>
      </c>
      <c r="GG20" s="162">
        <v>3286127.07</v>
      </c>
      <c r="GH20" s="162">
        <v>111959.93</v>
      </c>
      <c r="GI20" s="162">
        <v>4167</v>
      </c>
      <c r="GJ20" s="185">
        <v>118991.84</v>
      </c>
      <c r="GK20" s="179">
        <v>186894.785</v>
      </c>
      <c r="GL20" s="167">
        <v>23798.368</v>
      </c>
      <c r="GM20" s="179">
        <v>222124</v>
      </c>
      <c r="GN20" s="167">
        <v>0</v>
      </c>
      <c r="GO20" s="167">
        <v>-325024.223</v>
      </c>
      <c r="GP20" s="167">
        <v>364.221739130435</v>
      </c>
      <c r="GQ20" s="186">
        <v>2193.7295029051</v>
      </c>
      <c r="GR20" s="187">
        <f>FV20/(GK20+GL20+GI20+GM20)</f>
        <v>0.191702603915708</v>
      </c>
      <c r="GS20" s="188">
        <f t="shared" si="208"/>
        <v>0.256210503816599</v>
      </c>
      <c r="GT20" s="53"/>
      <c r="GU20" s="53"/>
      <c r="GV20" s="160" t="s">
        <v>165</v>
      </c>
      <c r="GW20" s="160">
        <v>1</v>
      </c>
      <c r="GX20" s="160">
        <v>0</v>
      </c>
      <c r="GY20" s="162">
        <v>4</v>
      </c>
      <c r="GZ20" s="162">
        <f>(HB20/GY20)/HL1</f>
        <v>1.2258064516129</v>
      </c>
      <c r="HA20" s="162">
        <v>411</v>
      </c>
      <c r="HB20" s="162">
        <v>152</v>
      </c>
      <c r="HC20" s="163">
        <v>64100.77</v>
      </c>
      <c r="HD20" s="163">
        <v>123671.47</v>
      </c>
      <c r="HE20" s="163">
        <v>37900</v>
      </c>
      <c r="HF20" s="161">
        <v>294360.47</v>
      </c>
      <c r="HG20" s="161">
        <v>204923</v>
      </c>
      <c r="HH20" s="162">
        <f>HF20-HG20</f>
        <v>89437.47</v>
      </c>
      <c r="HI20" s="162">
        <v>113</v>
      </c>
      <c r="HJ20" s="162">
        <v>51710</v>
      </c>
      <c r="HK20" s="162">
        <v>18254</v>
      </c>
      <c r="HL20" s="162">
        <v>1536</v>
      </c>
      <c r="HM20" s="162">
        <v>1384</v>
      </c>
      <c r="HN20" s="162">
        <v>1572806.47</v>
      </c>
      <c r="HO20" s="162">
        <v>1432266.4843</v>
      </c>
      <c r="HP20" s="162">
        <v>140539.9857</v>
      </c>
      <c r="HQ20" s="162">
        <v>0</v>
      </c>
      <c r="HR20" s="185">
        <v>-116705.72</v>
      </c>
      <c r="HS20" s="179">
        <v>86504.35585</v>
      </c>
      <c r="HT20" s="167">
        <v>0</v>
      </c>
      <c r="HU20" s="179">
        <f>(GW20*6800)*31</f>
        <v>210800</v>
      </c>
      <c r="HV20" s="167">
        <v>0</v>
      </c>
      <c r="HW20" s="167">
        <v>-183954.37015</v>
      </c>
      <c r="HX20" s="167">
        <v>813.628092105263</v>
      </c>
      <c r="HY20" s="186">
        <v>1023.96254557292</v>
      </c>
      <c r="HZ20" s="187">
        <f>HD20/(HS20+HT20+HQ20+HU20)</f>
        <v>0.415975977366428</v>
      </c>
      <c r="IA20" s="188">
        <f t="shared" si="212"/>
        <v>0.472714183074086</v>
      </c>
      <c r="IB20" s="53" t="s">
        <v>166</v>
      </c>
      <c r="IC20" s="53"/>
      <c r="ID20" s="160" t="s">
        <v>165</v>
      </c>
      <c r="IE20" s="160">
        <v>1</v>
      </c>
      <c r="IF20" s="160">
        <v>0</v>
      </c>
      <c r="IG20" s="162">
        <v>16</v>
      </c>
      <c r="IH20" s="162">
        <f>(IJ20/IG20)/IT1</f>
        <v>0.241935483870968</v>
      </c>
      <c r="II20" s="162">
        <v>472</v>
      </c>
      <c r="IJ20" s="162">
        <v>120</v>
      </c>
      <c r="IK20" s="163">
        <v>28736</v>
      </c>
      <c r="IL20" s="163">
        <v>38631</v>
      </c>
      <c r="IM20" s="163">
        <v>32808</v>
      </c>
      <c r="IN20" s="161">
        <v>103580</v>
      </c>
      <c r="IO20" s="161">
        <v>90575.35</v>
      </c>
      <c r="IP20" s="162">
        <f>IN20-IO20</f>
        <v>13004.65</v>
      </c>
      <c r="IQ20" s="162">
        <v>81</v>
      </c>
      <c r="IR20" s="162">
        <v>26986</v>
      </c>
      <c r="IS20" s="162">
        <v>18926</v>
      </c>
      <c r="IT20" s="162">
        <v>1505</v>
      </c>
      <c r="IU20" s="162">
        <v>1385</v>
      </c>
      <c r="IV20" s="162">
        <v>2182090</v>
      </c>
      <c r="IW20" s="162">
        <v>1509471</v>
      </c>
      <c r="IX20" s="162">
        <f>IV20-IW20</f>
        <v>672619</v>
      </c>
      <c r="IY20" s="162">
        <v>10999.8</v>
      </c>
      <c r="IZ20" s="185">
        <v>662002.99</v>
      </c>
      <c r="JA20" s="179">
        <f>IV20*5.5%</f>
        <v>120014.95</v>
      </c>
      <c r="JB20" s="167">
        <f>IZ20*20%</f>
        <v>132400.598</v>
      </c>
      <c r="JC20" s="179">
        <v>114173</v>
      </c>
      <c r="JD20" s="167">
        <v>0</v>
      </c>
      <c r="JE20" s="167">
        <f>IX20-JA20-JB20-IY20-JC20</f>
        <v>295030.652</v>
      </c>
      <c r="JF20" s="167">
        <f>IL20/IJ20</f>
        <v>321.925</v>
      </c>
      <c r="JG20" s="186">
        <f>IV20/IT20</f>
        <v>1449.89368770764</v>
      </c>
      <c r="JH20" s="187">
        <f>IL20/(JA20+JB20+IY20+JC20)</f>
        <v>0.102309830810775</v>
      </c>
      <c r="JI20" s="188">
        <f>IX20/(JA20+JB20+IY20+JC20)</f>
        <v>1.78135528694863</v>
      </c>
      <c r="JJ20" s="53"/>
      <c r="JK20" s="53"/>
      <c r="JL20" s="160" t="s">
        <v>165</v>
      </c>
      <c r="JM20" s="160">
        <v>1</v>
      </c>
      <c r="JN20" s="160">
        <v>23</v>
      </c>
      <c r="JO20" s="162"/>
      <c r="JP20" s="162"/>
      <c r="JQ20" s="162">
        <v>2487</v>
      </c>
      <c r="JR20" s="162">
        <v>1494</v>
      </c>
      <c r="JS20" s="163">
        <v>439548</v>
      </c>
      <c r="JT20" s="163">
        <v>486035</v>
      </c>
      <c r="JU20" s="163">
        <v>317203</v>
      </c>
      <c r="JV20" s="161">
        <v>749545</v>
      </c>
      <c r="JW20" s="161">
        <v>990491.83</v>
      </c>
      <c r="JX20" s="162"/>
      <c r="JY20" s="162">
        <v>1463</v>
      </c>
      <c r="JZ20" s="162">
        <v>469543</v>
      </c>
      <c r="KA20" s="162">
        <v>305307</v>
      </c>
      <c r="KB20" s="162">
        <v>2851</v>
      </c>
      <c r="KC20" s="162">
        <v>1357</v>
      </c>
      <c r="KD20" s="162">
        <v>2020468</v>
      </c>
      <c r="KE20" s="162">
        <v>2210004</v>
      </c>
      <c r="KF20" s="162">
        <f>KD20-KE20</f>
        <v>-189536</v>
      </c>
      <c r="KG20" s="162">
        <v>29000</v>
      </c>
      <c r="KH20" s="185">
        <v>-367085.26</v>
      </c>
      <c r="KI20" s="179">
        <f>KD20*5.5%</f>
        <v>111125.74</v>
      </c>
      <c r="KJ20" s="167">
        <v>0</v>
      </c>
      <c r="KK20" s="179">
        <v>110490</v>
      </c>
      <c r="KL20" s="167"/>
      <c r="KM20" s="167">
        <f>KF20-KI20-KJ20-KG20-KK20</f>
        <v>-440151.74</v>
      </c>
      <c r="KN20" s="167">
        <f>JT20/JR20</f>
        <v>325.324631860776</v>
      </c>
      <c r="KO20" s="186">
        <f>KD20/KB20</f>
        <v>708.687478077867</v>
      </c>
      <c r="KP20" s="187">
        <f>JT20/(KI20+KJ20+KG20+KK20)</f>
        <v>1.93936342545763</v>
      </c>
      <c r="KQ20" s="188">
        <f>KF20/(KI20+KJ20+KG20+KK20)</f>
        <v>-0.756281309386234</v>
      </c>
      <c r="KR20" s="53"/>
      <c r="KS20" s="53"/>
      <c r="KT20" s="213" t="s">
        <v>165</v>
      </c>
      <c r="KU20" s="213">
        <v>2</v>
      </c>
      <c r="KV20" s="213"/>
      <c r="KW20" s="214">
        <v>94</v>
      </c>
      <c r="KX20" s="214"/>
      <c r="KY20" s="214">
        <v>1539</v>
      </c>
      <c r="KZ20" s="214">
        <v>559</v>
      </c>
      <c r="LA20" s="215">
        <v>153183</v>
      </c>
      <c r="LB20" s="215">
        <v>212598</v>
      </c>
      <c r="LC20" s="215">
        <v>188384</v>
      </c>
      <c r="LD20" s="216">
        <v>459883</v>
      </c>
      <c r="LE20" s="216">
        <v>524263.33</v>
      </c>
      <c r="LF20" s="216"/>
      <c r="LG20" s="214">
        <v>439</v>
      </c>
      <c r="LH20" s="214">
        <v>170824</v>
      </c>
      <c r="LI20" s="214">
        <v>163869</v>
      </c>
      <c r="LJ20" s="214">
        <v>2256</v>
      </c>
      <c r="LK20" s="214">
        <v>1697</v>
      </c>
      <c r="LL20" s="214">
        <v>1644615</v>
      </c>
      <c r="LM20" s="214">
        <v>1617246</v>
      </c>
      <c r="LN20" s="214">
        <v>27369</v>
      </c>
      <c r="LO20" s="216">
        <v>0</v>
      </c>
      <c r="LP20" s="217">
        <v>-58430.12</v>
      </c>
      <c r="LQ20" s="218">
        <v>90453.825</v>
      </c>
      <c r="LR20" s="219">
        <v>0</v>
      </c>
      <c r="LS20" s="218">
        <v>228346</v>
      </c>
      <c r="LT20" s="218"/>
      <c r="LU20" s="219">
        <v>-291430.825</v>
      </c>
      <c r="LV20" s="219">
        <v>380.318425760286</v>
      </c>
      <c r="LW20" s="220">
        <v>728.996010638298</v>
      </c>
      <c r="LX20" s="221">
        <v>0.66686987673221</v>
      </c>
      <c r="LY20" s="222">
        <v>0.0858501098612585</v>
      </c>
      <c r="LZ20" s="269"/>
      <c r="MA20" s="241"/>
      <c r="MB20" s="213" t="s">
        <v>165</v>
      </c>
      <c r="MC20" s="213">
        <v>2</v>
      </c>
      <c r="MD20" s="213"/>
      <c r="ME20" s="214">
        <v>47</v>
      </c>
      <c r="MF20" s="214"/>
      <c r="MG20" s="214">
        <v>1016</v>
      </c>
      <c r="MH20" s="214">
        <v>225</v>
      </c>
      <c r="MI20" s="215">
        <v>69640</v>
      </c>
      <c r="MJ20" s="215">
        <v>96229</v>
      </c>
      <c r="MK20" s="215">
        <v>53019</v>
      </c>
      <c r="ML20" s="216">
        <v>222650</v>
      </c>
      <c r="MM20" s="216">
        <v>204556</v>
      </c>
      <c r="MN20" s="216"/>
      <c r="MO20" s="214">
        <v>189</v>
      </c>
      <c r="MP20" s="214">
        <v>81275</v>
      </c>
      <c r="MQ20" s="214">
        <v>40987</v>
      </c>
      <c r="MR20" s="214">
        <v>1639</v>
      </c>
      <c r="MS20" s="215">
        <v>1414</v>
      </c>
      <c r="MT20" s="214">
        <v>1278151</v>
      </c>
      <c r="MU20" s="214">
        <v>1061232</v>
      </c>
      <c r="MV20" s="214">
        <f>MT20-MU20</f>
        <v>216919</v>
      </c>
      <c r="MW20" s="216">
        <v>0</v>
      </c>
      <c r="MX20" s="217">
        <v>188153.84</v>
      </c>
      <c r="MY20" s="218">
        <f>MT20*5.5%</f>
        <v>70298.305</v>
      </c>
      <c r="MZ20" s="219">
        <f t="shared" si="221"/>
        <v>37630.768</v>
      </c>
      <c r="NA20" s="218">
        <v>511937</v>
      </c>
      <c r="NB20" s="219">
        <f t="shared" ref="NB20:NB23" si="308">MV20-MY20-MZ20-MW20-NA20</f>
        <v>-402947.073</v>
      </c>
      <c r="NC20" s="219"/>
      <c r="ND20" s="219">
        <f>MJ20/MH20</f>
        <v>427.684444444444</v>
      </c>
      <c r="NE20" s="220">
        <f>MT20/MR20</f>
        <v>779.835875533862</v>
      </c>
      <c r="NF20" s="221">
        <f t="shared" si="222"/>
        <v>0.155241598454123</v>
      </c>
      <c r="NG20" s="222">
        <f t="shared" si="223"/>
        <v>0.349944946898231</v>
      </c>
      <c r="NH20" s="53"/>
      <c r="NI20" s="53"/>
      <c r="NJ20" s="213" t="s">
        <v>165</v>
      </c>
      <c r="NK20" s="213">
        <v>2</v>
      </c>
      <c r="NL20" s="213"/>
      <c r="NM20" s="214">
        <v>16</v>
      </c>
      <c r="NN20" s="214"/>
      <c r="NO20" s="214">
        <v>350</v>
      </c>
      <c r="NP20" s="214">
        <v>114</v>
      </c>
      <c r="NQ20" s="215">
        <v>34620</v>
      </c>
      <c r="NR20" s="215">
        <v>59310</v>
      </c>
      <c r="NS20" s="215">
        <v>21335</v>
      </c>
      <c r="NT20" s="216">
        <v>173046</v>
      </c>
      <c r="NU20" s="216">
        <v>134872</v>
      </c>
      <c r="NV20" s="216"/>
      <c r="NW20" s="214">
        <v>0</v>
      </c>
      <c r="NX20" s="214">
        <v>0</v>
      </c>
      <c r="NY20" s="214">
        <v>0</v>
      </c>
      <c r="NZ20" s="214">
        <v>1575</v>
      </c>
      <c r="OA20" s="215">
        <v>1459</v>
      </c>
      <c r="OB20" s="214">
        <v>2004540</v>
      </c>
      <c r="OC20" s="214">
        <v>1550897</v>
      </c>
      <c r="OD20" s="214">
        <f t="shared" si="272"/>
        <v>453643</v>
      </c>
      <c r="OE20" s="216">
        <v>0</v>
      </c>
      <c r="OF20" s="217">
        <v>441253.54</v>
      </c>
      <c r="OG20" s="218">
        <f t="shared" si="273"/>
        <v>110249.7</v>
      </c>
      <c r="OH20" s="219">
        <f t="shared" si="226"/>
        <v>88250.708</v>
      </c>
      <c r="OI20" s="218">
        <v>202565</v>
      </c>
      <c r="OJ20" s="218"/>
      <c r="OK20" s="219">
        <f t="shared" si="227"/>
        <v>52577.592</v>
      </c>
      <c r="OL20" s="219">
        <f t="shared" si="228"/>
        <v>520.263157894737</v>
      </c>
      <c r="OM20" s="220">
        <f t="shared" si="229"/>
        <v>1272.72380952381</v>
      </c>
      <c r="ON20" s="221">
        <f t="shared" si="230"/>
        <v>0.147881115690735</v>
      </c>
      <c r="OO20" s="222">
        <f t="shared" si="231"/>
        <v>1.13109480636136</v>
      </c>
      <c r="OP20" s="53"/>
      <c r="OQ20" s="193"/>
      <c r="OR20" s="53"/>
      <c r="OS20" s="95" t="s">
        <v>165</v>
      </c>
      <c r="OT20" s="95">
        <v>1</v>
      </c>
      <c r="OU20" s="170">
        <v>24</v>
      </c>
      <c r="OV20" s="170">
        <v>671</v>
      </c>
      <c r="OW20" s="170">
        <v>212</v>
      </c>
      <c r="OX20" s="170">
        <v>53690</v>
      </c>
      <c r="OY20" s="170">
        <v>88912</v>
      </c>
      <c r="OZ20" s="170">
        <v>55936</v>
      </c>
      <c r="PA20" s="172">
        <v>310961</v>
      </c>
      <c r="PB20" s="172">
        <v>215550</v>
      </c>
      <c r="PC20" s="170">
        <v>1491</v>
      </c>
      <c r="PD20" s="194">
        <v>1279</v>
      </c>
      <c r="PE20" s="194">
        <v>1400742</v>
      </c>
      <c r="PF20" s="194">
        <v>1114194</v>
      </c>
      <c r="PG20" s="170">
        <f t="shared" si="233"/>
        <v>286548</v>
      </c>
      <c r="PH20" s="172">
        <v>0</v>
      </c>
      <c r="PI20" s="173">
        <v>243493.06</v>
      </c>
      <c r="PJ20" s="171">
        <f t="shared" si="274"/>
        <v>77040.81</v>
      </c>
      <c r="PK20" s="174">
        <f t="shared" si="235"/>
        <v>48698.612</v>
      </c>
      <c r="PL20" s="171">
        <v>202565</v>
      </c>
      <c r="PM20" s="174">
        <f t="shared" si="236"/>
        <v>-41756.422</v>
      </c>
      <c r="PN20" s="174">
        <f t="shared" si="237"/>
        <v>419.396226415094</v>
      </c>
      <c r="PO20" s="195">
        <f t="shared" si="238"/>
        <v>939.464788732394</v>
      </c>
      <c r="PP20" s="196">
        <f t="shared" si="239"/>
        <v>0.270821816710102</v>
      </c>
      <c r="PQ20" s="197">
        <f t="shared" si="240"/>
        <v>0.872811880675795</v>
      </c>
      <c r="PR20" s="198"/>
      <c r="PS20" s="144"/>
      <c r="PT20" s="144"/>
      <c r="PU20" s="95" t="s">
        <v>165</v>
      </c>
      <c r="PV20" s="95">
        <v>1</v>
      </c>
      <c r="PW20" s="170">
        <v>9</v>
      </c>
      <c r="PX20" s="170">
        <v>621</v>
      </c>
      <c r="PY20" s="170">
        <v>191</v>
      </c>
      <c r="PZ20" s="170">
        <v>57187</v>
      </c>
      <c r="QA20" s="170">
        <v>87534</v>
      </c>
      <c r="QB20" s="170">
        <v>65786</v>
      </c>
      <c r="QC20" s="170">
        <v>1281</v>
      </c>
      <c r="QD20" s="170">
        <v>1090</v>
      </c>
      <c r="QE20" s="194">
        <v>1156910</v>
      </c>
      <c r="QF20" s="171">
        <v>944437</v>
      </c>
      <c r="QG20" s="171">
        <v>212473</v>
      </c>
      <c r="QH20" s="172">
        <v>0</v>
      </c>
      <c r="QI20" s="173">
        <v>192889.13</v>
      </c>
      <c r="QJ20" s="171">
        <f t="shared" si="275"/>
        <v>63630.05</v>
      </c>
      <c r="QK20" s="174">
        <f t="shared" si="242"/>
        <v>38577.826</v>
      </c>
      <c r="QL20" s="171">
        <f>PV20*6613*QG1+1</f>
        <v>198391</v>
      </c>
      <c r="QM20" s="174">
        <f t="shared" si="276"/>
        <v>110265.124</v>
      </c>
      <c r="QN20" s="174">
        <f t="shared" si="277"/>
        <v>299.408376963351</v>
      </c>
      <c r="QO20" s="195">
        <f t="shared" si="244"/>
        <v>903.130366900859</v>
      </c>
      <c r="QP20" s="196">
        <f t="shared" si="245"/>
        <v>0.291198693637164</v>
      </c>
      <c r="QQ20" s="197">
        <f t="shared" si="246"/>
        <v>2.0788319679004</v>
      </c>
      <c r="QR20" s="266"/>
      <c r="QS20" s="206"/>
      <c r="QT20" s="144" t="s">
        <v>167</v>
      </c>
      <c r="QU20" s="95" t="s">
        <v>165</v>
      </c>
      <c r="QV20" s="95">
        <v>2</v>
      </c>
      <c r="QW20" s="175">
        <v>1029</v>
      </c>
      <c r="QX20" s="175">
        <v>277</v>
      </c>
      <c r="QY20" s="175">
        <v>517980</v>
      </c>
      <c r="QZ20" s="175">
        <v>396</v>
      </c>
      <c r="RA20" s="175">
        <v>1122410</v>
      </c>
      <c r="RB20" s="202">
        <v>891765</v>
      </c>
      <c r="RC20" s="177">
        <f t="shared" si="248"/>
        <v>883595</v>
      </c>
      <c r="RD20" s="171">
        <f t="shared" si="278"/>
        <v>230645</v>
      </c>
      <c r="RE20" s="170">
        <v>8170</v>
      </c>
      <c r="RF20" s="173">
        <v>191329.68</v>
      </c>
      <c r="RG20" s="171">
        <f t="shared" si="279"/>
        <v>61732.55</v>
      </c>
      <c r="RH20" s="174">
        <f t="shared" si="280"/>
        <v>19132.968</v>
      </c>
      <c r="RI20" s="171">
        <f t="shared" si="281"/>
        <v>410006</v>
      </c>
      <c r="RJ20" s="176">
        <f t="shared" si="250"/>
        <v>149779.482</v>
      </c>
      <c r="RK20" s="174">
        <f t="shared" si="251"/>
        <v>2834.36868686869</v>
      </c>
      <c r="RL20" s="201">
        <f t="shared" si="252"/>
        <v>1.03794971223216</v>
      </c>
      <c r="RM20" s="197">
        <f t="shared" si="253"/>
        <v>2.85220457006162</v>
      </c>
      <c r="RN20" s="198"/>
      <c r="RO20" s="144"/>
      <c r="RP20" s="144"/>
      <c r="RQ20" s="95" t="s">
        <v>165</v>
      </c>
      <c r="RR20" s="95">
        <v>2</v>
      </c>
      <c r="RS20" s="175">
        <v>620</v>
      </c>
      <c r="RT20" s="175">
        <v>170</v>
      </c>
      <c r="RU20" s="175">
        <v>270816</v>
      </c>
      <c r="RV20" s="175">
        <v>283</v>
      </c>
      <c r="RW20" s="175">
        <v>811444</v>
      </c>
      <c r="RX20" s="175">
        <v>686054</v>
      </c>
      <c r="RY20" s="177">
        <f t="shared" si="282"/>
        <v>125390</v>
      </c>
      <c r="RZ20" s="170">
        <v>8170</v>
      </c>
      <c r="SA20" s="170">
        <v>0</v>
      </c>
      <c r="SB20" s="171">
        <v>106040.64</v>
      </c>
      <c r="SC20" s="171">
        <f t="shared" si="283"/>
        <v>44629.42</v>
      </c>
      <c r="SD20" s="174">
        <f t="shared" si="284"/>
        <v>10604.064</v>
      </c>
      <c r="SE20" s="171">
        <f t="shared" si="285"/>
        <v>396780</v>
      </c>
      <c r="SF20" s="207">
        <f t="shared" si="286"/>
        <v>-326623.484</v>
      </c>
      <c r="SG20" s="174">
        <f t="shared" si="255"/>
        <v>2867.29328621908</v>
      </c>
      <c r="SH20" s="196">
        <f t="shared" si="256"/>
        <v>0.588495696642603</v>
      </c>
      <c r="SI20" s="197">
        <f t="shared" si="257"/>
        <v>0.27740322897093</v>
      </c>
      <c r="SJ20" s="157"/>
      <c r="SK20" s="144"/>
      <c r="SL20" s="144"/>
      <c r="SM20" s="95" t="s">
        <v>165</v>
      </c>
      <c r="SN20" s="95">
        <v>4</v>
      </c>
      <c r="SO20" s="175">
        <v>554</v>
      </c>
      <c r="SP20" s="175">
        <v>229</v>
      </c>
      <c r="SQ20" s="175">
        <v>471969</v>
      </c>
      <c r="SR20" s="175">
        <v>291</v>
      </c>
      <c r="SS20" s="175">
        <v>688733</v>
      </c>
      <c r="ST20" s="175">
        <v>550196</v>
      </c>
      <c r="SU20" s="177">
        <f t="shared" si="287"/>
        <v>138537</v>
      </c>
      <c r="SV20" s="170">
        <v>8540</v>
      </c>
      <c r="SW20" s="170">
        <v>0</v>
      </c>
      <c r="SX20" s="171">
        <v>125942.37</v>
      </c>
      <c r="SY20" s="171">
        <f t="shared" si="288"/>
        <v>37880.315</v>
      </c>
      <c r="SZ20" s="174">
        <f t="shared" si="289"/>
        <v>12594.237</v>
      </c>
      <c r="TA20" s="171">
        <f t="shared" si="290"/>
        <v>1054000</v>
      </c>
      <c r="TB20" s="207">
        <f t="shared" si="291"/>
        <v>-965937.552</v>
      </c>
      <c r="TC20" s="174">
        <f t="shared" si="259"/>
        <v>2366.78006872852</v>
      </c>
      <c r="TD20" s="196">
        <f t="shared" si="260"/>
        <v>0.424045668721859</v>
      </c>
      <c r="TE20" s="197">
        <f t="shared" si="261"/>
        <v>0.125432496157684</v>
      </c>
      <c r="TF20" s="156"/>
      <c r="TG20" s="156"/>
      <c r="TH20" s="95" t="s">
        <v>165</v>
      </c>
      <c r="TI20" s="95">
        <v>4</v>
      </c>
      <c r="TJ20" s="95">
        <v>698</v>
      </c>
      <c r="TK20" s="95">
        <v>315</v>
      </c>
      <c r="TL20" s="175">
        <v>349760</v>
      </c>
      <c r="TM20" s="175">
        <v>351</v>
      </c>
      <c r="TN20" s="175">
        <v>423823</v>
      </c>
      <c r="TO20" s="175">
        <v>456647</v>
      </c>
      <c r="TP20" s="175">
        <f t="shared" si="292"/>
        <v>-32824</v>
      </c>
      <c r="TQ20" s="178">
        <v>0</v>
      </c>
      <c r="TR20" s="170">
        <v>0</v>
      </c>
      <c r="TS20" s="203">
        <v>-10803.15</v>
      </c>
      <c r="TT20" s="170">
        <f t="shared" si="293"/>
        <v>16952.92</v>
      </c>
      <c r="TU20" s="178">
        <v>0</v>
      </c>
      <c r="TV20" s="170">
        <f t="shared" si="295"/>
        <v>952000</v>
      </c>
      <c r="TW20" s="203">
        <f t="shared" si="296"/>
        <v>-1001776.92</v>
      </c>
      <c r="TX20" s="174">
        <f t="shared" si="263"/>
        <v>1207.47293447293</v>
      </c>
      <c r="TY20" s="196">
        <f t="shared" si="264"/>
        <v>0.360966970407602</v>
      </c>
      <c r="TZ20" s="102">
        <f t="shared" si="265"/>
        <v>-0.0338757428998717</v>
      </c>
      <c r="UA20" s="156"/>
      <c r="UB20" s="144"/>
      <c r="UC20" s="144"/>
      <c r="UD20" s="95" t="s">
        <v>165</v>
      </c>
      <c r="UE20" s="95">
        <v>4</v>
      </c>
      <c r="UF20" s="175">
        <v>1732</v>
      </c>
      <c r="UG20" s="175">
        <v>1215</v>
      </c>
      <c r="UH20" s="175">
        <v>562856</v>
      </c>
      <c r="UI20" s="175">
        <v>1222</v>
      </c>
      <c r="UJ20" s="175">
        <v>562736</v>
      </c>
      <c r="UK20" s="175">
        <v>833295</v>
      </c>
      <c r="UL20" s="175">
        <f t="shared" si="297"/>
        <v>-270559</v>
      </c>
      <c r="UM20" s="170">
        <v>184465</v>
      </c>
      <c r="UN20" s="170">
        <v>0</v>
      </c>
      <c r="UO20" s="178">
        <v>145350.66</v>
      </c>
      <c r="UP20" s="170">
        <f t="shared" si="298"/>
        <v>22509.44</v>
      </c>
      <c r="UQ20" s="178">
        <f t="shared" ref="UQ20:UQ23" si="309">UO20*10%</f>
        <v>14535.066</v>
      </c>
      <c r="UR20" s="170">
        <f t="shared" si="299"/>
        <v>1054000</v>
      </c>
      <c r="US20" s="203">
        <f t="shared" si="300"/>
        <v>-1361603.506</v>
      </c>
      <c r="UT20" s="174">
        <f t="shared" si="267"/>
        <v>460.504091653028</v>
      </c>
      <c r="UU20" s="196">
        <f t="shared" si="301"/>
        <v>0.441279345510421</v>
      </c>
      <c r="UV20" s="102">
        <f t="shared" si="268"/>
        <v>-0.247981634582375</v>
      </c>
      <c r="UW20" s="144"/>
      <c r="UX20" s="144"/>
      <c r="UY20" s="144"/>
      <c r="UZ20" s="95" t="s">
        <v>165</v>
      </c>
      <c r="VA20" s="95">
        <v>4</v>
      </c>
      <c r="VB20" s="175">
        <v>166</v>
      </c>
      <c r="VC20" s="175">
        <v>84</v>
      </c>
      <c r="VD20" s="175">
        <v>61340</v>
      </c>
      <c r="VE20" s="175">
        <v>84</v>
      </c>
      <c r="VF20" s="175">
        <v>61340</v>
      </c>
      <c r="VG20" s="175">
        <v>41222</v>
      </c>
      <c r="VH20" s="175">
        <f t="shared" si="302"/>
        <v>20118</v>
      </c>
      <c r="VI20" s="178">
        <v>0</v>
      </c>
      <c r="VJ20" s="178">
        <v>0</v>
      </c>
      <c r="VK20" s="178">
        <v>13327.13</v>
      </c>
      <c r="VL20" s="178">
        <f t="shared" si="303"/>
        <v>3373.7</v>
      </c>
      <c r="VM20" s="178">
        <f>VK20*10%</f>
        <v>1332.713</v>
      </c>
      <c r="VN20" s="170">
        <f>VA20*8500*8</f>
        <v>272000</v>
      </c>
      <c r="VO20" s="178">
        <f t="shared" si="304"/>
        <v>-256588.413</v>
      </c>
      <c r="VP20" s="174">
        <f t="shared" si="270"/>
        <v>730.238095238095</v>
      </c>
      <c r="VQ20" s="196">
        <f t="shared" si="305"/>
        <v>0.221678996648336</v>
      </c>
      <c r="VR20" s="102">
        <f t="shared" si="271"/>
        <v>0.0727052177139097</v>
      </c>
      <c r="VS20" s="84" t="s">
        <v>168</v>
      </c>
      <c r="VT20" s="53"/>
      <c r="VU20" s="53"/>
    </row>
    <row r="21" ht="18" hidden="1" customHeight="1" spans="1:593">
      <c r="A21" s="53"/>
      <c r="B21" s="53"/>
      <c r="C21" s="160" t="s">
        <v>169</v>
      </c>
      <c r="D21" s="160"/>
      <c r="E21" s="267"/>
      <c r="F21" s="161"/>
      <c r="G21" s="161"/>
      <c r="H21" s="161"/>
      <c r="I21" s="161"/>
      <c r="J21" s="228"/>
      <c r="K21" s="228"/>
      <c r="L21" s="228"/>
      <c r="M21" s="161"/>
      <c r="N21" s="161"/>
      <c r="O21" s="270"/>
      <c r="P21" s="161"/>
      <c r="Q21" s="161"/>
      <c r="R21" s="161"/>
      <c r="S21" s="161"/>
      <c r="T21" s="228"/>
      <c r="U21" s="161"/>
      <c r="V21" s="161"/>
      <c r="W21" s="161"/>
      <c r="X21" s="161"/>
      <c r="Y21" s="185"/>
      <c r="Z21" s="161"/>
      <c r="AA21" s="161"/>
      <c r="AB21" s="161"/>
      <c r="AC21" s="161"/>
      <c r="AD21" s="161"/>
      <c r="AE21" s="161"/>
      <c r="AF21" s="161"/>
      <c r="AG21" s="187"/>
      <c r="AH21" s="188"/>
      <c r="AI21" s="53"/>
      <c r="AJ21" s="160" t="s">
        <v>169</v>
      </c>
      <c r="AK21" s="160"/>
      <c r="AL21" s="267"/>
      <c r="AM21" s="161"/>
      <c r="AN21" s="161"/>
      <c r="AO21" s="161"/>
      <c r="AP21" s="161"/>
      <c r="AQ21" s="228"/>
      <c r="AR21" s="228"/>
      <c r="AS21" s="228"/>
      <c r="AT21" s="161"/>
      <c r="AU21" s="161"/>
      <c r="AV21" s="270"/>
      <c r="AW21" s="161"/>
      <c r="AX21" s="161"/>
      <c r="AY21" s="161"/>
      <c r="AZ21" s="161"/>
      <c r="BA21" s="228"/>
      <c r="BB21" s="161"/>
      <c r="BC21" s="161"/>
      <c r="BD21" s="161"/>
      <c r="BE21" s="161"/>
      <c r="BF21" s="185"/>
      <c r="BG21" s="161"/>
      <c r="BH21" s="161"/>
      <c r="BI21" s="161"/>
      <c r="BJ21" s="161"/>
      <c r="BK21" s="161"/>
      <c r="BL21" s="161"/>
      <c r="BM21" s="161"/>
      <c r="BN21" s="187"/>
      <c r="BO21" s="188"/>
      <c r="BP21" s="53"/>
      <c r="BQ21" s="160" t="s">
        <v>169</v>
      </c>
      <c r="BR21" s="160"/>
      <c r="BS21" s="267"/>
      <c r="BT21" s="161"/>
      <c r="BU21" s="161"/>
      <c r="BV21" s="161"/>
      <c r="BW21" s="161"/>
      <c r="BX21" s="228"/>
      <c r="BY21" s="228"/>
      <c r="BZ21" s="228"/>
      <c r="CA21" s="161"/>
      <c r="CB21" s="161"/>
      <c r="CC21" s="270"/>
      <c r="CD21" s="161"/>
      <c r="CE21" s="161"/>
      <c r="CF21" s="161"/>
      <c r="CG21" s="161"/>
      <c r="CH21" s="228"/>
      <c r="CI21" s="161"/>
      <c r="CJ21" s="161"/>
      <c r="CK21" s="161"/>
      <c r="CL21" s="161"/>
      <c r="CM21" s="185"/>
      <c r="CN21" s="161"/>
      <c r="CO21" s="161"/>
      <c r="CP21" s="161"/>
      <c r="CQ21" s="161"/>
      <c r="CR21" s="161">
        <f t="shared" si="306"/>
        <v>0</v>
      </c>
      <c r="CS21" s="161"/>
      <c r="CT21" s="161"/>
      <c r="CU21" s="187"/>
      <c r="CV21" s="188" t="e">
        <f t="shared" si="199"/>
        <v>#DIV/0!</v>
      </c>
      <c r="CW21" s="53"/>
      <c r="CX21" s="160" t="s">
        <v>169</v>
      </c>
      <c r="CY21" s="160"/>
      <c r="CZ21" s="267"/>
      <c r="DA21" s="161"/>
      <c r="DB21" s="161"/>
      <c r="DC21" s="161"/>
      <c r="DD21" s="161"/>
      <c r="DE21" s="228"/>
      <c r="DF21" s="228"/>
      <c r="DG21" s="228"/>
      <c r="DH21" s="161"/>
      <c r="DI21" s="161"/>
      <c r="DJ21" s="270"/>
      <c r="DK21" s="161"/>
      <c r="DL21" s="161"/>
      <c r="DM21" s="161"/>
      <c r="DN21" s="161"/>
      <c r="DO21" s="228"/>
      <c r="DP21" s="161"/>
      <c r="DQ21" s="161"/>
      <c r="DR21" s="161"/>
      <c r="DS21" s="161"/>
      <c r="DT21" s="185"/>
      <c r="DU21" s="161"/>
      <c r="DV21" s="161"/>
      <c r="DW21" s="161"/>
      <c r="DX21" s="161"/>
      <c r="DY21" s="161">
        <f t="shared" si="307"/>
        <v>0</v>
      </c>
      <c r="DZ21" s="161"/>
      <c r="EA21" s="161"/>
      <c r="EB21" s="187"/>
      <c r="EC21" s="188" t="e">
        <f t="shared" si="203"/>
        <v>#DIV/0!</v>
      </c>
      <c r="ED21" s="53"/>
      <c r="EE21" s="160" t="s">
        <v>169</v>
      </c>
      <c r="EF21" s="160"/>
      <c r="EG21" s="160"/>
      <c r="EH21" s="162"/>
      <c r="EI21" s="162"/>
      <c r="EJ21" s="162"/>
      <c r="EK21" s="162"/>
      <c r="EL21" s="163"/>
      <c r="EM21" s="163"/>
      <c r="EN21" s="163"/>
      <c r="EO21" s="161"/>
      <c r="EP21" s="161"/>
      <c r="EQ21" s="162"/>
      <c r="ER21" s="162"/>
      <c r="ES21" s="162"/>
      <c r="ET21" s="162"/>
      <c r="EU21" s="162"/>
      <c r="EV21" s="162"/>
      <c r="EW21" s="162"/>
      <c r="EX21" s="162"/>
      <c r="EY21" s="162"/>
      <c r="EZ21" s="162"/>
      <c r="FA21" s="185"/>
      <c r="FB21" s="179"/>
      <c r="FC21" s="167"/>
      <c r="FD21" s="179"/>
      <c r="FE21" s="167"/>
      <c r="FF21" s="167">
        <v>0</v>
      </c>
      <c r="FG21" s="167"/>
      <c r="FH21" s="186"/>
      <c r="FI21" s="187"/>
      <c r="FJ21" s="188" t="e">
        <v>#DIV/0!</v>
      </c>
      <c r="FK21" s="53"/>
      <c r="FL21" s="53"/>
      <c r="FM21" s="53"/>
      <c r="FN21" s="160" t="s">
        <v>169</v>
      </c>
      <c r="FO21" s="160"/>
      <c r="FP21" s="160"/>
      <c r="FQ21" s="162"/>
      <c r="FR21" s="162"/>
      <c r="FS21" s="162"/>
      <c r="FT21" s="162"/>
      <c r="FU21" s="163"/>
      <c r="FV21" s="163"/>
      <c r="FW21" s="163"/>
      <c r="FX21" s="161"/>
      <c r="FY21" s="161"/>
      <c r="FZ21" s="162"/>
      <c r="GA21" s="162"/>
      <c r="GB21" s="162"/>
      <c r="GC21" s="162"/>
      <c r="GD21" s="162"/>
      <c r="GE21" s="162"/>
      <c r="GF21" s="162"/>
      <c r="GG21" s="162"/>
      <c r="GH21" s="162"/>
      <c r="GI21" s="162"/>
      <c r="GJ21" s="185"/>
      <c r="GK21" s="179"/>
      <c r="GL21" s="167"/>
      <c r="GM21" s="179"/>
      <c r="GN21" s="167"/>
      <c r="GO21" s="167"/>
      <c r="GP21" s="167"/>
      <c r="GQ21" s="186"/>
      <c r="GR21" s="187"/>
      <c r="GS21" s="188" t="e">
        <f t="shared" si="208"/>
        <v>#DIV/0!</v>
      </c>
      <c r="GT21" s="53"/>
      <c r="GU21" s="53"/>
      <c r="GV21" s="160" t="s">
        <v>169</v>
      </c>
      <c r="GW21" s="160"/>
      <c r="GX21" s="160"/>
      <c r="GY21" s="162"/>
      <c r="GZ21" s="162"/>
      <c r="HA21" s="162"/>
      <c r="HB21" s="162"/>
      <c r="HC21" s="163"/>
      <c r="HD21" s="163"/>
      <c r="HE21" s="163"/>
      <c r="HF21" s="161"/>
      <c r="HG21" s="161"/>
      <c r="HH21" s="162"/>
      <c r="HI21" s="162"/>
      <c r="HJ21" s="162"/>
      <c r="HK21" s="162"/>
      <c r="HL21" s="162"/>
      <c r="HM21" s="162"/>
      <c r="HN21" s="162"/>
      <c r="HO21" s="162"/>
      <c r="HP21" s="162"/>
      <c r="HQ21" s="162">
        <v>0</v>
      </c>
      <c r="HR21" s="185"/>
      <c r="HS21" s="179"/>
      <c r="HT21" s="167"/>
      <c r="HU21" s="179">
        <v>3733</v>
      </c>
      <c r="HV21" s="167"/>
      <c r="HW21" s="167">
        <f>HP21-HS21-HT21-HQ21-HU21-HV21</f>
        <v>-3733</v>
      </c>
      <c r="HX21" s="167"/>
      <c r="HY21" s="186"/>
      <c r="HZ21" s="187"/>
      <c r="IA21" s="188">
        <f t="shared" si="212"/>
        <v>0</v>
      </c>
      <c r="IB21" s="53"/>
      <c r="IC21" s="53"/>
      <c r="ID21" s="160" t="s">
        <v>169</v>
      </c>
      <c r="IE21" s="160"/>
      <c r="IF21" s="160"/>
      <c r="IG21" s="162"/>
      <c r="IH21" s="162"/>
      <c r="II21" s="162"/>
      <c r="IJ21" s="162"/>
      <c r="IK21" s="163"/>
      <c r="IL21" s="163"/>
      <c r="IM21" s="163"/>
      <c r="IN21" s="161"/>
      <c r="IO21" s="161"/>
      <c r="IP21" s="162"/>
      <c r="IQ21" s="162"/>
      <c r="IR21" s="162"/>
      <c r="IS21" s="162"/>
      <c r="IT21" s="162"/>
      <c r="IU21" s="162"/>
      <c r="IV21" s="162"/>
      <c r="IW21" s="162"/>
      <c r="IX21" s="162"/>
      <c r="IY21" s="162"/>
      <c r="IZ21" s="185"/>
      <c r="JA21" s="179"/>
      <c r="JB21" s="167"/>
      <c r="JC21" s="179"/>
      <c r="JD21" s="167"/>
      <c r="JE21" s="167"/>
      <c r="JF21" s="167"/>
      <c r="JG21" s="186"/>
      <c r="JH21" s="187"/>
      <c r="JI21" s="188"/>
      <c r="JJ21" s="53"/>
      <c r="JK21" s="53"/>
      <c r="JL21" s="160" t="s">
        <v>169</v>
      </c>
      <c r="JM21" s="160"/>
      <c r="JN21" s="160"/>
      <c r="JO21" s="162"/>
      <c r="JP21" s="162"/>
      <c r="JQ21" s="162"/>
      <c r="JR21" s="162"/>
      <c r="JS21" s="163"/>
      <c r="JT21" s="163"/>
      <c r="JU21" s="163"/>
      <c r="JV21" s="161"/>
      <c r="JW21" s="161"/>
      <c r="JX21" s="162"/>
      <c r="JY21" s="162"/>
      <c r="JZ21" s="162"/>
      <c r="KA21" s="162"/>
      <c r="KB21" s="162"/>
      <c r="KC21" s="162"/>
      <c r="KD21" s="162"/>
      <c r="KE21" s="162"/>
      <c r="KF21" s="162"/>
      <c r="KG21" s="162"/>
      <c r="KH21" s="185"/>
      <c r="KI21" s="179"/>
      <c r="KJ21" s="167"/>
      <c r="KK21" s="179"/>
      <c r="KL21" s="167"/>
      <c r="KM21" s="167"/>
      <c r="KN21" s="167"/>
      <c r="KO21" s="186"/>
      <c r="KP21" s="187"/>
      <c r="KQ21" s="188"/>
      <c r="KR21" s="53"/>
      <c r="KS21" s="53"/>
      <c r="KT21" s="213" t="s">
        <v>169</v>
      </c>
      <c r="KU21" s="213"/>
      <c r="KV21" s="213"/>
      <c r="KW21" s="216"/>
      <c r="KX21" s="216"/>
      <c r="KY21" s="216"/>
      <c r="KZ21" s="216"/>
      <c r="LA21" s="223"/>
      <c r="LB21" s="223"/>
      <c r="LC21" s="223"/>
      <c r="LD21" s="216"/>
      <c r="LE21" s="216"/>
      <c r="LF21" s="216"/>
      <c r="LG21" s="216"/>
      <c r="LH21" s="216"/>
      <c r="LI21" s="216"/>
      <c r="LJ21" s="216"/>
      <c r="LK21" s="223"/>
      <c r="LL21" s="216"/>
      <c r="LM21" s="216"/>
      <c r="LN21" s="216"/>
      <c r="LO21" s="271"/>
      <c r="LP21" s="224"/>
      <c r="LQ21" s="217"/>
      <c r="LR21" s="219">
        <v>0</v>
      </c>
      <c r="LS21" s="217"/>
      <c r="LT21" s="217"/>
      <c r="LU21" s="219">
        <v>0</v>
      </c>
      <c r="LV21" s="224"/>
      <c r="LW21" s="225"/>
      <c r="LX21" s="221" t="e">
        <v>#DIV/0!</v>
      </c>
      <c r="LY21" s="222" t="e">
        <v>#DIV/0!</v>
      </c>
      <c r="LZ21" s="269"/>
      <c r="MA21" s="192"/>
      <c r="MB21" s="213" t="s">
        <v>169</v>
      </c>
      <c r="MC21" s="213"/>
      <c r="MD21" s="213"/>
      <c r="ME21" s="216"/>
      <c r="MF21" s="216"/>
      <c r="MG21" s="216"/>
      <c r="MH21" s="216"/>
      <c r="MI21" s="223"/>
      <c r="MJ21" s="223"/>
      <c r="MK21" s="223"/>
      <c r="ML21" s="216"/>
      <c r="MM21" s="216"/>
      <c r="MN21" s="216"/>
      <c r="MO21" s="216"/>
      <c r="MP21" s="216"/>
      <c r="MQ21" s="216"/>
      <c r="MR21" s="216"/>
      <c r="MS21" s="223"/>
      <c r="MT21" s="216"/>
      <c r="MU21" s="216"/>
      <c r="MV21" s="216"/>
      <c r="MW21" s="271"/>
      <c r="MX21" s="224"/>
      <c r="MY21" s="217"/>
      <c r="MZ21" s="219">
        <f t="shared" si="221"/>
        <v>0</v>
      </c>
      <c r="NA21" s="217"/>
      <c r="NB21" s="219">
        <f t="shared" si="308"/>
        <v>0</v>
      </c>
      <c r="NC21" s="224"/>
      <c r="ND21" s="224"/>
      <c r="NE21" s="225"/>
      <c r="NF21" s="221" t="e">
        <f t="shared" si="222"/>
        <v>#DIV/0!</v>
      </c>
      <c r="NG21" s="222" t="e">
        <f t="shared" si="223"/>
        <v>#DIV/0!</v>
      </c>
      <c r="NH21" s="233" t="s">
        <v>162</v>
      </c>
      <c r="NI21" s="53"/>
      <c r="NJ21" s="213" t="s">
        <v>169</v>
      </c>
      <c r="NK21" s="213">
        <v>2</v>
      </c>
      <c r="NL21" s="213"/>
      <c r="NM21" s="214">
        <v>28</v>
      </c>
      <c r="NN21" s="214"/>
      <c r="NO21" s="214">
        <v>990</v>
      </c>
      <c r="NP21" s="214">
        <v>451</v>
      </c>
      <c r="NQ21" s="215">
        <v>113358</v>
      </c>
      <c r="NR21" s="215">
        <v>153455</v>
      </c>
      <c r="NS21" s="215">
        <v>91168</v>
      </c>
      <c r="NT21" s="216">
        <v>387712</v>
      </c>
      <c r="NU21" s="216">
        <v>314541</v>
      </c>
      <c r="NV21" s="216"/>
      <c r="NW21" s="214">
        <v>362</v>
      </c>
      <c r="NX21" s="214">
        <v>129415</v>
      </c>
      <c r="NY21" s="214">
        <v>72904</v>
      </c>
      <c r="NZ21" s="214">
        <v>1865</v>
      </c>
      <c r="OA21" s="215">
        <v>1414</v>
      </c>
      <c r="OB21" s="214">
        <v>1386713</v>
      </c>
      <c r="OC21" s="214">
        <v>1333968</v>
      </c>
      <c r="OD21" s="214">
        <f t="shared" si="272"/>
        <v>52745</v>
      </c>
      <c r="OE21" s="271">
        <v>22880</v>
      </c>
      <c r="OF21" s="224">
        <v>-28469.9</v>
      </c>
      <c r="OG21" s="218">
        <f t="shared" si="273"/>
        <v>76269.215</v>
      </c>
      <c r="OH21" s="219">
        <f t="shared" si="226"/>
        <v>-5693.98</v>
      </c>
      <c r="OI21" s="218">
        <v>228346</v>
      </c>
      <c r="OJ21" s="218"/>
      <c r="OK21" s="219">
        <f t="shared" si="227"/>
        <v>-269056.235</v>
      </c>
      <c r="OL21" s="219">
        <f t="shared" si="228"/>
        <v>340.254988913525</v>
      </c>
      <c r="OM21" s="220">
        <f t="shared" si="229"/>
        <v>743.545844504021</v>
      </c>
      <c r="ON21" s="221">
        <f t="shared" si="230"/>
        <v>0.476862682021714</v>
      </c>
      <c r="OO21" s="222">
        <f t="shared" si="231"/>
        <v>0.163905523855432</v>
      </c>
      <c r="OP21" s="233" t="s">
        <v>163</v>
      </c>
      <c r="OQ21" s="193"/>
      <c r="OR21" s="53"/>
      <c r="OS21" s="95" t="s">
        <v>169</v>
      </c>
      <c r="OT21" s="95">
        <v>2</v>
      </c>
      <c r="OU21" s="170">
        <v>35</v>
      </c>
      <c r="OV21" s="170">
        <v>1202</v>
      </c>
      <c r="OW21" s="170">
        <v>592</v>
      </c>
      <c r="OX21" s="194">
        <v>159471</v>
      </c>
      <c r="OY21" s="194">
        <v>276566</v>
      </c>
      <c r="OZ21" s="194">
        <v>153941</v>
      </c>
      <c r="PA21" s="172">
        <v>649015</v>
      </c>
      <c r="PB21" s="172">
        <v>551743</v>
      </c>
      <c r="PC21" s="170">
        <v>2101</v>
      </c>
      <c r="PD21" s="194">
        <v>1509</v>
      </c>
      <c r="PE21" s="170">
        <v>1389285</v>
      </c>
      <c r="PF21" s="170">
        <v>1106180</v>
      </c>
      <c r="PG21" s="170">
        <f t="shared" si="233"/>
        <v>283105</v>
      </c>
      <c r="PH21" s="205">
        <v>17780</v>
      </c>
      <c r="PI21" s="209">
        <v>205555.87</v>
      </c>
      <c r="PJ21" s="171">
        <f t="shared" si="274"/>
        <v>76410.675</v>
      </c>
      <c r="PK21" s="174">
        <f t="shared" si="235"/>
        <v>41111.174</v>
      </c>
      <c r="PL21" s="171">
        <v>228346</v>
      </c>
      <c r="PM21" s="174">
        <f t="shared" si="236"/>
        <v>-80542.849</v>
      </c>
      <c r="PN21" s="174">
        <f t="shared" si="237"/>
        <v>467.172297297297</v>
      </c>
      <c r="PO21" s="195">
        <f t="shared" si="238"/>
        <v>661.249405045217</v>
      </c>
      <c r="PP21" s="196">
        <f t="shared" si="239"/>
        <v>0.760532478771791</v>
      </c>
      <c r="PQ21" s="197">
        <f t="shared" si="240"/>
        <v>0.778514160824859</v>
      </c>
      <c r="PR21" s="198"/>
      <c r="PS21" s="144"/>
      <c r="PT21" s="144"/>
      <c r="PU21" s="95" t="s">
        <v>169</v>
      </c>
      <c r="PV21" s="95">
        <v>2</v>
      </c>
      <c r="PW21" s="170">
        <v>43</v>
      </c>
      <c r="PX21" s="170">
        <v>1235</v>
      </c>
      <c r="PY21" s="170">
        <v>486</v>
      </c>
      <c r="PZ21" s="194">
        <v>140102</v>
      </c>
      <c r="QA21" s="194">
        <v>188082</v>
      </c>
      <c r="QB21" s="170">
        <v>115235</v>
      </c>
      <c r="QC21" s="170">
        <v>1858</v>
      </c>
      <c r="QD21" s="170">
        <v>1372</v>
      </c>
      <c r="QE21" s="170">
        <v>1142662</v>
      </c>
      <c r="QF21" s="171">
        <v>921204</v>
      </c>
      <c r="QG21" s="174">
        <v>221458</v>
      </c>
      <c r="QH21" s="205">
        <v>0</v>
      </c>
      <c r="QI21" s="209">
        <v>167607.57</v>
      </c>
      <c r="QJ21" s="171">
        <f t="shared" si="275"/>
        <v>62846.41</v>
      </c>
      <c r="QK21" s="174">
        <f t="shared" si="242"/>
        <v>33521.514</v>
      </c>
      <c r="QL21" s="171">
        <f>PV21*6613*QG1+1</f>
        <v>396781</v>
      </c>
      <c r="QM21" s="174">
        <f t="shared" si="276"/>
        <v>125090.076</v>
      </c>
      <c r="QN21" s="174">
        <f t="shared" si="277"/>
        <v>288.275720164609</v>
      </c>
      <c r="QO21" s="195">
        <f t="shared" si="244"/>
        <v>614.995694294941</v>
      </c>
      <c r="QP21" s="196">
        <f t="shared" si="245"/>
        <v>0.381389861858443</v>
      </c>
      <c r="QQ21" s="197">
        <f t="shared" si="246"/>
        <v>2.2980468065287</v>
      </c>
      <c r="QR21" s="266"/>
      <c r="QS21" s="206"/>
      <c r="QT21" s="144" t="s">
        <v>170</v>
      </c>
      <c r="QU21" s="95" t="s">
        <v>169</v>
      </c>
      <c r="QV21" s="95">
        <v>3</v>
      </c>
      <c r="QW21" s="175">
        <v>1903</v>
      </c>
      <c r="QX21" s="175">
        <v>629</v>
      </c>
      <c r="QY21" s="175">
        <v>1184126</v>
      </c>
      <c r="QZ21" s="175">
        <v>790</v>
      </c>
      <c r="RA21" s="175">
        <v>1184126</v>
      </c>
      <c r="RB21" s="175">
        <v>941678</v>
      </c>
      <c r="RC21" s="177">
        <f t="shared" si="248"/>
        <v>933308</v>
      </c>
      <c r="RD21" s="171">
        <f t="shared" si="278"/>
        <v>242448</v>
      </c>
      <c r="RE21" s="178">
        <v>8370</v>
      </c>
      <c r="RF21" s="209">
        <v>169102.23</v>
      </c>
      <c r="RG21" s="171">
        <f t="shared" si="279"/>
        <v>65126.93</v>
      </c>
      <c r="RH21" s="174">
        <f t="shared" si="280"/>
        <v>16910.223</v>
      </c>
      <c r="RI21" s="171">
        <f t="shared" si="281"/>
        <v>615009</v>
      </c>
      <c r="RJ21" s="176">
        <f t="shared" si="250"/>
        <v>160410.847</v>
      </c>
      <c r="RK21" s="174">
        <f t="shared" si="251"/>
        <v>1498.89367088608</v>
      </c>
      <c r="RL21" s="201">
        <f t="shared" si="252"/>
        <v>1.6786204780882</v>
      </c>
      <c r="RM21" s="197">
        <f t="shared" si="253"/>
        <v>2.95534390375541</v>
      </c>
      <c r="RN21" s="198"/>
      <c r="RO21" s="144"/>
      <c r="RP21" s="144"/>
      <c r="RQ21" s="95" t="s">
        <v>169</v>
      </c>
      <c r="RR21" s="95">
        <v>3</v>
      </c>
      <c r="RS21" s="175">
        <v>1167</v>
      </c>
      <c r="RT21" s="175">
        <v>400</v>
      </c>
      <c r="RU21" s="175">
        <v>788044</v>
      </c>
      <c r="RV21" s="175">
        <v>526</v>
      </c>
      <c r="RW21" s="175">
        <v>788044</v>
      </c>
      <c r="RX21" s="175">
        <v>659467</v>
      </c>
      <c r="RY21" s="177">
        <f t="shared" si="282"/>
        <v>128577</v>
      </c>
      <c r="RZ21" s="178">
        <v>22810</v>
      </c>
      <c r="SA21" s="170">
        <v>0</v>
      </c>
      <c r="SB21" s="174">
        <v>92752.45</v>
      </c>
      <c r="SC21" s="171">
        <f t="shared" si="283"/>
        <v>43342.42</v>
      </c>
      <c r="SD21" s="174">
        <f t="shared" si="284"/>
        <v>9275.245</v>
      </c>
      <c r="SE21" s="171">
        <f t="shared" si="285"/>
        <v>595170</v>
      </c>
      <c r="SF21" s="207">
        <f t="shared" si="286"/>
        <v>-519210.665</v>
      </c>
      <c r="SG21" s="174">
        <f t="shared" si="255"/>
        <v>1498.1825095057</v>
      </c>
      <c r="SH21" s="196">
        <f t="shared" si="256"/>
        <v>1.17513680874508</v>
      </c>
      <c r="SI21" s="197">
        <f t="shared" si="257"/>
        <v>0.198486335796468</v>
      </c>
      <c r="SJ21" s="157"/>
      <c r="SK21" s="144"/>
      <c r="SL21" s="144"/>
      <c r="SM21" s="95" t="s">
        <v>169</v>
      </c>
      <c r="SN21" s="95">
        <v>3</v>
      </c>
      <c r="SO21" s="175">
        <v>1065</v>
      </c>
      <c r="SP21" s="175">
        <v>519</v>
      </c>
      <c r="SQ21" s="175">
        <v>1057925</v>
      </c>
      <c r="SR21" s="175">
        <v>695</v>
      </c>
      <c r="SS21" s="175">
        <v>1057925</v>
      </c>
      <c r="ST21" s="175">
        <v>902210</v>
      </c>
      <c r="SU21" s="177">
        <f t="shared" si="287"/>
        <v>155715</v>
      </c>
      <c r="SV21" s="178">
        <v>8540</v>
      </c>
      <c r="SW21" s="170">
        <v>0</v>
      </c>
      <c r="SX21" s="174">
        <v>115889.14</v>
      </c>
      <c r="SY21" s="171">
        <f t="shared" si="288"/>
        <v>58185.875</v>
      </c>
      <c r="SZ21" s="174">
        <f t="shared" si="289"/>
        <v>11588.914</v>
      </c>
      <c r="TA21" s="171">
        <f t="shared" si="290"/>
        <v>790500</v>
      </c>
      <c r="TB21" s="207">
        <f t="shared" si="291"/>
        <v>-704559.789</v>
      </c>
      <c r="TC21" s="174">
        <f t="shared" si="259"/>
        <v>1522.19424460432</v>
      </c>
      <c r="TD21" s="196">
        <f t="shared" si="260"/>
        <v>1.21766458558753</v>
      </c>
      <c r="TE21" s="197">
        <f t="shared" si="261"/>
        <v>0.181006118034688</v>
      </c>
      <c r="TF21" s="156"/>
      <c r="TG21" s="156"/>
      <c r="TH21" s="95" t="s">
        <v>169</v>
      </c>
      <c r="TI21" s="95">
        <v>3</v>
      </c>
      <c r="TJ21" s="95">
        <v>2222</v>
      </c>
      <c r="TK21" s="95">
        <v>1409</v>
      </c>
      <c r="TL21" s="175">
        <v>1815705.9</v>
      </c>
      <c r="TM21" s="175">
        <v>1597</v>
      </c>
      <c r="TN21" s="175">
        <v>2008600.8</v>
      </c>
      <c r="TO21" s="175">
        <v>1825747</v>
      </c>
      <c r="TP21" s="175">
        <f t="shared" si="292"/>
        <v>182853.8</v>
      </c>
      <c r="TQ21" s="178">
        <v>253779.6</v>
      </c>
      <c r="TR21" s="170">
        <v>0</v>
      </c>
      <c r="TS21" s="170">
        <v>44448.22</v>
      </c>
      <c r="TT21" s="170">
        <f t="shared" si="293"/>
        <v>80344.032</v>
      </c>
      <c r="TU21" s="178">
        <f t="shared" si="294"/>
        <v>4444.822</v>
      </c>
      <c r="TV21" s="170">
        <f t="shared" si="295"/>
        <v>714000</v>
      </c>
      <c r="TW21" s="203">
        <f t="shared" si="296"/>
        <v>-615935.054</v>
      </c>
      <c r="TX21" s="174">
        <f t="shared" si="263"/>
        <v>1257.73375078272</v>
      </c>
      <c r="TY21" s="196">
        <f t="shared" si="264"/>
        <v>1.72502405244989</v>
      </c>
      <c r="TZ21" s="102">
        <f t="shared" si="265"/>
        <v>0.228913810056744</v>
      </c>
      <c r="UA21" s="156"/>
      <c r="UB21" s="144"/>
      <c r="UC21" s="144"/>
      <c r="UD21" s="95" t="s">
        <v>169</v>
      </c>
      <c r="UE21" s="95">
        <v>3</v>
      </c>
      <c r="UF21" s="175">
        <v>2173</v>
      </c>
      <c r="UG21" s="175">
        <v>1354</v>
      </c>
      <c r="UH21" s="175">
        <v>1554477</v>
      </c>
      <c r="UI21" s="175">
        <v>1421</v>
      </c>
      <c r="UJ21" s="175">
        <v>1561077</v>
      </c>
      <c r="UK21" s="175">
        <v>1770614</v>
      </c>
      <c r="UL21" s="175">
        <f t="shared" si="297"/>
        <v>-209537</v>
      </c>
      <c r="UM21" s="170">
        <v>352269.9</v>
      </c>
      <c r="UN21" s="170">
        <v>0</v>
      </c>
      <c r="UO21" s="203">
        <v>-294037.43</v>
      </c>
      <c r="UP21" s="170">
        <f t="shared" si="298"/>
        <v>62443.08</v>
      </c>
      <c r="UQ21" s="178">
        <v>0</v>
      </c>
      <c r="UR21" s="170">
        <f t="shared" si="299"/>
        <v>790500</v>
      </c>
      <c r="US21" s="203">
        <f t="shared" si="300"/>
        <v>-1062480.08</v>
      </c>
      <c r="UT21" s="174">
        <f t="shared" si="267"/>
        <v>1098.5763546798</v>
      </c>
      <c r="UU21" s="196">
        <f t="shared" si="301"/>
        <v>1.28979443948571</v>
      </c>
      <c r="UV21" s="102">
        <f t="shared" si="268"/>
        <v>-0.245663520712308</v>
      </c>
      <c r="UW21" s="144"/>
      <c r="UX21" s="144"/>
      <c r="UY21" s="144"/>
      <c r="UZ21" s="95" t="s">
        <v>169</v>
      </c>
      <c r="VA21" s="95">
        <v>3</v>
      </c>
      <c r="VB21" s="175">
        <v>416</v>
      </c>
      <c r="VC21" s="175">
        <v>210</v>
      </c>
      <c r="VD21" s="175">
        <v>222450</v>
      </c>
      <c r="VE21" s="175">
        <v>210</v>
      </c>
      <c r="VF21" s="175">
        <v>222450</v>
      </c>
      <c r="VG21" s="175">
        <v>261418</v>
      </c>
      <c r="VH21" s="175">
        <f t="shared" si="302"/>
        <v>-38968</v>
      </c>
      <c r="VI21" s="178">
        <v>30330</v>
      </c>
      <c r="VJ21" s="178">
        <v>0</v>
      </c>
      <c r="VK21" s="203">
        <v>-50619.51</v>
      </c>
      <c r="VL21" s="178">
        <f t="shared" si="303"/>
        <v>12234.75</v>
      </c>
      <c r="VM21" s="178">
        <v>0</v>
      </c>
      <c r="VN21" s="170">
        <f>VA21*8500*17</f>
        <v>433500</v>
      </c>
      <c r="VO21" s="178">
        <f t="shared" si="304"/>
        <v>-484702.75</v>
      </c>
      <c r="VP21" s="174">
        <f t="shared" si="270"/>
        <v>1059.28571428571</v>
      </c>
      <c r="VQ21" s="196">
        <f t="shared" si="305"/>
        <v>0.46726837053153</v>
      </c>
      <c r="VR21" s="102">
        <f t="shared" si="271"/>
        <v>-0.0874241911809658</v>
      </c>
      <c r="VS21" s="84" t="s">
        <v>171</v>
      </c>
      <c r="VT21" s="53"/>
      <c r="VU21" s="53"/>
    </row>
    <row r="22" ht="18" hidden="1" customHeight="1" spans="1:593">
      <c r="A22" s="53"/>
      <c r="B22" s="53"/>
      <c r="C22" s="160" t="s">
        <v>172</v>
      </c>
      <c r="D22" s="160"/>
      <c r="E22" s="267"/>
      <c r="F22" s="161"/>
      <c r="G22" s="161"/>
      <c r="H22" s="161"/>
      <c r="I22" s="161"/>
      <c r="J22" s="228"/>
      <c r="K22" s="228"/>
      <c r="L22" s="228"/>
      <c r="M22" s="161"/>
      <c r="N22" s="161"/>
      <c r="O22" s="270"/>
      <c r="P22" s="161"/>
      <c r="Q22" s="161"/>
      <c r="R22" s="161"/>
      <c r="S22" s="161"/>
      <c r="T22" s="228"/>
      <c r="U22" s="161"/>
      <c r="V22" s="161"/>
      <c r="W22" s="161"/>
      <c r="X22" s="161"/>
      <c r="Y22" s="185"/>
      <c r="Z22" s="161"/>
      <c r="AA22" s="161"/>
      <c r="AB22" s="161"/>
      <c r="AC22" s="161"/>
      <c r="AD22" s="161"/>
      <c r="AE22" s="161"/>
      <c r="AF22" s="161"/>
      <c r="AG22" s="187"/>
      <c r="AH22" s="188"/>
      <c r="AI22" s="53"/>
      <c r="AJ22" s="160" t="s">
        <v>172</v>
      </c>
      <c r="AK22" s="160"/>
      <c r="AL22" s="267"/>
      <c r="AM22" s="161"/>
      <c r="AN22" s="161"/>
      <c r="AO22" s="161"/>
      <c r="AP22" s="161"/>
      <c r="AQ22" s="228"/>
      <c r="AR22" s="228"/>
      <c r="AS22" s="228"/>
      <c r="AT22" s="161"/>
      <c r="AU22" s="161"/>
      <c r="AV22" s="270"/>
      <c r="AW22" s="161"/>
      <c r="AX22" s="161"/>
      <c r="AY22" s="161"/>
      <c r="AZ22" s="161"/>
      <c r="BA22" s="228"/>
      <c r="BB22" s="161"/>
      <c r="BC22" s="161"/>
      <c r="BD22" s="161"/>
      <c r="BE22" s="161"/>
      <c r="BF22" s="185"/>
      <c r="BG22" s="161"/>
      <c r="BH22" s="161"/>
      <c r="BI22" s="161"/>
      <c r="BJ22" s="161"/>
      <c r="BK22" s="161"/>
      <c r="BL22" s="161"/>
      <c r="BM22" s="161"/>
      <c r="BN22" s="187"/>
      <c r="BO22" s="188"/>
      <c r="BP22" s="53"/>
      <c r="BQ22" s="160" t="s">
        <v>172</v>
      </c>
      <c r="BR22" s="160"/>
      <c r="BS22" s="267"/>
      <c r="BT22" s="161"/>
      <c r="BU22" s="161"/>
      <c r="BV22" s="161"/>
      <c r="BW22" s="161"/>
      <c r="BX22" s="228"/>
      <c r="BY22" s="228"/>
      <c r="BZ22" s="228"/>
      <c r="CA22" s="161"/>
      <c r="CB22" s="161"/>
      <c r="CC22" s="270"/>
      <c r="CD22" s="161"/>
      <c r="CE22" s="161"/>
      <c r="CF22" s="161"/>
      <c r="CG22" s="161"/>
      <c r="CH22" s="228"/>
      <c r="CI22" s="161"/>
      <c r="CJ22" s="161"/>
      <c r="CK22" s="161"/>
      <c r="CL22" s="161"/>
      <c r="CM22" s="185"/>
      <c r="CN22" s="161"/>
      <c r="CO22" s="161"/>
      <c r="CP22" s="161"/>
      <c r="CQ22" s="161"/>
      <c r="CR22" s="161">
        <f t="shared" si="306"/>
        <v>0</v>
      </c>
      <c r="CS22" s="161"/>
      <c r="CT22" s="161"/>
      <c r="CU22" s="187"/>
      <c r="CV22" s="188" t="e">
        <f t="shared" si="199"/>
        <v>#DIV/0!</v>
      </c>
      <c r="CW22" s="53"/>
      <c r="CX22" s="160" t="s">
        <v>172</v>
      </c>
      <c r="CY22" s="160"/>
      <c r="CZ22" s="267"/>
      <c r="DA22" s="161"/>
      <c r="DB22" s="161"/>
      <c r="DC22" s="161"/>
      <c r="DD22" s="161"/>
      <c r="DE22" s="228"/>
      <c r="DF22" s="228"/>
      <c r="DG22" s="228"/>
      <c r="DH22" s="161"/>
      <c r="DI22" s="161"/>
      <c r="DJ22" s="270"/>
      <c r="DK22" s="161"/>
      <c r="DL22" s="161"/>
      <c r="DM22" s="161"/>
      <c r="DN22" s="161"/>
      <c r="DO22" s="228"/>
      <c r="DP22" s="161"/>
      <c r="DQ22" s="161"/>
      <c r="DR22" s="161"/>
      <c r="DS22" s="161"/>
      <c r="DT22" s="185"/>
      <c r="DU22" s="161"/>
      <c r="DV22" s="161"/>
      <c r="DW22" s="161"/>
      <c r="DX22" s="161"/>
      <c r="DY22" s="161">
        <f t="shared" si="307"/>
        <v>0</v>
      </c>
      <c r="DZ22" s="161"/>
      <c r="EA22" s="161"/>
      <c r="EB22" s="187"/>
      <c r="EC22" s="188" t="e">
        <f t="shared" si="203"/>
        <v>#DIV/0!</v>
      </c>
      <c r="ED22" s="53"/>
      <c r="EE22" s="160" t="s">
        <v>172</v>
      </c>
      <c r="EF22" s="160"/>
      <c r="EG22" s="160"/>
      <c r="EH22" s="162"/>
      <c r="EI22" s="162"/>
      <c r="EJ22" s="162"/>
      <c r="EK22" s="162"/>
      <c r="EL22" s="163"/>
      <c r="EM22" s="163"/>
      <c r="EN22" s="163"/>
      <c r="EO22" s="161"/>
      <c r="EP22" s="161"/>
      <c r="EQ22" s="162"/>
      <c r="ER22" s="162"/>
      <c r="ES22" s="162"/>
      <c r="ET22" s="162"/>
      <c r="EU22" s="162"/>
      <c r="EV22" s="162"/>
      <c r="EW22" s="162"/>
      <c r="EX22" s="162"/>
      <c r="EY22" s="162"/>
      <c r="EZ22" s="162"/>
      <c r="FA22" s="185"/>
      <c r="FB22" s="179"/>
      <c r="FC22" s="167"/>
      <c r="FD22" s="179"/>
      <c r="FE22" s="167"/>
      <c r="FF22" s="167">
        <v>0</v>
      </c>
      <c r="FG22" s="167"/>
      <c r="FH22" s="186"/>
      <c r="FI22" s="187"/>
      <c r="FJ22" s="188" t="e">
        <v>#DIV/0!</v>
      </c>
      <c r="FK22" s="53"/>
      <c r="FL22" s="53"/>
      <c r="FM22" s="53"/>
      <c r="FN22" s="160" t="s">
        <v>172</v>
      </c>
      <c r="FO22" s="160"/>
      <c r="FP22" s="160"/>
      <c r="FQ22" s="162"/>
      <c r="FR22" s="162"/>
      <c r="FS22" s="162"/>
      <c r="FT22" s="162"/>
      <c r="FU22" s="163"/>
      <c r="FV22" s="163"/>
      <c r="FW22" s="163"/>
      <c r="FX22" s="161"/>
      <c r="FY22" s="161"/>
      <c r="FZ22" s="162"/>
      <c r="GA22" s="162"/>
      <c r="GB22" s="162"/>
      <c r="GC22" s="162"/>
      <c r="GD22" s="162"/>
      <c r="GE22" s="162"/>
      <c r="GF22" s="162"/>
      <c r="GG22" s="162"/>
      <c r="GH22" s="162"/>
      <c r="GI22" s="162"/>
      <c r="GJ22" s="185"/>
      <c r="GK22" s="179"/>
      <c r="GL22" s="167"/>
      <c r="GM22" s="179"/>
      <c r="GN22" s="167"/>
      <c r="GO22" s="167"/>
      <c r="GP22" s="167"/>
      <c r="GQ22" s="186"/>
      <c r="GR22" s="187"/>
      <c r="GS22" s="188" t="e">
        <f t="shared" si="208"/>
        <v>#DIV/0!</v>
      </c>
      <c r="GT22" s="53"/>
      <c r="GU22" s="53"/>
      <c r="GV22" s="160" t="s">
        <v>172</v>
      </c>
      <c r="GW22" s="160"/>
      <c r="GX22" s="160"/>
      <c r="GY22" s="162"/>
      <c r="GZ22" s="162"/>
      <c r="HA22" s="162"/>
      <c r="HB22" s="162"/>
      <c r="HC22" s="163"/>
      <c r="HD22" s="163"/>
      <c r="HE22" s="163"/>
      <c r="HF22" s="161"/>
      <c r="HG22" s="161"/>
      <c r="HH22" s="162"/>
      <c r="HI22" s="162"/>
      <c r="HJ22" s="162"/>
      <c r="HK22" s="162"/>
      <c r="HL22" s="162"/>
      <c r="HM22" s="162"/>
      <c r="HN22" s="162"/>
      <c r="HO22" s="162"/>
      <c r="HP22" s="162"/>
      <c r="HQ22" s="162">
        <v>0</v>
      </c>
      <c r="HR22" s="185"/>
      <c r="HS22" s="179"/>
      <c r="HT22" s="167"/>
      <c r="HU22" s="179">
        <v>3733</v>
      </c>
      <c r="HV22" s="167"/>
      <c r="HW22" s="167">
        <f>HP22-HS22-HT22-HQ22-HU22-HV22</f>
        <v>-3733</v>
      </c>
      <c r="HX22" s="167"/>
      <c r="HY22" s="186"/>
      <c r="HZ22" s="187"/>
      <c r="IA22" s="188">
        <f t="shared" si="212"/>
        <v>0</v>
      </c>
      <c r="IB22" s="53"/>
      <c r="IC22" s="53"/>
      <c r="ID22" s="160" t="s">
        <v>172</v>
      </c>
      <c r="IE22" s="160"/>
      <c r="IF22" s="160"/>
      <c r="IG22" s="162"/>
      <c r="IH22" s="162"/>
      <c r="II22" s="162"/>
      <c r="IJ22" s="162"/>
      <c r="IK22" s="163"/>
      <c r="IL22" s="163"/>
      <c r="IM22" s="163"/>
      <c r="IN22" s="161"/>
      <c r="IO22" s="161"/>
      <c r="IP22" s="162"/>
      <c r="IQ22" s="162"/>
      <c r="IR22" s="162"/>
      <c r="IS22" s="162"/>
      <c r="IT22" s="162"/>
      <c r="IU22" s="162"/>
      <c r="IV22" s="162"/>
      <c r="IW22" s="162"/>
      <c r="IX22" s="162"/>
      <c r="IY22" s="162"/>
      <c r="IZ22" s="185"/>
      <c r="JA22" s="179"/>
      <c r="JB22" s="167"/>
      <c r="JC22" s="179"/>
      <c r="JD22" s="167"/>
      <c r="JE22" s="167"/>
      <c r="JF22" s="167"/>
      <c r="JG22" s="186"/>
      <c r="JH22" s="187"/>
      <c r="JI22" s="188"/>
      <c r="JJ22" s="53"/>
      <c r="JK22" s="53"/>
      <c r="JL22" s="160" t="s">
        <v>172</v>
      </c>
      <c r="JM22" s="160"/>
      <c r="JN22" s="160"/>
      <c r="JO22" s="162"/>
      <c r="JP22" s="162"/>
      <c r="JQ22" s="162"/>
      <c r="JR22" s="162"/>
      <c r="JS22" s="163"/>
      <c r="JT22" s="163"/>
      <c r="JU22" s="163"/>
      <c r="JV22" s="161"/>
      <c r="JW22" s="161"/>
      <c r="JX22" s="162"/>
      <c r="JY22" s="162"/>
      <c r="JZ22" s="162"/>
      <c r="KA22" s="162"/>
      <c r="KB22" s="162"/>
      <c r="KC22" s="162"/>
      <c r="KD22" s="162"/>
      <c r="KE22" s="162"/>
      <c r="KF22" s="162"/>
      <c r="KG22" s="162"/>
      <c r="KH22" s="185"/>
      <c r="KI22" s="179"/>
      <c r="KJ22" s="167"/>
      <c r="KK22" s="179"/>
      <c r="KL22" s="167"/>
      <c r="KM22" s="167"/>
      <c r="KN22" s="167"/>
      <c r="KO22" s="186"/>
      <c r="KP22" s="187"/>
      <c r="KQ22" s="188"/>
      <c r="KR22" s="53"/>
      <c r="KS22" s="53"/>
      <c r="KT22" s="213" t="s">
        <v>172</v>
      </c>
      <c r="KU22" s="213"/>
      <c r="KV22" s="213"/>
      <c r="KW22" s="216"/>
      <c r="KX22" s="216"/>
      <c r="KY22" s="216"/>
      <c r="KZ22" s="216"/>
      <c r="LA22" s="223"/>
      <c r="LB22" s="223"/>
      <c r="LC22" s="223"/>
      <c r="LD22" s="216"/>
      <c r="LE22" s="216"/>
      <c r="LF22" s="216"/>
      <c r="LG22" s="216"/>
      <c r="LH22" s="216"/>
      <c r="LI22" s="216"/>
      <c r="LJ22" s="216"/>
      <c r="LK22" s="223"/>
      <c r="LL22" s="216"/>
      <c r="LM22" s="216"/>
      <c r="LN22" s="216"/>
      <c r="LO22" s="216"/>
      <c r="LP22" s="217"/>
      <c r="LQ22" s="217"/>
      <c r="LR22" s="219">
        <v>0</v>
      </c>
      <c r="LS22" s="217"/>
      <c r="LT22" s="217"/>
      <c r="LU22" s="219">
        <v>0</v>
      </c>
      <c r="LV22" s="224"/>
      <c r="LW22" s="225"/>
      <c r="LX22" s="221" t="e">
        <v>#DIV/0!</v>
      </c>
      <c r="LY22" s="222" t="e">
        <v>#DIV/0!</v>
      </c>
      <c r="LZ22" s="269"/>
      <c r="MA22" s="192"/>
      <c r="MB22" s="213" t="s">
        <v>172</v>
      </c>
      <c r="MC22" s="213"/>
      <c r="MD22" s="213"/>
      <c r="ME22" s="216"/>
      <c r="MF22" s="216"/>
      <c r="MG22" s="216"/>
      <c r="MH22" s="216"/>
      <c r="MI22" s="223"/>
      <c r="MJ22" s="223"/>
      <c r="MK22" s="223"/>
      <c r="ML22" s="216"/>
      <c r="MM22" s="216"/>
      <c r="MN22" s="216"/>
      <c r="MO22" s="216"/>
      <c r="MP22" s="216"/>
      <c r="MQ22" s="216"/>
      <c r="MR22" s="216"/>
      <c r="MS22" s="223"/>
      <c r="MT22" s="216"/>
      <c r="MU22" s="216"/>
      <c r="MV22" s="216"/>
      <c r="MW22" s="216"/>
      <c r="MX22" s="217"/>
      <c r="MY22" s="217"/>
      <c r="MZ22" s="219">
        <f t="shared" si="221"/>
        <v>0</v>
      </c>
      <c r="NA22" s="217"/>
      <c r="NB22" s="219">
        <f t="shared" si="308"/>
        <v>0</v>
      </c>
      <c r="NC22" s="224"/>
      <c r="ND22" s="224"/>
      <c r="NE22" s="225"/>
      <c r="NF22" s="221" t="e">
        <f t="shared" si="222"/>
        <v>#DIV/0!</v>
      </c>
      <c r="NG22" s="222" t="e">
        <f t="shared" si="223"/>
        <v>#DIV/0!</v>
      </c>
      <c r="NH22" s="233" t="s">
        <v>173</v>
      </c>
      <c r="NI22" s="53"/>
      <c r="NJ22" s="213" t="s">
        <v>172</v>
      </c>
      <c r="NK22" s="213">
        <v>1</v>
      </c>
      <c r="NL22" s="213"/>
      <c r="NM22" s="214">
        <v>27</v>
      </c>
      <c r="NN22" s="214"/>
      <c r="NO22" s="214">
        <v>658</v>
      </c>
      <c r="NP22" s="214">
        <v>236</v>
      </c>
      <c r="NQ22" s="215">
        <v>56089</v>
      </c>
      <c r="NR22" s="215">
        <v>82698</v>
      </c>
      <c r="NS22" s="215">
        <v>53075</v>
      </c>
      <c r="NT22" s="216">
        <v>257170</v>
      </c>
      <c r="NU22" s="216">
        <v>247036</v>
      </c>
      <c r="NV22" s="216"/>
      <c r="NW22" s="214">
        <v>174</v>
      </c>
      <c r="NX22" s="214">
        <v>60184</v>
      </c>
      <c r="NY22" s="214">
        <v>40807</v>
      </c>
      <c r="NZ22" s="214">
        <v>1960</v>
      </c>
      <c r="OA22" s="215">
        <v>1724</v>
      </c>
      <c r="OB22" s="214">
        <v>1300929</v>
      </c>
      <c r="OC22" s="214">
        <v>991882</v>
      </c>
      <c r="OD22" s="214">
        <f t="shared" si="272"/>
        <v>309047</v>
      </c>
      <c r="OE22" s="216">
        <v>32343</v>
      </c>
      <c r="OF22" s="217">
        <v>272264.58</v>
      </c>
      <c r="OG22" s="218">
        <f t="shared" si="273"/>
        <v>71551.095</v>
      </c>
      <c r="OH22" s="219">
        <f t="shared" si="226"/>
        <v>54452.916</v>
      </c>
      <c r="OI22" s="218">
        <v>114173</v>
      </c>
      <c r="OJ22" s="218"/>
      <c r="OK22" s="219">
        <f t="shared" si="227"/>
        <v>36526.989</v>
      </c>
      <c r="OL22" s="219">
        <f t="shared" si="228"/>
        <v>350.415254237288</v>
      </c>
      <c r="OM22" s="220">
        <f t="shared" si="229"/>
        <v>663.739285714286</v>
      </c>
      <c r="ON22" s="221">
        <f t="shared" si="230"/>
        <v>0.303456614787822</v>
      </c>
      <c r="OO22" s="222">
        <f t="shared" si="231"/>
        <v>1.13403415355065</v>
      </c>
      <c r="OP22" s="233" t="s">
        <v>163</v>
      </c>
      <c r="OQ22" s="193"/>
      <c r="OR22" s="53"/>
      <c r="OS22" s="95" t="s">
        <v>172</v>
      </c>
      <c r="OT22" s="95">
        <v>2</v>
      </c>
      <c r="OU22" s="170">
        <v>32</v>
      </c>
      <c r="OV22" s="170">
        <v>1320</v>
      </c>
      <c r="OW22" s="170">
        <v>524</v>
      </c>
      <c r="OX22" s="170">
        <v>142748</v>
      </c>
      <c r="OY22" s="170">
        <v>202847</v>
      </c>
      <c r="OZ22" s="170">
        <v>122935</v>
      </c>
      <c r="PA22" s="172">
        <v>507459</v>
      </c>
      <c r="PB22" s="172">
        <v>428530</v>
      </c>
      <c r="PC22" s="170">
        <v>2407</v>
      </c>
      <c r="PD22" s="194">
        <v>1883</v>
      </c>
      <c r="PE22" s="194">
        <v>1541337</v>
      </c>
      <c r="PF22" s="194">
        <v>1240416</v>
      </c>
      <c r="PG22" s="170">
        <f t="shared" si="233"/>
        <v>300921</v>
      </c>
      <c r="PH22" s="172">
        <v>43049</v>
      </c>
      <c r="PI22" s="173">
        <v>230722.45</v>
      </c>
      <c r="PJ22" s="171">
        <f t="shared" si="274"/>
        <v>84773.535</v>
      </c>
      <c r="PK22" s="174">
        <f t="shared" si="235"/>
        <v>46144.49</v>
      </c>
      <c r="PL22" s="171">
        <v>114173</v>
      </c>
      <c r="PM22" s="174">
        <f t="shared" si="236"/>
        <v>12780.975</v>
      </c>
      <c r="PN22" s="174">
        <f t="shared" si="237"/>
        <v>387.112595419847</v>
      </c>
      <c r="PO22" s="195">
        <f t="shared" si="238"/>
        <v>640.356044869132</v>
      </c>
      <c r="PP22" s="196">
        <f t="shared" si="239"/>
        <v>0.703987583814501</v>
      </c>
      <c r="PQ22" s="197">
        <f t="shared" si="240"/>
        <v>1.04435681922357</v>
      </c>
      <c r="PR22" s="198"/>
      <c r="PS22" s="144"/>
      <c r="PT22" s="144"/>
      <c r="PU22" s="95" t="s">
        <v>172</v>
      </c>
      <c r="PV22" s="95">
        <v>2</v>
      </c>
      <c r="PW22" s="170">
        <v>38</v>
      </c>
      <c r="PX22" s="170">
        <v>1400</v>
      </c>
      <c r="PY22" s="170">
        <v>517</v>
      </c>
      <c r="PZ22" s="170">
        <v>173672</v>
      </c>
      <c r="QA22" s="170">
        <v>257611</v>
      </c>
      <c r="QB22" s="170">
        <v>169780</v>
      </c>
      <c r="QC22" s="170">
        <v>2390</v>
      </c>
      <c r="QD22" s="170">
        <v>1873</v>
      </c>
      <c r="QE22" s="194">
        <v>1864008</v>
      </c>
      <c r="QF22" s="171">
        <v>1630716</v>
      </c>
      <c r="QG22" s="171">
        <v>233292</v>
      </c>
      <c r="QH22" s="172">
        <v>50879</v>
      </c>
      <c r="QI22" s="173">
        <v>142708.17</v>
      </c>
      <c r="QJ22" s="171">
        <f t="shared" si="275"/>
        <v>102520.44</v>
      </c>
      <c r="QK22" s="174">
        <f t="shared" si="242"/>
        <v>28541.634</v>
      </c>
      <c r="QL22" s="171">
        <f>PV22*6613*QG1+1</f>
        <v>396781</v>
      </c>
      <c r="QM22" s="174">
        <f t="shared" si="276"/>
        <v>102229.926</v>
      </c>
      <c r="QN22" s="174">
        <f t="shared" si="277"/>
        <v>335.922630560928</v>
      </c>
      <c r="QO22" s="195">
        <f t="shared" si="244"/>
        <v>779.919665271967</v>
      </c>
      <c r="QP22" s="196">
        <f t="shared" si="245"/>
        <v>0.44513767760654</v>
      </c>
      <c r="QQ22" s="197">
        <f t="shared" si="246"/>
        <v>1.78001150813469</v>
      </c>
      <c r="QR22" s="266"/>
      <c r="QS22" s="206"/>
      <c r="QT22" s="144" t="s">
        <v>174</v>
      </c>
      <c r="QU22" s="95" t="s">
        <v>172</v>
      </c>
      <c r="QV22" s="95">
        <v>3</v>
      </c>
      <c r="QW22" s="175">
        <v>2439</v>
      </c>
      <c r="QX22" s="175">
        <v>834</v>
      </c>
      <c r="QY22" s="175">
        <v>1585041</v>
      </c>
      <c r="QZ22" s="175">
        <v>972</v>
      </c>
      <c r="RA22" s="202">
        <v>2254208</v>
      </c>
      <c r="RB22" s="202">
        <v>1775889</v>
      </c>
      <c r="RC22" s="177">
        <f t="shared" si="248"/>
        <v>1711769</v>
      </c>
      <c r="RD22" s="171">
        <f t="shared" si="278"/>
        <v>478319</v>
      </c>
      <c r="RE22" s="170">
        <v>64120</v>
      </c>
      <c r="RF22" s="173">
        <v>335076.76</v>
      </c>
      <c r="RG22" s="171">
        <f t="shared" si="279"/>
        <v>123981.44</v>
      </c>
      <c r="RH22" s="174">
        <f t="shared" si="280"/>
        <v>33507.676</v>
      </c>
      <c r="RI22" s="171">
        <f t="shared" si="281"/>
        <v>615009</v>
      </c>
      <c r="RJ22" s="176">
        <f t="shared" si="250"/>
        <v>320829.884</v>
      </c>
      <c r="RK22" s="174">
        <f t="shared" si="251"/>
        <v>2319.14403292181</v>
      </c>
      <c r="RL22" s="201">
        <f t="shared" si="252"/>
        <v>1.89458125480037</v>
      </c>
      <c r="RM22" s="197">
        <f t="shared" si="253"/>
        <v>3.03715591368231</v>
      </c>
      <c r="RN22" s="198"/>
      <c r="RO22" s="144"/>
      <c r="RP22" s="144"/>
      <c r="RQ22" s="95" t="s">
        <v>172</v>
      </c>
      <c r="RR22" s="95">
        <v>3</v>
      </c>
      <c r="RS22" s="175">
        <v>1015</v>
      </c>
      <c r="RT22" s="175">
        <v>233</v>
      </c>
      <c r="RU22" s="175">
        <v>270885.23</v>
      </c>
      <c r="RV22" s="175">
        <v>319</v>
      </c>
      <c r="RW22" s="175">
        <v>446551.23</v>
      </c>
      <c r="RX22" s="202">
        <v>332661</v>
      </c>
      <c r="RY22" s="177">
        <f t="shared" si="282"/>
        <v>113890.23</v>
      </c>
      <c r="RZ22" s="170">
        <v>4190</v>
      </c>
      <c r="SA22" s="170">
        <v>0</v>
      </c>
      <c r="SB22" s="171">
        <v>79860.97</v>
      </c>
      <c r="SC22" s="171">
        <f t="shared" si="283"/>
        <v>24560.31765</v>
      </c>
      <c r="SD22" s="174">
        <f t="shared" si="284"/>
        <v>7986.097</v>
      </c>
      <c r="SE22" s="171">
        <f t="shared" si="285"/>
        <v>595170</v>
      </c>
      <c r="SF22" s="207">
        <f t="shared" si="286"/>
        <v>-513826.18465</v>
      </c>
      <c r="SG22" s="174">
        <f t="shared" si="255"/>
        <v>1399.84711598746</v>
      </c>
      <c r="SH22" s="196">
        <f t="shared" si="256"/>
        <v>0.428679348270325</v>
      </c>
      <c r="SI22" s="197">
        <f t="shared" si="257"/>
        <v>0.181435800214819</v>
      </c>
      <c r="SJ22" s="157"/>
      <c r="SK22" s="144"/>
      <c r="SL22" s="144"/>
      <c r="SM22" s="95" t="s">
        <v>172</v>
      </c>
      <c r="SN22" s="95">
        <v>1</v>
      </c>
      <c r="SO22" s="175">
        <v>800</v>
      </c>
      <c r="SP22" s="175">
        <v>339</v>
      </c>
      <c r="SQ22" s="175">
        <v>349996</v>
      </c>
      <c r="SR22" s="175">
        <v>392</v>
      </c>
      <c r="SS22" s="175">
        <v>460396</v>
      </c>
      <c r="ST22" s="175">
        <v>534046</v>
      </c>
      <c r="SU22" s="177">
        <f t="shared" si="287"/>
        <v>-73650</v>
      </c>
      <c r="SV22" s="170">
        <v>44340</v>
      </c>
      <c r="SW22" s="170">
        <v>0</v>
      </c>
      <c r="SX22" s="171">
        <v>-90610.03</v>
      </c>
      <c r="SY22" s="171">
        <f t="shared" si="288"/>
        <v>25321.78</v>
      </c>
      <c r="SZ22" s="174">
        <v>0</v>
      </c>
      <c r="TA22" s="171">
        <f t="shared" si="290"/>
        <v>263500</v>
      </c>
      <c r="TB22" s="207">
        <f t="shared" si="291"/>
        <v>-362471.78</v>
      </c>
      <c r="TC22" s="174">
        <f t="shared" si="259"/>
        <v>1174.47959183673</v>
      </c>
      <c r="TD22" s="196">
        <f t="shared" si="260"/>
        <v>1.05052866508277</v>
      </c>
      <c r="TE22" s="197">
        <f t="shared" si="261"/>
        <v>-0.255001544551107</v>
      </c>
      <c r="TF22" s="156"/>
      <c r="TG22" s="156"/>
      <c r="TH22" s="95" t="s">
        <v>172</v>
      </c>
      <c r="TI22" s="95">
        <v>4</v>
      </c>
      <c r="TJ22" s="95">
        <v>1141</v>
      </c>
      <c r="TK22" s="95">
        <v>663</v>
      </c>
      <c r="TL22" s="175">
        <v>356202</v>
      </c>
      <c r="TM22" s="175">
        <v>706</v>
      </c>
      <c r="TN22" s="175">
        <v>423757</v>
      </c>
      <c r="TO22" s="175">
        <v>493230</v>
      </c>
      <c r="TP22" s="175">
        <f t="shared" si="292"/>
        <v>-69473</v>
      </c>
      <c r="TQ22" s="178">
        <v>193170</v>
      </c>
      <c r="TR22" s="170">
        <v>0</v>
      </c>
      <c r="TS22" s="203">
        <v>-84104.35</v>
      </c>
      <c r="TT22" s="170">
        <f t="shared" si="293"/>
        <v>16950.28</v>
      </c>
      <c r="TU22" s="178">
        <v>0</v>
      </c>
      <c r="TV22" s="170">
        <f t="shared" si="295"/>
        <v>952000</v>
      </c>
      <c r="TW22" s="203">
        <f t="shared" si="296"/>
        <v>-1038423.28</v>
      </c>
      <c r="TX22" s="174">
        <f t="shared" si="263"/>
        <v>600.222379603399</v>
      </c>
      <c r="TY22" s="196">
        <f t="shared" si="264"/>
        <v>0.306510441414894</v>
      </c>
      <c r="TZ22" s="102">
        <f t="shared" si="265"/>
        <v>-0.0716992413687109</v>
      </c>
      <c r="UA22" s="156"/>
      <c r="UB22" s="144"/>
      <c r="UC22" s="144"/>
      <c r="UD22" s="95" t="s">
        <v>172</v>
      </c>
      <c r="UE22" s="95">
        <v>4</v>
      </c>
      <c r="UF22" s="175">
        <v>596</v>
      </c>
      <c r="UG22" s="175">
        <v>296</v>
      </c>
      <c r="UH22" s="175">
        <v>265616</v>
      </c>
      <c r="UI22" s="175">
        <v>296</v>
      </c>
      <c r="UJ22" s="175">
        <v>265616</v>
      </c>
      <c r="UK22" s="175">
        <v>241758</v>
      </c>
      <c r="UL22" s="175">
        <f t="shared" si="297"/>
        <v>23858</v>
      </c>
      <c r="UM22" s="170">
        <v>57200</v>
      </c>
      <c r="UN22" s="170">
        <v>0</v>
      </c>
      <c r="UO22" s="178">
        <v>12915.77</v>
      </c>
      <c r="UP22" s="170">
        <f t="shared" si="298"/>
        <v>10624.64</v>
      </c>
      <c r="UQ22" s="178">
        <f t="shared" si="309"/>
        <v>1291.577</v>
      </c>
      <c r="UR22" s="170">
        <f>UE22*8500*18</f>
        <v>612000</v>
      </c>
      <c r="US22" s="203">
        <f t="shared" si="300"/>
        <v>-600058.217</v>
      </c>
      <c r="UT22" s="174">
        <f t="shared" si="267"/>
        <v>897.351351351351</v>
      </c>
      <c r="UU22" s="196">
        <f t="shared" si="301"/>
        <v>0.389971627998985</v>
      </c>
      <c r="UV22" s="102">
        <f t="shared" si="268"/>
        <v>0.0382391086333952</v>
      </c>
      <c r="UW22" s="144" t="s">
        <v>175</v>
      </c>
      <c r="UX22" s="144"/>
      <c r="UY22" s="144"/>
      <c r="UZ22" s="95" t="s">
        <v>172</v>
      </c>
      <c r="VA22" s="95"/>
      <c r="VB22" s="175"/>
      <c r="VC22" s="175"/>
      <c r="VD22" s="175"/>
      <c r="VE22" s="175"/>
      <c r="VF22" s="175"/>
      <c r="VG22" s="175"/>
      <c r="VH22" s="175">
        <f t="shared" si="302"/>
        <v>0</v>
      </c>
      <c r="VI22" s="178"/>
      <c r="VJ22" s="178"/>
      <c r="VK22" s="178"/>
      <c r="VL22" s="178">
        <f t="shared" si="303"/>
        <v>0</v>
      </c>
      <c r="VM22" s="178"/>
      <c r="VN22" s="170">
        <f>VA158456*0</f>
        <v>0</v>
      </c>
      <c r="VO22" s="178">
        <f t="shared" si="304"/>
        <v>0</v>
      </c>
      <c r="VP22" s="174" t="e">
        <f t="shared" si="270"/>
        <v>#DIV/0!</v>
      </c>
      <c r="VQ22" s="196" t="e">
        <f t="shared" si="305"/>
        <v>#DIV/0!</v>
      </c>
      <c r="VR22" s="102" t="e">
        <f t="shared" si="271"/>
        <v>#DIV/0!</v>
      </c>
      <c r="VS22" s="84" t="s">
        <v>123</v>
      </c>
      <c r="VT22" s="53"/>
      <c r="VU22" s="53"/>
    </row>
    <row r="23" ht="18" hidden="1" customHeight="1" spans="1:593">
      <c r="A23" s="53"/>
      <c r="B23" s="53"/>
      <c r="C23" s="160" t="s">
        <v>176</v>
      </c>
      <c r="D23" s="160"/>
      <c r="E23" s="267"/>
      <c r="F23" s="162"/>
      <c r="G23" s="162"/>
      <c r="H23" s="162"/>
      <c r="I23" s="162"/>
      <c r="J23" s="163"/>
      <c r="K23" s="163"/>
      <c r="L23" s="163"/>
      <c r="M23" s="161"/>
      <c r="N23" s="161"/>
      <c r="O23" s="226">
        <f>M23-N23</f>
        <v>0</v>
      </c>
      <c r="P23" s="162"/>
      <c r="Q23" s="162"/>
      <c r="R23" s="162"/>
      <c r="S23" s="162"/>
      <c r="T23" s="162"/>
      <c r="U23" s="162"/>
      <c r="V23" s="162"/>
      <c r="W23" s="162">
        <f>U23-V23</f>
        <v>0</v>
      </c>
      <c r="X23" s="162"/>
      <c r="Y23" s="185"/>
      <c r="Z23" s="179">
        <f>U23*5.5%</f>
        <v>0</v>
      </c>
      <c r="AA23" s="167">
        <f>IF(Y23&gt;0,Y23*20%,0)</f>
        <v>0</v>
      </c>
      <c r="AB23" s="179">
        <f>(D23*6800)*S1</f>
        <v>0</v>
      </c>
      <c r="AC23" s="167">
        <f>(E23*3683)*S1</f>
        <v>0</v>
      </c>
      <c r="AD23" s="167">
        <f>W23-Z23-AA23-X23-AB23-AC23</f>
        <v>0</v>
      </c>
      <c r="AE23" s="167" t="e">
        <f>K23/I23</f>
        <v>#DIV/0!</v>
      </c>
      <c r="AF23" s="186" t="e">
        <f>U23/S23</f>
        <v>#DIV/0!</v>
      </c>
      <c r="AG23" s="187" t="e">
        <f>K23/(Z23+AA23+X23+AB23)</f>
        <v>#DIV/0!</v>
      </c>
      <c r="AH23" s="188" t="e">
        <f>W23/(Z23+AA23+X23+AB23+AC23)</f>
        <v>#DIV/0!</v>
      </c>
      <c r="AI23" s="53"/>
      <c r="AJ23" s="160" t="s">
        <v>176</v>
      </c>
      <c r="AK23" s="160">
        <v>0</v>
      </c>
      <c r="AL23" s="267">
        <v>0</v>
      </c>
      <c r="AM23" s="162">
        <v>0</v>
      </c>
      <c r="AN23" s="162" t="e">
        <f>(AP23/AM23)/AZ1</f>
        <v>#DIV/0!</v>
      </c>
      <c r="AO23" s="162">
        <v>1445</v>
      </c>
      <c r="AP23" s="162">
        <v>668</v>
      </c>
      <c r="AQ23" s="163">
        <v>230944</v>
      </c>
      <c r="AR23" s="163">
        <v>340895</v>
      </c>
      <c r="AS23" s="163">
        <v>279093.68</v>
      </c>
      <c r="AT23" s="161">
        <v>963093</v>
      </c>
      <c r="AU23" s="161">
        <v>882768.72</v>
      </c>
      <c r="AV23" s="226">
        <f>AT23-AU23</f>
        <v>80324.28</v>
      </c>
      <c r="AW23" s="162">
        <v>274839</v>
      </c>
      <c r="AX23" s="162">
        <v>274839</v>
      </c>
      <c r="AY23" s="162">
        <v>209486.92</v>
      </c>
      <c r="AZ23" s="162">
        <v>3625</v>
      </c>
      <c r="BA23" s="162">
        <v>2957</v>
      </c>
      <c r="BB23" s="162">
        <v>2976104</v>
      </c>
      <c r="BC23" s="162">
        <v>2767258.39</v>
      </c>
      <c r="BD23" s="162">
        <f>BB23-BC23</f>
        <v>208845.61</v>
      </c>
      <c r="BE23" s="162">
        <v>40466</v>
      </c>
      <c r="BF23" s="185">
        <v>150003.17</v>
      </c>
      <c r="BG23" s="179">
        <f>BB23*5.5%</f>
        <v>163685.72</v>
      </c>
      <c r="BH23" s="167">
        <f>IF(BF23&gt;0,BF23*20%,0)</f>
        <v>30000.634</v>
      </c>
      <c r="BI23" s="179">
        <f>(AK23*6800)*AZ1</f>
        <v>0</v>
      </c>
      <c r="BJ23" s="167">
        <f>(AL23*3683)*AZ1</f>
        <v>0</v>
      </c>
      <c r="BK23" s="167">
        <f>BD23-BG23-BH23-BE23-BI23-BJ23</f>
        <v>-25306.7440000001</v>
      </c>
      <c r="BL23" s="167">
        <f>AR23/AP23</f>
        <v>510.321856287425</v>
      </c>
      <c r="BM23" s="186">
        <f>BB23/AZ23</f>
        <v>820.994206896552</v>
      </c>
      <c r="BN23" s="187">
        <f>AR23/(BG23+BH23+BE23+BI23)</f>
        <v>1.45586834459072</v>
      </c>
      <c r="BO23" s="188">
        <f>BD23/(BG23+BH23+BE23+BI23+BJ23)</f>
        <v>0.891921889454931</v>
      </c>
      <c r="BP23" s="3" t="s">
        <v>177</v>
      </c>
      <c r="BQ23" s="160" t="s">
        <v>176</v>
      </c>
      <c r="BR23" s="160">
        <v>1</v>
      </c>
      <c r="BS23" s="267">
        <v>1</v>
      </c>
      <c r="BT23" s="162">
        <v>24</v>
      </c>
      <c r="BU23" s="162">
        <v>0.486559139784946</v>
      </c>
      <c r="BV23" s="162">
        <v>925</v>
      </c>
      <c r="BW23" s="162">
        <v>362</v>
      </c>
      <c r="BX23" s="163">
        <v>110684</v>
      </c>
      <c r="BY23" s="163">
        <v>206978</v>
      </c>
      <c r="BZ23" s="163">
        <v>155129</v>
      </c>
      <c r="CA23" s="161">
        <v>1651024</v>
      </c>
      <c r="CB23" s="161">
        <v>1814278.72</v>
      </c>
      <c r="CC23" s="226">
        <v>-163254.72</v>
      </c>
      <c r="CD23" s="162">
        <v>306</v>
      </c>
      <c r="CE23" s="162">
        <v>182121</v>
      </c>
      <c r="CF23" s="162">
        <v>145183</v>
      </c>
      <c r="CG23" s="162">
        <v>3084</v>
      </c>
      <c r="CH23" s="162">
        <v>2722</v>
      </c>
      <c r="CI23" s="162">
        <v>4408310</v>
      </c>
      <c r="CJ23" s="162">
        <v>4408585</v>
      </c>
      <c r="CK23" s="162">
        <f>CI23-CJ23</f>
        <v>-275</v>
      </c>
      <c r="CL23" s="162">
        <v>25684</v>
      </c>
      <c r="CM23" s="185">
        <v>-69749.06</v>
      </c>
      <c r="CN23" s="179">
        <f>CI23*5.5%</f>
        <v>242457.05</v>
      </c>
      <c r="CO23" s="167">
        <f>IF(CM23&gt;0,CM23*20%,0)</f>
        <v>0</v>
      </c>
      <c r="CP23" s="179">
        <f>'[1]BD05'!$B$4</f>
        <v>0</v>
      </c>
      <c r="CQ23" s="167">
        <f>'[1]BD05'!$C$4</f>
        <v>0</v>
      </c>
      <c r="CR23" s="167">
        <f t="shared" si="306"/>
        <v>-268416.05</v>
      </c>
      <c r="CS23" s="167">
        <f>BY23/BW23</f>
        <v>571.762430939227</v>
      </c>
      <c r="CT23" s="186">
        <f>CI23/CG23</f>
        <v>1429.4130998703</v>
      </c>
      <c r="CU23" s="187">
        <f>BY23/(CN23+CO23+CL23+CP23)</f>
        <v>0.77189971472104</v>
      </c>
      <c r="CV23" s="188">
        <f t="shared" si="199"/>
        <v>-0.00102557963430068</v>
      </c>
      <c r="CW23" s="53"/>
      <c r="CX23" s="160" t="s">
        <v>176</v>
      </c>
      <c r="CY23" s="160">
        <v>1</v>
      </c>
      <c r="CZ23" s="267">
        <v>1</v>
      </c>
      <c r="DA23" s="162">
        <v>13</v>
      </c>
      <c r="DB23" s="162">
        <v>0.935897435897436</v>
      </c>
      <c r="DC23" s="162">
        <v>900</v>
      </c>
      <c r="DD23" s="162">
        <v>365</v>
      </c>
      <c r="DE23" s="163">
        <v>95026</v>
      </c>
      <c r="DF23" s="163">
        <v>150769</v>
      </c>
      <c r="DG23" s="163">
        <v>127949</v>
      </c>
      <c r="DH23" s="161">
        <v>488508</v>
      </c>
      <c r="DI23" s="161">
        <v>483413</v>
      </c>
      <c r="DJ23" s="226">
        <f>DH23-DI23</f>
        <v>5095</v>
      </c>
      <c r="DK23" s="162">
        <v>280</v>
      </c>
      <c r="DL23" s="162">
        <v>122424</v>
      </c>
      <c r="DM23" s="162">
        <v>99863</v>
      </c>
      <c r="DN23" s="162">
        <v>2780</v>
      </c>
      <c r="DO23" s="162">
        <v>2415</v>
      </c>
      <c r="DP23" s="162">
        <v>2436190</v>
      </c>
      <c r="DQ23" s="162">
        <v>2055680</v>
      </c>
      <c r="DR23" s="162">
        <f>DP23-DQ23</f>
        <v>380510</v>
      </c>
      <c r="DS23" s="162">
        <v>13498</v>
      </c>
      <c r="DT23" s="185">
        <v>338469.46</v>
      </c>
      <c r="DU23" s="179">
        <f>DP23*5.5%</f>
        <v>133990.45</v>
      </c>
      <c r="DV23" s="167">
        <f>IF(DT23&gt;0,DT23*20%,0)</f>
        <v>67693.892</v>
      </c>
      <c r="DW23" s="179">
        <f>'[1]BD05'!$B$4</f>
        <v>0</v>
      </c>
      <c r="DX23" s="167">
        <f>'[1]BD05'!$C$4</f>
        <v>0</v>
      </c>
      <c r="DY23" s="167">
        <f t="shared" si="307"/>
        <v>165327.658</v>
      </c>
      <c r="DZ23" s="167">
        <f>DF23/DD23</f>
        <v>413.065753424658</v>
      </c>
      <c r="EA23" s="186">
        <f>DP23/DN23</f>
        <v>876.327338129496</v>
      </c>
      <c r="EB23" s="187">
        <f>DF23/(DU23+DV23+DS23+DW23)</f>
        <v>0.700656934015524</v>
      </c>
      <c r="EC23" s="188">
        <f t="shared" si="203"/>
        <v>1.76831424206732</v>
      </c>
      <c r="ED23" s="53"/>
      <c r="EE23" s="160" t="s">
        <v>176</v>
      </c>
      <c r="EF23" s="160">
        <v>1</v>
      </c>
      <c r="EG23" s="160">
        <v>1</v>
      </c>
      <c r="EH23" s="162">
        <v>45</v>
      </c>
      <c r="EI23" s="162">
        <v>0.489605734767025</v>
      </c>
      <c r="EJ23" s="162">
        <v>2008</v>
      </c>
      <c r="EK23" s="162">
        <v>683</v>
      </c>
      <c r="EL23" s="163">
        <v>178445</v>
      </c>
      <c r="EM23" s="163">
        <v>262630</v>
      </c>
      <c r="EN23" s="163">
        <v>225118</v>
      </c>
      <c r="EO23" s="161">
        <v>868193</v>
      </c>
      <c r="EP23" s="161">
        <v>900650.58</v>
      </c>
      <c r="EQ23" s="162">
        <v>-32457.58</v>
      </c>
      <c r="ER23" s="162">
        <v>531</v>
      </c>
      <c r="ES23" s="162">
        <v>209032</v>
      </c>
      <c r="ET23" s="162">
        <v>153096</v>
      </c>
      <c r="EU23" s="162">
        <v>3893</v>
      </c>
      <c r="EV23" s="162">
        <v>3210</v>
      </c>
      <c r="EW23" s="162">
        <v>3243027</v>
      </c>
      <c r="EX23" s="162">
        <v>3263870</v>
      </c>
      <c r="EY23" s="162">
        <v>-20843</v>
      </c>
      <c r="EZ23" s="162">
        <v>63924</v>
      </c>
      <c r="FA23" s="185">
        <v>-156325.71</v>
      </c>
      <c r="FB23" s="179">
        <v>178366.485</v>
      </c>
      <c r="FC23" s="167">
        <v>0</v>
      </c>
      <c r="FD23" s="179">
        <v>245923</v>
      </c>
      <c r="FE23" s="167">
        <v>114173</v>
      </c>
      <c r="FF23" s="167">
        <v>-623229.485</v>
      </c>
      <c r="FG23" s="167">
        <v>384.524158125915</v>
      </c>
      <c r="FH23" s="186">
        <v>833.040585666581</v>
      </c>
      <c r="FI23" s="187">
        <v>0.537940896900871</v>
      </c>
      <c r="FJ23" s="188">
        <v>-0.034600709874824</v>
      </c>
      <c r="FK23" s="53"/>
      <c r="FL23" s="53"/>
      <c r="FM23" s="53"/>
      <c r="FN23" s="160" t="s">
        <v>176</v>
      </c>
      <c r="FO23" s="160">
        <v>1</v>
      </c>
      <c r="FP23" s="160">
        <v>1</v>
      </c>
      <c r="FQ23" s="162">
        <v>82</v>
      </c>
      <c r="FR23" s="162">
        <f>(FT23/FQ23)/GF1</f>
        <v>0.2051393728223</v>
      </c>
      <c r="FS23" s="162">
        <v>1674</v>
      </c>
      <c r="FT23" s="162">
        <v>471</v>
      </c>
      <c r="FU23" s="163">
        <v>126395</v>
      </c>
      <c r="FV23" s="163">
        <v>188394</v>
      </c>
      <c r="FW23" s="163">
        <v>123945.22</v>
      </c>
      <c r="FX23" s="161">
        <v>2446648</v>
      </c>
      <c r="FY23" s="161">
        <v>2569776.07</v>
      </c>
      <c r="FZ23" s="162">
        <f>FX23-FY23</f>
        <v>-123128.07</v>
      </c>
      <c r="GA23" s="162">
        <v>333</v>
      </c>
      <c r="GB23" s="162">
        <v>126189</v>
      </c>
      <c r="GC23" s="162">
        <v>79452</v>
      </c>
      <c r="GD23" s="162">
        <v>2858</v>
      </c>
      <c r="GE23" s="162">
        <v>2387</v>
      </c>
      <c r="GF23" s="162">
        <v>4642670</v>
      </c>
      <c r="GG23" s="162">
        <v>4400787.07</v>
      </c>
      <c r="GH23" s="162">
        <v>241882.93</v>
      </c>
      <c r="GI23" s="162">
        <v>39496.56</v>
      </c>
      <c r="GJ23" s="185">
        <v>168011.52</v>
      </c>
      <c r="GK23" s="179">
        <v>255346.85</v>
      </c>
      <c r="GL23" s="167">
        <v>33602.304</v>
      </c>
      <c r="GM23" s="179">
        <v>222124</v>
      </c>
      <c r="GN23" s="167">
        <v>103124</v>
      </c>
      <c r="GO23" s="167">
        <v>-411810.784</v>
      </c>
      <c r="GP23" s="167">
        <v>399.987261146497</v>
      </c>
      <c r="GQ23" s="186">
        <v>1624.44716585025</v>
      </c>
      <c r="GR23" s="187">
        <f>FV23/(GK23+GL23+GI23+GM23)</f>
        <v>0.342180100375082</v>
      </c>
      <c r="GS23" s="188">
        <f t="shared" si="208"/>
        <v>0.370024867640077</v>
      </c>
      <c r="GT23" s="53"/>
      <c r="GU23" s="53"/>
      <c r="GV23" s="160" t="s">
        <v>176</v>
      </c>
      <c r="GW23" s="160">
        <v>2</v>
      </c>
      <c r="GX23" s="160">
        <v>0</v>
      </c>
      <c r="GY23" s="162">
        <v>23</v>
      </c>
      <c r="GZ23" s="162">
        <f>(HB23/GY23)/HL1</f>
        <v>0.803646563814867</v>
      </c>
      <c r="HA23" s="162">
        <v>1941</v>
      </c>
      <c r="HB23" s="162">
        <v>573</v>
      </c>
      <c r="HC23" s="163">
        <v>180863</v>
      </c>
      <c r="HD23" s="163">
        <v>369220</v>
      </c>
      <c r="HE23" s="163">
        <v>199807</v>
      </c>
      <c r="HF23" s="161">
        <v>2648823</v>
      </c>
      <c r="HG23" s="161">
        <v>2715976</v>
      </c>
      <c r="HH23" s="162">
        <f>HF23-HG23</f>
        <v>-67153</v>
      </c>
      <c r="HI23" s="162">
        <v>426</v>
      </c>
      <c r="HJ23" s="162">
        <v>298492</v>
      </c>
      <c r="HK23" s="162">
        <v>142719</v>
      </c>
      <c r="HL23" s="162">
        <v>3913</v>
      </c>
      <c r="HM23" s="162">
        <v>3340</v>
      </c>
      <c r="HN23" s="162">
        <v>4519987</v>
      </c>
      <c r="HO23" s="162">
        <v>4386717.76</v>
      </c>
      <c r="HP23" s="162">
        <v>133269.24</v>
      </c>
      <c r="HQ23" s="162">
        <v>23167</v>
      </c>
      <c r="HR23" s="185">
        <v>1056.11</v>
      </c>
      <c r="HS23" s="179">
        <v>248599.285</v>
      </c>
      <c r="HT23" s="167">
        <v>4574.782</v>
      </c>
      <c r="HU23" s="179">
        <f>(GW23*6800)*31</f>
        <v>421600</v>
      </c>
      <c r="HV23" s="167">
        <v>0</v>
      </c>
      <c r="HW23" s="167">
        <v>-619051.827</v>
      </c>
      <c r="HX23" s="167">
        <v>644.363001745201</v>
      </c>
      <c r="HY23" s="186">
        <v>1155.12062356248</v>
      </c>
      <c r="HZ23" s="187">
        <f>HD23/(HS23+HT23+HQ23+HU23)</f>
        <v>0.529013146607119</v>
      </c>
      <c r="IA23" s="188">
        <f t="shared" si="212"/>
        <v>0.190946265094901</v>
      </c>
      <c r="IB23" s="53"/>
      <c r="IC23" s="53"/>
      <c r="ID23" s="160" t="s">
        <v>176</v>
      </c>
      <c r="IE23" s="160">
        <v>2</v>
      </c>
      <c r="IF23" s="160">
        <v>0</v>
      </c>
      <c r="IG23" s="162">
        <v>85</v>
      </c>
      <c r="IH23" s="162">
        <f>(IJ23/IG23)/IT1</f>
        <v>0.170018975332068</v>
      </c>
      <c r="II23" s="162">
        <v>1745</v>
      </c>
      <c r="IJ23" s="162">
        <v>448</v>
      </c>
      <c r="IK23" s="163">
        <v>122642</v>
      </c>
      <c r="IL23" s="163">
        <v>182247</v>
      </c>
      <c r="IM23" s="163">
        <v>150090</v>
      </c>
      <c r="IN23" s="161">
        <v>627303</v>
      </c>
      <c r="IO23" s="161">
        <v>535296.21</v>
      </c>
      <c r="IP23" s="162">
        <f>IN23-IO23</f>
        <v>92006.79</v>
      </c>
      <c r="IQ23" s="162">
        <v>351</v>
      </c>
      <c r="IR23" s="162">
        <v>145201</v>
      </c>
      <c r="IS23" s="162">
        <v>102919</v>
      </c>
      <c r="IT23" s="162">
        <v>2618</v>
      </c>
      <c r="IU23" s="162">
        <v>2170</v>
      </c>
      <c r="IV23" s="162">
        <v>1868172</v>
      </c>
      <c r="IW23" s="162">
        <v>1624309</v>
      </c>
      <c r="IX23" s="162">
        <f>IV23-IW23</f>
        <v>243863</v>
      </c>
      <c r="IY23" s="162">
        <v>10000</v>
      </c>
      <c r="IZ23" s="185">
        <v>164235.91</v>
      </c>
      <c r="JA23" s="179">
        <f>IV23*5.5%</f>
        <v>102749.46</v>
      </c>
      <c r="JB23" s="167">
        <f>IZ23*20%</f>
        <v>32847.182</v>
      </c>
      <c r="JC23" s="179">
        <v>228346</v>
      </c>
      <c r="JD23" s="167">
        <v>0</v>
      </c>
      <c r="JE23" s="167">
        <f>IX23-JA23-JB23-IY23-JC23</f>
        <v>-130079.642</v>
      </c>
      <c r="JF23" s="167">
        <f>IL23/IJ23</f>
        <v>406.801339285714</v>
      </c>
      <c r="JG23" s="186">
        <f>IV23/IT23</f>
        <v>713.587471352177</v>
      </c>
      <c r="JH23" s="187">
        <f>IL23/(JA23+JB23+IY23+JC23)</f>
        <v>0.487366188101115</v>
      </c>
      <c r="JI23" s="188">
        <f>IX23/(JA23+JB23+IY23+JC23)</f>
        <v>0.652140121532328</v>
      </c>
      <c r="JJ23" s="53"/>
      <c r="JK23" s="53"/>
      <c r="JL23" s="160" t="s">
        <v>176</v>
      </c>
      <c r="JM23" s="160">
        <v>2</v>
      </c>
      <c r="JN23" s="160">
        <v>89</v>
      </c>
      <c r="JO23" s="162"/>
      <c r="JP23" s="162"/>
      <c r="JQ23" s="162">
        <v>762</v>
      </c>
      <c r="JR23" s="162">
        <v>270</v>
      </c>
      <c r="JS23" s="163">
        <v>69707</v>
      </c>
      <c r="JT23" s="163">
        <v>97607</v>
      </c>
      <c r="JU23" s="163">
        <v>61509</v>
      </c>
      <c r="JV23" s="161">
        <v>260397</v>
      </c>
      <c r="JW23" s="161">
        <v>197278</v>
      </c>
      <c r="JX23" s="162"/>
      <c r="JY23" s="162">
        <v>196</v>
      </c>
      <c r="JZ23" s="162">
        <v>74193</v>
      </c>
      <c r="KA23" s="162">
        <v>42758</v>
      </c>
      <c r="KB23" s="162">
        <v>2205</v>
      </c>
      <c r="KC23" s="162">
        <v>1935</v>
      </c>
      <c r="KD23" s="162">
        <v>2046240</v>
      </c>
      <c r="KE23" s="162">
        <v>1711450</v>
      </c>
      <c r="KF23" s="162">
        <f>KD23-KE23</f>
        <v>334790</v>
      </c>
      <c r="KG23" s="162">
        <v>9000</v>
      </c>
      <c r="KH23" s="185">
        <v>245180.44</v>
      </c>
      <c r="KI23" s="179">
        <f>KD23*5.5%</f>
        <v>112543.2</v>
      </c>
      <c r="KJ23" s="167">
        <f>KH23*20%</f>
        <v>49036.088</v>
      </c>
      <c r="KK23" s="179">
        <v>220980</v>
      </c>
      <c r="KL23" s="167"/>
      <c r="KM23" s="167">
        <f>KF23-KI23-KJ23-KG23-KK23</f>
        <v>-56769.288</v>
      </c>
      <c r="KN23" s="167">
        <f>JT23/JR23</f>
        <v>361.507407407407</v>
      </c>
      <c r="KO23" s="186">
        <f>KD23/KB23</f>
        <v>928</v>
      </c>
      <c r="KP23" s="187">
        <f>JT23/(KI23+KJ23+KG23+KK23)</f>
        <v>0.249277703252949</v>
      </c>
      <c r="KQ23" s="188">
        <f>KF23/(KI23+KJ23+KG23+KK23)</f>
        <v>0.855017388835379</v>
      </c>
      <c r="KR23" s="53"/>
      <c r="KS23" s="53"/>
      <c r="KT23" s="213" t="s">
        <v>176</v>
      </c>
      <c r="KU23" s="213">
        <v>3</v>
      </c>
      <c r="KV23" s="213"/>
      <c r="KW23" s="214">
        <v>257</v>
      </c>
      <c r="KX23" s="214"/>
      <c r="KY23" s="214">
        <v>1793</v>
      </c>
      <c r="KZ23" s="214">
        <v>531</v>
      </c>
      <c r="LA23" s="215">
        <v>131154</v>
      </c>
      <c r="LB23" s="215">
        <v>243725</v>
      </c>
      <c r="LC23" s="215">
        <v>133406</v>
      </c>
      <c r="LD23" s="216">
        <v>968786</v>
      </c>
      <c r="LE23" s="216">
        <v>726530</v>
      </c>
      <c r="LF23" s="216"/>
      <c r="LG23" s="214">
        <v>372</v>
      </c>
      <c r="LH23" s="214">
        <v>141314</v>
      </c>
      <c r="LI23" s="214">
        <v>105508</v>
      </c>
      <c r="LJ23" s="214">
        <v>2602</v>
      </c>
      <c r="LK23" s="214">
        <v>2071</v>
      </c>
      <c r="LL23" s="214">
        <v>2443310</v>
      </c>
      <c r="LM23" s="214">
        <v>1656845</v>
      </c>
      <c r="LN23" s="214">
        <v>786465</v>
      </c>
      <c r="LO23" s="216">
        <v>12999.82</v>
      </c>
      <c r="LP23" s="217">
        <v>671602.63</v>
      </c>
      <c r="LQ23" s="218">
        <v>134382.05</v>
      </c>
      <c r="LR23" s="219">
        <v>134320.526</v>
      </c>
      <c r="LS23" s="218">
        <v>342519</v>
      </c>
      <c r="LT23" s="218"/>
      <c r="LU23" s="219">
        <v>162243.604</v>
      </c>
      <c r="LV23" s="219">
        <v>458.992467043314</v>
      </c>
      <c r="LW23" s="220">
        <v>939.012298232129</v>
      </c>
      <c r="LX23" s="221">
        <v>0.390446405012365</v>
      </c>
      <c r="LY23" s="222">
        <v>1.25991355797743</v>
      </c>
      <c r="LZ23" s="269"/>
      <c r="MA23" s="192"/>
      <c r="MB23" s="213" t="s">
        <v>176</v>
      </c>
      <c r="MC23" s="213">
        <v>4</v>
      </c>
      <c r="MD23" s="213"/>
      <c r="ME23" s="214">
        <v>180</v>
      </c>
      <c r="MF23" s="214"/>
      <c r="MG23" s="214">
        <v>1185</v>
      </c>
      <c r="MH23" s="214">
        <v>409</v>
      </c>
      <c r="MI23" s="215">
        <v>100522</v>
      </c>
      <c r="MJ23" s="215">
        <v>168176</v>
      </c>
      <c r="MK23" s="215">
        <v>93070</v>
      </c>
      <c r="ML23" s="216">
        <v>522209</v>
      </c>
      <c r="MM23" s="216">
        <v>394850</v>
      </c>
      <c r="MN23" s="216"/>
      <c r="MO23" s="214">
        <v>293</v>
      </c>
      <c r="MP23" s="214">
        <v>118579</v>
      </c>
      <c r="MQ23" s="214">
        <v>69891</v>
      </c>
      <c r="MR23" s="214">
        <v>1992</v>
      </c>
      <c r="MS23" s="215">
        <v>1583</v>
      </c>
      <c r="MT23" s="214">
        <v>1835327</v>
      </c>
      <c r="MU23" s="214">
        <v>1431134</v>
      </c>
      <c r="MV23" s="214">
        <f>MT23-MU23</f>
        <v>404193</v>
      </c>
      <c r="MW23" s="216">
        <v>12000</v>
      </c>
      <c r="MX23" s="217">
        <v>301861.04</v>
      </c>
      <c r="MY23" s="218">
        <f>MT23*5.5%</f>
        <v>100942.985</v>
      </c>
      <c r="MZ23" s="219">
        <f t="shared" si="221"/>
        <v>60372.208</v>
      </c>
      <c r="NA23" s="218">
        <v>552450</v>
      </c>
      <c r="NB23" s="219">
        <f t="shared" si="308"/>
        <v>-321572.193</v>
      </c>
      <c r="NC23" s="219"/>
      <c r="ND23" s="219">
        <f>MJ23/MH23</f>
        <v>411.18826405868</v>
      </c>
      <c r="NE23" s="220">
        <f>MT23/MR23</f>
        <v>921.348895582329</v>
      </c>
      <c r="NF23" s="221">
        <f t="shared" si="222"/>
        <v>0.231722327857627</v>
      </c>
      <c r="NG23" s="222">
        <f t="shared" si="223"/>
        <v>0.556919791550268</v>
      </c>
      <c r="NH23" s="53"/>
      <c r="NI23" s="53"/>
      <c r="NJ23" s="213" t="s">
        <v>176</v>
      </c>
      <c r="NK23" s="213">
        <v>1</v>
      </c>
      <c r="NL23" s="213"/>
      <c r="NM23" s="214">
        <v>102</v>
      </c>
      <c r="NN23" s="214"/>
      <c r="NO23" s="214">
        <v>681</v>
      </c>
      <c r="NP23" s="214">
        <v>252</v>
      </c>
      <c r="NQ23" s="215">
        <v>68562</v>
      </c>
      <c r="NR23" s="215">
        <v>95157</v>
      </c>
      <c r="NS23" s="215">
        <v>51385</v>
      </c>
      <c r="NT23" s="216">
        <v>293371</v>
      </c>
      <c r="NU23" s="216">
        <v>204195</v>
      </c>
      <c r="NV23" s="216"/>
      <c r="NW23" s="214">
        <v>180</v>
      </c>
      <c r="NX23" s="214">
        <v>68567</v>
      </c>
      <c r="NY23" s="214">
        <v>28999</v>
      </c>
      <c r="NZ23" s="214">
        <v>1757</v>
      </c>
      <c r="OA23" s="215">
        <v>1505</v>
      </c>
      <c r="OB23" s="214">
        <v>2268695</v>
      </c>
      <c r="OC23" s="214">
        <v>1565153</v>
      </c>
      <c r="OD23" s="214">
        <f t="shared" si="272"/>
        <v>703542</v>
      </c>
      <c r="OE23" s="216">
        <v>1000</v>
      </c>
      <c r="OF23" s="217">
        <v>605071.93</v>
      </c>
      <c r="OG23" s="218">
        <f t="shared" si="273"/>
        <v>124778.225</v>
      </c>
      <c r="OH23" s="219">
        <f t="shared" si="226"/>
        <v>121014.386</v>
      </c>
      <c r="OI23" s="218">
        <v>114173</v>
      </c>
      <c r="OJ23" s="218"/>
      <c r="OK23" s="219">
        <f t="shared" si="227"/>
        <v>342576.389</v>
      </c>
      <c r="OL23" s="219">
        <f t="shared" si="228"/>
        <v>377.607142857143</v>
      </c>
      <c r="OM23" s="220">
        <f t="shared" si="229"/>
        <v>1291.23221400114</v>
      </c>
      <c r="ON23" s="221">
        <f t="shared" si="230"/>
        <v>0.263617910128286</v>
      </c>
      <c r="OO23" s="222">
        <f t="shared" si="231"/>
        <v>1.94905547387449</v>
      </c>
      <c r="OP23" s="53"/>
      <c r="OQ23" s="193"/>
      <c r="OR23" s="53"/>
      <c r="OS23" s="95" t="s">
        <v>176</v>
      </c>
      <c r="OT23" s="95">
        <v>1</v>
      </c>
      <c r="OU23" s="170">
        <v>10</v>
      </c>
      <c r="OV23" s="170">
        <v>600</v>
      </c>
      <c r="OW23" s="170">
        <v>233</v>
      </c>
      <c r="OX23" s="170">
        <v>68777</v>
      </c>
      <c r="OY23" s="170">
        <v>91546</v>
      </c>
      <c r="OZ23" s="170">
        <v>51987</v>
      </c>
      <c r="PA23" s="172">
        <v>240305</v>
      </c>
      <c r="PB23" s="172">
        <v>209613</v>
      </c>
      <c r="PC23" s="170">
        <v>1481</v>
      </c>
      <c r="PD23" s="194">
        <v>1248</v>
      </c>
      <c r="PE23" s="194">
        <v>2029234</v>
      </c>
      <c r="PF23" s="194">
        <v>1454137</v>
      </c>
      <c r="PG23" s="170">
        <f t="shared" si="233"/>
        <v>575097</v>
      </c>
      <c r="PH23" s="172">
        <v>5150</v>
      </c>
      <c r="PI23" s="173">
        <v>439005.98</v>
      </c>
      <c r="PJ23" s="171">
        <f t="shared" si="274"/>
        <v>111607.87</v>
      </c>
      <c r="PK23" s="174">
        <f t="shared" si="235"/>
        <v>87801.196</v>
      </c>
      <c r="PL23" s="171">
        <v>114173</v>
      </c>
      <c r="PM23" s="174">
        <f t="shared" si="236"/>
        <v>256364.934</v>
      </c>
      <c r="PN23" s="174">
        <f t="shared" si="237"/>
        <v>392.901287553648</v>
      </c>
      <c r="PO23" s="195">
        <f t="shared" si="238"/>
        <v>1370.17825793383</v>
      </c>
      <c r="PP23" s="196">
        <f t="shared" si="239"/>
        <v>0.287219297226279</v>
      </c>
      <c r="PQ23" s="197">
        <f t="shared" si="240"/>
        <v>1.80432740018069</v>
      </c>
      <c r="PR23" s="198"/>
      <c r="PS23" s="198"/>
      <c r="PT23" s="144"/>
      <c r="PU23" s="95" t="s">
        <v>176</v>
      </c>
      <c r="PV23" s="95">
        <v>1</v>
      </c>
      <c r="PW23" s="170">
        <v>10</v>
      </c>
      <c r="PX23" s="170">
        <v>507</v>
      </c>
      <c r="PY23" s="170">
        <v>160</v>
      </c>
      <c r="PZ23" s="170">
        <v>49754</v>
      </c>
      <c r="QA23" s="170">
        <v>69375</v>
      </c>
      <c r="QB23" s="170">
        <v>44035</v>
      </c>
      <c r="QC23" s="170">
        <v>1222</v>
      </c>
      <c r="QD23" s="170">
        <v>1062</v>
      </c>
      <c r="QE23" s="194">
        <v>1993609</v>
      </c>
      <c r="QF23" s="171">
        <v>1684639</v>
      </c>
      <c r="QG23" s="171">
        <v>308970</v>
      </c>
      <c r="QH23" s="172">
        <v>5220</v>
      </c>
      <c r="QI23" s="173">
        <v>234665.46</v>
      </c>
      <c r="QJ23" s="171">
        <f t="shared" si="275"/>
        <v>109648.495</v>
      </c>
      <c r="QK23" s="174">
        <f t="shared" si="242"/>
        <v>46933.092</v>
      </c>
      <c r="QL23" s="171">
        <f>PV23*6613*QG1+1</f>
        <v>198391</v>
      </c>
      <c r="QM23" s="174">
        <f t="shared" si="276"/>
        <v>152388.413</v>
      </c>
      <c r="QN23" s="174">
        <f t="shared" si="277"/>
        <v>310.9625</v>
      </c>
      <c r="QO23" s="195">
        <f t="shared" si="244"/>
        <v>1631.43126022913</v>
      </c>
      <c r="QP23" s="196">
        <f t="shared" si="245"/>
        <v>0.192605296454921</v>
      </c>
      <c r="QQ23" s="197">
        <f t="shared" si="246"/>
        <v>1.97322051666266</v>
      </c>
      <c r="QR23" s="266"/>
      <c r="QS23" s="206"/>
      <c r="QT23" s="144" t="s">
        <v>178</v>
      </c>
      <c r="QU23" s="95" t="s">
        <v>176</v>
      </c>
      <c r="QV23" s="95">
        <v>2</v>
      </c>
      <c r="QW23" s="175">
        <v>639</v>
      </c>
      <c r="QX23" s="175">
        <v>153</v>
      </c>
      <c r="QY23" s="175">
        <v>229932</v>
      </c>
      <c r="QZ23" s="175">
        <v>314</v>
      </c>
      <c r="RA23" s="175">
        <v>2447441</v>
      </c>
      <c r="RB23" s="202">
        <v>1496904</v>
      </c>
      <c r="RC23" s="177">
        <f t="shared" si="248"/>
        <v>1494034</v>
      </c>
      <c r="RD23" s="171">
        <f t="shared" si="278"/>
        <v>950537</v>
      </c>
      <c r="RE23" s="170">
        <v>2870</v>
      </c>
      <c r="RF23" s="173">
        <v>884268.24</v>
      </c>
      <c r="RG23" s="171">
        <f t="shared" si="279"/>
        <v>134609.255</v>
      </c>
      <c r="RH23" s="174">
        <f t="shared" si="280"/>
        <v>88426.824</v>
      </c>
      <c r="RI23" s="171">
        <f t="shared" si="281"/>
        <v>410006</v>
      </c>
      <c r="RJ23" s="176">
        <f t="shared" si="250"/>
        <v>727500.921</v>
      </c>
      <c r="RK23" s="174">
        <f t="shared" si="251"/>
        <v>7794.39808917197</v>
      </c>
      <c r="RL23" s="201">
        <f t="shared" si="252"/>
        <v>0.361578286673809</v>
      </c>
      <c r="RM23" s="197">
        <f t="shared" si="253"/>
        <v>4.26180824314079</v>
      </c>
      <c r="RN23" s="198"/>
      <c r="RO23" s="144"/>
      <c r="RP23" s="144"/>
      <c r="RQ23" s="95" t="s">
        <v>176</v>
      </c>
      <c r="RR23" s="95">
        <v>2</v>
      </c>
      <c r="RS23" s="175">
        <v>501</v>
      </c>
      <c r="RT23" s="175">
        <v>137</v>
      </c>
      <c r="RU23" s="175">
        <v>266112</v>
      </c>
      <c r="RV23" s="175">
        <v>332</v>
      </c>
      <c r="RW23" s="175">
        <v>2006167</v>
      </c>
      <c r="RX23" s="202">
        <v>2411047</v>
      </c>
      <c r="RY23" s="177">
        <f t="shared" si="282"/>
        <v>-404880</v>
      </c>
      <c r="RZ23" s="170">
        <v>8000</v>
      </c>
      <c r="SA23" s="170">
        <v>0</v>
      </c>
      <c r="SB23" s="171">
        <v>-427839.52</v>
      </c>
      <c r="SC23" s="171">
        <f t="shared" si="283"/>
        <v>110339.185</v>
      </c>
      <c r="SD23" s="174">
        <v>0</v>
      </c>
      <c r="SE23" s="171">
        <f t="shared" si="285"/>
        <v>396780</v>
      </c>
      <c r="SF23" s="207">
        <f t="shared" si="286"/>
        <v>-911999.185</v>
      </c>
      <c r="SG23" s="174">
        <f t="shared" si="255"/>
        <v>6042.67168674699</v>
      </c>
      <c r="SH23" s="196">
        <f t="shared" si="256"/>
        <v>0.516602774171574</v>
      </c>
      <c r="SI23" s="197">
        <f t="shared" si="257"/>
        <v>-0.798392196501105</v>
      </c>
      <c r="SJ23" s="144" t="s">
        <v>143</v>
      </c>
      <c r="SK23" s="144"/>
      <c r="SL23" s="144"/>
      <c r="SM23" s="95" t="s">
        <v>176</v>
      </c>
      <c r="SN23" s="95">
        <v>2</v>
      </c>
      <c r="SO23" s="175">
        <v>650</v>
      </c>
      <c r="SP23" s="175">
        <v>190</v>
      </c>
      <c r="SQ23" s="175">
        <v>492332</v>
      </c>
      <c r="SR23" s="175">
        <v>427</v>
      </c>
      <c r="SS23" s="175">
        <v>1539947</v>
      </c>
      <c r="ST23" s="202">
        <v>1285767</v>
      </c>
      <c r="SU23" s="177">
        <f t="shared" si="287"/>
        <v>254180</v>
      </c>
      <c r="SV23" s="170">
        <v>77750</v>
      </c>
      <c r="SW23" s="170">
        <v>0</v>
      </c>
      <c r="SX23" s="171">
        <v>246905.52</v>
      </c>
      <c r="SY23" s="171">
        <f t="shared" si="288"/>
        <v>84697.085</v>
      </c>
      <c r="SZ23" s="174">
        <f>SX23*10%</f>
        <v>24690.552</v>
      </c>
      <c r="TA23" s="171">
        <f>SN23*4000*31</f>
        <v>248000</v>
      </c>
      <c r="TB23" s="207">
        <f t="shared" si="291"/>
        <v>-103207.637</v>
      </c>
      <c r="TC23" s="174">
        <f t="shared" si="259"/>
        <v>3606.43325526932</v>
      </c>
      <c r="TD23" s="196">
        <f t="shared" si="260"/>
        <v>1.13143970582347</v>
      </c>
      <c r="TE23" s="197">
        <f t="shared" si="261"/>
        <v>0.7112165438448</v>
      </c>
      <c r="TF23" s="156"/>
      <c r="TG23" s="156"/>
      <c r="TH23" s="95" t="s">
        <v>176</v>
      </c>
      <c r="TI23" s="95">
        <v>4</v>
      </c>
      <c r="TJ23" s="95">
        <v>645</v>
      </c>
      <c r="TK23" s="95">
        <v>214</v>
      </c>
      <c r="TL23" s="175">
        <v>364269</v>
      </c>
      <c r="TM23" s="175">
        <v>431</v>
      </c>
      <c r="TN23" s="175">
        <v>1435252</v>
      </c>
      <c r="TO23" s="202">
        <v>1172144</v>
      </c>
      <c r="TP23" s="175">
        <f t="shared" si="292"/>
        <v>263108</v>
      </c>
      <c r="TQ23" s="178">
        <v>0</v>
      </c>
      <c r="TR23" s="170">
        <v>0</v>
      </c>
      <c r="TS23" s="170">
        <v>255303.01</v>
      </c>
      <c r="TT23" s="170">
        <f t="shared" si="293"/>
        <v>57410.08</v>
      </c>
      <c r="TU23" s="178">
        <f t="shared" si="294"/>
        <v>25530.301</v>
      </c>
      <c r="TV23" s="170">
        <f t="shared" si="295"/>
        <v>952000</v>
      </c>
      <c r="TW23" s="203">
        <f t="shared" si="296"/>
        <v>-771832.381</v>
      </c>
      <c r="TX23" s="174">
        <f t="shared" si="263"/>
        <v>3330.05104408353</v>
      </c>
      <c r="TY23" s="196">
        <f t="shared" si="264"/>
        <v>0.35197099918744</v>
      </c>
      <c r="TZ23" s="102">
        <f t="shared" si="265"/>
        <v>0.254225272131883</v>
      </c>
      <c r="UA23" s="156"/>
      <c r="UB23" s="144"/>
      <c r="UC23" s="144"/>
      <c r="UD23" s="95" t="s">
        <v>176</v>
      </c>
      <c r="UE23" s="95">
        <v>4</v>
      </c>
      <c r="UF23" s="175">
        <v>844</v>
      </c>
      <c r="UG23" s="175">
        <v>394</v>
      </c>
      <c r="UH23" s="175">
        <v>744389</v>
      </c>
      <c r="UI23" s="175">
        <v>640</v>
      </c>
      <c r="UJ23" s="175">
        <v>1771483</v>
      </c>
      <c r="UK23" s="202">
        <v>1450409</v>
      </c>
      <c r="UL23" s="175">
        <f t="shared" si="297"/>
        <v>321074</v>
      </c>
      <c r="UM23" s="170">
        <v>52000</v>
      </c>
      <c r="UN23" s="170">
        <v>0</v>
      </c>
      <c r="UO23" s="170">
        <v>321859.18</v>
      </c>
      <c r="UP23" s="170">
        <f t="shared" si="298"/>
        <v>70859.32</v>
      </c>
      <c r="UQ23" s="178">
        <f t="shared" si="309"/>
        <v>32185.918</v>
      </c>
      <c r="UR23" s="170">
        <f>UE23*8500*31</f>
        <v>1054000</v>
      </c>
      <c r="US23" s="203">
        <f t="shared" si="300"/>
        <v>-835971.238</v>
      </c>
      <c r="UT23" s="174">
        <f t="shared" si="267"/>
        <v>2767.9421875</v>
      </c>
      <c r="UU23" s="196">
        <f t="shared" si="301"/>
        <v>0.61568333144537</v>
      </c>
      <c r="UV23" s="102">
        <f t="shared" si="268"/>
        <v>0.277494768099983</v>
      </c>
      <c r="UW23" s="144"/>
      <c r="UX23" s="144"/>
      <c r="UY23" s="144"/>
      <c r="UZ23" s="95" t="s">
        <v>176</v>
      </c>
      <c r="VA23" s="95">
        <v>4</v>
      </c>
      <c r="VB23" s="175">
        <v>605</v>
      </c>
      <c r="VC23" s="175">
        <v>163</v>
      </c>
      <c r="VD23" s="175">
        <v>697753</v>
      </c>
      <c r="VE23" s="175">
        <v>689</v>
      </c>
      <c r="VF23" s="175">
        <v>1361711</v>
      </c>
      <c r="VG23" s="202">
        <v>1322466</v>
      </c>
      <c r="VH23" s="175">
        <f t="shared" si="302"/>
        <v>39245</v>
      </c>
      <c r="VI23" s="178">
        <v>33940</v>
      </c>
      <c r="VJ23" s="178">
        <v>0</v>
      </c>
      <c r="VK23" s="170">
        <v>31056.82</v>
      </c>
      <c r="VL23" s="178">
        <f t="shared" si="303"/>
        <v>74894.105</v>
      </c>
      <c r="VM23" s="178">
        <f>VK23*10%</f>
        <v>3105.682</v>
      </c>
      <c r="VN23" s="170">
        <f>VA23*8500*31</f>
        <v>1054000</v>
      </c>
      <c r="VO23" s="178">
        <f t="shared" si="304"/>
        <v>-1092754.787</v>
      </c>
      <c r="VP23" s="174">
        <f t="shared" si="270"/>
        <v>1976.35849056604</v>
      </c>
      <c r="VQ23" s="196">
        <f t="shared" si="305"/>
        <v>0.598446856158276</v>
      </c>
      <c r="VR23" s="102">
        <f t="shared" si="271"/>
        <v>0.0346687344385516</v>
      </c>
      <c r="VS23" s="84"/>
      <c r="VT23" s="53"/>
      <c r="VU23" s="53"/>
    </row>
    <row r="24" ht="18" hidden="1" customHeight="1" spans="1:593">
      <c r="A24" s="53"/>
      <c r="B24" s="53"/>
      <c r="C24" s="160" t="s">
        <v>179</v>
      </c>
      <c r="D24" s="160"/>
      <c r="E24" s="267"/>
      <c r="F24" s="267"/>
      <c r="G24" s="267"/>
      <c r="H24" s="267"/>
      <c r="I24" s="267"/>
      <c r="J24" s="267"/>
      <c r="K24" s="267"/>
      <c r="L24" s="267"/>
      <c r="M24" s="267"/>
      <c r="N24" s="267"/>
      <c r="O24" s="272"/>
      <c r="P24" s="267"/>
      <c r="Q24" s="267"/>
      <c r="R24" s="267"/>
      <c r="S24" s="267"/>
      <c r="T24" s="267"/>
      <c r="U24" s="267"/>
      <c r="V24" s="273"/>
      <c r="W24" s="161"/>
      <c r="X24" s="161"/>
      <c r="Y24" s="164"/>
      <c r="Z24" s="164"/>
      <c r="AA24" s="229"/>
      <c r="AB24" s="164"/>
      <c r="AC24" s="229"/>
      <c r="AD24" s="229"/>
      <c r="AE24" s="274"/>
      <c r="AF24" s="274"/>
      <c r="AG24" s="229"/>
      <c r="AH24" s="188"/>
      <c r="AI24" s="53"/>
      <c r="AJ24" s="160" t="s">
        <v>179</v>
      </c>
      <c r="AK24" s="160"/>
      <c r="AL24" s="267"/>
      <c r="AM24" s="267"/>
      <c r="AN24" s="267"/>
      <c r="AO24" s="267"/>
      <c r="AP24" s="267"/>
      <c r="AQ24" s="267"/>
      <c r="AR24" s="267"/>
      <c r="AS24" s="267"/>
      <c r="AT24" s="267"/>
      <c r="AU24" s="267"/>
      <c r="AV24" s="272"/>
      <c r="AW24" s="267"/>
      <c r="AX24" s="267"/>
      <c r="AY24" s="267"/>
      <c r="AZ24" s="267"/>
      <c r="BA24" s="267"/>
      <c r="BB24" s="267"/>
      <c r="BC24" s="273"/>
      <c r="BD24" s="161"/>
      <c r="BE24" s="161"/>
      <c r="BF24" s="164"/>
      <c r="BG24" s="164"/>
      <c r="BH24" s="229"/>
      <c r="BI24" s="164"/>
      <c r="BJ24" s="229"/>
      <c r="BK24" s="229"/>
      <c r="BL24" s="274"/>
      <c r="BM24" s="274"/>
      <c r="BN24" s="229"/>
      <c r="BO24" s="188" t="e">
        <f>BD24/(BG24+BH24)</f>
        <v>#DIV/0!</v>
      </c>
      <c r="BP24" s="53"/>
      <c r="BQ24" s="160" t="s">
        <v>179</v>
      </c>
      <c r="BR24" s="160"/>
      <c r="BS24" s="267"/>
      <c r="BT24" s="267"/>
      <c r="BU24" s="267"/>
      <c r="BV24" s="267"/>
      <c r="BW24" s="267"/>
      <c r="BX24" s="267"/>
      <c r="BY24" s="267"/>
      <c r="BZ24" s="267"/>
      <c r="CA24" s="267"/>
      <c r="CB24" s="267"/>
      <c r="CC24" s="272"/>
      <c r="CD24" s="267"/>
      <c r="CE24" s="267"/>
      <c r="CF24" s="267"/>
      <c r="CG24" s="267"/>
      <c r="CH24" s="267"/>
      <c r="CI24" s="267"/>
      <c r="CJ24" s="273"/>
      <c r="CK24" s="161"/>
      <c r="CL24" s="161"/>
      <c r="CM24" s="164"/>
      <c r="CN24" s="164"/>
      <c r="CO24" s="229"/>
      <c r="CP24" s="164"/>
      <c r="CQ24" s="229"/>
      <c r="CR24" s="229"/>
      <c r="CS24" s="274"/>
      <c r="CT24" s="274"/>
      <c r="CU24" s="229"/>
      <c r="CV24" s="188" t="e">
        <f>CK24/(CN24+CO24)</f>
        <v>#DIV/0!</v>
      </c>
      <c r="CW24" s="53"/>
      <c r="CX24" s="160" t="s">
        <v>179</v>
      </c>
      <c r="CY24" s="160"/>
      <c r="CZ24" s="267"/>
      <c r="DA24" s="267"/>
      <c r="DB24" s="267"/>
      <c r="DC24" s="267"/>
      <c r="DD24" s="267"/>
      <c r="DE24" s="267"/>
      <c r="DF24" s="267"/>
      <c r="DG24" s="267"/>
      <c r="DH24" s="267"/>
      <c r="DI24" s="267"/>
      <c r="DJ24" s="272"/>
      <c r="DK24" s="267"/>
      <c r="DL24" s="267"/>
      <c r="DM24" s="267"/>
      <c r="DN24" s="267"/>
      <c r="DO24" s="267"/>
      <c r="DP24" s="267"/>
      <c r="DQ24" s="273"/>
      <c r="DR24" s="161"/>
      <c r="DS24" s="161"/>
      <c r="DT24" s="164"/>
      <c r="DU24" s="164"/>
      <c r="DV24" s="229"/>
      <c r="DW24" s="164"/>
      <c r="DX24" s="229"/>
      <c r="DY24" s="229"/>
      <c r="DZ24" s="274"/>
      <c r="EA24" s="274"/>
      <c r="EB24" s="229"/>
      <c r="EC24" s="188" t="e">
        <f>DR24/(DU24+DV24)</f>
        <v>#DIV/0!</v>
      </c>
      <c r="ED24" s="53"/>
      <c r="EE24" s="160" t="s">
        <v>179</v>
      </c>
      <c r="EF24" s="160"/>
      <c r="EG24" s="160"/>
      <c r="EH24" s="162"/>
      <c r="EI24" s="162"/>
      <c r="EJ24" s="162"/>
      <c r="EK24" s="162"/>
      <c r="EL24" s="163"/>
      <c r="EM24" s="163"/>
      <c r="EN24" s="163"/>
      <c r="EO24" s="161"/>
      <c r="EP24" s="161"/>
      <c r="EQ24" s="162"/>
      <c r="ER24" s="162"/>
      <c r="ES24" s="162"/>
      <c r="ET24" s="162"/>
      <c r="EU24" s="162"/>
      <c r="EV24" s="162"/>
      <c r="EW24" s="162"/>
      <c r="EX24" s="162"/>
      <c r="EY24" s="162"/>
      <c r="EZ24" s="162"/>
      <c r="FA24" s="185"/>
      <c r="FB24" s="179"/>
      <c r="FC24" s="167"/>
      <c r="FD24" s="179"/>
      <c r="FE24" s="167"/>
      <c r="FF24" s="167"/>
      <c r="FG24" s="167"/>
      <c r="FH24" s="186"/>
      <c r="FI24" s="187"/>
      <c r="FJ24" s="188" t="e">
        <v>#DIV/0!</v>
      </c>
      <c r="FK24" s="53"/>
      <c r="FL24" s="53"/>
      <c r="FM24" s="53"/>
      <c r="FN24" s="160" t="s">
        <v>179</v>
      </c>
      <c r="FO24" s="160"/>
      <c r="FP24" s="160"/>
      <c r="FQ24" s="162"/>
      <c r="FR24" s="162"/>
      <c r="FS24" s="162"/>
      <c r="FT24" s="162"/>
      <c r="FU24" s="163"/>
      <c r="FV24" s="163"/>
      <c r="FW24" s="163"/>
      <c r="FX24" s="161"/>
      <c r="FY24" s="161"/>
      <c r="FZ24" s="162"/>
      <c r="GA24" s="162"/>
      <c r="GB24" s="162"/>
      <c r="GC24" s="162"/>
      <c r="GD24" s="162"/>
      <c r="GE24" s="162"/>
      <c r="GF24" s="162"/>
      <c r="GG24" s="162"/>
      <c r="GH24" s="162"/>
      <c r="GI24" s="162"/>
      <c r="GJ24" s="185"/>
      <c r="GK24" s="179"/>
      <c r="GL24" s="167"/>
      <c r="GM24" s="179"/>
      <c r="GN24" s="167"/>
      <c r="GO24" s="167"/>
      <c r="GP24" s="167"/>
      <c r="GQ24" s="186"/>
      <c r="GR24" s="187"/>
      <c r="GS24" s="188" t="e">
        <f>GH24/(GK24+GL24)</f>
        <v>#DIV/0!</v>
      </c>
      <c r="GT24" s="53"/>
      <c r="GU24" s="53"/>
      <c r="GV24" s="160" t="s">
        <v>179</v>
      </c>
      <c r="GW24" s="160"/>
      <c r="GX24" s="160"/>
      <c r="GY24" s="162"/>
      <c r="GZ24" s="162"/>
      <c r="HA24" s="162"/>
      <c r="HB24" s="162"/>
      <c r="HC24" s="163"/>
      <c r="HD24" s="163"/>
      <c r="HE24" s="163"/>
      <c r="HF24" s="161"/>
      <c r="HG24" s="161"/>
      <c r="HH24" s="162"/>
      <c r="HI24" s="162"/>
      <c r="HJ24" s="162"/>
      <c r="HK24" s="162"/>
      <c r="HL24" s="162"/>
      <c r="HM24" s="162"/>
      <c r="HN24" s="162"/>
      <c r="HO24" s="162"/>
      <c r="HP24" s="162"/>
      <c r="HQ24" s="162"/>
      <c r="HR24" s="185"/>
      <c r="HS24" s="179"/>
      <c r="HT24" s="167"/>
      <c r="HU24" s="179"/>
      <c r="HV24" s="167"/>
      <c r="HW24" s="167"/>
      <c r="HX24" s="167"/>
      <c r="HY24" s="186"/>
      <c r="HZ24" s="187"/>
      <c r="IA24" s="188" t="e">
        <f>HP24/(HS24+HT24)</f>
        <v>#DIV/0!</v>
      </c>
      <c r="IB24" s="53"/>
      <c r="IC24" s="53"/>
      <c r="ID24" s="160" t="s">
        <v>179</v>
      </c>
      <c r="IE24" s="160"/>
      <c r="IF24" s="160"/>
      <c r="IG24" s="162"/>
      <c r="IH24" s="162"/>
      <c r="II24" s="162"/>
      <c r="IJ24" s="162"/>
      <c r="IK24" s="163"/>
      <c r="IL24" s="163"/>
      <c r="IM24" s="163"/>
      <c r="IN24" s="161"/>
      <c r="IO24" s="161"/>
      <c r="IP24" s="162"/>
      <c r="IQ24" s="162"/>
      <c r="IR24" s="162"/>
      <c r="IS24" s="162"/>
      <c r="IT24" s="162"/>
      <c r="IU24" s="162"/>
      <c r="IV24" s="162"/>
      <c r="IW24" s="162"/>
      <c r="IX24" s="162"/>
      <c r="IY24" s="162"/>
      <c r="IZ24" s="185"/>
      <c r="JA24" s="179"/>
      <c r="JB24" s="167"/>
      <c r="JC24" s="179"/>
      <c r="JD24" s="167"/>
      <c r="JE24" s="167"/>
      <c r="JF24" s="167"/>
      <c r="JG24" s="186"/>
      <c r="JH24" s="187"/>
      <c r="JI24" s="188" t="e">
        <f>IX24/(JA24+JB24)</f>
        <v>#DIV/0!</v>
      </c>
      <c r="JJ24" s="53"/>
      <c r="JK24" s="53"/>
      <c r="JL24" s="160" t="s">
        <v>179</v>
      </c>
      <c r="JM24" s="160"/>
      <c r="JN24" s="160"/>
      <c r="JO24" s="162"/>
      <c r="JP24" s="162"/>
      <c r="JQ24" s="162"/>
      <c r="JR24" s="162"/>
      <c r="JS24" s="163"/>
      <c r="JT24" s="163"/>
      <c r="JU24" s="163"/>
      <c r="JV24" s="161"/>
      <c r="JW24" s="161"/>
      <c r="JX24" s="162"/>
      <c r="JY24" s="162"/>
      <c r="JZ24" s="162"/>
      <c r="KA24" s="162"/>
      <c r="KB24" s="162"/>
      <c r="KC24" s="162"/>
      <c r="KD24" s="162"/>
      <c r="KE24" s="162"/>
      <c r="KF24" s="162"/>
      <c r="KG24" s="162"/>
      <c r="KH24" s="185"/>
      <c r="KI24" s="179"/>
      <c r="KJ24" s="167"/>
      <c r="KK24" s="179"/>
      <c r="KL24" s="167"/>
      <c r="KM24" s="167"/>
      <c r="KN24" s="167"/>
      <c r="KO24" s="186"/>
      <c r="KP24" s="187"/>
      <c r="KQ24" s="188" t="e">
        <f>KF24/(KI24+KJ24)</f>
        <v>#DIV/0!</v>
      </c>
      <c r="KR24" s="53"/>
      <c r="KS24" s="53"/>
      <c r="KT24" s="213" t="s">
        <v>179</v>
      </c>
      <c r="KU24" s="213"/>
      <c r="KV24" s="213"/>
      <c r="KW24" s="275"/>
      <c r="KX24" s="275"/>
      <c r="KY24" s="275"/>
      <c r="KZ24" s="275"/>
      <c r="LA24" s="275"/>
      <c r="LB24" s="275"/>
      <c r="LC24" s="275"/>
      <c r="LD24" s="275"/>
      <c r="LE24" s="275"/>
      <c r="LF24" s="275"/>
      <c r="LG24" s="275"/>
      <c r="LH24" s="275"/>
      <c r="LI24" s="275"/>
      <c r="LJ24" s="275"/>
      <c r="LK24" s="275"/>
      <c r="LL24" s="275"/>
      <c r="LM24" s="276"/>
      <c r="LN24" s="216"/>
      <c r="LO24" s="216"/>
      <c r="LP24" s="217"/>
      <c r="LQ24" s="217"/>
      <c r="LR24" s="224"/>
      <c r="LS24" s="217"/>
      <c r="LT24" s="217"/>
      <c r="LU24" s="224"/>
      <c r="LV24" s="277"/>
      <c r="LW24" s="277"/>
      <c r="LX24" s="224"/>
      <c r="LY24" s="222" t="e">
        <v>#DIV/0!</v>
      </c>
      <c r="LZ24" s="269"/>
      <c r="MA24" s="192"/>
      <c r="MB24" s="213" t="s">
        <v>179</v>
      </c>
      <c r="MC24" s="213"/>
      <c r="MD24" s="213"/>
      <c r="ME24" s="275"/>
      <c r="MF24" s="275"/>
      <c r="MG24" s="275"/>
      <c r="MH24" s="275"/>
      <c r="MI24" s="275"/>
      <c r="MJ24" s="275"/>
      <c r="MK24" s="275"/>
      <c r="ML24" s="275"/>
      <c r="MM24" s="275"/>
      <c r="MN24" s="275"/>
      <c r="MO24" s="275"/>
      <c r="MP24" s="275"/>
      <c r="MQ24" s="275"/>
      <c r="MR24" s="275"/>
      <c r="MS24" s="275"/>
      <c r="MT24" s="275"/>
      <c r="MU24" s="276"/>
      <c r="MV24" s="216"/>
      <c r="MW24" s="216"/>
      <c r="MX24" s="217"/>
      <c r="MY24" s="217"/>
      <c r="MZ24" s="224"/>
      <c r="NA24" s="217"/>
      <c r="NB24" s="224"/>
      <c r="NC24" s="277"/>
      <c r="ND24" s="277"/>
      <c r="NE24" s="277"/>
      <c r="NF24" s="224"/>
      <c r="NG24" s="222" t="e">
        <f>MV24/(MY24+MZ24)</f>
        <v>#DIV/0!</v>
      </c>
      <c r="NH24" s="53"/>
      <c r="NI24" s="53"/>
      <c r="NJ24" s="213" t="s">
        <v>179</v>
      </c>
      <c r="NK24" s="213"/>
      <c r="NL24" s="213"/>
      <c r="NM24" s="275"/>
      <c r="NN24" s="275"/>
      <c r="NO24" s="275"/>
      <c r="NP24" s="275"/>
      <c r="NQ24" s="275"/>
      <c r="NR24" s="275"/>
      <c r="NS24" s="275"/>
      <c r="NT24" s="275"/>
      <c r="NU24" s="275"/>
      <c r="NV24" s="275"/>
      <c r="NW24" s="275"/>
      <c r="NX24" s="275"/>
      <c r="NY24" s="275"/>
      <c r="NZ24" s="275"/>
      <c r="OA24" s="275"/>
      <c r="OB24" s="275"/>
      <c r="OC24" s="276"/>
      <c r="OD24" s="214"/>
      <c r="OE24" s="214"/>
      <c r="OF24" s="218"/>
      <c r="OG24" s="218">
        <f t="shared" si="273"/>
        <v>0</v>
      </c>
      <c r="OH24" s="219">
        <f>OF24*10%</f>
        <v>0</v>
      </c>
      <c r="OI24" s="218">
        <f>NK24*6613*31</f>
        <v>0</v>
      </c>
      <c r="OJ24" s="218"/>
      <c r="OK24" s="219"/>
      <c r="OL24" s="278"/>
      <c r="OM24" s="278"/>
      <c r="ON24" s="279"/>
      <c r="OO24" s="222" t="e">
        <f>OD24/(OG24+OH24)</f>
        <v>#DIV/0!</v>
      </c>
      <c r="OP24" s="53"/>
      <c r="OQ24" s="53"/>
      <c r="OR24" s="53"/>
      <c r="OS24" s="95" t="s">
        <v>179</v>
      </c>
      <c r="OT24" s="95"/>
      <c r="OU24" s="175"/>
      <c r="OV24" s="175"/>
      <c r="OW24" s="175"/>
      <c r="OX24" s="175"/>
      <c r="OY24" s="175"/>
      <c r="OZ24" s="175"/>
      <c r="PA24" s="175"/>
      <c r="PB24" s="175"/>
      <c r="PC24" s="175"/>
      <c r="PD24" s="175"/>
      <c r="PE24" s="175"/>
      <c r="PF24" s="202"/>
      <c r="PG24" s="170"/>
      <c r="PH24" s="170"/>
      <c r="PI24" s="171"/>
      <c r="PJ24" s="171">
        <f t="shared" si="274"/>
        <v>0</v>
      </c>
      <c r="PK24" s="174">
        <f>PI24*10%</f>
        <v>0</v>
      </c>
      <c r="PL24" s="171">
        <f>OT24*6613*31</f>
        <v>0</v>
      </c>
      <c r="PM24" s="207" t="e">
        <f>#REF!-PJ24-PK24-PL24</f>
        <v>#REF!</v>
      </c>
      <c r="PN24" s="207"/>
      <c r="PO24" s="207"/>
      <c r="PP24" s="280"/>
      <c r="PQ24" s="197" t="e">
        <f>PG24/(PJ24+PK24)</f>
        <v>#DIV/0!</v>
      </c>
      <c r="PR24" s="266" t="s">
        <v>180</v>
      </c>
      <c r="PS24" s="144"/>
      <c r="PT24" s="146"/>
      <c r="PU24" s="95" t="s">
        <v>179</v>
      </c>
      <c r="PV24" s="95">
        <v>0</v>
      </c>
      <c r="PW24" s="175"/>
      <c r="PX24" s="175"/>
      <c r="PY24" s="175"/>
      <c r="PZ24" s="175"/>
      <c r="QA24" s="175"/>
      <c r="QB24" s="175"/>
      <c r="QC24" s="175"/>
      <c r="QD24" s="175"/>
      <c r="QE24" s="175"/>
      <c r="QF24" s="177"/>
      <c r="QG24" s="177"/>
      <c r="QH24" s="170"/>
      <c r="QI24" s="171"/>
      <c r="QJ24" s="171">
        <f t="shared" si="275"/>
        <v>0</v>
      </c>
      <c r="QK24" s="174">
        <f>QI24*10%</f>
        <v>0</v>
      </c>
      <c r="QL24" s="171">
        <f>PV24*6613*31</f>
        <v>0</v>
      </c>
      <c r="QM24" s="207">
        <f>QG24-QJ24-QK24-QL24</f>
        <v>0</v>
      </c>
      <c r="QN24" s="207"/>
      <c r="QO24" s="207"/>
      <c r="QP24" s="280"/>
      <c r="QQ24" s="197" t="e">
        <f t="shared" si="246"/>
        <v>#DIV/0!</v>
      </c>
      <c r="QR24" s="266"/>
      <c r="QS24" s="144"/>
      <c r="QT24" s="144" t="s">
        <v>181</v>
      </c>
      <c r="QU24" s="95" t="s">
        <v>179</v>
      </c>
      <c r="QV24" s="95">
        <v>1</v>
      </c>
      <c r="QW24" s="175"/>
      <c r="QX24" s="175"/>
      <c r="QY24" s="175"/>
      <c r="QZ24" s="175">
        <v>976</v>
      </c>
      <c r="RA24" s="175">
        <v>1017955</v>
      </c>
      <c r="RB24" s="202">
        <v>867099</v>
      </c>
      <c r="RC24" s="177">
        <f t="shared" si="248"/>
        <v>867099</v>
      </c>
      <c r="RD24" s="177">
        <f t="shared" si="278"/>
        <v>150856</v>
      </c>
      <c r="RE24" s="170"/>
      <c r="RF24" s="171">
        <v>139370.36</v>
      </c>
      <c r="RG24" s="171">
        <f t="shared" si="279"/>
        <v>55987.525</v>
      </c>
      <c r="RH24" s="174">
        <f t="shared" si="280"/>
        <v>13937.036</v>
      </c>
      <c r="RI24" s="171">
        <f t="shared" si="281"/>
        <v>205003</v>
      </c>
      <c r="RJ24" s="176">
        <f t="shared" si="250"/>
        <v>80931.439</v>
      </c>
      <c r="RK24" s="281"/>
      <c r="RL24" s="282"/>
      <c r="RM24" s="197">
        <f t="shared" si="253"/>
        <v>2.1574107558573</v>
      </c>
      <c r="RN24" s="266" t="s">
        <v>180</v>
      </c>
      <c r="RO24" s="144"/>
      <c r="RP24" s="144"/>
      <c r="RQ24" s="95" t="s">
        <v>179</v>
      </c>
      <c r="RR24" s="95">
        <v>2</v>
      </c>
      <c r="RS24" s="175"/>
      <c r="RT24" s="175"/>
      <c r="RU24" s="175"/>
      <c r="RV24" s="175">
        <v>273</v>
      </c>
      <c r="RW24" s="175">
        <v>1040175</v>
      </c>
      <c r="RX24" s="202">
        <v>749818</v>
      </c>
      <c r="RY24" s="177">
        <f t="shared" si="282"/>
        <v>290357</v>
      </c>
      <c r="RZ24" s="170"/>
      <c r="SA24" s="170">
        <v>0</v>
      </c>
      <c r="SB24" s="171">
        <v>291754.67</v>
      </c>
      <c r="SC24" s="171">
        <f t="shared" si="283"/>
        <v>57209.625</v>
      </c>
      <c r="SD24" s="174">
        <f>SB24*10%</f>
        <v>29175.467</v>
      </c>
      <c r="SE24" s="171">
        <f t="shared" si="285"/>
        <v>396780</v>
      </c>
      <c r="SF24" s="207">
        <f t="shared" si="286"/>
        <v>-192808.092</v>
      </c>
      <c r="SG24" s="281"/>
      <c r="SH24" s="281"/>
      <c r="SI24" s="197">
        <f t="shared" si="257"/>
        <v>0.60094780191612</v>
      </c>
      <c r="SJ24" s="266" t="s">
        <v>180</v>
      </c>
      <c r="SK24" s="144" t="s">
        <v>143</v>
      </c>
      <c r="SL24" s="144"/>
      <c r="SM24" s="95" t="s">
        <v>179</v>
      </c>
      <c r="SN24" s="95"/>
      <c r="SO24" s="175"/>
      <c r="SP24" s="175"/>
      <c r="SQ24" s="175"/>
      <c r="SR24" s="175"/>
      <c r="SS24" s="175"/>
      <c r="ST24" s="202"/>
      <c r="SU24" s="177">
        <f t="shared" si="287"/>
        <v>0</v>
      </c>
      <c r="SV24" s="170"/>
      <c r="SW24" s="170"/>
      <c r="SX24" s="171"/>
      <c r="SY24" s="171">
        <f t="shared" si="288"/>
        <v>0</v>
      </c>
      <c r="SZ24" s="174">
        <f>SX24*10%</f>
        <v>0</v>
      </c>
      <c r="TA24" s="171">
        <f>SN24*4000*31</f>
        <v>0</v>
      </c>
      <c r="TB24" s="207">
        <f t="shared" si="291"/>
        <v>0</v>
      </c>
      <c r="TC24" s="281"/>
      <c r="TD24" s="281"/>
      <c r="TE24" s="197" t="e">
        <f t="shared" si="261"/>
        <v>#DIV/0!</v>
      </c>
      <c r="TF24" s="266"/>
      <c r="TG24" s="156"/>
      <c r="TH24" s="95" t="s">
        <v>179</v>
      </c>
      <c r="TI24" s="95"/>
      <c r="TJ24" s="95"/>
      <c r="TK24" s="95"/>
      <c r="TL24" s="175"/>
      <c r="TM24" s="175"/>
      <c r="TN24" s="175"/>
      <c r="TO24" s="202"/>
      <c r="TP24" s="175">
        <f t="shared" si="292"/>
        <v>0</v>
      </c>
      <c r="TQ24" s="178"/>
      <c r="TR24" s="170"/>
      <c r="TS24" s="170"/>
      <c r="TT24" s="170">
        <f t="shared" si="293"/>
        <v>0</v>
      </c>
      <c r="TU24" s="178">
        <f t="shared" si="294"/>
        <v>0</v>
      </c>
      <c r="TV24" s="170">
        <f t="shared" si="295"/>
        <v>0</v>
      </c>
      <c r="TW24" s="203">
        <f t="shared" si="296"/>
        <v>0</v>
      </c>
      <c r="TX24" s="283"/>
      <c r="TY24" s="283"/>
      <c r="TZ24" s="102" t="e">
        <f t="shared" si="265"/>
        <v>#DIV/0!</v>
      </c>
      <c r="UA24" s="266"/>
      <c r="UB24" s="144"/>
      <c r="UC24" s="144"/>
      <c r="UD24" s="95" t="s">
        <v>179</v>
      </c>
      <c r="UE24" s="95"/>
      <c r="UF24" s="175"/>
      <c r="UG24" s="175"/>
      <c r="UH24" s="175"/>
      <c r="UI24" s="175"/>
      <c r="UJ24" s="175"/>
      <c r="UK24" s="202"/>
      <c r="UL24" s="175"/>
      <c r="UM24" s="170"/>
      <c r="UN24" s="170"/>
      <c r="UO24" s="170"/>
      <c r="UP24" s="170"/>
      <c r="UQ24" s="178"/>
      <c r="UR24" s="170"/>
      <c r="US24" s="203"/>
      <c r="UT24" s="283"/>
      <c r="UU24" s="283"/>
      <c r="UV24" s="102"/>
      <c r="UW24" s="266"/>
      <c r="UX24" s="144"/>
      <c r="UY24" s="144"/>
      <c r="UZ24" s="95" t="s">
        <v>179</v>
      </c>
      <c r="VA24" s="95"/>
      <c r="VB24" s="175"/>
      <c r="VC24" s="175"/>
      <c r="VD24" s="175"/>
      <c r="VE24" s="175"/>
      <c r="VF24" s="175"/>
      <c r="VG24" s="202"/>
      <c r="VH24" s="175"/>
      <c r="VI24" s="178"/>
      <c r="VJ24" s="178"/>
      <c r="VK24" s="170"/>
      <c r="VL24" s="178"/>
      <c r="VM24" s="178"/>
      <c r="VN24" s="170"/>
      <c r="VO24" s="178"/>
      <c r="VP24" s="283"/>
      <c r="VQ24" s="283"/>
      <c r="VR24" s="102" t="e">
        <f>VH24/(VL24+VM24+VN24+VJ24)</f>
        <v>#DIV/0!</v>
      </c>
      <c r="VS24" s="84"/>
      <c r="VT24" s="53"/>
      <c r="VU24" s="53"/>
    </row>
    <row r="25" ht="18" hidden="1" customHeight="1" spans="1:593">
      <c r="A25" s="53"/>
      <c r="B25" s="53"/>
      <c r="C25" s="160"/>
      <c r="D25" s="160"/>
      <c r="E25" s="267"/>
      <c r="F25" s="267"/>
      <c r="G25" s="267"/>
      <c r="H25" s="267"/>
      <c r="I25" s="267"/>
      <c r="J25" s="267"/>
      <c r="K25" s="267"/>
      <c r="L25" s="267"/>
      <c r="M25" s="267"/>
      <c r="N25" s="267"/>
      <c r="O25" s="272"/>
      <c r="P25" s="267"/>
      <c r="Q25" s="267"/>
      <c r="R25" s="267"/>
      <c r="S25" s="267"/>
      <c r="T25" s="267"/>
      <c r="U25" s="267"/>
      <c r="V25" s="267"/>
      <c r="W25" s="270"/>
      <c r="X25" s="270"/>
      <c r="Y25" s="229"/>
      <c r="Z25" s="164"/>
      <c r="AA25" s="229"/>
      <c r="AB25" s="164"/>
      <c r="AC25" s="229"/>
      <c r="AD25" s="229"/>
      <c r="AE25" s="274"/>
      <c r="AF25" s="274"/>
      <c r="AG25" s="229"/>
      <c r="AH25" s="188"/>
      <c r="AI25" s="53"/>
      <c r="AJ25" s="160"/>
      <c r="AK25" s="160"/>
      <c r="AL25" s="267"/>
      <c r="AM25" s="267"/>
      <c r="AN25" s="267"/>
      <c r="AO25" s="267"/>
      <c r="AP25" s="267"/>
      <c r="AQ25" s="267"/>
      <c r="AR25" s="267"/>
      <c r="AS25" s="267"/>
      <c r="AT25" s="267"/>
      <c r="AU25" s="267"/>
      <c r="AV25" s="272"/>
      <c r="AW25" s="267"/>
      <c r="AX25" s="267"/>
      <c r="AY25" s="267"/>
      <c r="AZ25" s="267"/>
      <c r="BA25" s="267"/>
      <c r="BB25" s="267"/>
      <c r="BC25" s="267"/>
      <c r="BD25" s="270"/>
      <c r="BE25" s="270"/>
      <c r="BF25" s="229"/>
      <c r="BG25" s="164"/>
      <c r="BH25" s="229"/>
      <c r="BI25" s="164"/>
      <c r="BJ25" s="229"/>
      <c r="BK25" s="229"/>
      <c r="BL25" s="274"/>
      <c r="BM25" s="274"/>
      <c r="BN25" s="229"/>
      <c r="BO25" s="188"/>
      <c r="BP25" s="53"/>
      <c r="BQ25" s="160"/>
      <c r="BR25" s="160"/>
      <c r="BS25" s="267"/>
      <c r="BT25" s="267"/>
      <c r="BU25" s="267"/>
      <c r="BV25" s="267"/>
      <c r="BW25" s="267"/>
      <c r="BX25" s="267"/>
      <c r="BY25" s="267"/>
      <c r="BZ25" s="267"/>
      <c r="CA25" s="267"/>
      <c r="CB25" s="267"/>
      <c r="CC25" s="272"/>
      <c r="CD25" s="267"/>
      <c r="CE25" s="267"/>
      <c r="CF25" s="267"/>
      <c r="CG25" s="267"/>
      <c r="CH25" s="267"/>
      <c r="CI25" s="267"/>
      <c r="CJ25" s="267"/>
      <c r="CK25" s="270"/>
      <c r="CL25" s="270"/>
      <c r="CM25" s="229"/>
      <c r="CN25" s="164"/>
      <c r="CO25" s="229"/>
      <c r="CP25" s="164"/>
      <c r="CQ25" s="229"/>
      <c r="CR25" s="229"/>
      <c r="CS25" s="274"/>
      <c r="CT25" s="274"/>
      <c r="CU25" s="229"/>
      <c r="CV25" s="188"/>
      <c r="CW25" s="53"/>
      <c r="CX25" s="160"/>
      <c r="CY25" s="160"/>
      <c r="CZ25" s="267"/>
      <c r="DA25" s="267"/>
      <c r="DB25" s="267"/>
      <c r="DC25" s="267"/>
      <c r="DD25" s="267"/>
      <c r="DE25" s="267"/>
      <c r="DF25" s="267"/>
      <c r="DG25" s="267"/>
      <c r="DH25" s="267"/>
      <c r="DI25" s="267"/>
      <c r="DJ25" s="272"/>
      <c r="DK25" s="267"/>
      <c r="DL25" s="267"/>
      <c r="DM25" s="267"/>
      <c r="DN25" s="267"/>
      <c r="DO25" s="267"/>
      <c r="DP25" s="267"/>
      <c r="DQ25" s="267"/>
      <c r="DR25" s="270"/>
      <c r="DS25" s="270"/>
      <c r="DT25" s="229"/>
      <c r="DU25" s="164"/>
      <c r="DV25" s="229"/>
      <c r="DW25" s="164"/>
      <c r="DX25" s="229"/>
      <c r="DY25" s="229"/>
      <c r="DZ25" s="274"/>
      <c r="EA25" s="274"/>
      <c r="EB25" s="229"/>
      <c r="EC25" s="188"/>
      <c r="ED25" s="53"/>
      <c r="EE25" s="160"/>
      <c r="EF25" s="160"/>
      <c r="EG25" s="160"/>
      <c r="EH25" s="162"/>
      <c r="EI25" s="162"/>
      <c r="EJ25" s="162"/>
      <c r="EK25" s="162"/>
      <c r="EL25" s="163"/>
      <c r="EM25" s="163"/>
      <c r="EN25" s="163"/>
      <c r="EO25" s="161"/>
      <c r="EP25" s="161"/>
      <c r="EQ25" s="162"/>
      <c r="ER25" s="162"/>
      <c r="ES25" s="162"/>
      <c r="ET25" s="162"/>
      <c r="EU25" s="162"/>
      <c r="EV25" s="162"/>
      <c r="EW25" s="162"/>
      <c r="EX25" s="162"/>
      <c r="EY25" s="162"/>
      <c r="EZ25" s="162"/>
      <c r="FA25" s="185"/>
      <c r="FB25" s="179"/>
      <c r="FC25" s="167"/>
      <c r="FD25" s="179"/>
      <c r="FE25" s="167"/>
      <c r="FF25" s="167"/>
      <c r="FG25" s="167"/>
      <c r="FH25" s="186"/>
      <c r="FI25" s="187"/>
      <c r="FJ25" s="188"/>
      <c r="FK25" s="53"/>
      <c r="FL25" s="53"/>
      <c r="FM25" s="53"/>
      <c r="FN25" s="160"/>
      <c r="FO25" s="160"/>
      <c r="FP25" s="160"/>
      <c r="FQ25" s="162"/>
      <c r="FR25" s="162"/>
      <c r="FS25" s="162"/>
      <c r="FT25" s="162"/>
      <c r="FU25" s="163"/>
      <c r="FV25" s="163"/>
      <c r="FW25" s="163"/>
      <c r="FX25" s="161"/>
      <c r="FY25" s="161"/>
      <c r="FZ25" s="162"/>
      <c r="GA25" s="162"/>
      <c r="GB25" s="162"/>
      <c r="GC25" s="162"/>
      <c r="GD25" s="162"/>
      <c r="GE25" s="162"/>
      <c r="GF25" s="162"/>
      <c r="GG25" s="162"/>
      <c r="GH25" s="162"/>
      <c r="GI25" s="162"/>
      <c r="GJ25" s="185"/>
      <c r="GK25" s="179"/>
      <c r="GL25" s="167"/>
      <c r="GM25" s="179"/>
      <c r="GN25" s="167"/>
      <c r="GO25" s="167"/>
      <c r="GP25" s="167"/>
      <c r="GQ25" s="186"/>
      <c r="GR25" s="187"/>
      <c r="GS25" s="188"/>
      <c r="GT25" s="53"/>
      <c r="GU25" s="53"/>
      <c r="GV25" s="160"/>
      <c r="GW25" s="160"/>
      <c r="GX25" s="160"/>
      <c r="GY25" s="162"/>
      <c r="GZ25" s="162"/>
      <c r="HA25" s="162"/>
      <c r="HB25" s="162"/>
      <c r="HC25" s="163"/>
      <c r="HD25" s="163"/>
      <c r="HE25" s="163"/>
      <c r="HF25" s="161"/>
      <c r="HG25" s="161"/>
      <c r="HH25" s="162"/>
      <c r="HI25" s="162"/>
      <c r="HJ25" s="162"/>
      <c r="HK25" s="162"/>
      <c r="HL25" s="162"/>
      <c r="HM25" s="162"/>
      <c r="HN25" s="162"/>
      <c r="HO25" s="162"/>
      <c r="HP25" s="162"/>
      <c r="HQ25" s="162"/>
      <c r="HR25" s="185"/>
      <c r="HS25" s="179"/>
      <c r="HT25" s="167"/>
      <c r="HU25" s="179"/>
      <c r="HV25" s="167"/>
      <c r="HW25" s="167"/>
      <c r="HX25" s="167"/>
      <c r="HY25" s="186"/>
      <c r="HZ25" s="187"/>
      <c r="IA25" s="188"/>
      <c r="IB25" s="53"/>
      <c r="IC25" s="53"/>
      <c r="ID25" s="160"/>
      <c r="IE25" s="160"/>
      <c r="IF25" s="160"/>
      <c r="IG25" s="162"/>
      <c r="IH25" s="162"/>
      <c r="II25" s="162"/>
      <c r="IJ25" s="162"/>
      <c r="IK25" s="163"/>
      <c r="IL25" s="163"/>
      <c r="IM25" s="163"/>
      <c r="IN25" s="161"/>
      <c r="IO25" s="161"/>
      <c r="IP25" s="162"/>
      <c r="IQ25" s="162"/>
      <c r="IR25" s="162"/>
      <c r="IS25" s="162"/>
      <c r="IT25" s="162"/>
      <c r="IU25" s="162"/>
      <c r="IV25" s="162"/>
      <c r="IW25" s="162"/>
      <c r="IX25" s="162"/>
      <c r="IY25" s="162"/>
      <c r="IZ25" s="185"/>
      <c r="JA25" s="179"/>
      <c r="JB25" s="167"/>
      <c r="JC25" s="179"/>
      <c r="JD25" s="167"/>
      <c r="JE25" s="167"/>
      <c r="JF25" s="167"/>
      <c r="JG25" s="186"/>
      <c r="JH25" s="187"/>
      <c r="JI25" s="188"/>
      <c r="JJ25" s="53"/>
      <c r="JK25" s="53"/>
      <c r="JL25" s="213"/>
      <c r="JM25" s="213"/>
      <c r="JN25" s="275"/>
      <c r="JO25" s="275"/>
      <c r="JP25" s="275"/>
      <c r="JQ25" s="275"/>
      <c r="JR25" s="275"/>
      <c r="JS25" s="275"/>
      <c r="JT25" s="275"/>
      <c r="JU25" s="275"/>
      <c r="JV25" s="275"/>
      <c r="JW25" s="275"/>
      <c r="JX25" s="275"/>
      <c r="JY25" s="275"/>
      <c r="JZ25" s="275"/>
      <c r="KA25" s="275"/>
      <c r="KB25" s="275"/>
      <c r="KC25" s="275"/>
      <c r="KD25" s="275"/>
      <c r="KE25" s="275"/>
      <c r="KF25" s="271"/>
      <c r="KG25" s="271"/>
      <c r="KH25" s="224"/>
      <c r="KI25" s="217"/>
      <c r="KJ25" s="224"/>
      <c r="KK25" s="217"/>
      <c r="KL25" s="224"/>
      <c r="KM25" s="224"/>
      <c r="KN25" s="277"/>
      <c r="KO25" s="277"/>
      <c r="KP25" s="224"/>
      <c r="KQ25" s="222"/>
      <c r="KR25" s="53"/>
      <c r="KS25" s="53"/>
      <c r="KT25" s="213"/>
      <c r="KU25" s="213"/>
      <c r="KV25" s="213"/>
      <c r="KW25" s="275"/>
      <c r="KX25" s="275"/>
      <c r="KY25" s="275"/>
      <c r="KZ25" s="275"/>
      <c r="LA25" s="275"/>
      <c r="LB25" s="275"/>
      <c r="LC25" s="275"/>
      <c r="LD25" s="275"/>
      <c r="LE25" s="275"/>
      <c r="LF25" s="275"/>
      <c r="LG25" s="275"/>
      <c r="LH25" s="275"/>
      <c r="LI25" s="275"/>
      <c r="LJ25" s="275"/>
      <c r="LK25" s="275"/>
      <c r="LL25" s="275"/>
      <c r="LM25" s="275"/>
      <c r="LN25" s="271"/>
      <c r="LO25" s="271"/>
      <c r="LP25" s="224"/>
      <c r="LQ25" s="217"/>
      <c r="LR25" s="224"/>
      <c r="LS25" s="217"/>
      <c r="LT25" s="217"/>
      <c r="LU25" s="224"/>
      <c r="LV25" s="277"/>
      <c r="LW25" s="277"/>
      <c r="LX25" s="224"/>
      <c r="LY25" s="222"/>
      <c r="LZ25" s="269"/>
      <c r="MA25" s="192"/>
      <c r="MB25" s="213"/>
      <c r="MC25" s="213"/>
      <c r="MD25" s="213"/>
      <c r="ME25" s="275"/>
      <c r="MF25" s="275"/>
      <c r="MG25" s="275"/>
      <c r="MH25" s="275"/>
      <c r="MI25" s="275"/>
      <c r="MJ25" s="275"/>
      <c r="MK25" s="275"/>
      <c r="ML25" s="275"/>
      <c r="MM25" s="275"/>
      <c r="MN25" s="275"/>
      <c r="MO25" s="275"/>
      <c r="MP25" s="275"/>
      <c r="MQ25" s="275"/>
      <c r="MR25" s="275"/>
      <c r="MS25" s="275"/>
      <c r="MT25" s="275"/>
      <c r="MU25" s="275"/>
      <c r="MV25" s="271"/>
      <c r="MW25" s="271"/>
      <c r="MX25" s="224"/>
      <c r="MY25" s="217"/>
      <c r="MZ25" s="224"/>
      <c r="NA25" s="217"/>
      <c r="NB25" s="224"/>
      <c r="NC25" s="277"/>
      <c r="ND25" s="277"/>
      <c r="NE25" s="277"/>
      <c r="NF25" s="224"/>
      <c r="NG25" s="222"/>
      <c r="NH25" s="53"/>
      <c r="NI25" s="53"/>
      <c r="NJ25" s="213" t="s">
        <v>182</v>
      </c>
      <c r="NK25" s="213"/>
      <c r="NL25" s="213"/>
      <c r="NM25" s="275"/>
      <c r="NN25" s="275"/>
      <c r="NO25" s="275"/>
      <c r="NP25" s="275"/>
      <c r="NQ25" s="275"/>
      <c r="NR25" s="275"/>
      <c r="NS25" s="275"/>
      <c r="NT25" s="275"/>
      <c r="NU25" s="275"/>
      <c r="NV25" s="275"/>
      <c r="NW25" s="275"/>
      <c r="NX25" s="275"/>
      <c r="NY25" s="275"/>
      <c r="NZ25" s="275"/>
      <c r="OA25" s="275"/>
      <c r="OB25" s="275"/>
      <c r="OC25" s="275"/>
      <c r="OD25" s="284"/>
      <c r="OE25" s="284"/>
      <c r="OF25" s="219"/>
      <c r="OG25" s="218">
        <f t="shared" si="273"/>
        <v>0</v>
      </c>
      <c r="OH25" s="219">
        <f>OF25*10%</f>
        <v>0</v>
      </c>
      <c r="OI25" s="218">
        <f>NK25*6613*0</f>
        <v>0</v>
      </c>
      <c r="OJ25" s="218"/>
      <c r="OK25" s="219"/>
      <c r="OL25" s="278"/>
      <c r="OM25" s="278"/>
      <c r="ON25" s="279"/>
      <c r="OO25" s="222" t="e">
        <f>OD25/(OG25+OH25)</f>
        <v>#DIV/0!</v>
      </c>
      <c r="OP25" s="53"/>
      <c r="OQ25" s="53"/>
      <c r="OR25" s="53"/>
      <c r="OS25" s="95" t="s">
        <v>182</v>
      </c>
      <c r="OT25" s="95"/>
      <c r="OU25" s="175"/>
      <c r="OV25" s="175"/>
      <c r="OW25" s="175"/>
      <c r="OX25" s="175"/>
      <c r="OY25" s="175"/>
      <c r="OZ25" s="175"/>
      <c r="PA25" s="175"/>
      <c r="PB25" s="175"/>
      <c r="PC25" s="175"/>
      <c r="PD25" s="175"/>
      <c r="PE25" s="175"/>
      <c r="PF25" s="175"/>
      <c r="PG25" s="178"/>
      <c r="PH25" s="178"/>
      <c r="PI25" s="174"/>
      <c r="PJ25" s="171">
        <f t="shared" si="274"/>
        <v>0</v>
      </c>
      <c r="PK25" s="174">
        <f>PI25*10%</f>
        <v>0</v>
      </c>
      <c r="PL25" s="171">
        <f>OT25*6613*0</f>
        <v>0</v>
      </c>
      <c r="PM25" s="207" t="e">
        <f>#REF!-PJ25-PK25-PL25</f>
        <v>#REF!</v>
      </c>
      <c r="PN25" s="207"/>
      <c r="PO25" s="207"/>
      <c r="PP25" s="280"/>
      <c r="PQ25" s="197" t="e">
        <f>PG25/(PJ25+PK25)</f>
        <v>#DIV/0!</v>
      </c>
      <c r="PR25" s="144"/>
      <c r="PS25" s="144"/>
      <c r="PT25" s="146"/>
      <c r="PU25" s="95" t="s">
        <v>182</v>
      </c>
      <c r="PV25" s="95">
        <v>0</v>
      </c>
      <c r="PW25" s="175"/>
      <c r="PX25" s="175"/>
      <c r="PY25" s="175"/>
      <c r="PZ25" s="175"/>
      <c r="QA25" s="175"/>
      <c r="QB25" s="175"/>
      <c r="QC25" s="175"/>
      <c r="QD25" s="175"/>
      <c r="QE25" s="175"/>
      <c r="QF25" s="177"/>
      <c r="QG25" s="177"/>
      <c r="QH25" s="178"/>
      <c r="QI25" s="174"/>
      <c r="QJ25" s="171">
        <f t="shared" si="275"/>
        <v>0</v>
      </c>
      <c r="QK25" s="174">
        <f>QI25*10%</f>
        <v>0</v>
      </c>
      <c r="QL25" s="171">
        <f>PV25*6613*0</f>
        <v>0</v>
      </c>
      <c r="QM25" s="207">
        <f>QG25-QJ25-QK25-QL25</f>
        <v>0</v>
      </c>
      <c r="QN25" s="207"/>
      <c r="QO25" s="207"/>
      <c r="QP25" s="280"/>
      <c r="QQ25" s="197" t="e">
        <f t="shared" si="246"/>
        <v>#DIV/0!</v>
      </c>
      <c r="QR25" s="144"/>
      <c r="QS25" s="144"/>
      <c r="QT25" s="144"/>
      <c r="QU25" s="95" t="s">
        <v>182</v>
      </c>
      <c r="QV25" s="95"/>
      <c r="QW25" s="175"/>
      <c r="QX25" s="175"/>
      <c r="QY25" s="175"/>
      <c r="QZ25" s="175"/>
      <c r="RA25" s="175"/>
      <c r="RB25" s="175"/>
      <c r="RC25" s="177">
        <f t="shared" si="248"/>
        <v>0</v>
      </c>
      <c r="RD25" s="177">
        <f t="shared" si="278"/>
        <v>0</v>
      </c>
      <c r="RE25" s="178"/>
      <c r="RF25" s="174"/>
      <c r="RG25" s="171">
        <f t="shared" si="279"/>
        <v>0</v>
      </c>
      <c r="RH25" s="174">
        <f t="shared" si="280"/>
        <v>0</v>
      </c>
      <c r="RI25" s="171">
        <f>QV25*6613*0</f>
        <v>0</v>
      </c>
      <c r="RJ25" s="176">
        <f t="shared" si="250"/>
        <v>0</v>
      </c>
      <c r="RK25" s="281"/>
      <c r="RL25" s="282"/>
      <c r="RM25" s="197" t="e">
        <f t="shared" si="253"/>
        <v>#DIV/0!</v>
      </c>
      <c r="RN25" s="144"/>
      <c r="RO25" s="144"/>
      <c r="RP25" s="144"/>
      <c r="RQ25" s="95" t="s">
        <v>182</v>
      </c>
      <c r="RR25" s="95"/>
      <c r="RS25" s="175"/>
      <c r="RT25" s="175"/>
      <c r="RU25" s="175"/>
      <c r="RV25" s="175"/>
      <c r="RW25" s="175"/>
      <c r="RX25" s="175"/>
      <c r="RY25" s="177">
        <f t="shared" si="282"/>
        <v>0</v>
      </c>
      <c r="RZ25" s="178"/>
      <c r="SA25" s="170">
        <v>0</v>
      </c>
      <c r="SB25" s="174"/>
      <c r="SC25" s="171">
        <f t="shared" si="283"/>
        <v>0</v>
      </c>
      <c r="SD25" s="174">
        <f>SB25*10%</f>
        <v>0</v>
      </c>
      <c r="SE25" s="171">
        <f>RR25*6613*0</f>
        <v>0</v>
      </c>
      <c r="SF25" s="207">
        <f t="shared" si="286"/>
        <v>0</v>
      </c>
      <c r="SG25" s="281"/>
      <c r="SH25" s="281"/>
      <c r="SI25" s="197" t="e">
        <f t="shared" si="257"/>
        <v>#DIV/0!</v>
      </c>
      <c r="SJ25" s="144"/>
      <c r="SK25" s="157"/>
      <c r="SL25" s="285" t="s">
        <v>177</v>
      </c>
      <c r="SM25" s="95" t="s">
        <v>182</v>
      </c>
      <c r="SN25" s="95">
        <v>0</v>
      </c>
      <c r="SO25" s="175"/>
      <c r="SP25" s="175"/>
      <c r="SQ25" s="175"/>
      <c r="SR25" s="175"/>
      <c r="SS25" s="175">
        <v>757390</v>
      </c>
      <c r="ST25" s="175">
        <v>742233</v>
      </c>
      <c r="SU25" s="177">
        <f t="shared" si="287"/>
        <v>15157</v>
      </c>
      <c r="SV25" s="178"/>
      <c r="SW25" s="170">
        <v>0</v>
      </c>
      <c r="SX25" s="174">
        <v>-21191.97</v>
      </c>
      <c r="SY25" s="171">
        <f t="shared" si="288"/>
        <v>41656.45</v>
      </c>
      <c r="SZ25" s="174">
        <v>0</v>
      </c>
      <c r="TA25" s="171">
        <f>SN25*8500*31</f>
        <v>0</v>
      </c>
      <c r="TB25" s="207">
        <f t="shared" si="291"/>
        <v>-26499.45</v>
      </c>
      <c r="TC25" s="281"/>
      <c r="TD25" s="281"/>
      <c r="TE25" s="197">
        <f t="shared" si="261"/>
        <v>0.363857217789802</v>
      </c>
      <c r="TF25" s="266" t="s">
        <v>180</v>
      </c>
      <c r="TG25" s="156"/>
      <c r="TH25" s="95" t="s">
        <v>182</v>
      </c>
      <c r="TI25" s="95">
        <v>4</v>
      </c>
      <c r="TJ25" s="95"/>
      <c r="TK25" s="95"/>
      <c r="TL25" s="175"/>
      <c r="TM25" s="175"/>
      <c r="TN25" s="175">
        <v>836735</v>
      </c>
      <c r="TO25" s="175">
        <v>817328</v>
      </c>
      <c r="TP25" s="175">
        <f t="shared" si="292"/>
        <v>19407</v>
      </c>
      <c r="TQ25" s="178">
        <v>155050</v>
      </c>
      <c r="TR25" s="170">
        <v>0</v>
      </c>
      <c r="TS25" s="203">
        <v>-42347.99</v>
      </c>
      <c r="TT25" s="170">
        <f t="shared" si="293"/>
        <v>33469.4</v>
      </c>
      <c r="TU25" s="178">
        <v>0</v>
      </c>
      <c r="TV25" s="170">
        <f t="shared" si="295"/>
        <v>952000</v>
      </c>
      <c r="TW25" s="203">
        <f t="shared" si="296"/>
        <v>-966062.4</v>
      </c>
      <c r="TX25" s="283"/>
      <c r="TY25" s="283"/>
      <c r="TZ25" s="102">
        <f t="shared" si="265"/>
        <v>0.0196931533338326</v>
      </c>
      <c r="UA25" s="266" t="s">
        <v>180</v>
      </c>
      <c r="UB25" s="144"/>
      <c r="UC25" s="144"/>
      <c r="UD25" s="95" t="s">
        <v>182</v>
      </c>
      <c r="UE25" s="95">
        <v>4</v>
      </c>
      <c r="UF25" s="175"/>
      <c r="UG25" s="175"/>
      <c r="UH25" s="175"/>
      <c r="UI25" s="175"/>
      <c r="UJ25" s="175">
        <v>601045</v>
      </c>
      <c r="UK25" s="175">
        <v>784560</v>
      </c>
      <c r="UL25" s="175">
        <f>UJ25-UK25</f>
        <v>-183515</v>
      </c>
      <c r="UM25" s="170">
        <v>209380</v>
      </c>
      <c r="UN25" s="170">
        <v>0</v>
      </c>
      <c r="UO25" s="178">
        <v>236352.75</v>
      </c>
      <c r="UP25" s="170">
        <f>UJ25*4%</f>
        <v>24041.8</v>
      </c>
      <c r="UQ25" s="178">
        <f>UO25*10%</f>
        <v>23635.275</v>
      </c>
      <c r="UR25" s="170">
        <f>UE25*8500*31</f>
        <v>1054000</v>
      </c>
      <c r="US25" s="203">
        <f>UL25-UP25-UQ25-UR25</f>
        <v>-1285192.075</v>
      </c>
      <c r="UT25" s="283"/>
      <c r="UU25" s="283"/>
      <c r="UV25" s="102">
        <f>UL25/(UP25+UQ25+UR25)</f>
        <v>-0.166577851318182</v>
      </c>
      <c r="UW25" s="266" t="s">
        <v>180</v>
      </c>
      <c r="UX25" s="144"/>
      <c r="UY25" s="144"/>
      <c r="UZ25" s="95" t="s">
        <v>182</v>
      </c>
      <c r="VA25" s="95">
        <v>4</v>
      </c>
      <c r="VB25" s="175"/>
      <c r="VC25" s="175"/>
      <c r="VD25" s="175"/>
      <c r="VE25" s="175"/>
      <c r="VF25" s="175">
        <v>146931</v>
      </c>
      <c r="VG25" s="175">
        <v>200247</v>
      </c>
      <c r="VH25" s="175">
        <f>VF25-VG25</f>
        <v>-53316</v>
      </c>
      <c r="VI25" s="178">
        <v>54830</v>
      </c>
      <c r="VJ25" s="178">
        <v>0</v>
      </c>
      <c r="VK25" s="203">
        <v>-57543.47</v>
      </c>
      <c r="VL25" s="178">
        <f>VF25*4%</f>
        <v>5877.24</v>
      </c>
      <c r="VM25" s="178">
        <v>0</v>
      </c>
      <c r="VN25" s="170">
        <f>VA25*8500*20</f>
        <v>680000</v>
      </c>
      <c r="VO25" s="178">
        <f>VK25-VM25</f>
        <v>-57543.47</v>
      </c>
      <c r="VP25" s="283"/>
      <c r="VQ25" s="283"/>
      <c r="VR25" s="102">
        <f>VH25/(VL25+VM25+VN25+VJ25)</f>
        <v>-0.0777340271562299</v>
      </c>
      <c r="VS25" s="84" t="s">
        <v>129</v>
      </c>
      <c r="VT25" s="53"/>
      <c r="VU25" s="53"/>
    </row>
    <row r="26" ht="18" hidden="1" customHeight="1" spans="1:593">
      <c r="A26" s="53"/>
      <c r="B26" s="53"/>
      <c r="C26" s="235" t="s">
        <v>153</v>
      </c>
      <c r="D26" s="237">
        <f t="shared" ref="D26:F26" si="310">SUM(D19:D23)</f>
        <v>0</v>
      </c>
      <c r="E26" s="237">
        <f t="shared" si="310"/>
        <v>0</v>
      </c>
      <c r="F26" s="237">
        <f t="shared" si="310"/>
        <v>0</v>
      </c>
      <c r="G26" s="236" t="e">
        <f>(I26/F26)/S1</f>
        <v>#DIV/0!</v>
      </c>
      <c r="H26" s="237">
        <f t="shared" ref="H26:N26" si="311">SUM(H19:H23)</f>
        <v>0</v>
      </c>
      <c r="I26" s="237">
        <f t="shared" si="311"/>
        <v>0</v>
      </c>
      <c r="J26" s="237">
        <f t="shared" si="311"/>
        <v>0</v>
      </c>
      <c r="K26" s="237">
        <f t="shared" si="311"/>
        <v>0</v>
      </c>
      <c r="L26" s="237">
        <f t="shared" si="311"/>
        <v>0</v>
      </c>
      <c r="M26" s="237">
        <f t="shared" si="311"/>
        <v>0</v>
      </c>
      <c r="N26" s="237">
        <f t="shared" si="311"/>
        <v>0</v>
      </c>
      <c r="O26" s="286">
        <f t="shared" ref="O26:O31" si="312">M26-N26</f>
        <v>0</v>
      </c>
      <c r="P26" s="237">
        <f t="shared" ref="P26:Y26" si="313">SUM(P19:P23)</f>
        <v>0</v>
      </c>
      <c r="Q26" s="237">
        <f t="shared" si="313"/>
        <v>0</v>
      </c>
      <c r="R26" s="237">
        <f t="shared" si="313"/>
        <v>0</v>
      </c>
      <c r="S26" s="237">
        <f t="shared" si="313"/>
        <v>0</v>
      </c>
      <c r="T26" s="237">
        <f t="shared" si="313"/>
        <v>0</v>
      </c>
      <c r="U26" s="237">
        <f t="shared" si="313"/>
        <v>0</v>
      </c>
      <c r="V26" s="237">
        <f t="shared" si="313"/>
        <v>0</v>
      </c>
      <c r="W26" s="237">
        <f t="shared" si="313"/>
        <v>0</v>
      </c>
      <c r="X26" s="236">
        <f t="shared" si="313"/>
        <v>0</v>
      </c>
      <c r="Y26" s="237">
        <f t="shared" si="313"/>
        <v>0</v>
      </c>
      <c r="Z26" s="237">
        <f>U26*5.5%</f>
        <v>0</v>
      </c>
      <c r="AA26" s="238">
        <f t="shared" ref="AA26:AA31" si="314">IF(Y26&gt;0,Y26*20%,0)</f>
        <v>0</v>
      </c>
      <c r="AB26" s="236">
        <f>SUM(AB19:AB23)</f>
        <v>0</v>
      </c>
      <c r="AC26" s="236">
        <f>SUM(AC19:AC23)</f>
        <v>0</v>
      </c>
      <c r="AD26" s="237">
        <f>W26-X26-Z26-AA26-AB26-AC26</f>
        <v>0</v>
      </c>
      <c r="AE26" s="238" t="e">
        <f t="shared" ref="AE26:AE31" si="315">K26/I26</f>
        <v>#DIV/0!</v>
      </c>
      <c r="AF26" s="237" t="e">
        <f t="shared" ref="AF26:AF31" si="316">U26/S26</f>
        <v>#DIV/0!</v>
      </c>
      <c r="AG26" s="239" t="e">
        <f t="shared" ref="AG26:AG31" si="317">K26/(Z26+AA26+X26+AB26)</f>
        <v>#DIV/0!</v>
      </c>
      <c r="AH26" s="240" t="e">
        <f t="shared" ref="AH26:AH31" si="318">W26/(Z26+AA26+X26+AB26+AC26)</f>
        <v>#DIV/0!</v>
      </c>
      <c r="AI26" s="53"/>
      <c r="AJ26" s="235" t="s">
        <v>153</v>
      </c>
      <c r="AK26" s="237">
        <f t="shared" ref="AK26:AM26" si="319">SUM(AK19:AK23)</f>
        <v>0</v>
      </c>
      <c r="AL26" s="237">
        <f t="shared" si="319"/>
        <v>0</v>
      </c>
      <c r="AM26" s="237">
        <f t="shared" si="319"/>
        <v>0</v>
      </c>
      <c r="AN26" s="236" t="e">
        <f>(AP26/AM26)/AZ1</f>
        <v>#DIV/0!</v>
      </c>
      <c r="AO26" s="237">
        <f t="shared" ref="AO26:AU26" si="320">SUM(AO19:AO23)</f>
        <v>1445</v>
      </c>
      <c r="AP26" s="237">
        <f t="shared" si="320"/>
        <v>668</v>
      </c>
      <c r="AQ26" s="237">
        <f t="shared" si="320"/>
        <v>230944</v>
      </c>
      <c r="AR26" s="237">
        <f t="shared" si="320"/>
        <v>340895</v>
      </c>
      <c r="AS26" s="237">
        <f t="shared" si="320"/>
        <v>279093.68</v>
      </c>
      <c r="AT26" s="237">
        <f t="shared" si="320"/>
        <v>963093</v>
      </c>
      <c r="AU26" s="237">
        <f t="shared" si="320"/>
        <v>882768.72</v>
      </c>
      <c r="AV26" s="286">
        <f t="shared" ref="AV26:AV31" si="321">AT26-AU26</f>
        <v>80324.28</v>
      </c>
      <c r="AW26" s="237">
        <f t="shared" ref="AW26:BF26" si="322">SUM(AW19:AW23)</f>
        <v>274839</v>
      </c>
      <c r="AX26" s="237">
        <f t="shared" si="322"/>
        <v>274839</v>
      </c>
      <c r="AY26" s="237">
        <f t="shared" si="322"/>
        <v>209486.92</v>
      </c>
      <c r="AZ26" s="237">
        <f t="shared" si="322"/>
        <v>3625</v>
      </c>
      <c r="BA26" s="237">
        <f t="shared" si="322"/>
        <v>2957</v>
      </c>
      <c r="BB26" s="237">
        <f t="shared" si="322"/>
        <v>2976104</v>
      </c>
      <c r="BC26" s="237">
        <f t="shared" si="322"/>
        <v>2767258.39</v>
      </c>
      <c r="BD26" s="237">
        <f t="shared" si="322"/>
        <v>208845.61</v>
      </c>
      <c r="BE26" s="236">
        <f t="shared" si="322"/>
        <v>40466</v>
      </c>
      <c r="BF26" s="237">
        <f t="shared" si="322"/>
        <v>150003.17</v>
      </c>
      <c r="BG26" s="237">
        <f>BB26*5.5%</f>
        <v>163685.72</v>
      </c>
      <c r="BH26" s="238">
        <f t="shared" ref="BH26:BH31" si="323">IF(BF26&gt;0,BF26*20%,0)</f>
        <v>30000.634</v>
      </c>
      <c r="BI26" s="236">
        <f>SUM(BI19:BI23)</f>
        <v>0</v>
      </c>
      <c r="BJ26" s="236">
        <f>SUM(BJ19:BJ23)</f>
        <v>0</v>
      </c>
      <c r="BK26" s="237">
        <f>BD26-BE26-BG26-BH26-BI26-BJ26</f>
        <v>-25306.7440000001</v>
      </c>
      <c r="BL26" s="238">
        <f t="shared" ref="BL26:BL31" si="324">AR26/AP26</f>
        <v>510.321856287425</v>
      </c>
      <c r="BM26" s="237">
        <f t="shared" ref="BM26:BM31" si="325">BB26/AZ26</f>
        <v>820.994206896552</v>
      </c>
      <c r="BN26" s="239">
        <f t="shared" ref="BN26:BN31" si="326">AR26/(BG26+BH26+BE26+BI26)</f>
        <v>1.45586834459072</v>
      </c>
      <c r="BO26" s="240">
        <f t="shared" ref="BO26:BO31" si="327">BD26/(BG26+BH26+BE26+BI26+BJ26)</f>
        <v>0.891921889454931</v>
      </c>
      <c r="BP26" s="53"/>
      <c r="BQ26" s="235" t="s">
        <v>153</v>
      </c>
      <c r="BR26" s="237">
        <f t="shared" ref="BR26:BT26" si="328">SUM(BR19:BR23)</f>
        <v>3</v>
      </c>
      <c r="BS26" s="237">
        <f t="shared" si="328"/>
        <v>1</v>
      </c>
      <c r="BT26" s="237">
        <f t="shared" si="328"/>
        <v>38</v>
      </c>
      <c r="BU26" s="236">
        <f>(BW26/BT26)/CI1</f>
        <v>0.538200339558574</v>
      </c>
      <c r="BV26" s="237">
        <f t="shared" ref="BV26:CB26" si="329">SUM(BV19:BV23)</f>
        <v>1586</v>
      </c>
      <c r="BW26" s="237">
        <f t="shared" si="329"/>
        <v>634</v>
      </c>
      <c r="BX26" s="237">
        <f t="shared" si="329"/>
        <v>167547</v>
      </c>
      <c r="BY26" s="237">
        <f t="shared" si="329"/>
        <v>300120</v>
      </c>
      <c r="BZ26" s="237">
        <f t="shared" si="329"/>
        <v>254319</v>
      </c>
      <c r="CA26" s="237">
        <f t="shared" si="329"/>
        <v>1906420</v>
      </c>
      <c r="CB26" s="237">
        <f t="shared" si="329"/>
        <v>2069556.72</v>
      </c>
      <c r="CC26" s="286">
        <f>CA26-CB26</f>
        <v>-163136.72</v>
      </c>
      <c r="CD26" s="237">
        <f t="shared" ref="CD26:CM26" si="330">SUM(CD19:CD23)</f>
        <v>515</v>
      </c>
      <c r="CE26" s="237">
        <f t="shared" si="330"/>
        <v>256100</v>
      </c>
      <c r="CF26" s="237">
        <f t="shared" si="330"/>
        <v>217571</v>
      </c>
      <c r="CG26" s="237">
        <f t="shared" si="330"/>
        <v>4981</v>
      </c>
      <c r="CH26" s="237">
        <f t="shared" si="330"/>
        <v>4295</v>
      </c>
      <c r="CI26" s="237">
        <f t="shared" si="330"/>
        <v>6861620</v>
      </c>
      <c r="CJ26" s="237">
        <f t="shared" si="330"/>
        <v>6724433</v>
      </c>
      <c r="CK26" s="237">
        <f t="shared" si="330"/>
        <v>137187</v>
      </c>
      <c r="CL26" s="236">
        <f t="shared" si="330"/>
        <v>30516</v>
      </c>
      <c r="CM26" s="237">
        <f t="shared" si="330"/>
        <v>-4655.47</v>
      </c>
      <c r="CN26" s="237">
        <f>CI26*5.5%</f>
        <v>377389.1</v>
      </c>
      <c r="CO26" s="238">
        <f t="shared" ref="CO26:CO31" si="331">IF(CM26&gt;0,CM26*20%,0)</f>
        <v>0</v>
      </c>
      <c r="CP26" s="236">
        <f>SUM(CP19:CP23)</f>
        <v>0</v>
      </c>
      <c r="CQ26" s="236">
        <f>SUM(CQ19:CQ23)</f>
        <v>0</v>
      </c>
      <c r="CR26" s="237">
        <f>CK26-CL26-CN26-CO26-CP26-CQ26</f>
        <v>-270718.1</v>
      </c>
      <c r="CS26" s="238">
        <f t="shared" ref="CS26:CS31" si="332">BY26/BW26</f>
        <v>473.375394321767</v>
      </c>
      <c r="CT26" s="237">
        <f t="shared" ref="CT26:CT31" si="333">CI26/CG26</f>
        <v>1377.55872314796</v>
      </c>
      <c r="CU26" s="239">
        <f t="shared" ref="CU26:CU31" si="334">BY26/(CN26+CO26+CL26+CP26)</f>
        <v>0.735759371481259</v>
      </c>
      <c r="CV26" s="240">
        <f t="shared" ref="CV26:CV31" si="335">CK26/(CN26+CO26+CL26+CP26+CQ26)</f>
        <v>0.336320874634811</v>
      </c>
      <c r="CW26" s="53"/>
      <c r="CX26" s="235" t="s">
        <v>153</v>
      </c>
      <c r="CY26" s="237">
        <f t="shared" ref="CY26:DA26" si="336">SUM(CY19:CY23)</f>
        <v>3</v>
      </c>
      <c r="CZ26" s="237">
        <f t="shared" si="336"/>
        <v>1</v>
      </c>
      <c r="DA26" s="237">
        <f t="shared" si="336"/>
        <v>32</v>
      </c>
      <c r="DB26" s="236">
        <f>(DD26/DA26)/DP1</f>
        <v>0.577083333333333</v>
      </c>
      <c r="DC26" s="237">
        <f t="shared" ref="DC26:DI26" si="337">SUM(DC19:DC23)</f>
        <v>1528</v>
      </c>
      <c r="DD26" s="237">
        <f t="shared" si="337"/>
        <v>554</v>
      </c>
      <c r="DE26" s="237">
        <f t="shared" si="337"/>
        <v>146262</v>
      </c>
      <c r="DF26" s="237">
        <f t="shared" si="337"/>
        <v>225174</v>
      </c>
      <c r="DG26" s="237">
        <f t="shared" si="337"/>
        <v>184102</v>
      </c>
      <c r="DH26" s="237">
        <f t="shared" si="337"/>
        <v>898576</v>
      </c>
      <c r="DI26" s="237">
        <f t="shared" si="337"/>
        <v>876135</v>
      </c>
      <c r="DJ26" s="286">
        <f t="shared" ref="DJ26:DJ31" si="338">DH26-DI26</f>
        <v>22441</v>
      </c>
      <c r="DK26" s="237">
        <f t="shared" ref="DK26:DT26" si="339">SUM(DK19:DK23)</f>
        <v>420</v>
      </c>
      <c r="DL26" s="237">
        <f t="shared" si="339"/>
        <v>179984</v>
      </c>
      <c r="DM26" s="237">
        <f t="shared" si="339"/>
        <v>144373</v>
      </c>
      <c r="DN26" s="237">
        <f t="shared" si="339"/>
        <v>4339</v>
      </c>
      <c r="DO26" s="237">
        <f t="shared" si="339"/>
        <v>3785</v>
      </c>
      <c r="DP26" s="237">
        <f t="shared" si="339"/>
        <v>4437556</v>
      </c>
      <c r="DQ26" s="237">
        <f t="shared" si="339"/>
        <v>3887440</v>
      </c>
      <c r="DR26" s="237">
        <f t="shared" si="339"/>
        <v>550116</v>
      </c>
      <c r="DS26" s="236">
        <f t="shared" si="339"/>
        <v>16664</v>
      </c>
      <c r="DT26" s="237">
        <f t="shared" si="339"/>
        <v>518985.9</v>
      </c>
      <c r="DU26" s="237">
        <f>DP26*5.5%</f>
        <v>244065.58</v>
      </c>
      <c r="DV26" s="238">
        <f t="shared" ref="DV26:DV31" si="340">IF(DT26&gt;0,DT26*20%,0)</f>
        <v>103797.18</v>
      </c>
      <c r="DW26" s="236">
        <f>SUM(DW19:DW23)</f>
        <v>0</v>
      </c>
      <c r="DX26" s="236">
        <f>SUM(DX19:DX23)</f>
        <v>0</v>
      </c>
      <c r="DY26" s="237">
        <f>DR26-DS26-DU26-DV26-DW26-DX26</f>
        <v>185589.24</v>
      </c>
      <c r="DZ26" s="238">
        <f t="shared" ref="DZ26:DZ31" si="341">DF26/DD26</f>
        <v>406.451263537906</v>
      </c>
      <c r="EA26" s="237">
        <f t="shared" ref="EA26:EA31" si="342">DP26/DN26</f>
        <v>1022.71398939848</v>
      </c>
      <c r="EB26" s="239">
        <f t="shared" ref="EB26:EB31" si="343">DF26/(DU26+DV26+DS26+DW26)</f>
        <v>0.617715966860705</v>
      </c>
      <c r="EC26" s="240">
        <f t="shared" ref="EC26:EC31" si="344">DR26/(DU26+DV26+DS26+DW26+DX26)</f>
        <v>1.50912377461671</v>
      </c>
      <c r="ED26" s="53"/>
      <c r="EE26" s="235" t="s">
        <v>153</v>
      </c>
      <c r="EF26" s="236">
        <f>SUM(EF19:EF23)</f>
        <v>2</v>
      </c>
      <c r="EG26" s="236">
        <f>SUM(EG19:EG23)</f>
        <v>1</v>
      </c>
      <c r="EH26" s="236">
        <f>SUM(EH19:EH23)</f>
        <v>57</v>
      </c>
      <c r="EI26" s="236">
        <f>(EK26/EH26)/EW1</f>
        <v>0.5461233729485</v>
      </c>
      <c r="EJ26" s="236">
        <f t="shared" ref="EJ26:EN26" si="345">SUM(EJ19:EJ23)</f>
        <v>2644</v>
      </c>
      <c r="EK26" s="236">
        <f t="shared" si="345"/>
        <v>965</v>
      </c>
      <c r="EL26" s="236">
        <f t="shared" si="345"/>
        <v>240237</v>
      </c>
      <c r="EM26" s="236">
        <f t="shared" si="345"/>
        <v>368902</v>
      </c>
      <c r="EN26" s="236">
        <f t="shared" si="345"/>
        <v>294009</v>
      </c>
      <c r="EO26" s="236">
        <v>32</v>
      </c>
      <c r="EP26" s="236">
        <f t="shared" ref="EP26:FA26" si="346">SUM(EP19:EP23)</f>
        <v>3492956.59</v>
      </c>
      <c r="EQ26" s="236">
        <f>EO26-EP26</f>
        <v>-3492924.59</v>
      </c>
      <c r="ER26" s="236">
        <f t="shared" si="346"/>
        <v>736</v>
      </c>
      <c r="ES26" s="236">
        <f t="shared" si="346"/>
        <v>291567</v>
      </c>
      <c r="ET26" s="236">
        <f t="shared" si="346"/>
        <v>206887</v>
      </c>
      <c r="EU26" s="236">
        <f t="shared" si="346"/>
        <v>5772</v>
      </c>
      <c r="EV26" s="236">
        <f t="shared" si="346"/>
        <v>4807</v>
      </c>
      <c r="EW26" s="236">
        <f t="shared" si="346"/>
        <v>7048658</v>
      </c>
      <c r="EX26" s="236">
        <f t="shared" si="346"/>
        <v>7291791</v>
      </c>
      <c r="EY26" s="236">
        <f t="shared" si="346"/>
        <v>-243133</v>
      </c>
      <c r="EZ26" s="236">
        <f t="shared" si="346"/>
        <v>73922</v>
      </c>
      <c r="FA26" s="236">
        <f t="shared" si="346"/>
        <v>-482689.93</v>
      </c>
      <c r="FB26" s="237">
        <f>EW26*5.5%</f>
        <v>387676.19</v>
      </c>
      <c r="FC26" s="238">
        <f>IF(FA26&gt;0,FA26*20%,0)</f>
        <v>0</v>
      </c>
      <c r="FD26" s="236">
        <f>SUM(FD19:FD23)</f>
        <v>491846</v>
      </c>
      <c r="FE26" s="236">
        <f>SUM(FE19:FE23)</f>
        <v>114173</v>
      </c>
      <c r="FF26" s="237">
        <f>EY26-EZ26-FB26-FC26-FD26-FE26</f>
        <v>-1310750.19</v>
      </c>
      <c r="FG26" s="238">
        <f>EM26/EK26</f>
        <v>382.281865284974</v>
      </c>
      <c r="FH26" s="237">
        <f>EW26/EU26</f>
        <v>1221.18121968122</v>
      </c>
      <c r="FI26" s="239">
        <f>EM26/(FB26+FC26+EZ26+FD26)</f>
        <v>0.386915148122094</v>
      </c>
      <c r="FJ26" s="240">
        <f>EY26/(FB26+FC26+EZ26+FD26+FE26)</f>
        <v>-0.227734249951521</v>
      </c>
      <c r="FK26" s="53"/>
      <c r="FL26" s="53"/>
      <c r="FM26" s="53"/>
      <c r="FN26" s="235" t="s">
        <v>153</v>
      </c>
      <c r="FO26" s="236">
        <f>SUM(FO19:FO23)</f>
        <v>2</v>
      </c>
      <c r="FP26" s="236">
        <f>SUM(FP19:FP23)</f>
        <v>1</v>
      </c>
      <c r="FQ26" s="236">
        <f>SUM(FQ19:FQ23)</f>
        <v>95</v>
      </c>
      <c r="FR26" s="236">
        <f>(FT26/FQ26)/GF1</f>
        <v>0.263533834586466</v>
      </c>
      <c r="FS26" s="236">
        <f t="shared" ref="FS26:FY26" si="347">SUM(FS19:FS23)</f>
        <v>2231</v>
      </c>
      <c r="FT26" s="236">
        <f t="shared" si="347"/>
        <v>701</v>
      </c>
      <c r="FU26" s="236">
        <f t="shared" si="347"/>
        <v>178217</v>
      </c>
      <c r="FV26" s="236">
        <f t="shared" si="347"/>
        <v>272165</v>
      </c>
      <c r="FW26" s="236">
        <f t="shared" si="347"/>
        <v>186981.22</v>
      </c>
      <c r="FX26" s="236">
        <f t="shared" si="347"/>
        <v>4712311</v>
      </c>
      <c r="FY26" s="236">
        <f t="shared" si="347"/>
        <v>4984067.14</v>
      </c>
      <c r="FZ26" s="236">
        <f>FX26-FY26</f>
        <v>-271756.14</v>
      </c>
      <c r="GA26" s="236">
        <f t="shared" ref="GA26:GJ26" si="348">SUM(GA19:GA23)</f>
        <v>499</v>
      </c>
      <c r="GB26" s="236">
        <f t="shared" si="348"/>
        <v>184814</v>
      </c>
      <c r="GC26" s="236">
        <f t="shared" si="348"/>
        <v>127155</v>
      </c>
      <c r="GD26" s="236">
        <f t="shared" si="348"/>
        <v>4407</v>
      </c>
      <c r="GE26" s="236">
        <f t="shared" si="348"/>
        <v>3706</v>
      </c>
      <c r="GF26" s="236">
        <f t="shared" si="348"/>
        <v>8040757</v>
      </c>
      <c r="GG26" s="236">
        <f t="shared" si="348"/>
        <v>7686914.14</v>
      </c>
      <c r="GH26" s="236">
        <f t="shared" si="348"/>
        <v>353842.86</v>
      </c>
      <c r="GI26" s="236">
        <f t="shared" si="348"/>
        <v>43663.56</v>
      </c>
      <c r="GJ26" s="236">
        <f t="shared" si="348"/>
        <v>287003.36</v>
      </c>
      <c r="GK26" s="237">
        <f>GF26*5.5%</f>
        <v>442241.635</v>
      </c>
      <c r="GL26" s="238">
        <f>GJ26*20%</f>
        <v>57400.672</v>
      </c>
      <c r="GM26" s="236">
        <f>SUM(GM19:GM23)</f>
        <v>444248</v>
      </c>
      <c r="GN26" s="236">
        <f>SUM(GN19:GN23)</f>
        <v>103124</v>
      </c>
      <c r="GO26" s="237">
        <f>GH26-GI26-GK26-GL26-GM26-GN26</f>
        <v>-736835.007</v>
      </c>
      <c r="GP26" s="238">
        <f>FV26/FT26</f>
        <v>388.252496433666</v>
      </c>
      <c r="GQ26" s="237">
        <f>GF26/GD26</f>
        <v>1824.54209212616</v>
      </c>
      <c r="GR26" s="239">
        <f t="shared" ref="GR26:GR31" si="349">FV26/(GK26+GL26+GI26+GM26)</f>
        <v>0.275595093183914</v>
      </c>
      <c r="GS26" s="240">
        <f t="shared" ref="GS26:GS31" si="350">GH26/(GK26+GL26+GI26+GM26+GN26)</f>
        <v>0.324424718522321</v>
      </c>
      <c r="GT26" s="53"/>
      <c r="GU26" s="53"/>
      <c r="GV26" s="235" t="s">
        <v>153</v>
      </c>
      <c r="GW26" s="236">
        <f t="shared" ref="GW26:GY26" si="351">SUM(GW19:GW23)</f>
        <v>3</v>
      </c>
      <c r="GX26" s="236">
        <f t="shared" si="351"/>
        <v>0</v>
      </c>
      <c r="GY26" s="236">
        <f t="shared" si="351"/>
        <v>27</v>
      </c>
      <c r="GZ26" s="236">
        <f>(HB26/GY26)/HL1</f>
        <v>0.866188769414576</v>
      </c>
      <c r="HA26" s="236">
        <f t="shared" ref="HA26:HG26" si="352">SUM(HA19:HA23)</f>
        <v>2352</v>
      </c>
      <c r="HB26" s="236">
        <f t="shared" si="352"/>
        <v>725</v>
      </c>
      <c r="HC26" s="236">
        <f t="shared" si="352"/>
        <v>244963.77</v>
      </c>
      <c r="HD26" s="236">
        <f t="shared" si="352"/>
        <v>492891.47</v>
      </c>
      <c r="HE26" s="236">
        <f t="shared" si="352"/>
        <v>237707</v>
      </c>
      <c r="HF26" s="236">
        <f t="shared" si="352"/>
        <v>2943183.47</v>
      </c>
      <c r="HG26" s="236">
        <f t="shared" si="352"/>
        <v>2920899</v>
      </c>
      <c r="HH26" s="236">
        <f>HF26-HG26</f>
        <v>22284.4699999997</v>
      </c>
      <c r="HI26" s="236">
        <f t="shared" ref="HI26:HR26" si="353">SUM(HI19:HI23)</f>
        <v>539</v>
      </c>
      <c r="HJ26" s="236">
        <f t="shared" si="353"/>
        <v>350202</v>
      </c>
      <c r="HK26" s="236">
        <f t="shared" si="353"/>
        <v>160973</v>
      </c>
      <c r="HL26" s="236">
        <f t="shared" si="353"/>
        <v>5449</v>
      </c>
      <c r="HM26" s="236">
        <f t="shared" si="353"/>
        <v>4724</v>
      </c>
      <c r="HN26" s="236">
        <f t="shared" si="353"/>
        <v>6092793.47</v>
      </c>
      <c r="HO26" s="236">
        <f t="shared" si="353"/>
        <v>5818984.2443</v>
      </c>
      <c r="HP26" s="236">
        <f t="shared" si="353"/>
        <v>273809.2257</v>
      </c>
      <c r="HQ26" s="236">
        <f t="shared" si="353"/>
        <v>23167</v>
      </c>
      <c r="HR26" s="236">
        <f t="shared" si="353"/>
        <v>-115649.61</v>
      </c>
      <c r="HS26" s="237">
        <f>HN26*5.5%</f>
        <v>335103.64085</v>
      </c>
      <c r="HT26" s="238">
        <f>HR26*20%</f>
        <v>-23129.922</v>
      </c>
      <c r="HU26" s="236">
        <f>SUM(HU19:HU23)</f>
        <v>639866</v>
      </c>
      <c r="HV26" s="236">
        <f>SUM(HV19:HV23)</f>
        <v>0</v>
      </c>
      <c r="HW26" s="237">
        <f>HP26-HQ26-HS26-HT26-HU26-HV26</f>
        <v>-701197.49315</v>
      </c>
      <c r="HX26" s="238">
        <f>HD26/HB26</f>
        <v>679.850303448276</v>
      </c>
      <c r="HY26" s="237">
        <f>HN26/HL26</f>
        <v>1118.14892090292</v>
      </c>
      <c r="HZ26" s="239">
        <f t="shared" ref="HZ26:HZ31" si="354">HD26/(HS26+HT26+HQ26+HU26)</f>
        <v>0.505526229174457</v>
      </c>
      <c r="IA26" s="240">
        <f t="shared" ref="IA26:IA31" si="355">HP26/(HS26+HT26+HQ26+HU26+HV26)</f>
        <v>0.280828039854897</v>
      </c>
      <c r="IB26" s="53"/>
      <c r="IC26" s="53"/>
      <c r="ID26" s="235" t="s">
        <v>153</v>
      </c>
      <c r="IE26" s="236">
        <f>SUM(IE19:IE23)</f>
        <v>3</v>
      </c>
      <c r="IF26" s="236">
        <f>SUM(IF19:IF23)</f>
        <v>0</v>
      </c>
      <c r="IG26" s="236">
        <f>SUM(IG19:IG23)</f>
        <v>101</v>
      </c>
      <c r="IH26" s="236">
        <f>(IJ26/IG26)/IT1</f>
        <v>0.181411689556052</v>
      </c>
      <c r="II26" s="236">
        <f t="shared" ref="II26:IO26" si="356">SUM(II19:II23)</f>
        <v>2217</v>
      </c>
      <c r="IJ26" s="236">
        <f t="shared" si="356"/>
        <v>568</v>
      </c>
      <c r="IK26" s="236">
        <f t="shared" si="356"/>
        <v>151378</v>
      </c>
      <c r="IL26" s="236">
        <f t="shared" si="356"/>
        <v>220878</v>
      </c>
      <c r="IM26" s="236">
        <f t="shared" si="356"/>
        <v>182898</v>
      </c>
      <c r="IN26" s="236">
        <f t="shared" si="356"/>
        <v>730883</v>
      </c>
      <c r="IO26" s="236">
        <f t="shared" si="356"/>
        <v>625871.56</v>
      </c>
      <c r="IP26" s="236">
        <f>IN26-IO26</f>
        <v>105011.44</v>
      </c>
      <c r="IQ26" s="236">
        <f t="shared" ref="IQ26:IZ26" si="357">SUM(IQ19:IQ23)</f>
        <v>432</v>
      </c>
      <c r="IR26" s="236">
        <f t="shared" si="357"/>
        <v>172187</v>
      </c>
      <c r="IS26" s="236">
        <f t="shared" si="357"/>
        <v>121845</v>
      </c>
      <c r="IT26" s="236">
        <f t="shared" si="357"/>
        <v>4123</v>
      </c>
      <c r="IU26" s="236">
        <f t="shared" si="357"/>
        <v>3555</v>
      </c>
      <c r="IV26" s="236">
        <f t="shared" si="357"/>
        <v>4050262</v>
      </c>
      <c r="IW26" s="236">
        <f t="shared" si="357"/>
        <v>3133780</v>
      </c>
      <c r="IX26" s="236">
        <f t="shared" si="357"/>
        <v>916482</v>
      </c>
      <c r="IY26" s="236">
        <f t="shared" si="357"/>
        <v>20999.8</v>
      </c>
      <c r="IZ26" s="236">
        <f t="shared" si="357"/>
        <v>826238.9</v>
      </c>
      <c r="JA26" s="237">
        <f>IV26*5.5%</f>
        <v>222764.41</v>
      </c>
      <c r="JB26" s="238">
        <f>IZ26*20%</f>
        <v>165247.78</v>
      </c>
      <c r="JC26" s="236">
        <f>SUM(JC19:JC23)</f>
        <v>342519</v>
      </c>
      <c r="JD26" s="236">
        <f>SUM(JD19:JD23)</f>
        <v>0</v>
      </c>
      <c r="JE26" s="237">
        <f>IX26-IY26-JA26-JB26-JC26</f>
        <v>164951.01</v>
      </c>
      <c r="JF26" s="238">
        <f t="shared" ref="JF26:JF31" si="358">IL26/IJ26</f>
        <v>388.869718309859</v>
      </c>
      <c r="JG26" s="237">
        <f t="shared" ref="JG26:JG31" si="359">IV26/IT26</f>
        <v>982.357991753577</v>
      </c>
      <c r="JH26" s="239">
        <f t="shared" ref="JH26:JH31" si="360">IL26/(JA26+JB26+IY26+JC26)</f>
        <v>0.293904047789167</v>
      </c>
      <c r="JI26" s="240">
        <f t="shared" ref="JI26:JI31" si="361">IX26/(JA26+JB26+IY26+JC26)</f>
        <v>1.21948663753706</v>
      </c>
      <c r="JJ26" s="53"/>
      <c r="JK26" s="53"/>
      <c r="JL26" s="235" t="s">
        <v>153</v>
      </c>
      <c r="JM26" s="236">
        <f>SUM(JM19:JM23)</f>
        <v>3</v>
      </c>
      <c r="JN26" s="236">
        <f>SUM(JN19:JN23)</f>
        <v>112</v>
      </c>
      <c r="JO26" s="236"/>
      <c r="JP26" s="236"/>
      <c r="JQ26" s="236">
        <f t="shared" ref="JQ26:JW26" si="362">SUM(JQ19:JQ23)</f>
        <v>3249</v>
      </c>
      <c r="JR26" s="236">
        <f t="shared" si="362"/>
        <v>1764</v>
      </c>
      <c r="JS26" s="236">
        <f t="shared" si="362"/>
        <v>509255</v>
      </c>
      <c r="JT26" s="236">
        <f t="shared" si="362"/>
        <v>583642</v>
      </c>
      <c r="JU26" s="236">
        <f t="shared" si="362"/>
        <v>378712</v>
      </c>
      <c r="JV26" s="236">
        <f t="shared" si="362"/>
        <v>1009942</v>
      </c>
      <c r="JW26" s="236">
        <f t="shared" si="362"/>
        <v>1187769.83</v>
      </c>
      <c r="JX26" s="236"/>
      <c r="JY26" s="236">
        <f t="shared" ref="JY26:KH26" si="363">SUM(JY19:JY23)</f>
        <v>1659</v>
      </c>
      <c r="JZ26" s="236">
        <f t="shared" si="363"/>
        <v>543736</v>
      </c>
      <c r="KA26" s="236">
        <f t="shared" si="363"/>
        <v>348065</v>
      </c>
      <c r="KB26" s="236">
        <f t="shared" si="363"/>
        <v>5056</v>
      </c>
      <c r="KC26" s="236">
        <f t="shared" si="363"/>
        <v>3292</v>
      </c>
      <c r="KD26" s="236">
        <f t="shared" si="363"/>
        <v>4066708</v>
      </c>
      <c r="KE26" s="236">
        <f t="shared" si="363"/>
        <v>3921454</v>
      </c>
      <c r="KF26" s="236">
        <f t="shared" si="363"/>
        <v>145254</v>
      </c>
      <c r="KG26" s="236">
        <f t="shared" si="363"/>
        <v>38000</v>
      </c>
      <c r="KH26" s="236">
        <f t="shared" si="363"/>
        <v>-121904.82</v>
      </c>
      <c r="KI26" s="237">
        <f>KD26*3.5%</f>
        <v>142334.78</v>
      </c>
      <c r="KJ26" s="238">
        <f>KH26*10%</f>
        <v>-12190.482</v>
      </c>
      <c r="KK26" s="236">
        <f>SUM(KK19:KK23)</f>
        <v>331470</v>
      </c>
      <c r="KL26" s="236"/>
      <c r="KM26" s="237">
        <f>KF26-KG26-KI26-KJ26-KK26</f>
        <v>-354360.298</v>
      </c>
      <c r="KN26" s="238">
        <f t="shared" ref="KN26:KN31" si="364">JT26/JR26</f>
        <v>330.862811791383</v>
      </c>
      <c r="KO26" s="237">
        <f t="shared" ref="KO26:KO31" si="365">KD26/KB26</f>
        <v>804.333069620253</v>
      </c>
      <c r="KP26" s="239">
        <f t="shared" ref="KP26:KP31" si="366">JT26/(KI26+KJ26+KG26+KK26)</f>
        <v>1.16818514269181</v>
      </c>
      <c r="KQ26" s="240">
        <f t="shared" ref="KQ26:KQ31" si="367">KF26/(KI26+KJ26+KG26+KK26)</f>
        <v>0.290732272037579</v>
      </c>
      <c r="KR26" s="53"/>
      <c r="KS26" s="53"/>
      <c r="KT26" s="287" t="s">
        <v>153</v>
      </c>
      <c r="KU26" s="288">
        <v>5</v>
      </c>
      <c r="KV26" s="288"/>
      <c r="KW26" s="288">
        <v>351</v>
      </c>
      <c r="KX26" s="288"/>
      <c r="KY26" s="288">
        <v>3332</v>
      </c>
      <c r="KZ26" s="288">
        <v>1090</v>
      </c>
      <c r="LA26" s="288">
        <v>284337</v>
      </c>
      <c r="LB26" s="288">
        <v>456323</v>
      </c>
      <c r="LC26" s="288">
        <v>321790</v>
      </c>
      <c r="LD26" s="288">
        <v>1428669</v>
      </c>
      <c r="LE26" s="288">
        <v>1250793.33</v>
      </c>
      <c r="LF26" s="288"/>
      <c r="LG26" s="288">
        <v>811</v>
      </c>
      <c r="LH26" s="288">
        <v>312138</v>
      </c>
      <c r="LI26" s="288">
        <v>269377</v>
      </c>
      <c r="LJ26" s="288">
        <v>4858</v>
      </c>
      <c r="LK26" s="288">
        <v>3768</v>
      </c>
      <c r="LL26" s="288">
        <v>4087925</v>
      </c>
      <c r="LM26" s="288">
        <v>3274091</v>
      </c>
      <c r="LN26" s="288">
        <v>813834</v>
      </c>
      <c r="LO26" s="289">
        <v>12999.82</v>
      </c>
      <c r="LP26" s="289">
        <v>613172.51</v>
      </c>
      <c r="LQ26" s="288">
        <v>143077.375</v>
      </c>
      <c r="LR26" s="288">
        <v>61317.251</v>
      </c>
      <c r="LS26" s="289">
        <v>570865</v>
      </c>
      <c r="LT26" s="289"/>
      <c r="LU26" s="288">
        <v>25574.554</v>
      </c>
      <c r="LV26" s="290">
        <v>418.64495412844</v>
      </c>
      <c r="LW26" s="288">
        <v>841.483120625772</v>
      </c>
      <c r="LX26" s="291">
        <v>0.578899501066049</v>
      </c>
      <c r="LY26" s="292">
        <v>1.03244433559252</v>
      </c>
      <c r="LZ26" s="269"/>
      <c r="MA26" s="192"/>
      <c r="MB26" s="287" t="s">
        <v>153</v>
      </c>
      <c r="MC26" s="288">
        <f>SUM(MC19:MC23)</f>
        <v>6</v>
      </c>
      <c r="MD26" s="288"/>
      <c r="ME26" s="288">
        <f>SUM(ME19:ME23)</f>
        <v>227</v>
      </c>
      <c r="MF26" s="288"/>
      <c r="MG26" s="288">
        <f t="shared" ref="MG26:MM26" si="368">SUM(MG19:MG23)</f>
        <v>2201</v>
      </c>
      <c r="MH26" s="288">
        <f t="shared" si="368"/>
        <v>634</v>
      </c>
      <c r="MI26" s="288">
        <f t="shared" si="368"/>
        <v>170162</v>
      </c>
      <c r="MJ26" s="288">
        <f t="shared" si="368"/>
        <v>264405</v>
      </c>
      <c r="MK26" s="288">
        <f t="shared" si="368"/>
        <v>146089</v>
      </c>
      <c r="ML26" s="288">
        <f t="shared" si="368"/>
        <v>744859</v>
      </c>
      <c r="MM26" s="288">
        <f t="shared" si="368"/>
        <v>599406</v>
      </c>
      <c r="MN26" s="288"/>
      <c r="MO26" s="288">
        <f t="shared" ref="MO26:MX26" si="369">SUM(MO19:MO23)</f>
        <v>482</v>
      </c>
      <c r="MP26" s="288">
        <f t="shared" si="369"/>
        <v>199854</v>
      </c>
      <c r="MQ26" s="288">
        <f t="shared" si="369"/>
        <v>110878</v>
      </c>
      <c r="MR26" s="288">
        <f t="shared" si="369"/>
        <v>3631</v>
      </c>
      <c r="MS26" s="288">
        <f t="shared" si="369"/>
        <v>2997</v>
      </c>
      <c r="MT26" s="288">
        <f t="shared" si="369"/>
        <v>3113478</v>
      </c>
      <c r="MU26" s="288">
        <f t="shared" si="369"/>
        <v>2492366</v>
      </c>
      <c r="MV26" s="288">
        <f t="shared" si="369"/>
        <v>621112</v>
      </c>
      <c r="MW26" s="289">
        <f t="shared" si="369"/>
        <v>12000</v>
      </c>
      <c r="MX26" s="289">
        <f t="shared" si="369"/>
        <v>490014.88</v>
      </c>
      <c r="MY26" s="288">
        <f>MT26*5.5%</f>
        <v>171241.29</v>
      </c>
      <c r="MZ26" s="288">
        <f t="shared" ref="MZ26:MZ31" si="370">MX26*20%</f>
        <v>98002.976</v>
      </c>
      <c r="NA26" s="289">
        <f>SUM(NA19:NA23)</f>
        <v>1064387</v>
      </c>
      <c r="NB26" s="288">
        <f>MV26-MW26-MY26-MZ26-NA26</f>
        <v>-724519.266</v>
      </c>
      <c r="NC26" s="290"/>
      <c r="ND26" s="290">
        <f t="shared" ref="ND26:ND31" si="371">MJ26/MH26</f>
        <v>417.042586750789</v>
      </c>
      <c r="NE26" s="288">
        <f t="shared" ref="NE26:NE31" si="372">MT26/MR26</f>
        <v>857.471220049573</v>
      </c>
      <c r="NF26" s="291">
        <f t="shared" ref="NF26:NF31" si="373">MJ26/(MY26+MZ26+MW26+NA26)</f>
        <v>0.19649142129847</v>
      </c>
      <c r="NG26" s="292">
        <f t="shared" ref="NG26:NG31" si="374">MV26/(MY26+MZ26+MW26+NA26)</f>
        <v>0.461576670885708</v>
      </c>
      <c r="NH26" s="53"/>
      <c r="NI26" s="53"/>
      <c r="NJ26" s="287" t="s">
        <v>153</v>
      </c>
      <c r="NK26" s="288">
        <f>SUM(NK19:NK23)</f>
        <v>8</v>
      </c>
      <c r="NL26" s="288"/>
      <c r="NM26" s="288">
        <f>SUM(NM19:NM23)</f>
        <v>196</v>
      </c>
      <c r="NN26" s="288"/>
      <c r="NO26" s="288">
        <f t="shared" ref="NO26:NU26" si="375">SUM(NO19:NO23)</f>
        <v>3228</v>
      </c>
      <c r="NP26" s="288">
        <f t="shared" si="375"/>
        <v>1281</v>
      </c>
      <c r="NQ26" s="288">
        <f t="shared" si="375"/>
        <v>334581</v>
      </c>
      <c r="NR26" s="288">
        <f t="shared" si="375"/>
        <v>479331</v>
      </c>
      <c r="NS26" s="288">
        <f t="shared" si="375"/>
        <v>265822.71</v>
      </c>
      <c r="NT26" s="288">
        <f t="shared" si="375"/>
        <v>1338557</v>
      </c>
      <c r="NU26" s="288">
        <f t="shared" si="375"/>
        <v>1071162.71</v>
      </c>
      <c r="NV26" s="288"/>
      <c r="NW26" s="288">
        <f t="shared" ref="NW26:OF26" si="376">SUM(NW19:NW23)</f>
        <v>883</v>
      </c>
      <c r="NX26" s="288">
        <f t="shared" si="376"/>
        <v>325305</v>
      </c>
      <c r="NY26" s="288">
        <f t="shared" si="376"/>
        <v>180869.71</v>
      </c>
      <c r="NZ26" s="288">
        <f t="shared" si="376"/>
        <v>9237</v>
      </c>
      <c r="OA26" s="288">
        <f t="shared" si="376"/>
        <v>7954</v>
      </c>
      <c r="OB26" s="288">
        <f t="shared" si="376"/>
        <v>8281937</v>
      </c>
      <c r="OC26" s="288">
        <f t="shared" si="376"/>
        <v>6421796</v>
      </c>
      <c r="OD26" s="288">
        <f t="shared" si="376"/>
        <v>1860141</v>
      </c>
      <c r="OE26" s="289">
        <f t="shared" si="376"/>
        <v>60523</v>
      </c>
      <c r="OF26" s="289">
        <f t="shared" si="376"/>
        <v>1603253.92</v>
      </c>
      <c r="OG26" s="288">
        <f>OB26*3.5%</f>
        <v>289867.795</v>
      </c>
      <c r="OH26" s="288">
        <f>OF26*20%</f>
        <v>320650.784</v>
      </c>
      <c r="OI26" s="289">
        <f>SUM(OI19:OI23)</f>
        <v>887603</v>
      </c>
      <c r="OJ26" s="289"/>
      <c r="OK26" s="289">
        <f t="shared" ref="OK26:OK31" si="377">OD26-OG26-OH26-OE26-OI26</f>
        <v>301496.421</v>
      </c>
      <c r="OL26" s="290">
        <f t="shared" ref="OL26:OL31" si="378">NR26/NP26</f>
        <v>374.185011709602</v>
      </c>
      <c r="OM26" s="288">
        <f t="shared" ref="OM26:OM31" si="379">OB26/NZ26</f>
        <v>896.604633539028</v>
      </c>
      <c r="ON26" s="291">
        <f t="shared" ref="ON26:ON31" si="380">NR26/(OG26+OH26+OE26+OI26)</f>
        <v>0.30753066251161</v>
      </c>
      <c r="OO26" s="292">
        <f t="shared" ref="OO26:OO31" si="381">OD26/(OG26+OH26+OE26+OI26)</f>
        <v>1.19343500440199</v>
      </c>
      <c r="OP26" s="53"/>
      <c r="OQ26" s="53"/>
      <c r="OR26" s="53"/>
      <c r="OS26" s="242" t="s">
        <v>153</v>
      </c>
      <c r="OT26" s="244">
        <f t="shared" ref="OT26:PF26" si="382">SUM(OT19:OT23)</f>
        <v>8</v>
      </c>
      <c r="OU26" s="244">
        <f t="shared" si="382"/>
        <v>120</v>
      </c>
      <c r="OV26" s="244">
        <f t="shared" si="382"/>
        <v>4752</v>
      </c>
      <c r="OW26" s="244">
        <f t="shared" si="382"/>
        <v>2022</v>
      </c>
      <c r="OX26" s="244">
        <f t="shared" si="382"/>
        <v>571855</v>
      </c>
      <c r="OY26" s="244">
        <f t="shared" si="382"/>
        <v>854813</v>
      </c>
      <c r="OZ26" s="244">
        <f t="shared" si="382"/>
        <v>472725</v>
      </c>
      <c r="PA26" s="244">
        <f t="shared" si="382"/>
        <v>2112495</v>
      </c>
      <c r="PB26" s="244">
        <f t="shared" si="382"/>
        <v>1708755</v>
      </c>
      <c r="PC26" s="244">
        <f t="shared" si="382"/>
        <v>10087</v>
      </c>
      <c r="PD26" s="244">
        <f t="shared" si="382"/>
        <v>8065</v>
      </c>
      <c r="PE26" s="244">
        <f t="shared" si="382"/>
        <v>7923672</v>
      </c>
      <c r="PF26" s="244">
        <f t="shared" si="382"/>
        <v>6183318</v>
      </c>
      <c r="PG26" s="243">
        <f>PE26-PF26</f>
        <v>1740354</v>
      </c>
      <c r="PH26" s="243">
        <f t="shared" ref="PH26:PL26" si="383">SUM(PH19:PH23)</f>
        <v>106629</v>
      </c>
      <c r="PI26" s="243">
        <f t="shared" si="383"/>
        <v>1373315.13</v>
      </c>
      <c r="PJ26" s="244">
        <f t="shared" si="274"/>
        <v>435801.96</v>
      </c>
      <c r="PK26" s="244">
        <f>PI26*20%</f>
        <v>274663.026</v>
      </c>
      <c r="PL26" s="243">
        <f t="shared" si="383"/>
        <v>887603</v>
      </c>
      <c r="PM26" s="244">
        <f>PG26-PJ26-PK26-PH26-PL26</f>
        <v>35657.014</v>
      </c>
      <c r="PN26" s="245">
        <f>OY26/OW26</f>
        <v>422.756181998022</v>
      </c>
      <c r="PO26" s="244">
        <f>PE26/PC26</f>
        <v>785.53306235749</v>
      </c>
      <c r="PP26" s="246">
        <f>OY26/(PH26+PJ26+PK26+PL26)</f>
        <v>0.501445715584787</v>
      </c>
      <c r="PQ26" s="247">
        <f>PG26/(PJ26+PK26+PH26+PL26)</f>
        <v>1.02091692206465</v>
      </c>
      <c r="PR26" s="84"/>
      <c r="PS26" s="144"/>
      <c r="PT26" s="146"/>
      <c r="PU26" s="242" t="s">
        <v>153</v>
      </c>
      <c r="PV26" s="242">
        <f t="shared" ref="PV26:QJ26" si="384">SUM(PV19:PV25)</f>
        <v>8</v>
      </c>
      <c r="PW26" s="242">
        <f t="shared" si="384"/>
        <v>122</v>
      </c>
      <c r="PX26" s="243">
        <f t="shared" si="384"/>
        <v>5005</v>
      </c>
      <c r="PY26" s="243">
        <f t="shared" si="384"/>
        <v>2061</v>
      </c>
      <c r="PZ26" s="243">
        <f t="shared" si="384"/>
        <v>782180</v>
      </c>
      <c r="QA26" s="243">
        <f t="shared" si="384"/>
        <v>1101426</v>
      </c>
      <c r="QB26" s="243">
        <f t="shared" si="384"/>
        <v>754034</v>
      </c>
      <c r="QC26" s="243">
        <f t="shared" si="384"/>
        <v>9861</v>
      </c>
      <c r="QD26" s="243">
        <f t="shared" si="384"/>
        <v>7800</v>
      </c>
      <c r="QE26" s="243">
        <f t="shared" si="384"/>
        <v>8348018</v>
      </c>
      <c r="QF26" s="243">
        <f t="shared" si="384"/>
        <v>7038005</v>
      </c>
      <c r="QG26" s="243">
        <f t="shared" si="384"/>
        <v>1310013</v>
      </c>
      <c r="QH26" s="243">
        <f t="shared" si="384"/>
        <v>70629</v>
      </c>
      <c r="QI26" s="243">
        <f t="shared" si="384"/>
        <v>1024158.92</v>
      </c>
      <c r="QJ26" s="244">
        <f t="shared" si="384"/>
        <v>459140.99</v>
      </c>
      <c r="QK26" s="244">
        <f>QI26*20%</f>
        <v>204831.784</v>
      </c>
      <c r="QL26" s="244">
        <f t="shared" ref="QL26:QN26" si="385">SUM(QL19:QL25)</f>
        <v>1587125</v>
      </c>
      <c r="QM26" s="244">
        <f t="shared" si="385"/>
        <v>674669.085</v>
      </c>
      <c r="QN26" s="243">
        <f t="shared" si="385"/>
        <v>1745.8351399944</v>
      </c>
      <c r="QO26" s="244">
        <f>QE26/QC26</f>
        <v>846.569110637866</v>
      </c>
      <c r="QP26" s="246">
        <f>QA26/(QH26+QJ26+QK26+QL26)</f>
        <v>0.474399491074655</v>
      </c>
      <c r="QQ26" s="247">
        <f t="shared" si="246"/>
        <v>1.97299204319483</v>
      </c>
      <c r="QR26" s="84"/>
      <c r="QS26" s="144"/>
      <c r="QT26" s="144"/>
      <c r="QU26" s="242" t="s">
        <v>153</v>
      </c>
      <c r="QV26" s="242">
        <f t="shared" ref="QV26:RB26" si="386">SUM(QV19:QV25)</f>
        <v>16</v>
      </c>
      <c r="QW26" s="243">
        <f t="shared" si="386"/>
        <v>8969</v>
      </c>
      <c r="QX26" s="243">
        <f t="shared" si="386"/>
        <v>3036</v>
      </c>
      <c r="QY26" s="243">
        <f t="shared" si="386"/>
        <v>4866043</v>
      </c>
      <c r="QZ26" s="243">
        <f t="shared" si="386"/>
        <v>5018</v>
      </c>
      <c r="RA26" s="243">
        <f t="shared" si="386"/>
        <v>11224467</v>
      </c>
      <c r="RB26" s="243">
        <f t="shared" si="386"/>
        <v>8930566</v>
      </c>
      <c r="RC26" s="244">
        <f t="shared" si="248"/>
        <v>8819896</v>
      </c>
      <c r="RD26" s="244">
        <f t="shared" ref="RD26:RI26" si="387">SUM(RD19:RD25)</f>
        <v>2293901</v>
      </c>
      <c r="RE26" s="243">
        <f t="shared" si="387"/>
        <v>110670</v>
      </c>
      <c r="RF26" s="243">
        <f t="shared" si="387"/>
        <v>1850265.15</v>
      </c>
      <c r="RG26" s="244">
        <f t="shared" si="387"/>
        <v>617345.685</v>
      </c>
      <c r="RH26" s="244">
        <f t="shared" si="387"/>
        <v>185026.515</v>
      </c>
      <c r="RI26" s="244">
        <f t="shared" si="387"/>
        <v>3280048</v>
      </c>
      <c r="RJ26" s="248">
        <f t="shared" si="250"/>
        <v>1491528.8</v>
      </c>
      <c r="RK26" s="249">
        <f>RA26/QZ26</f>
        <v>2236.84077321642</v>
      </c>
      <c r="RL26" s="250">
        <f>QY26/(RE26+RG26+RH26+RI26)</f>
        <v>1.16049089523521</v>
      </c>
      <c r="RM26" s="247">
        <f t="shared" si="253"/>
        <v>2.85889890003667</v>
      </c>
      <c r="RN26" s="84"/>
      <c r="RO26" s="144"/>
      <c r="RP26" s="144"/>
      <c r="RQ26" s="242" t="s">
        <v>153</v>
      </c>
      <c r="RR26" s="242">
        <f t="shared" ref="RR26:SF26" si="388">SUM(RR19:RR25)</f>
        <v>17</v>
      </c>
      <c r="RS26" s="243">
        <f t="shared" si="388"/>
        <v>6105</v>
      </c>
      <c r="RT26" s="243">
        <f t="shared" si="388"/>
        <v>1840</v>
      </c>
      <c r="RU26" s="243">
        <f t="shared" si="388"/>
        <v>2870975.23</v>
      </c>
      <c r="RV26" s="243">
        <f t="shared" si="388"/>
        <v>2918</v>
      </c>
      <c r="RW26" s="243">
        <f t="shared" si="388"/>
        <v>7385767.23</v>
      </c>
      <c r="RX26" s="243">
        <f t="shared" si="388"/>
        <v>6662781</v>
      </c>
      <c r="RY26" s="244">
        <f t="shared" si="388"/>
        <v>722986.23</v>
      </c>
      <c r="RZ26" s="243">
        <f t="shared" si="388"/>
        <v>103810</v>
      </c>
      <c r="SA26" s="243">
        <f t="shared" si="388"/>
        <v>0</v>
      </c>
      <c r="SB26" s="243">
        <f t="shared" si="388"/>
        <v>466549.71</v>
      </c>
      <c r="SC26" s="244">
        <f t="shared" si="388"/>
        <v>406217.19765</v>
      </c>
      <c r="SD26" s="244">
        <f t="shared" si="388"/>
        <v>89438.923</v>
      </c>
      <c r="SE26" s="244">
        <f t="shared" si="388"/>
        <v>3372630</v>
      </c>
      <c r="SF26" s="244">
        <f t="shared" si="388"/>
        <v>-3145299.89065</v>
      </c>
      <c r="SG26" s="249">
        <f>RW26/RV26</f>
        <v>2531.10597326936</v>
      </c>
      <c r="SH26" s="246">
        <f>RU26/(RZ26+SC26+SD26+SE26)</f>
        <v>0.722785940419334</v>
      </c>
      <c r="SI26" s="247">
        <f t="shared" si="257"/>
        <v>0.186900918766194</v>
      </c>
      <c r="SJ26" s="84"/>
      <c r="SK26" s="144"/>
      <c r="SL26" s="144"/>
      <c r="SM26" s="242" t="s">
        <v>153</v>
      </c>
      <c r="SN26" s="242">
        <f t="shared" ref="SN26:TB26" si="389">SUM(SN19:SN25)</f>
        <v>16</v>
      </c>
      <c r="SO26" s="243">
        <f t="shared" si="389"/>
        <v>4623</v>
      </c>
      <c r="SP26" s="243">
        <f t="shared" si="389"/>
        <v>1886</v>
      </c>
      <c r="SQ26" s="243">
        <f t="shared" si="389"/>
        <v>3029142</v>
      </c>
      <c r="SR26" s="243">
        <f t="shared" si="389"/>
        <v>2724</v>
      </c>
      <c r="SS26" s="243">
        <f t="shared" si="389"/>
        <v>6327669</v>
      </c>
      <c r="ST26" s="243">
        <f t="shared" si="389"/>
        <v>5532558.17</v>
      </c>
      <c r="SU26" s="244">
        <f t="shared" si="389"/>
        <v>795110.83</v>
      </c>
      <c r="SV26" s="243">
        <f t="shared" si="389"/>
        <v>229670</v>
      </c>
      <c r="SW26" s="243">
        <f t="shared" si="389"/>
        <v>0</v>
      </c>
      <c r="SX26" s="244">
        <f t="shared" si="389"/>
        <v>601502.15</v>
      </c>
      <c r="SY26" s="244">
        <f t="shared" si="389"/>
        <v>348021.795</v>
      </c>
      <c r="SZ26" s="244">
        <f t="shared" si="389"/>
        <v>71330.415</v>
      </c>
      <c r="TA26" s="244">
        <f t="shared" si="389"/>
        <v>3937000</v>
      </c>
      <c r="TB26" s="244">
        <f t="shared" si="389"/>
        <v>-3561241.38</v>
      </c>
      <c r="TC26" s="249">
        <f>SS26/SR26</f>
        <v>2322.93281938326</v>
      </c>
      <c r="TD26" s="246">
        <f>SQ26/(SV26+SY26+SZ26+TA26)</f>
        <v>0.660516208010253</v>
      </c>
      <c r="TE26" s="247">
        <f t="shared" si="261"/>
        <v>0.182517572425578</v>
      </c>
      <c r="TF26" s="84"/>
      <c r="TG26" s="84"/>
      <c r="TH26" s="242" t="s">
        <v>153</v>
      </c>
      <c r="TI26" s="242">
        <f t="shared" ref="TI26:TW26" si="390">SUM(TI19:TI25)</f>
        <v>25</v>
      </c>
      <c r="TJ26" s="243">
        <f t="shared" si="390"/>
        <v>7416</v>
      </c>
      <c r="TK26" s="243">
        <f t="shared" si="390"/>
        <v>4238</v>
      </c>
      <c r="TL26" s="243">
        <f t="shared" si="390"/>
        <v>3675903.9</v>
      </c>
      <c r="TM26" s="243">
        <f t="shared" si="390"/>
        <v>5063</v>
      </c>
      <c r="TN26" s="243">
        <f t="shared" si="390"/>
        <v>7619495.8</v>
      </c>
      <c r="TO26" s="243">
        <f t="shared" si="390"/>
        <v>6903786</v>
      </c>
      <c r="TP26" s="244">
        <f t="shared" si="390"/>
        <v>715709.8</v>
      </c>
      <c r="TQ26" s="243">
        <f t="shared" si="390"/>
        <v>1016729.6</v>
      </c>
      <c r="TR26" s="243">
        <f t="shared" si="390"/>
        <v>0</v>
      </c>
      <c r="TS26" s="244">
        <f t="shared" si="390"/>
        <v>514879.22</v>
      </c>
      <c r="TT26" s="244">
        <f t="shared" si="390"/>
        <v>304779.832</v>
      </c>
      <c r="TU26" s="244">
        <f t="shared" si="390"/>
        <v>65213.471</v>
      </c>
      <c r="TV26" s="244">
        <f t="shared" si="390"/>
        <v>5950000</v>
      </c>
      <c r="TW26" s="244">
        <f t="shared" si="390"/>
        <v>-5604283.503</v>
      </c>
      <c r="TX26" s="249">
        <f>TN26/TM26</f>
        <v>1504.93695437488</v>
      </c>
      <c r="TY26" s="246">
        <f>TL26/(TQ26+TT26+TU26+TV26)</f>
        <v>0.501028040529773</v>
      </c>
      <c r="TZ26" s="247">
        <f t="shared" si="265"/>
        <v>0.113245341519629</v>
      </c>
      <c r="UA26" s="84"/>
      <c r="UB26" s="144"/>
      <c r="UC26" s="144"/>
      <c r="UD26" s="242" t="s">
        <v>153</v>
      </c>
      <c r="UE26" s="242">
        <f t="shared" ref="UE26:US26" si="391">SUM(UE19:UE25)</f>
        <v>25</v>
      </c>
      <c r="UF26" s="243">
        <f t="shared" si="391"/>
        <v>10657</v>
      </c>
      <c r="UG26" s="243">
        <f t="shared" si="391"/>
        <v>6778</v>
      </c>
      <c r="UH26" s="243">
        <f t="shared" si="391"/>
        <v>5124721</v>
      </c>
      <c r="UI26" s="243">
        <f t="shared" si="391"/>
        <v>7409</v>
      </c>
      <c r="UJ26" s="243">
        <f t="shared" si="391"/>
        <v>8856814</v>
      </c>
      <c r="UK26" s="243">
        <f t="shared" si="391"/>
        <v>9538119</v>
      </c>
      <c r="UL26" s="244">
        <f t="shared" si="391"/>
        <v>-681305</v>
      </c>
      <c r="UM26" s="243">
        <f t="shared" si="391"/>
        <v>1877748.5</v>
      </c>
      <c r="UN26" s="243">
        <f t="shared" si="391"/>
        <v>0</v>
      </c>
      <c r="UO26" s="244">
        <f t="shared" si="391"/>
        <v>97029.86</v>
      </c>
      <c r="UP26" s="244">
        <f t="shared" si="391"/>
        <v>354272.56</v>
      </c>
      <c r="UQ26" s="244">
        <f t="shared" si="391"/>
        <v>71647.836</v>
      </c>
      <c r="UR26" s="244">
        <f t="shared" si="391"/>
        <v>6145500</v>
      </c>
      <c r="US26" s="244">
        <f t="shared" si="391"/>
        <v>-7252725.396</v>
      </c>
      <c r="UT26" s="249">
        <f>UJ26/UI26</f>
        <v>1195.41287623161</v>
      </c>
      <c r="UU26" s="246">
        <f>UH26/UM26</f>
        <v>2.72918391360717</v>
      </c>
      <c r="UV26" s="247">
        <f>UL26/(UP26+UQ26+UR26)</f>
        <v>-0.103676976809261</v>
      </c>
      <c r="UW26" s="84"/>
      <c r="UX26" s="144"/>
      <c r="UY26" s="144"/>
      <c r="UZ26" s="242" t="s">
        <v>153</v>
      </c>
      <c r="VA26" s="242">
        <f t="shared" ref="VA26:VO26" si="392">SUM(VA19:VA25)</f>
        <v>21</v>
      </c>
      <c r="VB26" s="243">
        <f t="shared" si="392"/>
        <v>4302</v>
      </c>
      <c r="VC26" s="243">
        <f t="shared" si="392"/>
        <v>2190</v>
      </c>
      <c r="VD26" s="243">
        <f t="shared" si="392"/>
        <v>3002343</v>
      </c>
      <c r="VE26" s="243">
        <f t="shared" si="392"/>
        <v>2904</v>
      </c>
      <c r="VF26" s="243">
        <f t="shared" si="392"/>
        <v>5109600</v>
      </c>
      <c r="VG26" s="243">
        <f t="shared" si="392"/>
        <v>5585845</v>
      </c>
      <c r="VH26" s="244">
        <f t="shared" si="392"/>
        <v>-476245</v>
      </c>
      <c r="VI26" s="243">
        <f t="shared" si="392"/>
        <v>582059.6</v>
      </c>
      <c r="VJ26" s="243">
        <f t="shared" si="392"/>
        <v>0</v>
      </c>
      <c r="VK26" s="244">
        <f t="shared" si="392"/>
        <v>-622448.77</v>
      </c>
      <c r="VL26" s="244">
        <f t="shared" si="392"/>
        <v>278824.035</v>
      </c>
      <c r="VM26" s="244">
        <f t="shared" si="392"/>
        <v>4438.395</v>
      </c>
      <c r="VN26" s="244">
        <f t="shared" si="392"/>
        <v>4020500</v>
      </c>
      <c r="VO26" s="244">
        <f t="shared" si="392"/>
        <v>-4098357.66</v>
      </c>
      <c r="VP26" s="249">
        <f>VF26/VE26</f>
        <v>1759.50413223141</v>
      </c>
      <c r="VQ26" s="246">
        <f>VD26/VI26</f>
        <v>5.15813672689189</v>
      </c>
      <c r="VR26" s="247">
        <f>VH26/(VL26+VM26+VN26)</f>
        <v>-0.110657827365253</v>
      </c>
      <c r="VS26" s="84"/>
      <c r="VT26" s="53"/>
      <c r="VU26" s="53"/>
    </row>
    <row r="27" ht="18" hidden="1" customHeight="1" spans="1:593">
      <c r="A27" s="46"/>
      <c r="B27" s="46"/>
      <c r="C27" s="251"/>
      <c r="D27" s="293"/>
      <c r="E27" s="293"/>
      <c r="F27" s="293"/>
      <c r="G27" s="293"/>
      <c r="H27" s="293"/>
      <c r="I27" s="293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53"/>
      <c r="AJ27" s="251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293"/>
      <c r="AZ27" s="293"/>
      <c r="BA27" s="293"/>
      <c r="BB27" s="293"/>
      <c r="BC27" s="293"/>
      <c r="BD27" s="293"/>
      <c r="BE27" s="293"/>
      <c r="BF27" s="293"/>
      <c r="BG27" s="293"/>
      <c r="BH27" s="293"/>
      <c r="BI27" s="293"/>
      <c r="BJ27" s="293"/>
      <c r="BK27" s="293"/>
      <c r="BL27" s="293"/>
      <c r="BM27" s="293"/>
      <c r="BN27" s="293"/>
      <c r="BO27" s="293"/>
      <c r="BP27" s="46"/>
      <c r="BQ27" s="251"/>
      <c r="BR27" s="293"/>
      <c r="BS27" s="293"/>
      <c r="BT27" s="293"/>
      <c r="BU27" s="293"/>
      <c r="BV27" s="293"/>
      <c r="BW27" s="293"/>
      <c r="BX27" s="293"/>
      <c r="BY27" s="293"/>
      <c r="BZ27" s="293"/>
      <c r="CA27" s="293"/>
      <c r="CB27" s="293"/>
      <c r="CC27" s="293"/>
      <c r="CD27" s="293"/>
      <c r="CE27" s="293"/>
      <c r="CF27" s="293"/>
      <c r="CG27" s="293"/>
      <c r="CH27" s="293"/>
      <c r="CI27" s="293"/>
      <c r="CJ27" s="293"/>
      <c r="CK27" s="293"/>
      <c r="CL27" s="293"/>
      <c r="CM27" s="293"/>
      <c r="CN27" s="293"/>
      <c r="CO27" s="293"/>
      <c r="CP27" s="293"/>
      <c r="CQ27" s="293"/>
      <c r="CR27" s="293"/>
      <c r="CS27" s="293"/>
      <c r="CT27" s="293"/>
      <c r="CU27" s="293"/>
      <c r="CV27" s="293"/>
      <c r="CW27" s="46"/>
      <c r="CX27" s="251"/>
      <c r="CY27" s="293"/>
      <c r="CZ27" s="293"/>
      <c r="DA27" s="293"/>
      <c r="DB27" s="293"/>
      <c r="DC27" s="293"/>
      <c r="DD27" s="293"/>
      <c r="DE27" s="293"/>
      <c r="DF27" s="293"/>
      <c r="DG27" s="293"/>
      <c r="DH27" s="293"/>
      <c r="DI27" s="293"/>
      <c r="DJ27" s="293"/>
      <c r="DK27" s="293"/>
      <c r="DL27" s="293"/>
      <c r="DM27" s="293"/>
      <c r="DN27" s="293"/>
      <c r="DO27" s="293"/>
      <c r="DP27" s="293"/>
      <c r="DQ27" s="293"/>
      <c r="DR27" s="293"/>
      <c r="DS27" s="293"/>
      <c r="DT27" s="293"/>
      <c r="DU27" s="293"/>
      <c r="DV27" s="293"/>
      <c r="DW27" s="293"/>
      <c r="DX27" s="293"/>
      <c r="DY27" s="293"/>
      <c r="DZ27" s="293"/>
      <c r="EA27" s="293"/>
      <c r="EB27" s="293"/>
      <c r="EC27" s="293"/>
      <c r="ED27" s="46"/>
      <c r="EE27" s="142"/>
      <c r="EF27" s="46"/>
      <c r="EG27" s="46"/>
      <c r="EH27" s="46"/>
      <c r="EI27" s="46"/>
      <c r="EJ27" s="46"/>
      <c r="EK27" s="46"/>
      <c r="EL27" s="46"/>
      <c r="EM27" s="46"/>
      <c r="EN27" s="46"/>
      <c r="EO27" s="46"/>
      <c r="EP27" s="46"/>
      <c r="EQ27" s="46"/>
      <c r="ER27" s="46"/>
      <c r="ES27" s="46"/>
      <c r="ET27" s="46"/>
      <c r="EU27" s="46"/>
      <c r="EV27" s="46"/>
      <c r="EW27" s="46"/>
      <c r="EX27" s="46"/>
      <c r="EY27" s="46"/>
      <c r="EZ27" s="46"/>
      <c r="FA27" s="46"/>
      <c r="FB27" s="46"/>
      <c r="FC27" s="46"/>
      <c r="FD27" s="46"/>
      <c r="FE27" s="46"/>
      <c r="FF27" s="46"/>
      <c r="FG27" s="46"/>
      <c r="FH27" s="46"/>
      <c r="FI27" s="46"/>
      <c r="FJ27" s="46"/>
      <c r="FK27" s="46"/>
      <c r="FL27" s="46"/>
      <c r="FM27" s="46"/>
      <c r="FN27" s="142"/>
      <c r="FO27" s="46"/>
      <c r="FP27" s="46"/>
      <c r="FQ27" s="46"/>
      <c r="FR27" s="46"/>
      <c r="FS27" s="46"/>
      <c r="FT27" s="46"/>
      <c r="FU27" s="46"/>
      <c r="FV27" s="46"/>
      <c r="FW27" s="46"/>
      <c r="FX27" s="46"/>
      <c r="FY27" s="46"/>
      <c r="FZ27" s="46"/>
      <c r="GA27" s="46"/>
      <c r="GB27" s="46"/>
      <c r="GC27" s="46"/>
      <c r="GD27" s="46"/>
      <c r="GE27" s="46"/>
      <c r="GF27" s="46"/>
      <c r="GG27" s="46"/>
      <c r="GH27" s="46"/>
      <c r="GI27" s="46"/>
      <c r="GJ27" s="46"/>
      <c r="GK27" s="46"/>
      <c r="GL27" s="46"/>
      <c r="GM27" s="46"/>
      <c r="GN27" s="46"/>
      <c r="GO27" s="46"/>
      <c r="GP27" s="46"/>
      <c r="GQ27" s="46"/>
      <c r="GR27" s="46"/>
      <c r="GS27" s="46"/>
      <c r="GT27" s="46"/>
      <c r="GU27" s="46"/>
      <c r="GV27" s="142"/>
      <c r="GW27" s="46"/>
      <c r="GX27" s="46"/>
      <c r="GY27" s="46"/>
      <c r="GZ27" s="46"/>
      <c r="HA27" s="46"/>
      <c r="HB27" s="46"/>
      <c r="HC27" s="46"/>
      <c r="HD27" s="46"/>
      <c r="HE27" s="46"/>
      <c r="HF27" s="46"/>
      <c r="HG27" s="46"/>
      <c r="HH27" s="46"/>
      <c r="HI27" s="46"/>
      <c r="HJ27" s="46"/>
      <c r="HK27" s="46"/>
      <c r="HL27" s="46"/>
      <c r="HM27" s="46"/>
      <c r="HN27" s="46"/>
      <c r="HO27" s="46"/>
      <c r="HP27" s="46"/>
      <c r="HQ27" s="46"/>
      <c r="HR27" s="46"/>
      <c r="HS27" s="46"/>
      <c r="HT27" s="46"/>
      <c r="HU27" s="46"/>
      <c r="HV27" s="46"/>
      <c r="HW27" s="46"/>
      <c r="HX27" s="46"/>
      <c r="HY27" s="46"/>
      <c r="HZ27" s="46"/>
      <c r="IA27" s="46"/>
      <c r="IB27" s="46"/>
      <c r="IC27" s="46"/>
      <c r="ID27" s="142"/>
      <c r="IE27" s="46"/>
      <c r="IF27" s="46"/>
      <c r="IG27" s="46"/>
      <c r="IH27" s="46"/>
      <c r="II27" s="46"/>
      <c r="IJ27" s="46"/>
      <c r="IK27" s="46"/>
      <c r="IL27" s="46"/>
      <c r="IM27" s="46"/>
      <c r="IN27" s="46"/>
      <c r="IO27" s="46"/>
      <c r="IP27" s="46"/>
      <c r="IQ27" s="46"/>
      <c r="IR27" s="46"/>
      <c r="IS27" s="46"/>
      <c r="IT27" s="46"/>
      <c r="IU27" s="46"/>
      <c r="IV27" s="46"/>
      <c r="IW27" s="46"/>
      <c r="IX27" s="46"/>
      <c r="IY27" s="46"/>
      <c r="IZ27" s="46"/>
      <c r="JA27" s="46"/>
      <c r="JB27" s="46"/>
      <c r="JC27" s="46"/>
      <c r="JD27" s="46"/>
      <c r="JE27" s="46"/>
      <c r="JF27" s="46"/>
      <c r="JG27" s="46"/>
      <c r="JH27" s="46"/>
      <c r="JI27" s="46"/>
      <c r="JJ27" s="46"/>
      <c r="JK27" s="46"/>
      <c r="JL27" s="142"/>
      <c r="JM27" s="46"/>
      <c r="JN27" s="46"/>
      <c r="JO27" s="46"/>
      <c r="JP27" s="46"/>
      <c r="JQ27" s="46"/>
      <c r="JR27" s="46"/>
      <c r="JS27" s="46"/>
      <c r="JT27" s="46"/>
      <c r="JU27" s="46"/>
      <c r="JV27" s="46"/>
      <c r="JW27" s="46"/>
      <c r="JX27" s="46"/>
      <c r="JY27" s="46"/>
      <c r="JZ27" s="46"/>
      <c r="KA27" s="46"/>
      <c r="KB27" s="46"/>
      <c r="KC27" s="46"/>
      <c r="KD27" s="46"/>
      <c r="KE27" s="46"/>
      <c r="KF27" s="46"/>
      <c r="KG27" s="46"/>
      <c r="KH27" s="46"/>
      <c r="KI27" s="46"/>
      <c r="KJ27" s="46"/>
      <c r="KK27" s="46"/>
      <c r="KL27" s="46"/>
      <c r="KM27" s="46"/>
      <c r="KN27" s="46"/>
      <c r="KO27" s="46"/>
      <c r="KP27" s="46"/>
      <c r="KQ27" s="46"/>
      <c r="KR27" s="46"/>
      <c r="KS27" s="46"/>
      <c r="KT27" s="142"/>
      <c r="KU27" s="46"/>
      <c r="KV27" s="46"/>
      <c r="KW27" s="46"/>
      <c r="KX27" s="46"/>
      <c r="KY27" s="46"/>
      <c r="KZ27" s="46"/>
      <c r="LA27" s="46"/>
      <c r="LB27" s="46"/>
      <c r="LC27" s="46"/>
      <c r="LD27" s="46"/>
      <c r="LE27" s="46"/>
      <c r="LF27" s="46"/>
      <c r="LG27" s="46"/>
      <c r="LH27" s="46"/>
      <c r="LI27" s="46"/>
      <c r="LJ27" s="46"/>
      <c r="LK27" s="46"/>
      <c r="LL27" s="46"/>
      <c r="LM27" s="46"/>
      <c r="LN27" s="46"/>
      <c r="LO27" s="46"/>
      <c r="LP27" s="46"/>
      <c r="LQ27" s="46"/>
      <c r="LR27" s="46"/>
      <c r="LS27" s="46"/>
      <c r="LT27" s="46"/>
      <c r="LU27" s="46"/>
      <c r="LV27" s="46"/>
      <c r="LW27" s="46"/>
      <c r="LX27" s="46"/>
      <c r="LY27" s="46"/>
      <c r="LZ27" s="294"/>
      <c r="MA27" s="3"/>
      <c r="MB27" s="142"/>
      <c r="MC27" s="46"/>
      <c r="MD27" s="46"/>
      <c r="ME27" s="46"/>
      <c r="MF27" s="46"/>
      <c r="MG27" s="46"/>
      <c r="MH27" s="46"/>
      <c r="MI27" s="46"/>
      <c r="MJ27" s="46"/>
      <c r="MK27" s="46"/>
      <c r="ML27" s="46"/>
      <c r="MM27" s="46"/>
      <c r="MN27" s="46"/>
      <c r="MO27" s="46"/>
      <c r="MP27" s="46"/>
      <c r="MQ27" s="46"/>
      <c r="MR27" s="46"/>
      <c r="MS27" s="46"/>
      <c r="MT27" s="46"/>
      <c r="MU27" s="46"/>
      <c r="MV27" s="46"/>
      <c r="MW27" s="46"/>
      <c r="MX27" s="46"/>
      <c r="MY27" s="46"/>
      <c r="MZ27" s="46"/>
      <c r="NA27" s="46"/>
      <c r="NB27" s="46"/>
      <c r="NC27" s="46"/>
      <c r="ND27" s="46"/>
      <c r="NE27" s="46"/>
      <c r="NF27" s="46"/>
      <c r="NG27" s="46"/>
      <c r="NH27" s="46"/>
      <c r="NI27" s="46"/>
      <c r="NJ27" s="142"/>
      <c r="NK27" s="46"/>
      <c r="NL27" s="46"/>
      <c r="NM27" s="46"/>
      <c r="NN27" s="46"/>
      <c r="NO27" s="46"/>
      <c r="NP27" s="46"/>
      <c r="NQ27" s="46"/>
      <c r="NR27" s="46"/>
      <c r="NS27" s="46"/>
      <c r="NT27" s="46"/>
      <c r="NU27" s="46"/>
      <c r="NV27" s="46"/>
      <c r="NW27" s="46"/>
      <c r="NX27" s="46"/>
      <c r="NY27" s="46"/>
      <c r="NZ27" s="46"/>
      <c r="OA27" s="46"/>
      <c r="OB27" s="46"/>
      <c r="OC27" s="46"/>
      <c r="OD27" s="46"/>
      <c r="OE27" s="46"/>
      <c r="OF27" s="46"/>
      <c r="OG27" s="46"/>
      <c r="OH27" s="46"/>
      <c r="OI27" s="46"/>
      <c r="OJ27" s="46"/>
      <c r="OK27" s="46"/>
      <c r="OL27" s="46"/>
      <c r="OM27" s="46"/>
      <c r="ON27" s="46"/>
      <c r="OO27" s="46"/>
      <c r="OP27" s="46"/>
      <c r="OQ27" s="46"/>
      <c r="OR27" s="46"/>
      <c r="OS27" s="144"/>
      <c r="OT27" s="144"/>
      <c r="OU27" s="144"/>
      <c r="OV27" s="144"/>
      <c r="OW27" s="144"/>
      <c r="OX27" s="144"/>
      <c r="OY27" s="144"/>
      <c r="OZ27" s="144"/>
      <c r="PA27" s="144"/>
      <c r="PB27" s="144"/>
      <c r="PC27" s="144"/>
      <c r="PD27" s="144"/>
      <c r="PE27" s="144"/>
      <c r="PF27" s="144"/>
      <c r="PG27" s="144"/>
      <c r="PH27" s="144"/>
      <c r="PI27" s="144"/>
      <c r="PJ27" s="144"/>
      <c r="PK27" s="144"/>
      <c r="PL27" s="144"/>
      <c r="PM27" s="144"/>
      <c r="PN27" s="144"/>
      <c r="PO27" s="144"/>
      <c r="PP27" s="144"/>
      <c r="PQ27" s="144"/>
      <c r="PR27" s="144"/>
      <c r="PS27" s="144"/>
      <c r="PT27" s="146"/>
      <c r="PU27" s="84"/>
      <c r="PV27" s="84"/>
      <c r="PW27" s="154"/>
      <c r="PX27" s="154"/>
      <c r="PY27" s="154"/>
      <c r="PZ27" s="154"/>
      <c r="QA27" s="154"/>
      <c r="QB27" s="154"/>
      <c r="QC27" s="154"/>
      <c r="QD27" s="154"/>
      <c r="QE27" s="154"/>
      <c r="QF27" s="155"/>
      <c r="QG27" s="155"/>
      <c r="QH27" s="154"/>
      <c r="QI27" s="155"/>
      <c r="QJ27" s="155"/>
      <c r="QK27" s="295"/>
      <c r="QL27" s="155"/>
      <c r="QM27" s="295"/>
      <c r="QN27" s="295"/>
      <c r="QO27" s="295"/>
      <c r="QP27" s="155"/>
      <c r="QQ27" s="156"/>
      <c r="QR27" s="84"/>
      <c r="QS27" s="144"/>
      <c r="QT27" s="144"/>
      <c r="QU27" s="84"/>
      <c r="QV27" s="84"/>
      <c r="QW27" s="154"/>
      <c r="QX27" s="154"/>
      <c r="QY27" s="154"/>
      <c r="QZ27" s="154"/>
      <c r="RA27" s="154"/>
      <c r="RB27" s="154"/>
      <c r="RC27" s="155"/>
      <c r="RD27" s="155"/>
      <c r="RE27" s="154"/>
      <c r="RF27" s="155"/>
      <c r="RG27" s="155"/>
      <c r="RH27" s="295"/>
      <c r="RI27" s="155"/>
      <c r="RJ27" s="295"/>
      <c r="RK27" s="155"/>
      <c r="RL27" s="155"/>
      <c r="RM27" s="156"/>
      <c r="RN27" s="84"/>
      <c r="RO27" s="144"/>
      <c r="RP27" s="144"/>
      <c r="RQ27" s="84"/>
      <c r="RR27" s="84"/>
      <c r="RS27" s="154"/>
      <c r="RT27" s="154"/>
      <c r="RU27" s="154"/>
      <c r="RV27" s="154"/>
      <c r="RW27" s="154"/>
      <c r="RX27" s="154"/>
      <c r="RY27" s="155"/>
      <c r="RZ27" s="154"/>
      <c r="SA27" s="154"/>
      <c r="SB27" s="155"/>
      <c r="SC27" s="155"/>
      <c r="SD27" s="295"/>
      <c r="SE27" s="155"/>
      <c r="SF27" s="295"/>
      <c r="SG27" s="155"/>
      <c r="SH27" s="155"/>
      <c r="SI27" s="156"/>
      <c r="SJ27" s="84"/>
      <c r="SK27" s="144"/>
      <c r="SL27" s="144"/>
      <c r="SM27" s="84"/>
      <c r="SN27" s="84"/>
      <c r="SO27" s="154"/>
      <c r="SP27" s="154"/>
      <c r="SQ27" s="154"/>
      <c r="SR27" s="154"/>
      <c r="SS27" s="154"/>
      <c r="ST27" s="154"/>
      <c r="SU27" s="155"/>
      <c r="SV27" s="154"/>
      <c r="SW27" s="154"/>
      <c r="SX27" s="155"/>
      <c r="SY27" s="155"/>
      <c r="SZ27" s="295"/>
      <c r="TA27" s="155"/>
      <c r="TB27" s="295"/>
      <c r="TC27" s="155"/>
      <c r="TD27" s="155"/>
      <c r="TE27" s="156"/>
      <c r="TF27" s="84"/>
      <c r="TG27" s="84"/>
      <c r="TH27" s="144"/>
      <c r="TI27" s="144"/>
      <c r="TJ27" s="144"/>
      <c r="TK27" s="144"/>
      <c r="TL27" s="157"/>
      <c r="TM27" s="157"/>
      <c r="TN27" s="157"/>
      <c r="TO27" s="157"/>
      <c r="TP27" s="157"/>
      <c r="TQ27" s="157"/>
      <c r="TR27" s="157"/>
      <c r="TS27" s="157"/>
      <c r="TT27" s="157"/>
      <c r="TU27" s="158"/>
      <c r="TV27" s="157"/>
      <c r="TW27" s="158"/>
      <c r="TX27" s="144"/>
      <c r="TY27" s="144"/>
      <c r="TZ27" s="144"/>
      <c r="UA27" s="84"/>
      <c r="UB27" s="144"/>
      <c r="UC27" s="144"/>
      <c r="UD27" s="144"/>
      <c r="UE27" s="144"/>
      <c r="UF27" s="157"/>
      <c r="UG27" s="157"/>
      <c r="UH27" s="157"/>
      <c r="UI27" s="157"/>
      <c r="UJ27" s="157"/>
      <c r="UK27" s="157"/>
      <c r="UL27" s="157"/>
      <c r="UM27" s="157"/>
      <c r="UN27" s="157"/>
      <c r="UO27" s="157"/>
      <c r="UP27" s="157"/>
      <c r="UQ27" s="158"/>
      <c r="UR27" s="157"/>
      <c r="US27" s="158"/>
      <c r="UT27" s="144"/>
      <c r="UU27" s="144"/>
      <c r="UV27" s="144"/>
      <c r="UW27" s="84"/>
      <c r="UX27" s="144"/>
      <c r="UY27" s="144"/>
      <c r="UZ27" s="144"/>
      <c r="VA27" s="144"/>
      <c r="VB27" s="157"/>
      <c r="VC27" s="157"/>
      <c r="VD27" s="157"/>
      <c r="VE27" s="157"/>
      <c r="VF27" s="157"/>
      <c r="VG27" s="157"/>
      <c r="VH27" s="157"/>
      <c r="VI27" s="157"/>
      <c r="VJ27" s="157"/>
      <c r="VK27" s="157"/>
      <c r="VL27" s="158"/>
      <c r="VM27" s="158"/>
      <c r="VN27" s="157"/>
      <c r="VO27" s="158"/>
      <c r="VP27" s="144"/>
      <c r="VQ27" s="144"/>
      <c r="VR27" s="84"/>
      <c r="VS27" s="84"/>
      <c r="VT27" s="46"/>
      <c r="VU27" s="46"/>
    </row>
    <row r="28" ht="18" hidden="1" customHeight="1" spans="1:593">
      <c r="A28" s="53"/>
      <c r="B28" s="53"/>
      <c r="C28" s="160" t="s">
        <v>20</v>
      </c>
      <c r="D28" s="160" t="s">
        <v>21</v>
      </c>
      <c r="E28" s="161" t="s">
        <v>22</v>
      </c>
      <c r="F28" s="162" t="s">
        <v>23</v>
      </c>
      <c r="G28" s="162" t="s">
        <v>24</v>
      </c>
      <c r="H28" s="162" t="s">
        <v>25</v>
      </c>
      <c r="I28" s="162" t="s">
        <v>26</v>
      </c>
      <c r="J28" s="162" t="s">
        <v>27</v>
      </c>
      <c r="K28" s="162" t="s">
        <v>28</v>
      </c>
      <c r="L28" s="162" t="s">
        <v>29</v>
      </c>
      <c r="M28" s="161" t="s">
        <v>30</v>
      </c>
      <c r="N28" s="161" t="s">
        <v>31</v>
      </c>
      <c r="O28" s="162" t="s">
        <v>32</v>
      </c>
      <c r="P28" s="162" t="s">
        <v>33</v>
      </c>
      <c r="Q28" s="162" t="s">
        <v>34</v>
      </c>
      <c r="R28" s="162" t="s">
        <v>35</v>
      </c>
      <c r="S28" s="162" t="s">
        <v>36</v>
      </c>
      <c r="T28" s="162" t="s">
        <v>37</v>
      </c>
      <c r="U28" s="162" t="s">
        <v>38</v>
      </c>
      <c r="V28" s="162" t="s">
        <v>39</v>
      </c>
      <c r="W28" s="162" t="s">
        <v>40</v>
      </c>
      <c r="X28" s="163" t="s">
        <v>41</v>
      </c>
      <c r="Y28" s="164" t="s">
        <v>42</v>
      </c>
      <c r="Z28" s="165" t="s">
        <v>43</v>
      </c>
      <c r="AA28" s="166" t="s">
        <v>44</v>
      </c>
      <c r="AB28" s="165" t="s">
        <v>45</v>
      </c>
      <c r="AC28" s="166" t="s">
        <v>46</v>
      </c>
      <c r="AD28" s="167" t="s">
        <v>47</v>
      </c>
      <c r="AE28" s="166" t="s">
        <v>48</v>
      </c>
      <c r="AF28" s="166" t="s">
        <v>49</v>
      </c>
      <c r="AG28" s="168" t="s">
        <v>50</v>
      </c>
      <c r="AH28" s="169" t="s">
        <v>51</v>
      </c>
      <c r="AI28" s="53"/>
      <c r="AJ28" s="160" t="s">
        <v>20</v>
      </c>
      <c r="AK28" s="160" t="s">
        <v>21</v>
      </c>
      <c r="AL28" s="161" t="s">
        <v>22</v>
      </c>
      <c r="AM28" s="162" t="s">
        <v>23</v>
      </c>
      <c r="AN28" s="162" t="s">
        <v>24</v>
      </c>
      <c r="AO28" s="162" t="s">
        <v>25</v>
      </c>
      <c r="AP28" s="162" t="s">
        <v>26</v>
      </c>
      <c r="AQ28" s="162" t="s">
        <v>27</v>
      </c>
      <c r="AR28" s="162" t="s">
        <v>28</v>
      </c>
      <c r="AS28" s="162" t="s">
        <v>29</v>
      </c>
      <c r="AT28" s="161" t="s">
        <v>30</v>
      </c>
      <c r="AU28" s="161" t="s">
        <v>31</v>
      </c>
      <c r="AV28" s="162" t="s">
        <v>32</v>
      </c>
      <c r="AW28" s="162" t="s">
        <v>33</v>
      </c>
      <c r="AX28" s="162" t="s">
        <v>34</v>
      </c>
      <c r="AY28" s="162" t="s">
        <v>35</v>
      </c>
      <c r="AZ28" s="162" t="s">
        <v>36</v>
      </c>
      <c r="BA28" s="162" t="s">
        <v>37</v>
      </c>
      <c r="BB28" s="162" t="s">
        <v>38</v>
      </c>
      <c r="BC28" s="162" t="s">
        <v>39</v>
      </c>
      <c r="BD28" s="162" t="s">
        <v>40</v>
      </c>
      <c r="BE28" s="163" t="s">
        <v>41</v>
      </c>
      <c r="BF28" s="164" t="s">
        <v>42</v>
      </c>
      <c r="BG28" s="165" t="s">
        <v>43</v>
      </c>
      <c r="BH28" s="166" t="s">
        <v>44</v>
      </c>
      <c r="BI28" s="165" t="s">
        <v>45</v>
      </c>
      <c r="BJ28" s="166" t="s">
        <v>46</v>
      </c>
      <c r="BK28" s="167" t="s">
        <v>47</v>
      </c>
      <c r="BL28" s="166" t="s">
        <v>48</v>
      </c>
      <c r="BM28" s="166" t="s">
        <v>49</v>
      </c>
      <c r="BN28" s="168" t="s">
        <v>50</v>
      </c>
      <c r="BO28" s="169" t="s">
        <v>51</v>
      </c>
      <c r="BP28" s="53"/>
      <c r="BQ28" s="160" t="s">
        <v>20</v>
      </c>
      <c r="BR28" s="160" t="s">
        <v>21</v>
      </c>
      <c r="BS28" s="161" t="s">
        <v>154</v>
      </c>
      <c r="BT28" s="162" t="s">
        <v>23</v>
      </c>
      <c r="BU28" s="162" t="s">
        <v>24</v>
      </c>
      <c r="BV28" s="162" t="s">
        <v>25</v>
      </c>
      <c r="BW28" s="162" t="s">
        <v>26</v>
      </c>
      <c r="BX28" s="162" t="s">
        <v>27</v>
      </c>
      <c r="BY28" s="162" t="s">
        <v>28</v>
      </c>
      <c r="BZ28" s="162" t="s">
        <v>29</v>
      </c>
      <c r="CA28" s="161" t="s">
        <v>30</v>
      </c>
      <c r="CB28" s="161" t="s">
        <v>31</v>
      </c>
      <c r="CC28" s="162" t="s">
        <v>32</v>
      </c>
      <c r="CD28" s="162" t="s">
        <v>33</v>
      </c>
      <c r="CE28" s="162" t="s">
        <v>34</v>
      </c>
      <c r="CF28" s="162" t="s">
        <v>35</v>
      </c>
      <c r="CG28" s="162" t="s">
        <v>36</v>
      </c>
      <c r="CH28" s="162" t="s">
        <v>37</v>
      </c>
      <c r="CI28" s="162" t="s">
        <v>38</v>
      </c>
      <c r="CJ28" s="162" t="s">
        <v>39</v>
      </c>
      <c r="CK28" s="162" t="s">
        <v>40</v>
      </c>
      <c r="CL28" s="163" t="s">
        <v>155</v>
      </c>
      <c r="CM28" s="164" t="s">
        <v>42</v>
      </c>
      <c r="CN28" s="165" t="s">
        <v>66</v>
      </c>
      <c r="CO28" s="166" t="s">
        <v>53</v>
      </c>
      <c r="CP28" s="165" t="s">
        <v>59</v>
      </c>
      <c r="CQ28" s="166" t="s">
        <v>154</v>
      </c>
      <c r="CR28" s="167" t="s">
        <v>47</v>
      </c>
      <c r="CS28" s="166" t="s">
        <v>157</v>
      </c>
      <c r="CT28" s="166" t="s">
        <v>61</v>
      </c>
      <c r="CU28" s="168" t="s">
        <v>158</v>
      </c>
      <c r="CV28" s="169" t="s">
        <v>51</v>
      </c>
      <c r="CW28" s="53"/>
      <c r="CX28" s="160" t="s">
        <v>20</v>
      </c>
      <c r="CY28" s="160" t="s">
        <v>21</v>
      </c>
      <c r="CZ28" s="161" t="s">
        <v>22</v>
      </c>
      <c r="DA28" s="162" t="s">
        <v>23</v>
      </c>
      <c r="DB28" s="162" t="s">
        <v>24</v>
      </c>
      <c r="DC28" s="162" t="s">
        <v>25</v>
      </c>
      <c r="DD28" s="162" t="s">
        <v>26</v>
      </c>
      <c r="DE28" s="162" t="s">
        <v>27</v>
      </c>
      <c r="DF28" s="162" t="s">
        <v>28</v>
      </c>
      <c r="DG28" s="162" t="s">
        <v>29</v>
      </c>
      <c r="DH28" s="161" t="s">
        <v>30</v>
      </c>
      <c r="DI28" s="161" t="s">
        <v>31</v>
      </c>
      <c r="DJ28" s="162" t="s">
        <v>32</v>
      </c>
      <c r="DK28" s="162" t="s">
        <v>33</v>
      </c>
      <c r="DL28" s="162" t="s">
        <v>34</v>
      </c>
      <c r="DM28" s="162" t="s">
        <v>35</v>
      </c>
      <c r="DN28" s="162" t="s">
        <v>36</v>
      </c>
      <c r="DO28" s="162" t="s">
        <v>37</v>
      </c>
      <c r="DP28" s="162" t="s">
        <v>38</v>
      </c>
      <c r="DQ28" s="162" t="s">
        <v>39</v>
      </c>
      <c r="DR28" s="162" t="s">
        <v>40</v>
      </c>
      <c r="DS28" s="163" t="s">
        <v>41</v>
      </c>
      <c r="DT28" s="164" t="s">
        <v>42</v>
      </c>
      <c r="DU28" s="165" t="s">
        <v>43</v>
      </c>
      <c r="DV28" s="166" t="s">
        <v>44</v>
      </c>
      <c r="DW28" s="165" t="s">
        <v>45</v>
      </c>
      <c r="DX28" s="166" t="s">
        <v>46</v>
      </c>
      <c r="DY28" s="167" t="s">
        <v>47</v>
      </c>
      <c r="DZ28" s="166" t="s">
        <v>48</v>
      </c>
      <c r="EA28" s="166" t="s">
        <v>49</v>
      </c>
      <c r="EB28" s="168" t="s">
        <v>50</v>
      </c>
      <c r="EC28" s="169" t="s">
        <v>51</v>
      </c>
      <c r="ED28" s="53"/>
      <c r="EE28" s="160" t="s">
        <v>20</v>
      </c>
      <c r="EF28" s="160" t="s">
        <v>21</v>
      </c>
      <c r="EG28" s="161" t="s">
        <v>22</v>
      </c>
      <c r="EH28" s="162" t="s">
        <v>23</v>
      </c>
      <c r="EI28" s="162" t="s">
        <v>24</v>
      </c>
      <c r="EJ28" s="162" t="s">
        <v>25</v>
      </c>
      <c r="EK28" s="162" t="s">
        <v>26</v>
      </c>
      <c r="EL28" s="162" t="s">
        <v>27</v>
      </c>
      <c r="EM28" s="162" t="s">
        <v>28</v>
      </c>
      <c r="EN28" s="162" t="s">
        <v>29</v>
      </c>
      <c r="EO28" s="161" t="s">
        <v>30</v>
      </c>
      <c r="EP28" s="161" t="s">
        <v>31</v>
      </c>
      <c r="EQ28" s="162" t="s">
        <v>32</v>
      </c>
      <c r="ER28" s="162" t="s">
        <v>33</v>
      </c>
      <c r="ES28" s="162" t="s">
        <v>34</v>
      </c>
      <c r="ET28" s="162" t="s">
        <v>35</v>
      </c>
      <c r="EU28" s="162" t="s">
        <v>36</v>
      </c>
      <c r="EV28" s="162" t="s">
        <v>37</v>
      </c>
      <c r="EW28" s="162" t="s">
        <v>38</v>
      </c>
      <c r="EX28" s="162" t="s">
        <v>39</v>
      </c>
      <c r="EY28" s="162" t="s">
        <v>40</v>
      </c>
      <c r="EZ28" s="163" t="s">
        <v>41</v>
      </c>
      <c r="FA28" s="164" t="s">
        <v>42</v>
      </c>
      <c r="FB28" s="165" t="s">
        <v>43</v>
      </c>
      <c r="FC28" s="166" t="s">
        <v>44</v>
      </c>
      <c r="FD28" s="165" t="s">
        <v>45</v>
      </c>
      <c r="FE28" s="166" t="s">
        <v>46</v>
      </c>
      <c r="FF28" s="167" t="s">
        <v>47</v>
      </c>
      <c r="FG28" s="166" t="s">
        <v>48</v>
      </c>
      <c r="FH28" s="166" t="s">
        <v>49</v>
      </c>
      <c r="FI28" s="168" t="s">
        <v>50</v>
      </c>
      <c r="FJ28" s="169" t="s">
        <v>51</v>
      </c>
      <c r="FK28" s="53"/>
      <c r="FL28" s="53"/>
      <c r="FM28" s="53"/>
      <c r="FN28" s="160" t="s">
        <v>20</v>
      </c>
      <c r="FO28" s="160" t="s">
        <v>21</v>
      </c>
      <c r="FP28" s="161" t="s">
        <v>22</v>
      </c>
      <c r="FQ28" s="162" t="s">
        <v>23</v>
      </c>
      <c r="FR28" s="162" t="s">
        <v>24</v>
      </c>
      <c r="FS28" s="162" t="s">
        <v>25</v>
      </c>
      <c r="FT28" s="162" t="s">
        <v>26</v>
      </c>
      <c r="FU28" s="162" t="s">
        <v>27</v>
      </c>
      <c r="FV28" s="162" t="s">
        <v>28</v>
      </c>
      <c r="FW28" s="162" t="s">
        <v>29</v>
      </c>
      <c r="FX28" s="161" t="s">
        <v>30</v>
      </c>
      <c r="FY28" s="161" t="s">
        <v>31</v>
      </c>
      <c r="FZ28" s="162" t="s">
        <v>32</v>
      </c>
      <c r="GA28" s="162" t="s">
        <v>33</v>
      </c>
      <c r="GB28" s="162" t="s">
        <v>34</v>
      </c>
      <c r="GC28" s="162" t="s">
        <v>35</v>
      </c>
      <c r="GD28" s="162" t="s">
        <v>36</v>
      </c>
      <c r="GE28" s="162" t="s">
        <v>37</v>
      </c>
      <c r="GF28" s="162" t="s">
        <v>38</v>
      </c>
      <c r="GG28" s="162" t="s">
        <v>39</v>
      </c>
      <c r="GH28" s="162" t="s">
        <v>40</v>
      </c>
      <c r="GI28" s="163" t="s">
        <v>41</v>
      </c>
      <c r="GJ28" s="164" t="s">
        <v>42</v>
      </c>
      <c r="GK28" s="165" t="s">
        <v>43</v>
      </c>
      <c r="GL28" s="166" t="s">
        <v>44</v>
      </c>
      <c r="GM28" s="165" t="s">
        <v>45</v>
      </c>
      <c r="GN28" s="166" t="s">
        <v>46</v>
      </c>
      <c r="GO28" s="167" t="s">
        <v>47</v>
      </c>
      <c r="GP28" s="166" t="s">
        <v>48</v>
      </c>
      <c r="GQ28" s="166" t="s">
        <v>49</v>
      </c>
      <c r="GR28" s="168" t="s">
        <v>50</v>
      </c>
      <c r="GS28" s="169" t="s">
        <v>51</v>
      </c>
      <c r="GT28" s="53"/>
      <c r="GU28" s="53"/>
      <c r="GV28" s="160" t="s">
        <v>20</v>
      </c>
      <c r="GW28" s="160" t="s">
        <v>21</v>
      </c>
      <c r="GX28" s="161" t="s">
        <v>22</v>
      </c>
      <c r="GY28" s="162" t="s">
        <v>23</v>
      </c>
      <c r="GZ28" s="162" t="s">
        <v>24</v>
      </c>
      <c r="HA28" s="162" t="s">
        <v>25</v>
      </c>
      <c r="HB28" s="162" t="s">
        <v>26</v>
      </c>
      <c r="HC28" s="162" t="s">
        <v>27</v>
      </c>
      <c r="HD28" s="162" t="s">
        <v>28</v>
      </c>
      <c r="HE28" s="162" t="s">
        <v>29</v>
      </c>
      <c r="HF28" s="161" t="s">
        <v>30</v>
      </c>
      <c r="HG28" s="161" t="s">
        <v>31</v>
      </c>
      <c r="HH28" s="162" t="s">
        <v>32</v>
      </c>
      <c r="HI28" s="162" t="s">
        <v>33</v>
      </c>
      <c r="HJ28" s="162" t="s">
        <v>34</v>
      </c>
      <c r="HK28" s="162" t="s">
        <v>35</v>
      </c>
      <c r="HL28" s="162" t="s">
        <v>36</v>
      </c>
      <c r="HM28" s="162" t="s">
        <v>37</v>
      </c>
      <c r="HN28" s="162" t="s">
        <v>38</v>
      </c>
      <c r="HO28" s="162" t="s">
        <v>39</v>
      </c>
      <c r="HP28" s="162" t="s">
        <v>40</v>
      </c>
      <c r="HQ28" s="163" t="s">
        <v>41</v>
      </c>
      <c r="HR28" s="164" t="s">
        <v>42</v>
      </c>
      <c r="HS28" s="165" t="s">
        <v>43</v>
      </c>
      <c r="HT28" s="166" t="s">
        <v>44</v>
      </c>
      <c r="HU28" s="165" t="s">
        <v>45</v>
      </c>
      <c r="HV28" s="166" t="s">
        <v>46</v>
      </c>
      <c r="HW28" s="167" t="s">
        <v>47</v>
      </c>
      <c r="HX28" s="166" t="s">
        <v>48</v>
      </c>
      <c r="HY28" s="166" t="s">
        <v>49</v>
      </c>
      <c r="HZ28" s="168" t="s">
        <v>50</v>
      </c>
      <c r="IA28" s="169" t="s">
        <v>51</v>
      </c>
      <c r="IB28" s="53"/>
      <c r="IC28" s="53"/>
      <c r="ID28" s="160" t="s">
        <v>20</v>
      </c>
      <c r="IE28" s="160" t="s">
        <v>21</v>
      </c>
      <c r="IF28" s="161" t="s">
        <v>22</v>
      </c>
      <c r="IG28" s="162" t="s">
        <v>23</v>
      </c>
      <c r="IH28" s="162" t="s">
        <v>24</v>
      </c>
      <c r="II28" s="162" t="s">
        <v>25</v>
      </c>
      <c r="IJ28" s="162" t="s">
        <v>26</v>
      </c>
      <c r="IK28" s="162" t="s">
        <v>27</v>
      </c>
      <c r="IL28" s="162" t="s">
        <v>28</v>
      </c>
      <c r="IM28" s="162" t="s">
        <v>29</v>
      </c>
      <c r="IN28" s="161" t="s">
        <v>30</v>
      </c>
      <c r="IO28" s="161" t="s">
        <v>31</v>
      </c>
      <c r="IP28" s="162" t="s">
        <v>32</v>
      </c>
      <c r="IQ28" s="162" t="s">
        <v>33</v>
      </c>
      <c r="IR28" s="162" t="s">
        <v>34</v>
      </c>
      <c r="IS28" s="162" t="s">
        <v>35</v>
      </c>
      <c r="IT28" s="162" t="s">
        <v>36</v>
      </c>
      <c r="IU28" s="162" t="s">
        <v>37</v>
      </c>
      <c r="IV28" s="162" t="s">
        <v>38</v>
      </c>
      <c r="IW28" s="162" t="s">
        <v>39</v>
      </c>
      <c r="IX28" s="162" t="s">
        <v>40</v>
      </c>
      <c r="IY28" s="163" t="s">
        <v>41</v>
      </c>
      <c r="IZ28" s="164" t="s">
        <v>42</v>
      </c>
      <c r="JA28" s="165" t="s">
        <v>43</v>
      </c>
      <c r="JB28" s="166" t="s">
        <v>44</v>
      </c>
      <c r="JC28" s="165" t="s">
        <v>45</v>
      </c>
      <c r="JD28" s="166" t="s">
        <v>46</v>
      </c>
      <c r="JE28" s="167" t="s">
        <v>47</v>
      </c>
      <c r="JF28" s="166" t="s">
        <v>48</v>
      </c>
      <c r="JG28" s="166" t="s">
        <v>49</v>
      </c>
      <c r="JH28" s="168" t="s">
        <v>50</v>
      </c>
      <c r="JI28" s="169" t="s">
        <v>51</v>
      </c>
      <c r="JJ28" s="53"/>
      <c r="JK28" s="53"/>
      <c r="JL28" s="160" t="s">
        <v>20</v>
      </c>
      <c r="JM28" s="160" t="s">
        <v>21</v>
      </c>
      <c r="JN28" s="161" t="s">
        <v>22</v>
      </c>
      <c r="JO28" s="162" t="s">
        <v>23</v>
      </c>
      <c r="JP28" s="162" t="s">
        <v>24</v>
      </c>
      <c r="JQ28" s="162" t="s">
        <v>25</v>
      </c>
      <c r="JR28" s="162" t="s">
        <v>26</v>
      </c>
      <c r="JS28" s="162" t="s">
        <v>27</v>
      </c>
      <c r="JT28" s="162" t="s">
        <v>28</v>
      </c>
      <c r="JU28" s="162" t="s">
        <v>29</v>
      </c>
      <c r="JV28" s="161" t="s">
        <v>30</v>
      </c>
      <c r="JW28" s="161" t="s">
        <v>31</v>
      </c>
      <c r="JX28" s="162" t="s">
        <v>32</v>
      </c>
      <c r="JY28" s="162" t="s">
        <v>33</v>
      </c>
      <c r="JZ28" s="162" t="s">
        <v>34</v>
      </c>
      <c r="KA28" s="162" t="s">
        <v>35</v>
      </c>
      <c r="KB28" s="162" t="s">
        <v>36</v>
      </c>
      <c r="KC28" s="162" t="s">
        <v>37</v>
      </c>
      <c r="KD28" s="162" t="s">
        <v>38</v>
      </c>
      <c r="KE28" s="162" t="s">
        <v>39</v>
      </c>
      <c r="KF28" s="162" t="s">
        <v>40</v>
      </c>
      <c r="KG28" s="163" t="s">
        <v>41</v>
      </c>
      <c r="KH28" s="164" t="s">
        <v>42</v>
      </c>
      <c r="KI28" s="165" t="s">
        <v>43</v>
      </c>
      <c r="KJ28" s="166" t="s">
        <v>44</v>
      </c>
      <c r="KK28" s="165" t="s">
        <v>45</v>
      </c>
      <c r="KL28" s="166" t="s">
        <v>46</v>
      </c>
      <c r="KM28" s="167" t="s">
        <v>47</v>
      </c>
      <c r="KN28" s="166" t="s">
        <v>48</v>
      </c>
      <c r="KO28" s="166" t="s">
        <v>49</v>
      </c>
      <c r="KP28" s="168" t="s">
        <v>50</v>
      </c>
      <c r="KQ28" s="169" t="s">
        <v>51</v>
      </c>
      <c r="KR28" s="53"/>
      <c r="KS28" s="53"/>
      <c r="KT28" s="254" t="s">
        <v>20</v>
      </c>
      <c r="KU28" s="254" t="s">
        <v>21</v>
      </c>
      <c r="KV28" s="254"/>
      <c r="KW28" s="255" t="s">
        <v>23</v>
      </c>
      <c r="KX28" s="255"/>
      <c r="KY28" s="255" t="s">
        <v>54</v>
      </c>
      <c r="KZ28" s="255" t="s">
        <v>55</v>
      </c>
      <c r="LA28" s="255" t="s">
        <v>27</v>
      </c>
      <c r="LB28" s="255" t="s">
        <v>159</v>
      </c>
      <c r="LC28" s="255" t="s">
        <v>29</v>
      </c>
      <c r="LD28" s="256" t="s">
        <v>30</v>
      </c>
      <c r="LE28" s="256" t="s">
        <v>31</v>
      </c>
      <c r="LF28" s="256"/>
      <c r="LG28" s="255" t="s">
        <v>33</v>
      </c>
      <c r="LH28" s="255" t="s">
        <v>34</v>
      </c>
      <c r="LI28" s="255" t="s">
        <v>35</v>
      </c>
      <c r="LJ28" s="255" t="s">
        <v>36</v>
      </c>
      <c r="LK28" s="255" t="s">
        <v>37</v>
      </c>
      <c r="LL28" s="255" t="s">
        <v>38</v>
      </c>
      <c r="LM28" s="255" t="s">
        <v>39</v>
      </c>
      <c r="LN28" s="255" t="s">
        <v>40</v>
      </c>
      <c r="LO28" s="256" t="s">
        <v>155</v>
      </c>
      <c r="LP28" s="257" t="s">
        <v>42</v>
      </c>
      <c r="LQ28" s="258" t="s">
        <v>66</v>
      </c>
      <c r="LR28" s="259" t="s">
        <v>53</v>
      </c>
      <c r="LS28" s="258" t="s">
        <v>59</v>
      </c>
      <c r="LT28" s="258"/>
      <c r="LU28" s="259" t="s">
        <v>47</v>
      </c>
      <c r="LV28" s="259" t="s">
        <v>157</v>
      </c>
      <c r="LW28" s="259" t="s">
        <v>61</v>
      </c>
      <c r="LX28" s="260" t="s">
        <v>158</v>
      </c>
      <c r="LY28" s="260" t="s">
        <v>51</v>
      </c>
      <c r="LZ28" s="296"/>
      <c r="MA28" s="241"/>
      <c r="MB28" s="254" t="s">
        <v>20</v>
      </c>
      <c r="MC28" s="254" t="s">
        <v>21</v>
      </c>
      <c r="MD28" s="254"/>
      <c r="ME28" s="255" t="s">
        <v>23</v>
      </c>
      <c r="MF28" s="255"/>
      <c r="MG28" s="255" t="s">
        <v>54</v>
      </c>
      <c r="MH28" s="255" t="s">
        <v>55</v>
      </c>
      <c r="MI28" s="255" t="s">
        <v>27</v>
      </c>
      <c r="MJ28" s="255" t="s">
        <v>159</v>
      </c>
      <c r="MK28" s="255" t="s">
        <v>29</v>
      </c>
      <c r="ML28" s="256" t="s">
        <v>30</v>
      </c>
      <c r="MM28" s="256" t="s">
        <v>31</v>
      </c>
      <c r="MN28" s="256"/>
      <c r="MO28" s="255" t="s">
        <v>33</v>
      </c>
      <c r="MP28" s="255" t="s">
        <v>34</v>
      </c>
      <c r="MQ28" s="255" t="s">
        <v>35</v>
      </c>
      <c r="MR28" s="255" t="s">
        <v>36</v>
      </c>
      <c r="MS28" s="255" t="s">
        <v>37</v>
      </c>
      <c r="MT28" s="255" t="s">
        <v>38</v>
      </c>
      <c r="MU28" s="255" t="s">
        <v>39</v>
      </c>
      <c r="MV28" s="255" t="s">
        <v>40</v>
      </c>
      <c r="MW28" s="256" t="s">
        <v>155</v>
      </c>
      <c r="MX28" s="257" t="s">
        <v>42</v>
      </c>
      <c r="MY28" s="258" t="s">
        <v>66</v>
      </c>
      <c r="MZ28" s="259" t="s">
        <v>53</v>
      </c>
      <c r="NA28" s="258" t="s">
        <v>59</v>
      </c>
      <c r="NB28" s="259" t="s">
        <v>47</v>
      </c>
      <c r="NC28" s="259"/>
      <c r="ND28" s="259" t="s">
        <v>157</v>
      </c>
      <c r="NE28" s="259" t="s">
        <v>61</v>
      </c>
      <c r="NF28" s="260" t="s">
        <v>158</v>
      </c>
      <c r="NG28" s="260" t="s">
        <v>51</v>
      </c>
      <c r="NH28" s="53"/>
      <c r="NI28" s="53"/>
      <c r="NJ28" s="254" t="s">
        <v>20</v>
      </c>
      <c r="NK28" s="254" t="s">
        <v>21</v>
      </c>
      <c r="NL28" s="254"/>
      <c r="NM28" s="255" t="s">
        <v>23</v>
      </c>
      <c r="NN28" s="255"/>
      <c r="NO28" s="255" t="s">
        <v>54</v>
      </c>
      <c r="NP28" s="255" t="s">
        <v>55</v>
      </c>
      <c r="NQ28" s="255" t="s">
        <v>27</v>
      </c>
      <c r="NR28" s="255" t="s">
        <v>159</v>
      </c>
      <c r="NS28" s="255" t="s">
        <v>29</v>
      </c>
      <c r="NT28" s="256" t="s">
        <v>30</v>
      </c>
      <c r="NU28" s="256" t="s">
        <v>31</v>
      </c>
      <c r="NV28" s="256"/>
      <c r="NW28" s="255" t="s">
        <v>33</v>
      </c>
      <c r="NX28" s="255" t="s">
        <v>34</v>
      </c>
      <c r="NY28" s="255" t="s">
        <v>35</v>
      </c>
      <c r="NZ28" s="255" t="s">
        <v>36</v>
      </c>
      <c r="OA28" s="255" t="s">
        <v>37</v>
      </c>
      <c r="OB28" s="255" t="s">
        <v>38</v>
      </c>
      <c r="OC28" s="255" t="s">
        <v>39</v>
      </c>
      <c r="OD28" s="255" t="s">
        <v>40</v>
      </c>
      <c r="OE28" s="256" t="s">
        <v>58</v>
      </c>
      <c r="OF28" s="257" t="s">
        <v>42</v>
      </c>
      <c r="OG28" s="258" t="s">
        <v>66</v>
      </c>
      <c r="OH28" s="259" t="s">
        <v>53</v>
      </c>
      <c r="OI28" s="258" t="s">
        <v>59</v>
      </c>
      <c r="OJ28" s="258"/>
      <c r="OK28" s="259" t="s">
        <v>47</v>
      </c>
      <c r="OL28" s="259" t="s">
        <v>157</v>
      </c>
      <c r="OM28" s="259" t="s">
        <v>61</v>
      </c>
      <c r="ON28" s="260" t="s">
        <v>158</v>
      </c>
      <c r="OO28" s="260" t="s">
        <v>51</v>
      </c>
      <c r="OP28" s="53"/>
      <c r="OQ28" s="53"/>
      <c r="OR28" s="53"/>
      <c r="OS28" s="144"/>
      <c r="OT28" s="144"/>
      <c r="OU28" s="144"/>
      <c r="OV28" s="144"/>
      <c r="OW28" s="144"/>
      <c r="OX28" s="144"/>
      <c r="OY28" s="144"/>
      <c r="OZ28" s="144"/>
      <c r="PA28" s="144"/>
      <c r="PB28" s="144"/>
      <c r="PC28" s="144"/>
      <c r="PD28" s="144"/>
      <c r="PE28" s="144"/>
      <c r="PF28" s="144"/>
      <c r="PG28" s="144"/>
      <c r="PH28" s="144"/>
      <c r="PI28" s="144"/>
      <c r="PJ28" s="144"/>
      <c r="PK28" s="144"/>
      <c r="PL28" s="144"/>
      <c r="PM28" s="144"/>
      <c r="PN28" s="144"/>
      <c r="PO28" s="144"/>
      <c r="PP28" s="144"/>
      <c r="PQ28" s="144"/>
      <c r="PR28" s="144"/>
      <c r="PS28" s="144"/>
      <c r="PT28" s="146"/>
      <c r="PU28" s="84"/>
      <c r="PV28" s="84"/>
      <c r="PW28" s="154"/>
      <c r="PX28" s="154"/>
      <c r="PY28" s="154"/>
      <c r="PZ28" s="154"/>
      <c r="QA28" s="154"/>
      <c r="QB28" s="154"/>
      <c r="QC28" s="154"/>
      <c r="QD28" s="154"/>
      <c r="QE28" s="154"/>
      <c r="QF28" s="155"/>
      <c r="QG28" s="155"/>
      <c r="QH28" s="155"/>
      <c r="QI28" s="155"/>
      <c r="QJ28" s="155"/>
      <c r="QK28" s="155"/>
      <c r="QL28" s="155"/>
      <c r="QM28" s="155"/>
      <c r="QN28" s="155"/>
      <c r="QO28" s="155"/>
      <c r="QP28" s="297"/>
      <c r="QQ28" s="155"/>
      <c r="QR28" s="84"/>
      <c r="QS28" s="155"/>
      <c r="QT28" s="84"/>
      <c r="QU28" s="84"/>
      <c r="QV28" s="84"/>
      <c r="QW28" s="154"/>
      <c r="QX28" s="154"/>
      <c r="QY28" s="154"/>
      <c r="QZ28" s="154"/>
      <c r="RA28" s="154"/>
      <c r="RB28" s="154"/>
      <c r="RC28" s="155"/>
      <c r="RD28" s="154"/>
      <c r="RE28" s="154"/>
      <c r="RF28" s="154"/>
      <c r="RG28" s="154"/>
      <c r="RH28" s="154"/>
      <c r="RI28" s="154"/>
      <c r="RJ28" s="154"/>
      <c r="RK28" s="154"/>
      <c r="RL28" s="154"/>
      <c r="RM28" s="154"/>
      <c r="RN28" s="154"/>
      <c r="RO28" s="144"/>
      <c r="RP28" s="144"/>
      <c r="RQ28" s="84"/>
      <c r="RR28" s="84"/>
      <c r="RS28" s="154"/>
      <c r="RT28" s="154"/>
      <c r="RU28" s="154"/>
      <c r="RV28" s="154"/>
      <c r="RW28" s="154"/>
      <c r="RX28" s="154"/>
      <c r="RY28" s="154"/>
      <c r="RZ28" s="154"/>
      <c r="SA28" s="154"/>
      <c r="SB28" s="154"/>
      <c r="SC28" s="154"/>
      <c r="SD28" s="154"/>
      <c r="SE28" s="154"/>
      <c r="SF28" s="154"/>
      <c r="SG28" s="154"/>
      <c r="SH28" s="154"/>
      <c r="SI28" s="154"/>
      <c r="SJ28" s="154"/>
      <c r="SK28" s="157"/>
      <c r="SL28" s="144"/>
      <c r="SM28" s="84"/>
      <c r="SN28" s="84"/>
      <c r="SO28" s="154"/>
      <c r="SP28" s="154"/>
      <c r="SQ28" s="154"/>
      <c r="SR28" s="154"/>
      <c r="SS28" s="154"/>
      <c r="ST28" s="154"/>
      <c r="SU28" s="154"/>
      <c r="SV28" s="154"/>
      <c r="SW28" s="154"/>
      <c r="SX28" s="154"/>
      <c r="SY28" s="154"/>
      <c r="SZ28" s="154"/>
      <c r="TA28" s="154"/>
      <c r="TB28" s="154"/>
      <c r="TC28" s="154"/>
      <c r="TD28" s="154"/>
      <c r="TE28" s="154"/>
      <c r="TF28" s="154"/>
      <c r="TG28" s="156"/>
      <c r="TH28" s="84"/>
      <c r="TI28" s="84"/>
      <c r="TJ28" s="84"/>
      <c r="TK28" s="84"/>
      <c r="TL28" s="154"/>
      <c r="TM28" s="154"/>
      <c r="TN28" s="154"/>
      <c r="TO28" s="154"/>
      <c r="TP28" s="154"/>
      <c r="TQ28" s="154"/>
      <c r="TR28" s="154"/>
      <c r="TS28" s="154"/>
      <c r="TT28" s="154"/>
      <c r="TU28" s="154"/>
      <c r="TV28" s="154"/>
      <c r="TW28" s="154"/>
      <c r="TX28" s="154"/>
      <c r="TY28" s="154"/>
      <c r="TZ28" s="154"/>
      <c r="UA28" s="154"/>
      <c r="UB28" s="154"/>
      <c r="UC28" s="154"/>
      <c r="UD28" s="154"/>
      <c r="UE28" s="154"/>
      <c r="UF28" s="154"/>
      <c r="UG28" s="154"/>
      <c r="UH28" s="154"/>
      <c r="UI28" s="154"/>
      <c r="UJ28" s="154"/>
      <c r="UK28" s="154"/>
      <c r="UL28" s="154"/>
      <c r="UM28" s="154"/>
      <c r="UN28" s="154"/>
      <c r="UO28" s="154"/>
      <c r="UP28" s="154"/>
      <c r="UQ28" s="154"/>
      <c r="UR28" s="154"/>
      <c r="US28" s="154"/>
      <c r="UT28" s="154"/>
      <c r="UU28" s="154"/>
      <c r="UV28" s="154"/>
      <c r="UW28" s="154"/>
      <c r="UX28" s="154"/>
      <c r="UY28" s="154"/>
      <c r="UZ28" s="154"/>
      <c r="VA28" s="154"/>
      <c r="VB28" s="154"/>
      <c r="VC28" s="154"/>
      <c r="VD28" s="154"/>
      <c r="VE28" s="154"/>
      <c r="VF28" s="154"/>
      <c r="VG28" s="154"/>
      <c r="VH28" s="154"/>
      <c r="VI28" s="154"/>
      <c r="VJ28" s="154"/>
      <c r="VK28" s="154"/>
      <c r="VL28" s="154"/>
      <c r="VM28" s="154"/>
      <c r="VN28" s="154"/>
      <c r="VO28" s="154"/>
      <c r="VP28" s="154"/>
      <c r="VQ28" s="154"/>
      <c r="VR28" s="154"/>
      <c r="VS28" s="154"/>
      <c r="VT28" s="298"/>
      <c r="VU28" s="298"/>
    </row>
    <row r="29" ht="18" hidden="1" customHeight="1" spans="1:593">
      <c r="A29" s="53"/>
      <c r="B29" s="53"/>
      <c r="C29" s="160" t="s">
        <v>183</v>
      </c>
      <c r="D29" s="160"/>
      <c r="E29" s="161"/>
      <c r="F29" s="162"/>
      <c r="G29" s="162"/>
      <c r="H29" s="162"/>
      <c r="I29" s="162"/>
      <c r="J29" s="163"/>
      <c r="K29" s="163"/>
      <c r="L29" s="163"/>
      <c r="M29" s="161"/>
      <c r="N29" s="161"/>
      <c r="O29" s="162">
        <f t="shared" si="312"/>
        <v>0</v>
      </c>
      <c r="P29" s="162"/>
      <c r="Q29" s="162"/>
      <c r="R29" s="162"/>
      <c r="S29" s="162"/>
      <c r="T29" s="162"/>
      <c r="U29" s="162"/>
      <c r="V29" s="162"/>
      <c r="W29" s="162">
        <f>U29-V29</f>
        <v>0</v>
      </c>
      <c r="X29" s="162"/>
      <c r="Y29" s="185"/>
      <c r="Z29" s="179">
        <f>U29*4%</f>
        <v>0</v>
      </c>
      <c r="AA29" s="167">
        <f t="shared" si="314"/>
        <v>0</v>
      </c>
      <c r="AB29" s="179"/>
      <c r="AC29" s="167"/>
      <c r="AD29" s="167">
        <f>W29-Z29-AA29-X29-AB29-AC29</f>
        <v>0</v>
      </c>
      <c r="AE29" s="167" t="e">
        <f t="shared" si="315"/>
        <v>#DIV/0!</v>
      </c>
      <c r="AF29" s="186" t="e">
        <f t="shared" si="316"/>
        <v>#DIV/0!</v>
      </c>
      <c r="AG29" s="187" t="e">
        <f t="shared" si="317"/>
        <v>#DIV/0!</v>
      </c>
      <c r="AH29" s="188" t="e">
        <f t="shared" si="318"/>
        <v>#DIV/0!</v>
      </c>
      <c r="AI29" s="53"/>
      <c r="AJ29" s="160" t="s">
        <v>183</v>
      </c>
      <c r="AK29" s="160">
        <v>0</v>
      </c>
      <c r="AL29" s="161">
        <v>0</v>
      </c>
      <c r="AM29" s="162">
        <v>0</v>
      </c>
      <c r="AN29" s="162" t="e">
        <f>(AP29/AM29)/AZ1</f>
        <v>#DIV/0!</v>
      </c>
      <c r="AO29" s="162">
        <v>849</v>
      </c>
      <c r="AP29" s="162">
        <v>294</v>
      </c>
      <c r="AQ29" s="163">
        <v>44575.6333333333</v>
      </c>
      <c r="AR29" s="163">
        <v>79666.4666666666</v>
      </c>
      <c r="AS29" s="163">
        <v>29300</v>
      </c>
      <c r="AT29" s="161">
        <f>12198828/60</f>
        <v>203313.8</v>
      </c>
      <c r="AU29" s="161">
        <f>11661700/60</f>
        <v>194361.666666667</v>
      </c>
      <c r="AV29" s="162">
        <f t="shared" si="321"/>
        <v>8952.13333333333</v>
      </c>
      <c r="AW29" s="162">
        <v>52786.3833333333</v>
      </c>
      <c r="AX29" s="162">
        <v>52786.3833333333</v>
      </c>
      <c r="AY29" s="162">
        <v>23033.3333333333</v>
      </c>
      <c r="AZ29" s="162">
        <v>1362</v>
      </c>
      <c r="BA29" s="162">
        <v>1068</v>
      </c>
      <c r="BB29" s="162">
        <v>789461.3</v>
      </c>
      <c r="BC29" s="162">
        <v>701952.71344086</v>
      </c>
      <c r="BD29" s="162">
        <f>BB29-BC29</f>
        <v>87508.58655914</v>
      </c>
      <c r="BE29" s="162">
        <v>19613</v>
      </c>
      <c r="BF29" s="185">
        <f>2221326.91/60</f>
        <v>37022.1151666667</v>
      </c>
      <c r="BG29" s="179">
        <f>BB29*4%</f>
        <v>31578.452</v>
      </c>
      <c r="BH29" s="167">
        <f t="shared" si="323"/>
        <v>7404.42303333333</v>
      </c>
      <c r="BI29" s="179">
        <f>'[1]MM01'!$B$4</f>
        <v>0</v>
      </c>
      <c r="BJ29" s="167">
        <f>'[1]MM01'!$C$4</f>
        <v>0</v>
      </c>
      <c r="BK29" s="167">
        <f>BD29-BG29-BH29-BE29-BI29-BJ29</f>
        <v>28912.7115258067</v>
      </c>
      <c r="BL29" s="167">
        <f t="shared" si="324"/>
        <v>270.974376417233</v>
      </c>
      <c r="BM29" s="186">
        <f t="shared" si="325"/>
        <v>579.633847283407</v>
      </c>
      <c r="BN29" s="187">
        <f t="shared" si="326"/>
        <v>1.35959172247785</v>
      </c>
      <c r="BO29" s="188">
        <f t="shared" si="327"/>
        <v>1.4934257148538</v>
      </c>
      <c r="BP29" s="3" t="s">
        <v>177</v>
      </c>
      <c r="BQ29" s="160" t="s">
        <v>183</v>
      </c>
      <c r="BR29" s="160">
        <v>0</v>
      </c>
      <c r="BS29" s="161">
        <v>3</v>
      </c>
      <c r="BT29" s="162">
        <v>6</v>
      </c>
      <c r="BU29" s="162">
        <v>2.32795698924731</v>
      </c>
      <c r="BV29" s="162">
        <v>1069</v>
      </c>
      <c r="BW29" s="162">
        <v>433</v>
      </c>
      <c r="BX29" s="163">
        <v>65566.6666666667</v>
      </c>
      <c r="BY29" s="163">
        <v>114723.333333333</v>
      </c>
      <c r="BZ29" s="163">
        <v>72262.65</v>
      </c>
      <c r="CA29" s="161">
        <f>20210116/60</f>
        <v>336835.266666667</v>
      </c>
      <c r="CB29" s="161">
        <f>16539427/60</f>
        <v>275657.116666667</v>
      </c>
      <c r="CC29" s="162">
        <v>61178.15</v>
      </c>
      <c r="CD29" s="162">
        <v>368</v>
      </c>
      <c r="CE29" s="162">
        <v>101696.666666667</v>
      </c>
      <c r="CF29" s="162">
        <v>50554.9833333333</v>
      </c>
      <c r="CG29" s="162">
        <v>1646</v>
      </c>
      <c r="CH29" s="162">
        <v>1213</v>
      </c>
      <c r="CI29" s="162">
        <v>1136587.46666667</v>
      </c>
      <c r="CJ29" s="162">
        <v>870057.080434782</v>
      </c>
      <c r="CK29" s="162">
        <f>CI29-CJ29</f>
        <v>266530.386231888</v>
      </c>
      <c r="CL29" s="162">
        <v>15298</v>
      </c>
      <c r="CM29" s="185">
        <f>12701571.34/60</f>
        <v>211692.855666667</v>
      </c>
      <c r="CN29" s="179">
        <f>CI29*4%</f>
        <v>45463.4986666668</v>
      </c>
      <c r="CO29" s="167">
        <f t="shared" si="331"/>
        <v>42338.5711333333</v>
      </c>
      <c r="CP29" s="179">
        <v>0</v>
      </c>
      <c r="CQ29" s="167">
        <v>75562.5</v>
      </c>
      <c r="CR29" s="167">
        <f>CK29-CN29-CO29-CL29-CP29-CQ29</f>
        <v>87867.8164318879</v>
      </c>
      <c r="CS29" s="167">
        <f t="shared" si="332"/>
        <v>264.949961508852</v>
      </c>
      <c r="CT29" s="186">
        <f t="shared" si="333"/>
        <v>690.514864317539</v>
      </c>
      <c r="CU29" s="187">
        <f t="shared" si="334"/>
        <v>1.11273768830497</v>
      </c>
      <c r="CV29" s="188">
        <f t="shared" si="335"/>
        <v>1.49180875731413</v>
      </c>
      <c r="CW29" s="53"/>
      <c r="CX29" s="160" t="s">
        <v>183</v>
      </c>
      <c r="CY29" s="160">
        <v>0</v>
      </c>
      <c r="CZ29" s="161">
        <v>3</v>
      </c>
      <c r="DA29" s="162">
        <v>10</v>
      </c>
      <c r="DB29" s="162">
        <v>0.34</v>
      </c>
      <c r="DC29" s="162">
        <v>304</v>
      </c>
      <c r="DD29" s="162">
        <v>102</v>
      </c>
      <c r="DE29" s="163">
        <v>13616.25</v>
      </c>
      <c r="DF29" s="163">
        <v>19235</v>
      </c>
      <c r="DG29" s="163">
        <v>12075</v>
      </c>
      <c r="DH29" s="161">
        <f>2176800/80</f>
        <v>27210</v>
      </c>
      <c r="DI29" s="161">
        <f>1397000/80</f>
        <v>17462.5</v>
      </c>
      <c r="DJ29" s="162">
        <f t="shared" si="338"/>
        <v>9747.5</v>
      </c>
      <c r="DK29" s="162">
        <v>90</v>
      </c>
      <c r="DL29" s="162">
        <v>18103.75</v>
      </c>
      <c r="DM29" s="162">
        <v>11575</v>
      </c>
      <c r="DN29" s="162">
        <v>866</v>
      </c>
      <c r="DO29" s="162">
        <v>764</v>
      </c>
      <c r="DP29" s="162">
        <v>708167.525</v>
      </c>
      <c r="DQ29" s="162">
        <v>541958.475</v>
      </c>
      <c r="DR29" s="162">
        <f>DP29-DQ29</f>
        <v>166209.05</v>
      </c>
      <c r="DS29" s="162">
        <v>0</v>
      </c>
      <c r="DT29" s="185">
        <f>11033406.63/80</f>
        <v>137917.582875</v>
      </c>
      <c r="DU29" s="179">
        <f>DP29*4%</f>
        <v>28326.701</v>
      </c>
      <c r="DV29" s="167">
        <f t="shared" si="340"/>
        <v>27583.516575</v>
      </c>
      <c r="DW29" s="179">
        <f>'[1]MM01'!$B$4</f>
        <v>0</v>
      </c>
      <c r="DX29" s="167">
        <f>'[1]MM01'!$C$4</f>
        <v>0</v>
      </c>
      <c r="DY29" s="167">
        <f>DR29-DU29-DV29-DS29-DW29-DX29</f>
        <v>110298.832425</v>
      </c>
      <c r="DZ29" s="167">
        <f t="shared" si="341"/>
        <v>188.578431372549</v>
      </c>
      <c r="EA29" s="186">
        <f t="shared" si="342"/>
        <v>817.745409930716</v>
      </c>
      <c r="EB29" s="187">
        <f t="shared" si="343"/>
        <v>0.344033717525736</v>
      </c>
      <c r="EC29" s="188">
        <f t="shared" si="344"/>
        <v>2.9727848899361</v>
      </c>
      <c r="ED29" s="53"/>
      <c r="EE29" s="160" t="s">
        <v>183</v>
      </c>
      <c r="EF29" s="160">
        <v>0</v>
      </c>
      <c r="EG29" s="160">
        <v>3</v>
      </c>
      <c r="EH29" s="162">
        <v>13</v>
      </c>
      <c r="EI29" s="162">
        <v>0.176178660049628</v>
      </c>
      <c r="EJ29" s="162">
        <v>256</v>
      </c>
      <c r="EK29" s="162">
        <v>71</v>
      </c>
      <c r="EL29" s="163">
        <v>6475</v>
      </c>
      <c r="EM29" s="163">
        <v>13975</v>
      </c>
      <c r="EN29" s="163">
        <v>6100</v>
      </c>
      <c r="EO29" s="161">
        <v>43208.75</v>
      </c>
      <c r="EP29" s="161">
        <v>31435.15</v>
      </c>
      <c r="EQ29" s="162">
        <v>11773.6</v>
      </c>
      <c r="ER29" s="162">
        <v>60</v>
      </c>
      <c r="ES29" s="162">
        <v>12537.5</v>
      </c>
      <c r="ET29" s="162">
        <v>5450</v>
      </c>
      <c r="EU29" s="162">
        <v>991</v>
      </c>
      <c r="EV29" s="162">
        <v>920</v>
      </c>
      <c r="EW29" s="162">
        <v>852838.0125</v>
      </c>
      <c r="EX29" s="162">
        <v>649433.7375</v>
      </c>
      <c r="EY29" s="162">
        <v>203404.275</v>
      </c>
      <c r="EZ29" s="162">
        <v>2525</v>
      </c>
      <c r="FA29" s="185">
        <v>182296.567625</v>
      </c>
      <c r="FB29" s="179">
        <v>34113.5205</v>
      </c>
      <c r="FC29" s="167">
        <v>36459.313525</v>
      </c>
      <c r="FD29" s="179">
        <v>0</v>
      </c>
      <c r="FE29" s="167">
        <v>75562.5</v>
      </c>
      <c r="FF29" s="167">
        <v>54743.9409749999</v>
      </c>
      <c r="FG29" s="167">
        <v>196.830985915493</v>
      </c>
      <c r="FH29" s="186">
        <v>860.58326185671</v>
      </c>
      <c r="FI29" s="187">
        <v>0.191182135372444</v>
      </c>
      <c r="FJ29" s="188">
        <v>1.3682484728293</v>
      </c>
      <c r="FK29" s="53"/>
      <c r="FL29" s="53"/>
      <c r="FM29" s="53"/>
      <c r="FN29" s="160" t="s">
        <v>183</v>
      </c>
      <c r="FO29" s="160">
        <v>0</v>
      </c>
      <c r="FP29" s="160">
        <v>3</v>
      </c>
      <c r="FQ29" s="162">
        <v>40</v>
      </c>
      <c r="FR29" s="162">
        <f>(FT29/FQ29)/GF1</f>
        <v>0.0910714285714286</v>
      </c>
      <c r="FS29" s="162">
        <v>393</v>
      </c>
      <c r="FT29" s="162">
        <v>102</v>
      </c>
      <c r="FU29" s="163">
        <v>16031.25</v>
      </c>
      <c r="FV29" s="163">
        <v>36037.5</v>
      </c>
      <c r="FW29" s="163">
        <v>13150</v>
      </c>
      <c r="FX29" s="161">
        <f>28572306/80</f>
        <v>357153.825</v>
      </c>
      <c r="FY29" s="161">
        <f>19135000/80</f>
        <v>239187.5</v>
      </c>
      <c r="FZ29" s="162">
        <f>FX29-FY29</f>
        <v>117966.325</v>
      </c>
      <c r="GA29" s="162">
        <v>74</v>
      </c>
      <c r="GB29" s="162">
        <v>26828.75</v>
      </c>
      <c r="GC29" s="162">
        <v>11900</v>
      </c>
      <c r="GD29" s="162">
        <v>911</v>
      </c>
      <c r="GE29" s="162">
        <v>809</v>
      </c>
      <c r="GF29" s="162">
        <v>636572.3375</v>
      </c>
      <c r="GG29" s="162">
        <v>537486.875</v>
      </c>
      <c r="GH29" s="162">
        <v>99085.4625</v>
      </c>
      <c r="GI29" s="162">
        <v>7775</v>
      </c>
      <c r="GJ29" s="185">
        <f>6575075.16/80</f>
        <v>82188.4395</v>
      </c>
      <c r="GK29" s="179">
        <v>25462.8935</v>
      </c>
      <c r="GL29" s="167">
        <v>16437.6879</v>
      </c>
      <c r="GM29" s="179">
        <v>0</v>
      </c>
      <c r="GN29" s="167">
        <v>68250</v>
      </c>
      <c r="GO29" s="167">
        <v>-18840.1189</v>
      </c>
      <c r="GP29" s="167">
        <v>353.308823529412</v>
      </c>
      <c r="GQ29" s="186">
        <v>698.762170691548</v>
      </c>
      <c r="GR29" s="187">
        <f t="shared" si="349"/>
        <v>0.725457035113836</v>
      </c>
      <c r="GS29" s="188">
        <f t="shared" si="350"/>
        <v>0.840237218453095</v>
      </c>
      <c r="GT29" s="53"/>
      <c r="GU29" s="53"/>
      <c r="GV29" s="160" t="s">
        <v>183</v>
      </c>
      <c r="GW29" s="160">
        <v>0</v>
      </c>
      <c r="GX29" s="160">
        <v>4</v>
      </c>
      <c r="GY29" s="162">
        <v>11</v>
      </c>
      <c r="GZ29" s="162">
        <f>(HB29/GY29)/HL1</f>
        <v>0.231671554252199</v>
      </c>
      <c r="HA29" s="162">
        <v>421</v>
      </c>
      <c r="HB29" s="162">
        <v>79</v>
      </c>
      <c r="HC29" s="163">
        <v>8568.7625</v>
      </c>
      <c r="HD29" s="163">
        <v>15756.7625</v>
      </c>
      <c r="HE29" s="163">
        <v>8620.9625</v>
      </c>
      <c r="HF29" s="161">
        <v>39823.775</v>
      </c>
      <c r="HG29" s="161">
        <v>25145.9625</v>
      </c>
      <c r="HH29" s="162">
        <f t="shared" ref="HH29:HH34" si="393">HF29-HG29</f>
        <v>14677.8125</v>
      </c>
      <c r="HI29" s="162">
        <v>58</v>
      </c>
      <c r="HJ29" s="162">
        <v>12574.2625</v>
      </c>
      <c r="HK29" s="162">
        <v>7395.9625</v>
      </c>
      <c r="HL29" s="162">
        <v>1040</v>
      </c>
      <c r="HM29" s="162">
        <v>961</v>
      </c>
      <c r="HN29" s="162">
        <v>459629.3125</v>
      </c>
      <c r="HO29" s="162">
        <v>265600.5875</v>
      </c>
      <c r="HP29" s="162">
        <v>194028.725</v>
      </c>
      <c r="HQ29" s="162">
        <v>0</v>
      </c>
      <c r="HR29" s="185">
        <v>175903.3655</v>
      </c>
      <c r="HS29" s="179">
        <v>18385.1725</v>
      </c>
      <c r="HT29" s="167">
        <v>14624.27105</v>
      </c>
      <c r="HU29" s="179">
        <v>0</v>
      </c>
      <c r="HV29" s="167">
        <v>100750</v>
      </c>
      <c r="HW29" s="167">
        <v>60269.28145</v>
      </c>
      <c r="HX29" s="167">
        <v>199.452689873418</v>
      </c>
      <c r="HY29" s="186">
        <v>441.951262019231</v>
      </c>
      <c r="HZ29" s="187">
        <f t="shared" si="354"/>
        <v>0.477341051694281</v>
      </c>
      <c r="IA29" s="188">
        <f t="shared" si="355"/>
        <v>1.45057963647607</v>
      </c>
      <c r="IB29" s="53"/>
      <c r="IC29" s="53"/>
      <c r="ID29" s="160" t="s">
        <v>183</v>
      </c>
      <c r="IE29" s="160">
        <v>3</v>
      </c>
      <c r="IF29" s="160">
        <v>0</v>
      </c>
      <c r="IG29" s="162">
        <v>31</v>
      </c>
      <c r="IH29" s="162">
        <f>(IJ29/IG29)/IT1</f>
        <v>0.123829344432882</v>
      </c>
      <c r="II29" s="162">
        <v>508</v>
      </c>
      <c r="IJ29" s="162">
        <v>119</v>
      </c>
      <c r="IK29" s="163">
        <v>12677.5</v>
      </c>
      <c r="IL29" s="163">
        <v>19431.25</v>
      </c>
      <c r="IM29" s="163">
        <v>10831.25</v>
      </c>
      <c r="IN29" s="161">
        <v>65886.15</v>
      </c>
      <c r="IO29" s="161">
        <v>44537.5</v>
      </c>
      <c r="IP29" s="162">
        <f>IN29-IO29</f>
        <v>21348.65</v>
      </c>
      <c r="IQ29" s="162">
        <v>93</v>
      </c>
      <c r="IR29" s="162">
        <v>13558.75</v>
      </c>
      <c r="IS29" s="162">
        <v>9331.25</v>
      </c>
      <c r="IT29" s="162">
        <v>1164</v>
      </c>
      <c r="IU29" s="162">
        <v>1045</v>
      </c>
      <c r="IV29" s="162">
        <v>527486</v>
      </c>
      <c r="IW29" s="162">
        <v>467935</v>
      </c>
      <c r="IX29" s="162">
        <f>IV29-IW29</f>
        <v>59551</v>
      </c>
      <c r="IY29" s="162">
        <v>28875</v>
      </c>
      <c r="IZ29" s="185">
        <f>2913338.5/80</f>
        <v>36416.73125</v>
      </c>
      <c r="JA29" s="179">
        <f>IV29*4%</f>
        <v>21099.44</v>
      </c>
      <c r="JB29" s="167">
        <f>IZ29*20%</f>
        <v>7283.34625</v>
      </c>
      <c r="JC29" s="179">
        <v>75547</v>
      </c>
      <c r="JD29" s="167">
        <v>0</v>
      </c>
      <c r="JE29" s="167">
        <f>IX29-JA29-JB29-IY29-JC29</f>
        <v>-73253.78625</v>
      </c>
      <c r="JF29" s="167">
        <f t="shared" si="358"/>
        <v>163.28781512605</v>
      </c>
      <c r="JG29" s="186">
        <f t="shared" si="359"/>
        <v>453.166666666667</v>
      </c>
      <c r="JH29" s="187">
        <f t="shared" si="360"/>
        <v>0.146314380292149</v>
      </c>
      <c r="JI29" s="188">
        <f t="shared" si="361"/>
        <v>0.448410043655335</v>
      </c>
      <c r="JJ29" s="53"/>
      <c r="JK29" s="53"/>
      <c r="JL29" s="160" t="s">
        <v>183</v>
      </c>
      <c r="JM29" s="160">
        <v>4</v>
      </c>
      <c r="JN29" s="160">
        <v>9</v>
      </c>
      <c r="JO29" s="162"/>
      <c r="JP29" s="162"/>
      <c r="JQ29" s="162">
        <v>234</v>
      </c>
      <c r="JR29" s="162">
        <v>96</v>
      </c>
      <c r="JS29" s="163">
        <v>7937.5</v>
      </c>
      <c r="JT29" s="163">
        <v>34445.625</v>
      </c>
      <c r="JU29" s="163">
        <v>21175</v>
      </c>
      <c r="JV29" s="161">
        <v>124191.975</v>
      </c>
      <c r="JW29" s="161">
        <v>48225</v>
      </c>
      <c r="JX29" s="162"/>
      <c r="JY29" s="162">
        <v>90</v>
      </c>
      <c r="JZ29" s="162">
        <v>16178.75</v>
      </c>
      <c r="KA29" s="162">
        <v>4012.5</v>
      </c>
      <c r="KB29" s="162">
        <v>1154</v>
      </c>
      <c r="KC29" s="162">
        <v>1058</v>
      </c>
      <c r="KD29" s="162">
        <v>560329.525</v>
      </c>
      <c r="KE29" s="162">
        <v>420123.825</v>
      </c>
      <c r="KF29" s="162">
        <f>KD29-KE29</f>
        <v>140205.7</v>
      </c>
      <c r="KG29" s="162">
        <v>5500</v>
      </c>
      <c r="KH29" s="185">
        <v>126180.809625</v>
      </c>
      <c r="KI29" s="179">
        <f>KD29*4%</f>
        <v>22413.181</v>
      </c>
      <c r="KJ29" s="167">
        <f>KH29*20%</f>
        <v>25236.161925</v>
      </c>
      <c r="KK29" s="179">
        <v>97500</v>
      </c>
      <c r="KL29" s="167"/>
      <c r="KM29" s="167">
        <f>KF29-KI29-KJ29-KG29-KK29</f>
        <v>-10443.642925</v>
      </c>
      <c r="KN29" s="167">
        <f t="shared" si="364"/>
        <v>358.80859375</v>
      </c>
      <c r="KO29" s="186">
        <f t="shared" si="365"/>
        <v>485.554181109185</v>
      </c>
      <c r="KP29" s="187">
        <f t="shared" si="366"/>
        <v>0.22864769491327</v>
      </c>
      <c r="KQ29" s="188">
        <f t="shared" si="367"/>
        <v>0.930675814960578</v>
      </c>
      <c r="KR29" s="53"/>
      <c r="KS29" s="53"/>
      <c r="KT29" s="213" t="s">
        <v>183</v>
      </c>
      <c r="KU29" s="213">
        <v>6</v>
      </c>
      <c r="KV29" s="213"/>
      <c r="KW29" s="214">
        <v>162</v>
      </c>
      <c r="KX29" s="214"/>
      <c r="KY29" s="214">
        <v>1189</v>
      </c>
      <c r="KZ29" s="214">
        <v>394</v>
      </c>
      <c r="LA29" s="214">
        <v>37782.1875</v>
      </c>
      <c r="LB29" s="214">
        <v>59213.4375</v>
      </c>
      <c r="LC29" s="214">
        <v>24103.575</v>
      </c>
      <c r="LD29" s="223">
        <v>269389.6125</v>
      </c>
      <c r="LE29" s="216">
        <v>229608.2875</v>
      </c>
      <c r="LF29" s="216"/>
      <c r="LG29" s="214">
        <v>301</v>
      </c>
      <c r="LH29" s="214">
        <v>48938.4375</v>
      </c>
      <c r="LI29" s="214">
        <v>20710</v>
      </c>
      <c r="LJ29" s="214">
        <v>1737</v>
      </c>
      <c r="LK29" s="214">
        <v>1343</v>
      </c>
      <c r="LL29" s="214">
        <v>570757.5875</v>
      </c>
      <c r="LM29" s="214">
        <v>486188.3375</v>
      </c>
      <c r="LN29" s="214">
        <v>84569.2500000001</v>
      </c>
      <c r="LO29" s="275">
        <v>15266.6625</v>
      </c>
      <c r="LP29" s="217">
        <v>70785.6905</v>
      </c>
      <c r="LQ29" s="218">
        <v>22830.3035</v>
      </c>
      <c r="LR29" s="219">
        <v>14157.1381</v>
      </c>
      <c r="LS29" s="218">
        <v>151125</v>
      </c>
      <c r="LT29" s="218"/>
      <c r="LU29" s="219">
        <v>-118809.8541</v>
      </c>
      <c r="LV29" s="219">
        <v>150.287912436548</v>
      </c>
      <c r="LW29" s="220">
        <v>328.588133275763</v>
      </c>
      <c r="LX29" s="221">
        <v>0.291148088993868</v>
      </c>
      <c r="LY29" s="222">
        <v>0.415820742127067</v>
      </c>
      <c r="LZ29" s="269"/>
      <c r="MA29" s="241"/>
      <c r="MB29" s="213" t="s">
        <v>183</v>
      </c>
      <c r="MC29" s="213">
        <v>6</v>
      </c>
      <c r="MD29" s="213"/>
      <c r="ME29" s="214">
        <v>90</v>
      </c>
      <c r="MF29" s="214"/>
      <c r="MG29" s="214">
        <v>1256</v>
      </c>
      <c r="MH29" s="214">
        <v>383</v>
      </c>
      <c r="MI29" s="214">
        <v>37037.5</v>
      </c>
      <c r="MJ29" s="214">
        <v>61586.775</v>
      </c>
      <c r="MK29" s="214">
        <v>30827.5</v>
      </c>
      <c r="ML29" s="216">
        <v>334461.575</v>
      </c>
      <c r="MM29" s="216">
        <v>262954.7625</v>
      </c>
      <c r="MN29" s="216"/>
      <c r="MO29" s="214">
        <v>305</v>
      </c>
      <c r="MP29" s="214">
        <v>51039.275</v>
      </c>
      <c r="MQ29" s="214">
        <v>22014.375</v>
      </c>
      <c r="MR29" s="214">
        <v>1082</v>
      </c>
      <c r="MS29" s="215">
        <v>699</v>
      </c>
      <c r="MT29" s="214">
        <v>371497.575</v>
      </c>
      <c r="MU29" s="214">
        <v>289093.9875</v>
      </c>
      <c r="MV29" s="214">
        <f>MT29-MU29</f>
        <v>82403.5875</v>
      </c>
      <c r="MW29" s="213">
        <f>1142000/80</f>
        <v>14275</v>
      </c>
      <c r="MX29" s="217">
        <f>5547497.78/80</f>
        <v>69343.72225</v>
      </c>
      <c r="MY29" s="218">
        <f>MT29*4%</f>
        <v>14859.903</v>
      </c>
      <c r="MZ29" s="219">
        <f t="shared" si="370"/>
        <v>13868.74445</v>
      </c>
      <c r="NA29" s="218">
        <v>115375</v>
      </c>
      <c r="NB29" s="219">
        <f>MV29-MY29-MZ29-MW29-NA29</f>
        <v>-75975.05995</v>
      </c>
      <c r="NC29" s="219"/>
      <c r="ND29" s="219">
        <f t="shared" si="371"/>
        <v>160.800979112272</v>
      </c>
      <c r="NE29" s="220">
        <f t="shared" si="372"/>
        <v>343.343414972274</v>
      </c>
      <c r="NF29" s="221">
        <f t="shared" si="373"/>
        <v>0.388857816325543</v>
      </c>
      <c r="NG29" s="222">
        <f t="shared" si="374"/>
        <v>0.520294805055806</v>
      </c>
      <c r="NH29" s="53"/>
      <c r="NI29" s="53"/>
      <c r="NJ29" s="213" t="s">
        <v>183</v>
      </c>
      <c r="NK29" s="213">
        <v>4</v>
      </c>
      <c r="NL29" s="213"/>
      <c r="NM29" s="214">
        <v>13</v>
      </c>
      <c r="NN29" s="214"/>
      <c r="NO29" s="214">
        <v>653</v>
      </c>
      <c r="NP29" s="214">
        <v>183</v>
      </c>
      <c r="NQ29" s="214">
        <v>29546.25</v>
      </c>
      <c r="NR29" s="214">
        <v>21151.25</v>
      </c>
      <c r="NS29" s="214">
        <v>7254.375</v>
      </c>
      <c r="NT29" s="216">
        <f>3461100/80</f>
        <v>43263.75</v>
      </c>
      <c r="NU29" s="216">
        <f>3463123/80</f>
        <v>43289.0375</v>
      </c>
      <c r="NV29" s="216"/>
      <c r="NW29" s="214">
        <v>154</v>
      </c>
      <c r="NX29" s="214">
        <v>17354.537037037</v>
      </c>
      <c r="NY29" s="214">
        <v>6116.875</v>
      </c>
      <c r="NZ29" s="214">
        <v>288</v>
      </c>
      <c r="OA29" s="215">
        <v>105</v>
      </c>
      <c r="OB29" s="214">
        <v>43263.75</v>
      </c>
      <c r="OC29" s="214">
        <v>43289.0375</v>
      </c>
      <c r="OD29" s="214">
        <f>OB29-OC29</f>
        <v>-25.2874999999985</v>
      </c>
      <c r="OE29" s="213">
        <v>0</v>
      </c>
      <c r="OF29" s="217">
        <f>-296346.61/80</f>
        <v>-3704.332625</v>
      </c>
      <c r="OG29" s="218">
        <f>OB29*4%</f>
        <v>1730.55</v>
      </c>
      <c r="OH29" s="219">
        <v>0</v>
      </c>
      <c r="OI29" s="218">
        <v>87750</v>
      </c>
      <c r="OJ29" s="218"/>
      <c r="OK29" s="219">
        <f t="shared" si="377"/>
        <v>-89505.8375</v>
      </c>
      <c r="OL29" s="219">
        <f t="shared" si="378"/>
        <v>115.580601092896</v>
      </c>
      <c r="OM29" s="220">
        <f t="shared" si="379"/>
        <v>150.221354166667</v>
      </c>
      <c r="ON29" s="221">
        <f t="shared" si="380"/>
        <v>0.236378184979864</v>
      </c>
      <c r="OO29" s="222">
        <f t="shared" si="381"/>
        <v>-0.000282603314351538</v>
      </c>
      <c r="OP29" s="53" t="s">
        <v>184</v>
      </c>
      <c r="OQ29" s="53"/>
      <c r="OR29" s="53"/>
      <c r="OS29" s="144"/>
      <c r="OT29" s="144"/>
      <c r="OU29" s="144"/>
      <c r="OV29" s="144"/>
      <c r="OW29" s="144"/>
      <c r="OX29" s="144"/>
      <c r="OY29" s="144"/>
      <c r="OZ29" s="144"/>
      <c r="PA29" s="144"/>
      <c r="PB29" s="144"/>
      <c r="PC29" s="144"/>
      <c r="PD29" s="144"/>
      <c r="PE29" s="144"/>
      <c r="PF29" s="144"/>
      <c r="PG29" s="144"/>
      <c r="PH29" s="144"/>
      <c r="PI29" s="144"/>
      <c r="PJ29" s="144"/>
      <c r="PK29" s="144"/>
      <c r="PL29" s="144"/>
      <c r="PM29" s="144"/>
      <c r="PN29" s="144"/>
      <c r="PO29" s="144"/>
      <c r="PP29" s="144"/>
      <c r="PQ29" s="144"/>
      <c r="PR29" s="144"/>
      <c r="PS29" s="144"/>
      <c r="PT29" s="146"/>
      <c r="PU29" s="84"/>
      <c r="PV29" s="84"/>
      <c r="PW29" s="154"/>
      <c r="PX29" s="154"/>
      <c r="PY29" s="154"/>
      <c r="PZ29" s="154"/>
      <c r="QA29" s="154"/>
      <c r="QB29" s="154"/>
      <c r="QC29" s="154"/>
      <c r="QD29" s="154"/>
      <c r="QE29" s="154"/>
      <c r="QF29" s="155"/>
      <c r="QG29" s="155"/>
      <c r="QH29" s="155"/>
      <c r="QI29" s="155"/>
      <c r="QJ29" s="155"/>
      <c r="QK29" s="155"/>
      <c r="QL29" s="155"/>
      <c r="QM29" s="155"/>
      <c r="QN29" s="155"/>
      <c r="QO29" s="155"/>
      <c r="QP29" s="297"/>
      <c r="QQ29" s="155"/>
      <c r="QR29" s="84"/>
      <c r="QS29" s="155"/>
      <c r="QT29" s="84"/>
      <c r="QU29" s="84"/>
      <c r="QV29" s="84"/>
      <c r="QW29" s="154"/>
      <c r="QX29" s="154"/>
      <c r="QY29" s="154"/>
      <c r="QZ29" s="154"/>
      <c r="RA29" s="154"/>
      <c r="RB29" s="154"/>
      <c r="RC29" s="155"/>
      <c r="RD29" s="154"/>
      <c r="RE29" s="154"/>
      <c r="RF29" s="154"/>
      <c r="RG29" s="154"/>
      <c r="RH29" s="154"/>
      <c r="RI29" s="154"/>
      <c r="RJ29" s="154"/>
      <c r="RK29" s="154"/>
      <c r="RL29" s="154"/>
      <c r="RM29" s="154"/>
      <c r="RN29" s="154"/>
      <c r="RO29" s="144"/>
      <c r="RP29" s="144"/>
      <c r="RQ29" s="84"/>
      <c r="RR29" s="84"/>
      <c r="RS29" s="154"/>
      <c r="RT29" s="154"/>
      <c r="RU29" s="154"/>
      <c r="RV29" s="154"/>
      <c r="RW29" s="154"/>
      <c r="RX29" s="154"/>
      <c r="RY29" s="154"/>
      <c r="RZ29" s="154"/>
      <c r="SA29" s="154"/>
      <c r="SB29" s="154"/>
      <c r="SC29" s="154"/>
      <c r="SD29" s="154"/>
      <c r="SE29" s="154"/>
      <c r="SF29" s="154"/>
      <c r="SG29" s="154"/>
      <c r="SH29" s="154"/>
      <c r="SI29" s="154"/>
      <c r="SJ29" s="154"/>
      <c r="SK29" s="157"/>
      <c r="SL29" s="144"/>
      <c r="SM29" s="84"/>
      <c r="SN29" s="84"/>
      <c r="SO29" s="154"/>
      <c r="SP29" s="154"/>
      <c r="SQ29" s="154"/>
      <c r="SR29" s="154"/>
      <c r="SS29" s="154"/>
      <c r="ST29" s="154"/>
      <c r="SU29" s="154"/>
      <c r="SV29" s="154"/>
      <c r="SW29" s="154"/>
      <c r="SX29" s="154"/>
      <c r="SY29" s="154"/>
      <c r="SZ29" s="154"/>
      <c r="TA29" s="154"/>
      <c r="TB29" s="154"/>
      <c r="TC29" s="154"/>
      <c r="TD29" s="154"/>
      <c r="TE29" s="154"/>
      <c r="TF29" s="154"/>
      <c r="TG29" s="156"/>
      <c r="TH29" s="84"/>
      <c r="TI29" s="84"/>
      <c r="TJ29" s="84"/>
      <c r="TK29" s="84"/>
      <c r="TL29" s="154"/>
      <c r="TM29" s="154"/>
      <c r="TN29" s="154"/>
      <c r="TO29" s="154"/>
      <c r="TP29" s="154"/>
      <c r="TQ29" s="154"/>
      <c r="TR29" s="154"/>
      <c r="TS29" s="154"/>
      <c r="TT29" s="154"/>
      <c r="TU29" s="154"/>
      <c r="TV29" s="154"/>
      <c r="TW29" s="154"/>
      <c r="TX29" s="154"/>
      <c r="TY29" s="154"/>
      <c r="TZ29" s="154"/>
      <c r="UA29" s="154"/>
      <c r="UB29" s="154"/>
      <c r="UC29" s="154"/>
      <c r="UD29" s="154"/>
      <c r="UE29" s="154"/>
      <c r="UF29" s="154"/>
      <c r="UG29" s="154"/>
      <c r="UH29" s="154"/>
      <c r="UI29" s="154"/>
      <c r="UJ29" s="154"/>
      <c r="UK29" s="154"/>
      <c r="UL29" s="154"/>
      <c r="UM29" s="154"/>
      <c r="UN29" s="154"/>
      <c r="UO29" s="154"/>
      <c r="UP29" s="154"/>
      <c r="UQ29" s="154"/>
      <c r="UR29" s="154"/>
      <c r="US29" s="154"/>
      <c r="UT29" s="154"/>
      <c r="UU29" s="154"/>
      <c r="UV29" s="154"/>
      <c r="UW29" s="154"/>
      <c r="UX29" s="154"/>
      <c r="UY29" s="154"/>
      <c r="UZ29" s="154"/>
      <c r="VA29" s="154"/>
      <c r="VB29" s="154"/>
      <c r="VC29" s="154"/>
      <c r="VD29" s="154"/>
      <c r="VE29" s="154"/>
      <c r="VF29" s="154"/>
      <c r="VG29" s="154"/>
      <c r="VH29" s="154"/>
      <c r="VI29" s="154"/>
      <c r="VJ29" s="154"/>
      <c r="VK29" s="154"/>
      <c r="VL29" s="154"/>
      <c r="VM29" s="154"/>
      <c r="VN29" s="154"/>
      <c r="VO29" s="154"/>
      <c r="VP29" s="154"/>
      <c r="VQ29" s="154"/>
      <c r="VR29" s="154"/>
      <c r="VS29" s="154"/>
      <c r="VT29" s="298"/>
      <c r="VU29" s="298"/>
    </row>
    <row r="30" ht="18" hidden="1" customHeight="1" spans="1:593">
      <c r="A30" s="53"/>
      <c r="B30" s="53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1"/>
      <c r="N30" s="161"/>
      <c r="O30" s="161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53"/>
      <c r="AJ30" s="160"/>
      <c r="AK30" s="160"/>
      <c r="AL30" s="160"/>
      <c r="AM30" s="160"/>
      <c r="AN30" s="160"/>
      <c r="AO30" s="160"/>
      <c r="AP30" s="160"/>
      <c r="AQ30" s="160"/>
      <c r="AR30" s="160"/>
      <c r="AS30" s="160"/>
      <c r="AT30" s="161"/>
      <c r="AU30" s="161"/>
      <c r="AV30" s="161"/>
      <c r="AW30" s="160"/>
      <c r="AX30" s="160"/>
      <c r="AY30" s="160"/>
      <c r="AZ30" s="160"/>
      <c r="BA30" s="160"/>
      <c r="BB30" s="160"/>
      <c r="BC30" s="160"/>
      <c r="BD30" s="160"/>
      <c r="BE30" s="160"/>
      <c r="BF30" s="160"/>
      <c r="BG30" s="160"/>
      <c r="BH30" s="160"/>
      <c r="BI30" s="160"/>
      <c r="BJ30" s="160"/>
      <c r="BK30" s="160"/>
      <c r="BL30" s="160"/>
      <c r="BM30" s="160"/>
      <c r="BN30" s="160"/>
      <c r="BO30" s="160"/>
      <c r="BP30" s="53"/>
      <c r="BQ30" s="160"/>
      <c r="BR30" s="160"/>
      <c r="BS30" s="160"/>
      <c r="BT30" s="160"/>
      <c r="BU30" s="160" t="e">
        <f>(BW30/BS30)/#REF!</f>
        <v>#DIV/0!</v>
      </c>
      <c r="BV30" s="160"/>
      <c r="BW30" s="160"/>
      <c r="BX30" s="160"/>
      <c r="BY30" s="160"/>
      <c r="BZ30" s="160"/>
      <c r="CA30" s="161"/>
      <c r="CB30" s="161"/>
      <c r="CC30" s="161"/>
      <c r="CD30" s="160"/>
      <c r="CE30" s="160"/>
      <c r="CF30" s="160"/>
      <c r="CG30" s="160"/>
      <c r="CH30" s="160"/>
      <c r="CI30" s="160"/>
      <c r="CJ30" s="160"/>
      <c r="CK30" s="160"/>
      <c r="CL30" s="160"/>
      <c r="CM30" s="160"/>
      <c r="CN30" s="160"/>
      <c r="CO30" s="160"/>
      <c r="CP30" s="160"/>
      <c r="CQ30" s="160"/>
      <c r="CR30" s="160"/>
      <c r="CS30" s="160"/>
      <c r="CT30" s="160"/>
      <c r="CU30" s="160"/>
      <c r="CV30" s="160"/>
      <c r="CW30" s="53"/>
      <c r="CX30" s="160"/>
      <c r="CY30" s="160"/>
      <c r="CZ30" s="160"/>
      <c r="DA30" s="160"/>
      <c r="DB30" s="160" t="e">
        <f>(DD30/CZ30)/#REF!</f>
        <v>#DIV/0!</v>
      </c>
      <c r="DC30" s="160"/>
      <c r="DD30" s="160"/>
      <c r="DE30" s="160"/>
      <c r="DF30" s="160"/>
      <c r="DG30" s="160"/>
      <c r="DH30" s="161"/>
      <c r="DI30" s="161"/>
      <c r="DJ30" s="161"/>
      <c r="DK30" s="160"/>
      <c r="DL30" s="160"/>
      <c r="DM30" s="160"/>
      <c r="DN30" s="160"/>
      <c r="DO30" s="160"/>
      <c r="DP30" s="160"/>
      <c r="DQ30" s="160"/>
      <c r="DR30" s="160"/>
      <c r="DS30" s="160"/>
      <c r="DT30" s="160"/>
      <c r="DU30" s="160"/>
      <c r="DV30" s="160"/>
      <c r="DW30" s="160"/>
      <c r="DX30" s="160"/>
      <c r="DY30" s="160"/>
      <c r="DZ30" s="160"/>
      <c r="EA30" s="160"/>
      <c r="EB30" s="160"/>
      <c r="EC30" s="160"/>
      <c r="ED30" s="53"/>
      <c r="EE30" s="160"/>
      <c r="EF30" s="160"/>
      <c r="EG30" s="160"/>
      <c r="EH30" s="162"/>
      <c r="EI30" s="162" t="e">
        <v>#DIV/0!</v>
      </c>
      <c r="EJ30" s="162"/>
      <c r="EK30" s="162"/>
      <c r="EL30" s="163"/>
      <c r="EM30" s="163"/>
      <c r="EN30" s="163"/>
      <c r="EO30" s="161"/>
      <c r="EP30" s="161"/>
      <c r="EQ30" s="162"/>
      <c r="ER30" s="162"/>
      <c r="ES30" s="162"/>
      <c r="ET30" s="162"/>
      <c r="EU30" s="162"/>
      <c r="EV30" s="162"/>
      <c r="EW30" s="162"/>
      <c r="EX30" s="162"/>
      <c r="EY30" s="162"/>
      <c r="EZ30" s="162"/>
      <c r="FA30" s="185"/>
      <c r="FB30" s="179"/>
      <c r="FC30" s="167"/>
      <c r="FD30" s="179"/>
      <c r="FE30" s="167"/>
      <c r="FF30" s="167"/>
      <c r="FG30" s="167"/>
      <c r="FH30" s="186"/>
      <c r="FI30" s="187"/>
      <c r="FJ30" s="188"/>
      <c r="FK30" s="53"/>
      <c r="FL30" s="53"/>
      <c r="FM30" s="53"/>
      <c r="FN30" s="213"/>
      <c r="FO30" s="213"/>
      <c r="FP30" s="213"/>
      <c r="FQ30" s="213"/>
      <c r="FR30" s="213"/>
      <c r="FS30" s="213"/>
      <c r="FT30" s="213"/>
      <c r="FU30" s="213"/>
      <c r="FV30" s="213"/>
      <c r="FW30" s="213"/>
      <c r="FX30" s="216"/>
      <c r="FY30" s="216"/>
      <c r="FZ30" s="213"/>
      <c r="GA30" s="213"/>
      <c r="GB30" s="213"/>
      <c r="GC30" s="213"/>
      <c r="GD30" s="213"/>
      <c r="GE30" s="213"/>
      <c r="GF30" s="213"/>
      <c r="GG30" s="213"/>
      <c r="GH30" s="213"/>
      <c r="GI30" s="213"/>
      <c r="GJ30" s="213"/>
      <c r="GK30" s="213"/>
      <c r="GL30" s="213"/>
      <c r="GM30" s="213"/>
      <c r="GN30" s="213"/>
      <c r="GO30" s="213"/>
      <c r="GP30" s="213"/>
      <c r="GQ30" s="213"/>
      <c r="GR30" s="213"/>
      <c r="GS30" s="213"/>
      <c r="GT30" s="53"/>
      <c r="GU30" s="53"/>
      <c r="GV30" s="213"/>
      <c r="GW30" s="213"/>
      <c r="GX30" s="213"/>
      <c r="GY30" s="213"/>
      <c r="GZ30" s="213"/>
      <c r="HA30" s="213"/>
      <c r="HB30" s="213"/>
      <c r="HC30" s="213"/>
      <c r="HD30" s="213"/>
      <c r="HE30" s="213"/>
      <c r="HF30" s="216"/>
      <c r="HG30" s="216"/>
      <c r="HH30" s="216"/>
      <c r="HI30" s="213"/>
      <c r="HJ30" s="213"/>
      <c r="HK30" s="213"/>
      <c r="HL30" s="213"/>
      <c r="HM30" s="213"/>
      <c r="HN30" s="213"/>
      <c r="HO30" s="213"/>
      <c r="HP30" s="213"/>
      <c r="HQ30" s="213"/>
      <c r="HR30" s="213"/>
      <c r="HS30" s="213"/>
      <c r="HT30" s="213"/>
      <c r="HU30" s="213"/>
      <c r="HV30" s="213"/>
      <c r="HW30" s="213"/>
      <c r="HX30" s="213"/>
      <c r="HY30" s="213"/>
      <c r="HZ30" s="213"/>
      <c r="IA30" s="213"/>
      <c r="IB30" s="53"/>
      <c r="IC30" s="53"/>
      <c r="ID30" s="213"/>
      <c r="IE30" s="213"/>
      <c r="IF30" s="213"/>
      <c r="IG30" s="213"/>
      <c r="IH30" s="213"/>
      <c r="II30" s="213"/>
      <c r="IJ30" s="213"/>
      <c r="IK30" s="213"/>
      <c r="IL30" s="213"/>
      <c r="IM30" s="213"/>
      <c r="IN30" s="213"/>
      <c r="IO30" s="213"/>
      <c r="IP30" s="213"/>
      <c r="IQ30" s="213"/>
      <c r="IR30" s="213"/>
      <c r="IS30" s="213"/>
      <c r="IT30" s="213"/>
      <c r="IU30" s="213"/>
      <c r="IV30" s="213"/>
      <c r="IW30" s="213"/>
      <c r="IX30" s="213"/>
      <c r="IY30" s="213"/>
      <c r="IZ30" s="213"/>
      <c r="JA30" s="213"/>
      <c r="JB30" s="213"/>
      <c r="JC30" s="213"/>
      <c r="JD30" s="213"/>
      <c r="JE30" s="213"/>
      <c r="JF30" s="213"/>
      <c r="JG30" s="213"/>
      <c r="JH30" s="213"/>
      <c r="JI30" s="213"/>
      <c r="JJ30" s="53"/>
      <c r="JK30" s="53"/>
      <c r="JL30" s="213"/>
      <c r="JM30" s="213"/>
      <c r="JN30" s="213"/>
      <c r="JO30" s="213"/>
      <c r="JP30" s="213"/>
      <c r="JQ30" s="213"/>
      <c r="JR30" s="213"/>
      <c r="JS30" s="213"/>
      <c r="JT30" s="213"/>
      <c r="JU30" s="213"/>
      <c r="JV30" s="213"/>
      <c r="JW30" s="213"/>
      <c r="JX30" s="213"/>
      <c r="JY30" s="213"/>
      <c r="JZ30" s="213"/>
      <c r="KA30" s="213"/>
      <c r="KB30" s="213"/>
      <c r="KC30" s="213"/>
      <c r="KD30" s="213"/>
      <c r="KE30" s="213"/>
      <c r="KF30" s="213"/>
      <c r="KG30" s="213"/>
      <c r="KH30" s="213"/>
      <c r="KI30" s="213"/>
      <c r="KJ30" s="213"/>
      <c r="KK30" s="213"/>
      <c r="KL30" s="213"/>
      <c r="KM30" s="213"/>
      <c r="KN30" s="213"/>
      <c r="KO30" s="213"/>
      <c r="KP30" s="213"/>
      <c r="KQ30" s="213"/>
      <c r="KR30" s="53"/>
      <c r="KS30" s="53"/>
      <c r="KT30" s="213"/>
      <c r="KU30" s="213"/>
      <c r="KV30" s="213"/>
      <c r="KW30" s="299"/>
      <c r="KX30" s="299"/>
      <c r="KY30" s="299"/>
      <c r="KZ30" s="299"/>
      <c r="LA30" s="299"/>
      <c r="LB30" s="299"/>
      <c r="LC30" s="299"/>
      <c r="LD30" s="300"/>
      <c r="LE30" s="300"/>
      <c r="LF30" s="300"/>
      <c r="LG30" s="299"/>
      <c r="LH30" s="299"/>
      <c r="LI30" s="299"/>
      <c r="LJ30" s="299"/>
      <c r="LK30" s="299"/>
      <c r="LL30" s="299"/>
      <c r="LM30" s="299"/>
      <c r="LN30" s="299"/>
      <c r="LO30" s="213"/>
      <c r="LP30" s="213"/>
      <c r="LQ30" s="299"/>
      <c r="LR30" s="299"/>
      <c r="LS30" s="299"/>
      <c r="LT30" s="299"/>
      <c r="LU30" s="299"/>
      <c r="LV30" s="299"/>
      <c r="LW30" s="299"/>
      <c r="LX30" s="213"/>
      <c r="LY30" s="213"/>
      <c r="LZ30" s="296"/>
      <c r="MA30" s="241"/>
      <c r="MB30" s="213"/>
      <c r="MC30" s="213"/>
      <c r="MD30" s="213"/>
      <c r="ME30" s="299"/>
      <c r="MF30" s="299"/>
      <c r="MG30" s="299"/>
      <c r="MH30" s="299"/>
      <c r="MI30" s="299"/>
      <c r="MJ30" s="299"/>
      <c r="MK30" s="299"/>
      <c r="ML30" s="300"/>
      <c r="MM30" s="300"/>
      <c r="MN30" s="300"/>
      <c r="MO30" s="299"/>
      <c r="MP30" s="299"/>
      <c r="MQ30" s="299"/>
      <c r="MR30" s="299"/>
      <c r="MS30" s="299"/>
      <c r="MT30" s="299"/>
      <c r="MU30" s="299"/>
      <c r="MV30" s="299"/>
      <c r="MW30" s="213"/>
      <c r="MX30" s="213"/>
      <c r="MY30" s="299"/>
      <c r="MZ30" s="299"/>
      <c r="NA30" s="299"/>
      <c r="NB30" s="299"/>
      <c r="NC30" s="299"/>
      <c r="ND30" s="299"/>
      <c r="NE30" s="299"/>
      <c r="NF30" s="213"/>
      <c r="NG30" s="213"/>
      <c r="NH30" s="53"/>
      <c r="NI30" s="53"/>
      <c r="NJ30" s="213"/>
      <c r="NK30" s="213"/>
      <c r="NL30" s="213"/>
      <c r="NM30" s="299"/>
      <c r="NN30" s="299"/>
      <c r="NO30" s="299"/>
      <c r="NP30" s="299"/>
      <c r="NQ30" s="299"/>
      <c r="NR30" s="299"/>
      <c r="NS30" s="299"/>
      <c r="NT30" s="300"/>
      <c r="NU30" s="300"/>
      <c r="NV30" s="300"/>
      <c r="NW30" s="299"/>
      <c r="NX30" s="299"/>
      <c r="NY30" s="299"/>
      <c r="NZ30" s="299"/>
      <c r="OA30" s="299"/>
      <c r="OB30" s="299"/>
      <c r="OC30" s="299"/>
      <c r="OD30" s="299"/>
      <c r="OE30" s="213"/>
      <c r="OF30" s="213"/>
      <c r="OG30" s="299"/>
      <c r="OH30" s="299"/>
      <c r="OI30" s="299"/>
      <c r="OJ30" s="299"/>
      <c r="OK30" s="299"/>
      <c r="OL30" s="299"/>
      <c r="OM30" s="299"/>
      <c r="ON30" s="213"/>
      <c r="OO30" s="213"/>
      <c r="OP30" s="53"/>
      <c r="OQ30" s="53"/>
      <c r="OR30" s="53"/>
      <c r="OS30" s="144"/>
      <c r="OT30" s="144"/>
      <c r="OU30" s="144"/>
      <c r="OV30" s="144"/>
      <c r="OW30" s="144"/>
      <c r="OX30" s="144"/>
      <c r="OY30" s="144"/>
      <c r="OZ30" s="144"/>
      <c r="PA30" s="144"/>
      <c r="PB30" s="144"/>
      <c r="PC30" s="144"/>
      <c r="PD30" s="144"/>
      <c r="PE30" s="144"/>
      <c r="PF30" s="144"/>
      <c r="PG30" s="144"/>
      <c r="PH30" s="144"/>
      <c r="PI30" s="144"/>
      <c r="PJ30" s="144"/>
      <c r="PK30" s="144"/>
      <c r="PL30" s="144"/>
      <c r="PM30" s="144"/>
      <c r="PN30" s="144"/>
      <c r="PO30" s="144"/>
      <c r="PP30" s="144"/>
      <c r="PQ30" s="144"/>
      <c r="PR30" s="144"/>
      <c r="PS30" s="144"/>
      <c r="PT30" s="146"/>
      <c r="PU30" s="84"/>
      <c r="PV30" s="84"/>
      <c r="PW30" s="154"/>
      <c r="PX30" s="154"/>
      <c r="PY30" s="154"/>
      <c r="PZ30" s="154"/>
      <c r="QA30" s="154"/>
      <c r="QB30" s="154"/>
      <c r="QC30" s="154"/>
      <c r="QD30" s="154"/>
      <c r="QE30" s="154"/>
      <c r="QF30" s="155"/>
      <c r="QG30" s="155"/>
      <c r="QH30" s="155"/>
      <c r="QI30" s="155"/>
      <c r="QJ30" s="155"/>
      <c r="QK30" s="155"/>
      <c r="QL30" s="155"/>
      <c r="QM30" s="155"/>
      <c r="QN30" s="155"/>
      <c r="QO30" s="155"/>
      <c r="QP30" s="297"/>
      <c r="QQ30" s="155"/>
      <c r="QR30" s="84"/>
      <c r="QS30" s="155"/>
      <c r="QT30" s="84"/>
      <c r="QU30" s="84"/>
      <c r="QV30" s="84"/>
      <c r="QW30" s="154"/>
      <c r="QX30" s="154"/>
      <c r="QY30" s="154"/>
      <c r="QZ30" s="154"/>
      <c r="RA30" s="154"/>
      <c r="RB30" s="154"/>
      <c r="RC30" s="155"/>
      <c r="RD30" s="154"/>
      <c r="RE30" s="154"/>
      <c r="RF30" s="154"/>
      <c r="RG30" s="154"/>
      <c r="RH30" s="154"/>
      <c r="RI30" s="154"/>
      <c r="RJ30" s="154"/>
      <c r="RK30" s="154"/>
      <c r="RL30" s="154"/>
      <c r="RM30" s="154"/>
      <c r="RN30" s="154"/>
      <c r="RO30" s="144"/>
      <c r="RP30" s="144"/>
      <c r="RQ30" s="84"/>
      <c r="RR30" s="84"/>
      <c r="RS30" s="154"/>
      <c r="RT30" s="154"/>
      <c r="RU30" s="154"/>
      <c r="RV30" s="154"/>
      <c r="RW30" s="154"/>
      <c r="RX30" s="154"/>
      <c r="RY30" s="154"/>
      <c r="RZ30" s="154"/>
      <c r="SA30" s="154"/>
      <c r="SB30" s="154"/>
      <c r="SC30" s="154"/>
      <c r="SD30" s="154"/>
      <c r="SE30" s="154"/>
      <c r="SF30" s="154"/>
      <c r="SG30" s="154"/>
      <c r="SH30" s="154"/>
      <c r="SI30" s="154"/>
      <c r="SJ30" s="154"/>
      <c r="SK30" s="157"/>
      <c r="SL30" s="144"/>
      <c r="SM30" s="84"/>
      <c r="SN30" s="84"/>
      <c r="SO30" s="154"/>
      <c r="SP30" s="154"/>
      <c r="SQ30" s="154"/>
      <c r="SR30" s="154"/>
      <c r="SS30" s="154"/>
      <c r="ST30" s="154"/>
      <c r="SU30" s="154"/>
      <c r="SV30" s="154"/>
      <c r="SW30" s="154"/>
      <c r="SX30" s="154"/>
      <c r="SY30" s="154"/>
      <c r="SZ30" s="154"/>
      <c r="TA30" s="154"/>
      <c r="TB30" s="154"/>
      <c r="TC30" s="154"/>
      <c r="TD30" s="154"/>
      <c r="TE30" s="154"/>
      <c r="TF30" s="154"/>
      <c r="TG30" s="156"/>
      <c r="TH30" s="84"/>
      <c r="TI30" s="84"/>
      <c r="TJ30" s="84"/>
      <c r="TK30" s="84"/>
      <c r="TL30" s="154"/>
      <c r="TM30" s="154"/>
      <c r="TN30" s="154"/>
      <c r="TO30" s="154"/>
      <c r="TP30" s="154"/>
      <c r="TQ30" s="154"/>
      <c r="TR30" s="154"/>
      <c r="TS30" s="154"/>
      <c r="TT30" s="154"/>
      <c r="TU30" s="154"/>
      <c r="TV30" s="154"/>
      <c r="TW30" s="154"/>
      <c r="TX30" s="154"/>
      <c r="TY30" s="154"/>
      <c r="TZ30" s="154"/>
      <c r="UA30" s="154"/>
      <c r="UB30" s="154"/>
      <c r="UC30" s="154"/>
      <c r="UD30" s="154"/>
      <c r="UE30" s="154"/>
      <c r="UF30" s="154"/>
      <c r="UG30" s="154"/>
      <c r="UH30" s="154"/>
      <c r="UI30" s="154"/>
      <c r="UJ30" s="154"/>
      <c r="UK30" s="154"/>
      <c r="UL30" s="154"/>
      <c r="UM30" s="154"/>
      <c r="UN30" s="154"/>
      <c r="UO30" s="154"/>
      <c r="UP30" s="154"/>
      <c r="UQ30" s="154"/>
      <c r="UR30" s="154"/>
      <c r="US30" s="154"/>
      <c r="UT30" s="154"/>
      <c r="UU30" s="154"/>
      <c r="UV30" s="154"/>
      <c r="UW30" s="154"/>
      <c r="UX30" s="154"/>
      <c r="UY30" s="154"/>
      <c r="UZ30" s="154"/>
      <c r="VA30" s="154"/>
      <c r="VB30" s="154"/>
      <c r="VC30" s="154"/>
      <c r="VD30" s="154"/>
      <c r="VE30" s="154"/>
      <c r="VF30" s="154"/>
      <c r="VG30" s="154"/>
      <c r="VH30" s="154"/>
      <c r="VI30" s="154"/>
      <c r="VJ30" s="154"/>
      <c r="VK30" s="154"/>
      <c r="VL30" s="154"/>
      <c r="VM30" s="154"/>
      <c r="VN30" s="154"/>
      <c r="VO30" s="154"/>
      <c r="VP30" s="154"/>
      <c r="VQ30" s="154"/>
      <c r="VR30" s="154"/>
      <c r="VS30" s="154"/>
      <c r="VT30" s="298"/>
      <c r="VU30" s="298"/>
    </row>
    <row r="31" ht="18" hidden="1" customHeight="1" spans="1:593">
      <c r="A31" s="53"/>
      <c r="B31" s="53"/>
      <c r="C31" s="235" t="s">
        <v>153</v>
      </c>
      <c r="D31" s="237">
        <f t="shared" ref="D31:F31" si="394">SUM(D29)</f>
        <v>0</v>
      </c>
      <c r="E31" s="237">
        <f t="shared" si="394"/>
        <v>0</v>
      </c>
      <c r="F31" s="237">
        <f t="shared" si="394"/>
        <v>0</v>
      </c>
      <c r="G31" s="236" t="e">
        <f>(I31/F31)/S1</f>
        <v>#DIV/0!</v>
      </c>
      <c r="H31" s="237">
        <f t="shared" ref="H31:N31" si="395">SUM(H29)</f>
        <v>0</v>
      </c>
      <c r="I31" s="237">
        <f t="shared" si="395"/>
        <v>0</v>
      </c>
      <c r="J31" s="237">
        <f t="shared" si="395"/>
        <v>0</v>
      </c>
      <c r="K31" s="237">
        <f t="shared" si="395"/>
        <v>0</v>
      </c>
      <c r="L31" s="237">
        <f t="shared" si="395"/>
        <v>0</v>
      </c>
      <c r="M31" s="236">
        <f t="shared" si="395"/>
        <v>0</v>
      </c>
      <c r="N31" s="236">
        <f t="shared" si="395"/>
        <v>0</v>
      </c>
      <c r="O31" s="236">
        <f t="shared" si="312"/>
        <v>0</v>
      </c>
      <c r="P31" s="237">
        <f t="shared" ref="P31:Y31" si="396">SUM(P29)</f>
        <v>0</v>
      </c>
      <c r="Q31" s="237">
        <f t="shared" si="396"/>
        <v>0</v>
      </c>
      <c r="R31" s="237">
        <f t="shared" si="396"/>
        <v>0</v>
      </c>
      <c r="S31" s="237">
        <f t="shared" si="396"/>
        <v>0</v>
      </c>
      <c r="T31" s="237">
        <f t="shared" si="396"/>
        <v>0</v>
      </c>
      <c r="U31" s="237">
        <f t="shared" si="396"/>
        <v>0</v>
      </c>
      <c r="V31" s="237">
        <f t="shared" si="396"/>
        <v>0</v>
      </c>
      <c r="W31" s="237">
        <f t="shared" si="396"/>
        <v>0</v>
      </c>
      <c r="X31" s="237">
        <f t="shared" si="396"/>
        <v>0</v>
      </c>
      <c r="Y31" s="237">
        <f t="shared" si="396"/>
        <v>0</v>
      </c>
      <c r="Z31" s="237">
        <f>U31*4%</f>
        <v>0</v>
      </c>
      <c r="AA31" s="238">
        <f t="shared" si="314"/>
        <v>0</v>
      </c>
      <c r="AB31" s="237">
        <f>SUM(AB29)</f>
        <v>0</v>
      </c>
      <c r="AC31" s="237">
        <f>SUM(AC29)</f>
        <v>0</v>
      </c>
      <c r="AD31" s="237">
        <f>W31-X31-Z31-AA31-AB31-AC31</f>
        <v>0</v>
      </c>
      <c r="AE31" s="238" t="e">
        <f t="shared" si="315"/>
        <v>#DIV/0!</v>
      </c>
      <c r="AF31" s="237" t="e">
        <f t="shared" si="316"/>
        <v>#DIV/0!</v>
      </c>
      <c r="AG31" s="239" t="e">
        <f t="shared" si="317"/>
        <v>#DIV/0!</v>
      </c>
      <c r="AH31" s="240" t="e">
        <f t="shared" si="318"/>
        <v>#DIV/0!</v>
      </c>
      <c r="AI31" s="53"/>
      <c r="AJ31" s="235" t="s">
        <v>153</v>
      </c>
      <c r="AK31" s="237">
        <f t="shared" ref="AK31:AM31" si="397">SUM(AK29)</f>
        <v>0</v>
      </c>
      <c r="AL31" s="237">
        <f t="shared" si="397"/>
        <v>0</v>
      </c>
      <c r="AM31" s="237">
        <f t="shared" si="397"/>
        <v>0</v>
      </c>
      <c r="AN31" s="236" t="e">
        <f>(AP31/AM31)/AZ1</f>
        <v>#DIV/0!</v>
      </c>
      <c r="AO31" s="237">
        <f t="shared" ref="AO31:AU31" si="398">SUM(AO29)</f>
        <v>849</v>
      </c>
      <c r="AP31" s="237">
        <f t="shared" si="398"/>
        <v>294</v>
      </c>
      <c r="AQ31" s="237">
        <f t="shared" si="398"/>
        <v>44575.6333333333</v>
      </c>
      <c r="AR31" s="237">
        <f t="shared" si="398"/>
        <v>79666.4666666666</v>
      </c>
      <c r="AS31" s="237">
        <f t="shared" si="398"/>
        <v>29300</v>
      </c>
      <c r="AT31" s="236">
        <f t="shared" si="398"/>
        <v>203313.8</v>
      </c>
      <c r="AU31" s="236">
        <f t="shared" si="398"/>
        <v>194361.666666667</v>
      </c>
      <c r="AV31" s="236">
        <f t="shared" si="321"/>
        <v>8952.13333333333</v>
      </c>
      <c r="AW31" s="237">
        <f t="shared" ref="AW31:BF31" si="399">SUM(AW29)</f>
        <v>52786.3833333333</v>
      </c>
      <c r="AX31" s="237">
        <f t="shared" si="399"/>
        <v>52786.3833333333</v>
      </c>
      <c r="AY31" s="237">
        <f t="shared" si="399"/>
        <v>23033.3333333333</v>
      </c>
      <c r="AZ31" s="237">
        <f t="shared" si="399"/>
        <v>1362</v>
      </c>
      <c r="BA31" s="237">
        <f t="shared" si="399"/>
        <v>1068</v>
      </c>
      <c r="BB31" s="237">
        <f t="shared" si="399"/>
        <v>789461.3</v>
      </c>
      <c r="BC31" s="237">
        <f t="shared" si="399"/>
        <v>701952.71344086</v>
      </c>
      <c r="BD31" s="237">
        <f t="shared" si="399"/>
        <v>87508.58655914</v>
      </c>
      <c r="BE31" s="237">
        <f t="shared" si="399"/>
        <v>19613</v>
      </c>
      <c r="BF31" s="237">
        <f t="shared" si="399"/>
        <v>37022.1151666667</v>
      </c>
      <c r="BG31" s="237">
        <f>BB31*4%</f>
        <v>31578.452</v>
      </c>
      <c r="BH31" s="238">
        <f t="shared" si="323"/>
        <v>7404.42303333333</v>
      </c>
      <c r="BI31" s="237">
        <f>SUM(BI29)</f>
        <v>0</v>
      </c>
      <c r="BJ31" s="237">
        <f>SUM(BJ29)</f>
        <v>0</v>
      </c>
      <c r="BK31" s="237">
        <f>BD31-BE31-BG31-BH31-BI31-BJ31</f>
        <v>28912.7115258067</v>
      </c>
      <c r="BL31" s="238">
        <f t="shared" si="324"/>
        <v>270.974376417233</v>
      </c>
      <c r="BM31" s="237">
        <f t="shared" si="325"/>
        <v>579.633847283407</v>
      </c>
      <c r="BN31" s="239">
        <f t="shared" si="326"/>
        <v>1.35959172247785</v>
      </c>
      <c r="BO31" s="240">
        <f t="shared" si="327"/>
        <v>1.4934257148538</v>
      </c>
      <c r="BP31" s="53"/>
      <c r="BQ31" s="235" t="s">
        <v>153</v>
      </c>
      <c r="BR31" s="237">
        <f t="shared" ref="BR31:BT31" si="400">SUM(BR29)</f>
        <v>0</v>
      </c>
      <c r="BS31" s="237">
        <f t="shared" si="400"/>
        <v>3</v>
      </c>
      <c r="BT31" s="237">
        <f t="shared" si="400"/>
        <v>6</v>
      </c>
      <c r="BU31" s="236">
        <f>(BW31/BT31)/CI1</f>
        <v>2.32795698924731</v>
      </c>
      <c r="BV31" s="237">
        <f t="shared" ref="BV31:CB31" si="401">SUM(BV29)</f>
        <v>1069</v>
      </c>
      <c r="BW31" s="237">
        <f t="shared" si="401"/>
        <v>433</v>
      </c>
      <c r="BX31" s="237">
        <f t="shared" si="401"/>
        <v>65566.6666666667</v>
      </c>
      <c r="BY31" s="237">
        <f t="shared" si="401"/>
        <v>114723.333333333</v>
      </c>
      <c r="BZ31" s="237">
        <f t="shared" si="401"/>
        <v>72262.65</v>
      </c>
      <c r="CA31" s="236">
        <f t="shared" si="401"/>
        <v>336835.266666667</v>
      </c>
      <c r="CB31" s="236">
        <f t="shared" si="401"/>
        <v>275657.116666667</v>
      </c>
      <c r="CC31" s="236">
        <f t="shared" ref="CC31:CC36" si="402">CA31-CB31</f>
        <v>61178.15</v>
      </c>
      <c r="CD31" s="237">
        <f t="shared" ref="CD31:CM31" si="403">SUM(CD29)</f>
        <v>368</v>
      </c>
      <c r="CE31" s="237">
        <f t="shared" si="403"/>
        <v>101696.666666667</v>
      </c>
      <c r="CF31" s="237">
        <f t="shared" si="403"/>
        <v>50554.9833333333</v>
      </c>
      <c r="CG31" s="237">
        <f t="shared" si="403"/>
        <v>1646</v>
      </c>
      <c r="CH31" s="237">
        <f t="shared" si="403"/>
        <v>1213</v>
      </c>
      <c r="CI31" s="237">
        <f t="shared" si="403"/>
        <v>1136587.46666667</v>
      </c>
      <c r="CJ31" s="237">
        <f t="shared" si="403"/>
        <v>870057.080434782</v>
      </c>
      <c r="CK31" s="237">
        <f t="shared" si="403"/>
        <v>266530.386231888</v>
      </c>
      <c r="CL31" s="237">
        <f t="shared" si="403"/>
        <v>15298</v>
      </c>
      <c r="CM31" s="237">
        <f t="shared" si="403"/>
        <v>211692.855666667</v>
      </c>
      <c r="CN31" s="237">
        <f>CI31*4%</f>
        <v>45463.4986666668</v>
      </c>
      <c r="CO31" s="238">
        <f t="shared" si="331"/>
        <v>42338.5711333333</v>
      </c>
      <c r="CP31" s="237">
        <f>SUM(CP29)</f>
        <v>0</v>
      </c>
      <c r="CQ31" s="237">
        <f>SUM(CQ29)</f>
        <v>75562.5</v>
      </c>
      <c r="CR31" s="237">
        <f>CK31-CL31-CN31-CO31-CP31-CQ31</f>
        <v>87867.8164318879</v>
      </c>
      <c r="CS31" s="238">
        <f t="shared" si="332"/>
        <v>264.949961508852</v>
      </c>
      <c r="CT31" s="237">
        <f t="shared" si="333"/>
        <v>690.514864317539</v>
      </c>
      <c r="CU31" s="239">
        <f t="shared" si="334"/>
        <v>1.11273768830497</v>
      </c>
      <c r="CV31" s="240">
        <f t="shared" si="335"/>
        <v>1.49180875731413</v>
      </c>
      <c r="CW31" s="53"/>
      <c r="CX31" s="235" t="s">
        <v>153</v>
      </c>
      <c r="CY31" s="237">
        <f t="shared" ref="CY31:DA31" si="404">SUM(CY29)</f>
        <v>0</v>
      </c>
      <c r="CZ31" s="237">
        <f t="shared" si="404"/>
        <v>3</v>
      </c>
      <c r="DA31" s="237">
        <f t="shared" si="404"/>
        <v>10</v>
      </c>
      <c r="DB31" s="236">
        <f>(DD31/DA31)/DP1</f>
        <v>0.34</v>
      </c>
      <c r="DC31" s="237">
        <f t="shared" ref="DC31:DI31" si="405">SUM(DC29)</f>
        <v>304</v>
      </c>
      <c r="DD31" s="237">
        <f t="shared" si="405"/>
        <v>102</v>
      </c>
      <c r="DE31" s="237">
        <f t="shared" si="405"/>
        <v>13616.25</v>
      </c>
      <c r="DF31" s="237">
        <f t="shared" si="405"/>
        <v>19235</v>
      </c>
      <c r="DG31" s="237">
        <f t="shared" si="405"/>
        <v>12075</v>
      </c>
      <c r="DH31" s="236">
        <f t="shared" si="405"/>
        <v>27210</v>
      </c>
      <c r="DI31" s="236">
        <f t="shared" si="405"/>
        <v>17462.5</v>
      </c>
      <c r="DJ31" s="236">
        <f t="shared" si="338"/>
        <v>9747.5</v>
      </c>
      <c r="DK31" s="237">
        <f t="shared" ref="DK31:DT31" si="406">SUM(DK29)</f>
        <v>90</v>
      </c>
      <c r="DL31" s="237">
        <f t="shared" si="406"/>
        <v>18103.75</v>
      </c>
      <c r="DM31" s="237">
        <f t="shared" si="406"/>
        <v>11575</v>
      </c>
      <c r="DN31" s="237">
        <f t="shared" si="406"/>
        <v>866</v>
      </c>
      <c r="DO31" s="237">
        <f t="shared" si="406"/>
        <v>764</v>
      </c>
      <c r="DP31" s="237">
        <f t="shared" si="406"/>
        <v>708167.525</v>
      </c>
      <c r="DQ31" s="237">
        <f t="shared" si="406"/>
        <v>541958.475</v>
      </c>
      <c r="DR31" s="237">
        <f t="shared" si="406"/>
        <v>166209.05</v>
      </c>
      <c r="DS31" s="237">
        <f t="shared" si="406"/>
        <v>0</v>
      </c>
      <c r="DT31" s="237">
        <f t="shared" si="406"/>
        <v>137917.582875</v>
      </c>
      <c r="DU31" s="237">
        <f>DP31*4%</f>
        <v>28326.701</v>
      </c>
      <c r="DV31" s="238">
        <f t="shared" si="340"/>
        <v>27583.516575</v>
      </c>
      <c r="DW31" s="237">
        <f>SUM(DW29)</f>
        <v>0</v>
      </c>
      <c r="DX31" s="237">
        <f>SUM(DX29)</f>
        <v>0</v>
      </c>
      <c r="DY31" s="237">
        <f>DR31-DS31-DU31-DV31-DW31-DX31</f>
        <v>110298.832425</v>
      </c>
      <c r="DZ31" s="238">
        <f t="shared" si="341"/>
        <v>188.578431372549</v>
      </c>
      <c r="EA31" s="237">
        <f t="shared" si="342"/>
        <v>817.745409930716</v>
      </c>
      <c r="EB31" s="239">
        <f t="shared" si="343"/>
        <v>0.344033717525736</v>
      </c>
      <c r="EC31" s="240">
        <f t="shared" si="344"/>
        <v>2.9727848899361</v>
      </c>
      <c r="ED31" s="53"/>
      <c r="EE31" s="235" t="s">
        <v>153</v>
      </c>
      <c r="EF31" s="236">
        <f>SUM(EF29)</f>
        <v>0</v>
      </c>
      <c r="EG31" s="236">
        <f>SUM(EG29)</f>
        <v>3</v>
      </c>
      <c r="EH31" s="236">
        <f>SUM(EH29)</f>
        <v>13</v>
      </c>
      <c r="EI31" s="236">
        <f>(EK31/EH31)/EW1</f>
        <v>0.176178660049628</v>
      </c>
      <c r="EJ31" s="236">
        <f t="shared" ref="EJ31:EP31" si="407">SUM(EJ29)</f>
        <v>256</v>
      </c>
      <c r="EK31" s="236">
        <f t="shared" si="407"/>
        <v>71</v>
      </c>
      <c r="EL31" s="236">
        <f t="shared" si="407"/>
        <v>6475</v>
      </c>
      <c r="EM31" s="236">
        <f t="shared" si="407"/>
        <v>13975</v>
      </c>
      <c r="EN31" s="236">
        <f t="shared" si="407"/>
        <v>6100</v>
      </c>
      <c r="EO31" s="236">
        <f t="shared" si="407"/>
        <v>43208.75</v>
      </c>
      <c r="EP31" s="236">
        <f t="shared" si="407"/>
        <v>31435.15</v>
      </c>
      <c r="EQ31" s="236">
        <f>EO31-EP31</f>
        <v>11773.6</v>
      </c>
      <c r="ER31" s="236">
        <f t="shared" ref="ER31:FA31" si="408">SUM(ER29)</f>
        <v>60</v>
      </c>
      <c r="ES31" s="236">
        <f t="shared" si="408"/>
        <v>12537.5</v>
      </c>
      <c r="ET31" s="236">
        <f t="shared" si="408"/>
        <v>5450</v>
      </c>
      <c r="EU31" s="236">
        <f t="shared" si="408"/>
        <v>991</v>
      </c>
      <c r="EV31" s="236">
        <f t="shared" si="408"/>
        <v>920</v>
      </c>
      <c r="EW31" s="236">
        <f t="shared" si="408"/>
        <v>852838.0125</v>
      </c>
      <c r="EX31" s="236">
        <f t="shared" si="408"/>
        <v>649433.7375</v>
      </c>
      <c r="EY31" s="236">
        <f t="shared" si="408"/>
        <v>203404.275</v>
      </c>
      <c r="EZ31" s="236">
        <f t="shared" si="408"/>
        <v>2525</v>
      </c>
      <c r="FA31" s="236">
        <f t="shared" si="408"/>
        <v>182296.567625</v>
      </c>
      <c r="FB31" s="237">
        <f>EW31*4%</f>
        <v>34113.5205</v>
      </c>
      <c r="FC31" s="238">
        <f>IF(FA31&gt;0,FA31*20%,0)</f>
        <v>36459.313525</v>
      </c>
      <c r="FD31" s="236">
        <f>SUM(FD29)</f>
        <v>0</v>
      </c>
      <c r="FE31" s="236">
        <f>SUM(FE29)</f>
        <v>75562.5</v>
      </c>
      <c r="FF31" s="237">
        <f>EY31-EZ31-FB31-FC31-FD31-FE31</f>
        <v>54743.940975</v>
      </c>
      <c r="FG31" s="238">
        <f>EM31/EK31</f>
        <v>196.830985915493</v>
      </c>
      <c r="FH31" s="237">
        <f>EW31/EU31</f>
        <v>860.58326185671</v>
      </c>
      <c r="FI31" s="239">
        <f>EM31/(FB31+FC31+EZ31+FD31)</f>
        <v>0.191182135372444</v>
      </c>
      <c r="FJ31" s="240">
        <f>EY31/(FB31+FC31+EZ31+FD31+FE31)</f>
        <v>1.3682484728293</v>
      </c>
      <c r="FK31" s="53"/>
      <c r="FL31" s="53"/>
      <c r="FM31" s="53"/>
      <c r="FN31" s="235" t="s">
        <v>153</v>
      </c>
      <c r="FO31" s="236">
        <f>SUM(FO29)</f>
        <v>0</v>
      </c>
      <c r="FP31" s="236">
        <f>SUM(FP29)</f>
        <v>3</v>
      </c>
      <c r="FQ31" s="236">
        <f>SUM(FQ29)</f>
        <v>40</v>
      </c>
      <c r="FR31" s="236">
        <f>(FT31/FQ31)/GF1</f>
        <v>0.0910714285714286</v>
      </c>
      <c r="FS31" s="236">
        <f t="shared" ref="FS31:FY31" si="409">SUM(FS29)</f>
        <v>393</v>
      </c>
      <c r="FT31" s="236">
        <f t="shared" si="409"/>
        <v>102</v>
      </c>
      <c r="FU31" s="236">
        <f t="shared" si="409"/>
        <v>16031.25</v>
      </c>
      <c r="FV31" s="236">
        <f t="shared" si="409"/>
        <v>36037.5</v>
      </c>
      <c r="FW31" s="236">
        <f t="shared" si="409"/>
        <v>13150</v>
      </c>
      <c r="FX31" s="236">
        <f t="shared" si="409"/>
        <v>357153.825</v>
      </c>
      <c r="FY31" s="236">
        <f t="shared" si="409"/>
        <v>239187.5</v>
      </c>
      <c r="FZ31" s="236">
        <f t="shared" ref="FZ31:FZ36" si="410">FX31-FY31</f>
        <v>117966.325</v>
      </c>
      <c r="GA31" s="236">
        <f t="shared" ref="GA31:GJ31" si="411">SUM(GA29)</f>
        <v>74</v>
      </c>
      <c r="GB31" s="236">
        <f t="shared" si="411"/>
        <v>26828.75</v>
      </c>
      <c r="GC31" s="236">
        <f t="shared" si="411"/>
        <v>11900</v>
      </c>
      <c r="GD31" s="236">
        <f t="shared" si="411"/>
        <v>911</v>
      </c>
      <c r="GE31" s="236">
        <f t="shared" si="411"/>
        <v>809</v>
      </c>
      <c r="GF31" s="236">
        <f t="shared" si="411"/>
        <v>636572.3375</v>
      </c>
      <c r="GG31" s="236">
        <f t="shared" si="411"/>
        <v>537486.875</v>
      </c>
      <c r="GH31" s="236">
        <f t="shared" si="411"/>
        <v>99085.4625</v>
      </c>
      <c r="GI31" s="236">
        <f t="shared" si="411"/>
        <v>7775</v>
      </c>
      <c r="GJ31" s="236">
        <f t="shared" si="411"/>
        <v>82188.4395</v>
      </c>
      <c r="GK31" s="237">
        <f>GF31*4%</f>
        <v>25462.8935</v>
      </c>
      <c r="GL31" s="238">
        <f>GL29</f>
        <v>16437.6879</v>
      </c>
      <c r="GM31" s="236">
        <f>SUM(GM29)</f>
        <v>0</v>
      </c>
      <c r="GN31" s="236">
        <f>SUM(GN29)</f>
        <v>68250</v>
      </c>
      <c r="GO31" s="237">
        <f>GH31-GI31-GK31-GL31-GM31-GN31</f>
        <v>-18840.1189</v>
      </c>
      <c r="GP31" s="238">
        <f>FV31/FT31</f>
        <v>353.308823529412</v>
      </c>
      <c r="GQ31" s="237">
        <f>GF31/GD31</f>
        <v>698.762170691548</v>
      </c>
      <c r="GR31" s="239">
        <f t="shared" si="349"/>
        <v>0.725457035113836</v>
      </c>
      <c r="GS31" s="240">
        <f t="shared" si="350"/>
        <v>0.840237218453095</v>
      </c>
      <c r="GT31" s="53"/>
      <c r="GU31" s="53"/>
      <c r="GV31" s="235" t="s">
        <v>153</v>
      </c>
      <c r="GW31" s="236">
        <f t="shared" ref="GW31:GY31" si="412">SUM(GW29)</f>
        <v>0</v>
      </c>
      <c r="GX31" s="236">
        <f t="shared" si="412"/>
        <v>4</v>
      </c>
      <c r="GY31" s="236">
        <f t="shared" si="412"/>
        <v>11</v>
      </c>
      <c r="GZ31" s="236">
        <f>(HB31/GY31)/HL1</f>
        <v>0.231671554252199</v>
      </c>
      <c r="HA31" s="236">
        <f t="shared" ref="HA31:HG31" si="413">SUM(HA29)</f>
        <v>421</v>
      </c>
      <c r="HB31" s="236">
        <f t="shared" si="413"/>
        <v>79</v>
      </c>
      <c r="HC31" s="236">
        <f t="shared" si="413"/>
        <v>8568.7625</v>
      </c>
      <c r="HD31" s="236">
        <f t="shared" si="413"/>
        <v>15756.7625</v>
      </c>
      <c r="HE31" s="236">
        <f t="shared" si="413"/>
        <v>8620.9625</v>
      </c>
      <c r="HF31" s="236">
        <f t="shared" si="413"/>
        <v>39823.775</v>
      </c>
      <c r="HG31" s="236">
        <f t="shared" si="413"/>
        <v>25145.9625</v>
      </c>
      <c r="HH31" s="236">
        <f t="shared" si="393"/>
        <v>14677.8125</v>
      </c>
      <c r="HI31" s="236">
        <f t="shared" ref="HI31:HR31" si="414">SUM(HI29)</f>
        <v>58</v>
      </c>
      <c r="HJ31" s="236">
        <f t="shared" si="414"/>
        <v>12574.2625</v>
      </c>
      <c r="HK31" s="236">
        <f t="shared" si="414"/>
        <v>7395.9625</v>
      </c>
      <c r="HL31" s="236">
        <f t="shared" si="414"/>
        <v>1040</v>
      </c>
      <c r="HM31" s="236">
        <f t="shared" si="414"/>
        <v>961</v>
      </c>
      <c r="HN31" s="236">
        <f t="shared" si="414"/>
        <v>459629.3125</v>
      </c>
      <c r="HO31" s="236">
        <f t="shared" si="414"/>
        <v>265600.5875</v>
      </c>
      <c r="HP31" s="236">
        <f t="shared" si="414"/>
        <v>194028.725</v>
      </c>
      <c r="HQ31" s="236">
        <f t="shared" si="414"/>
        <v>0</v>
      </c>
      <c r="HR31" s="236">
        <f t="shared" si="414"/>
        <v>175903.3655</v>
      </c>
      <c r="HS31" s="237">
        <f>HN31*4%</f>
        <v>18385.1725</v>
      </c>
      <c r="HT31" s="238">
        <f>HT29</f>
        <v>14624.27105</v>
      </c>
      <c r="HU31" s="236">
        <f>SUM(HU29)</f>
        <v>0</v>
      </c>
      <c r="HV31" s="236">
        <f>SUM(HV29)</f>
        <v>100750</v>
      </c>
      <c r="HW31" s="237">
        <f>HP31-HQ31-HS31-HT31-HU31-HV31</f>
        <v>60269.28145</v>
      </c>
      <c r="HX31" s="238">
        <f>HD31/HB31</f>
        <v>199.452689873418</v>
      </c>
      <c r="HY31" s="237">
        <f>HN31/HL31</f>
        <v>441.951262019231</v>
      </c>
      <c r="HZ31" s="239">
        <f t="shared" si="354"/>
        <v>0.477341051694281</v>
      </c>
      <c r="IA31" s="240">
        <f t="shared" si="355"/>
        <v>1.45057963647607</v>
      </c>
      <c r="IB31" s="53"/>
      <c r="IC31" s="53"/>
      <c r="ID31" s="235" t="s">
        <v>153</v>
      </c>
      <c r="IE31" s="236">
        <f>SUM(IE29)</f>
        <v>3</v>
      </c>
      <c r="IF31" s="236">
        <f>SUM(IF29)</f>
        <v>0</v>
      </c>
      <c r="IG31" s="236">
        <f>SUM(IG29)</f>
        <v>31</v>
      </c>
      <c r="IH31" s="236">
        <f>(IJ31/IG31)/IT1</f>
        <v>0.123829344432882</v>
      </c>
      <c r="II31" s="236">
        <f t="shared" ref="II31:IO31" si="415">SUM(II29)</f>
        <v>508</v>
      </c>
      <c r="IJ31" s="236">
        <f t="shared" si="415"/>
        <v>119</v>
      </c>
      <c r="IK31" s="236">
        <f t="shared" si="415"/>
        <v>12677.5</v>
      </c>
      <c r="IL31" s="236">
        <f t="shared" si="415"/>
        <v>19431.25</v>
      </c>
      <c r="IM31" s="236">
        <f t="shared" si="415"/>
        <v>10831.25</v>
      </c>
      <c r="IN31" s="236">
        <f t="shared" si="415"/>
        <v>65886.15</v>
      </c>
      <c r="IO31" s="236">
        <f t="shared" si="415"/>
        <v>44537.5</v>
      </c>
      <c r="IP31" s="236">
        <f>IN31-IO31</f>
        <v>21348.65</v>
      </c>
      <c r="IQ31" s="236">
        <f t="shared" ref="IQ31:IZ31" si="416">SUM(IQ29)</f>
        <v>93</v>
      </c>
      <c r="IR31" s="236">
        <f t="shared" si="416"/>
        <v>13558.75</v>
      </c>
      <c r="IS31" s="236">
        <f t="shared" si="416"/>
        <v>9331.25</v>
      </c>
      <c r="IT31" s="236">
        <f t="shared" si="416"/>
        <v>1164</v>
      </c>
      <c r="IU31" s="236">
        <f t="shared" si="416"/>
        <v>1045</v>
      </c>
      <c r="IV31" s="236">
        <f t="shared" si="416"/>
        <v>527486</v>
      </c>
      <c r="IW31" s="236">
        <f t="shared" si="416"/>
        <v>467935</v>
      </c>
      <c r="IX31" s="236">
        <f t="shared" si="416"/>
        <v>59551</v>
      </c>
      <c r="IY31" s="236">
        <f t="shared" si="416"/>
        <v>28875</v>
      </c>
      <c r="IZ31" s="236">
        <f t="shared" si="416"/>
        <v>36416.73125</v>
      </c>
      <c r="JA31" s="237">
        <f>IV31*4%</f>
        <v>21099.44</v>
      </c>
      <c r="JB31" s="238">
        <f>JB29</f>
        <v>7283.34625</v>
      </c>
      <c r="JC31" s="236">
        <f>SUM(JC29)</f>
        <v>75547</v>
      </c>
      <c r="JD31" s="236">
        <f>SUM(JD29)</f>
        <v>0</v>
      </c>
      <c r="JE31" s="237">
        <f>IX31-IY31-JA31-JB31-JC31</f>
        <v>-73253.78625</v>
      </c>
      <c r="JF31" s="238">
        <f t="shared" si="358"/>
        <v>163.28781512605</v>
      </c>
      <c r="JG31" s="237">
        <f t="shared" si="359"/>
        <v>453.166666666667</v>
      </c>
      <c r="JH31" s="239">
        <f t="shared" si="360"/>
        <v>0.146314380292149</v>
      </c>
      <c r="JI31" s="240">
        <f t="shared" si="361"/>
        <v>0.448410043655335</v>
      </c>
      <c r="JJ31" s="53"/>
      <c r="JK31" s="53"/>
      <c r="JL31" s="235" t="s">
        <v>153</v>
      </c>
      <c r="JM31" s="236">
        <f>SUM(JM29)</f>
        <v>4</v>
      </c>
      <c r="JN31" s="236">
        <f>SUM(JN29)</f>
        <v>9</v>
      </c>
      <c r="JO31" s="236"/>
      <c r="JP31" s="236"/>
      <c r="JQ31" s="236">
        <f t="shared" ref="JQ31:JW31" si="417">SUM(JQ29)</f>
        <v>234</v>
      </c>
      <c r="JR31" s="236">
        <f t="shared" si="417"/>
        <v>96</v>
      </c>
      <c r="JS31" s="236">
        <f t="shared" si="417"/>
        <v>7937.5</v>
      </c>
      <c r="JT31" s="236">
        <f t="shared" si="417"/>
        <v>34445.625</v>
      </c>
      <c r="JU31" s="236">
        <f t="shared" si="417"/>
        <v>21175</v>
      </c>
      <c r="JV31" s="236">
        <f t="shared" si="417"/>
        <v>124191.975</v>
      </c>
      <c r="JW31" s="236">
        <f t="shared" si="417"/>
        <v>48225</v>
      </c>
      <c r="JX31" s="236"/>
      <c r="JY31" s="236">
        <f t="shared" ref="JY31:KK31" si="418">SUM(JY29)</f>
        <v>90</v>
      </c>
      <c r="JZ31" s="236">
        <f t="shared" si="418"/>
        <v>16178.75</v>
      </c>
      <c r="KA31" s="236">
        <f t="shared" si="418"/>
        <v>4012.5</v>
      </c>
      <c r="KB31" s="236">
        <f t="shared" si="418"/>
        <v>1154</v>
      </c>
      <c r="KC31" s="236">
        <f t="shared" si="418"/>
        <v>1058</v>
      </c>
      <c r="KD31" s="236">
        <f t="shared" si="418"/>
        <v>560329.525</v>
      </c>
      <c r="KE31" s="236">
        <f t="shared" si="418"/>
        <v>420123.825</v>
      </c>
      <c r="KF31" s="236">
        <f t="shared" si="418"/>
        <v>140205.7</v>
      </c>
      <c r="KG31" s="236">
        <f t="shared" si="418"/>
        <v>5500</v>
      </c>
      <c r="KH31" s="236">
        <f t="shared" si="418"/>
        <v>126180.809625</v>
      </c>
      <c r="KI31" s="237">
        <f t="shared" si="418"/>
        <v>22413.181</v>
      </c>
      <c r="KJ31" s="238">
        <f t="shared" si="418"/>
        <v>25236.161925</v>
      </c>
      <c r="KK31" s="236">
        <f t="shared" si="418"/>
        <v>97500</v>
      </c>
      <c r="KL31" s="236"/>
      <c r="KM31" s="237">
        <f>KF31-KG31-KI31-KJ31-KK31</f>
        <v>-10443.642925</v>
      </c>
      <c r="KN31" s="238">
        <f t="shared" si="364"/>
        <v>358.80859375</v>
      </c>
      <c r="KO31" s="237">
        <f t="shared" si="365"/>
        <v>485.554181109185</v>
      </c>
      <c r="KP31" s="239">
        <f t="shared" si="366"/>
        <v>0.22864769491327</v>
      </c>
      <c r="KQ31" s="240">
        <f t="shared" si="367"/>
        <v>0.930675814960578</v>
      </c>
      <c r="KR31" s="53"/>
      <c r="KS31" s="53"/>
      <c r="KT31" s="287" t="s">
        <v>153</v>
      </c>
      <c r="KU31" s="288">
        <v>6</v>
      </c>
      <c r="KV31" s="288"/>
      <c r="KW31" s="288">
        <v>162</v>
      </c>
      <c r="KX31" s="288"/>
      <c r="KY31" s="288">
        <v>1189</v>
      </c>
      <c r="KZ31" s="288">
        <v>394</v>
      </c>
      <c r="LA31" s="288">
        <v>37782.1875</v>
      </c>
      <c r="LB31" s="288">
        <v>59213.4375</v>
      </c>
      <c r="LC31" s="288">
        <v>24103.575</v>
      </c>
      <c r="LD31" s="288">
        <v>269389.6125</v>
      </c>
      <c r="LE31" s="288">
        <v>229608.2875</v>
      </c>
      <c r="LF31" s="288"/>
      <c r="LG31" s="288">
        <v>301</v>
      </c>
      <c r="LH31" s="288">
        <v>48938.4375</v>
      </c>
      <c r="LI31" s="288">
        <v>20710</v>
      </c>
      <c r="LJ31" s="288">
        <v>1737</v>
      </c>
      <c r="LK31" s="288">
        <v>1343</v>
      </c>
      <c r="LL31" s="288">
        <v>570757.5875</v>
      </c>
      <c r="LM31" s="288">
        <v>486188.3375</v>
      </c>
      <c r="LN31" s="288">
        <v>84569.2500000001</v>
      </c>
      <c r="LO31" s="288">
        <v>15266.6625</v>
      </c>
      <c r="LP31" s="288">
        <v>70785.6905</v>
      </c>
      <c r="LQ31" s="288">
        <v>22830.3035</v>
      </c>
      <c r="LR31" s="288">
        <v>14157.1381</v>
      </c>
      <c r="LS31" s="288">
        <v>151125</v>
      </c>
      <c r="LT31" s="288"/>
      <c r="LU31" s="288">
        <v>-118809.8541</v>
      </c>
      <c r="LV31" s="290">
        <v>150.287912436548</v>
      </c>
      <c r="LW31" s="288">
        <v>328.588133275763</v>
      </c>
      <c r="LX31" s="291">
        <v>0.291148088993868</v>
      </c>
      <c r="LY31" s="292">
        <v>0.415820742127067</v>
      </c>
      <c r="LZ31" s="296"/>
      <c r="MA31" s="241"/>
      <c r="MB31" s="287" t="s">
        <v>153</v>
      </c>
      <c r="MC31" s="288">
        <f>SUM(MC29)</f>
        <v>6</v>
      </c>
      <c r="MD31" s="288"/>
      <c r="ME31" s="288">
        <f>SUM(ME29)</f>
        <v>90</v>
      </c>
      <c r="MF31" s="288"/>
      <c r="MG31" s="288">
        <f t="shared" ref="MG31:MM31" si="419">SUM(MG29)</f>
        <v>1256</v>
      </c>
      <c r="MH31" s="288">
        <f t="shared" si="419"/>
        <v>383</v>
      </c>
      <c r="MI31" s="288">
        <f t="shared" si="419"/>
        <v>37037.5</v>
      </c>
      <c r="MJ31" s="288">
        <f t="shared" si="419"/>
        <v>61586.775</v>
      </c>
      <c r="MK31" s="288">
        <f t="shared" si="419"/>
        <v>30827.5</v>
      </c>
      <c r="ML31" s="288">
        <f t="shared" si="419"/>
        <v>334461.575</v>
      </c>
      <c r="MM31" s="288">
        <f t="shared" si="419"/>
        <v>262954.7625</v>
      </c>
      <c r="MN31" s="288"/>
      <c r="MO31" s="288">
        <f t="shared" ref="MO31:MX31" si="420">SUM(MO29)</f>
        <v>305</v>
      </c>
      <c r="MP31" s="288">
        <f t="shared" si="420"/>
        <v>51039.275</v>
      </c>
      <c r="MQ31" s="288">
        <f t="shared" si="420"/>
        <v>22014.375</v>
      </c>
      <c r="MR31" s="288">
        <f t="shared" si="420"/>
        <v>1082</v>
      </c>
      <c r="MS31" s="288">
        <f t="shared" si="420"/>
        <v>699</v>
      </c>
      <c r="MT31" s="288">
        <f t="shared" si="420"/>
        <v>371497.575</v>
      </c>
      <c r="MU31" s="288">
        <f t="shared" si="420"/>
        <v>289093.9875</v>
      </c>
      <c r="MV31" s="288">
        <f t="shared" si="420"/>
        <v>82403.5875</v>
      </c>
      <c r="MW31" s="288">
        <f t="shared" si="420"/>
        <v>14275</v>
      </c>
      <c r="MX31" s="288">
        <f t="shared" si="420"/>
        <v>69343.72225</v>
      </c>
      <c r="MY31" s="288">
        <f>MT31*4%</f>
        <v>14859.903</v>
      </c>
      <c r="MZ31" s="288">
        <f t="shared" si="370"/>
        <v>13868.74445</v>
      </c>
      <c r="NA31" s="288">
        <f>SUM(NA29)</f>
        <v>115375</v>
      </c>
      <c r="NB31" s="288">
        <f>MV31-MW31-MY31-MZ31-NA31</f>
        <v>-75975.05995</v>
      </c>
      <c r="NC31" s="290"/>
      <c r="ND31" s="290">
        <f t="shared" si="371"/>
        <v>160.800979112272</v>
      </c>
      <c r="NE31" s="288">
        <f t="shared" si="372"/>
        <v>343.343414972274</v>
      </c>
      <c r="NF31" s="291">
        <f t="shared" si="373"/>
        <v>0.388857816325543</v>
      </c>
      <c r="NG31" s="292">
        <f t="shared" si="374"/>
        <v>0.520294805055806</v>
      </c>
      <c r="NH31" s="53"/>
      <c r="NI31" s="53"/>
      <c r="NJ31" s="287" t="s">
        <v>153</v>
      </c>
      <c r="NK31" s="288">
        <f>SUM(NK29)</f>
        <v>4</v>
      </c>
      <c r="NL31" s="288"/>
      <c r="NM31" s="288">
        <f>SUM(NM29)</f>
        <v>13</v>
      </c>
      <c r="NN31" s="288"/>
      <c r="NO31" s="288">
        <f t="shared" ref="NO31:NU31" si="421">SUM(NO29)</f>
        <v>653</v>
      </c>
      <c r="NP31" s="288">
        <f t="shared" si="421"/>
        <v>183</v>
      </c>
      <c r="NQ31" s="288">
        <f t="shared" si="421"/>
        <v>29546.25</v>
      </c>
      <c r="NR31" s="288">
        <f t="shared" si="421"/>
        <v>21151.25</v>
      </c>
      <c r="NS31" s="288">
        <f t="shared" si="421"/>
        <v>7254.375</v>
      </c>
      <c r="NT31" s="288">
        <f t="shared" si="421"/>
        <v>43263.75</v>
      </c>
      <c r="NU31" s="288">
        <f t="shared" si="421"/>
        <v>43289.0375</v>
      </c>
      <c r="NV31" s="288"/>
      <c r="NW31" s="288">
        <f t="shared" ref="NW31:OF31" si="422">SUM(NW29)</f>
        <v>154</v>
      </c>
      <c r="NX31" s="288">
        <f t="shared" si="422"/>
        <v>17354.537037037</v>
      </c>
      <c r="NY31" s="288">
        <f t="shared" si="422"/>
        <v>6116.875</v>
      </c>
      <c r="NZ31" s="288">
        <f t="shared" si="422"/>
        <v>288</v>
      </c>
      <c r="OA31" s="288">
        <f t="shared" si="422"/>
        <v>105</v>
      </c>
      <c r="OB31" s="288">
        <f t="shared" si="422"/>
        <v>43263.75</v>
      </c>
      <c r="OC31" s="288">
        <f t="shared" si="422"/>
        <v>43289.0375</v>
      </c>
      <c r="OD31" s="288">
        <f t="shared" si="422"/>
        <v>-25.2874999999985</v>
      </c>
      <c r="OE31" s="288">
        <f t="shared" si="422"/>
        <v>0</v>
      </c>
      <c r="OF31" s="288">
        <f t="shared" si="422"/>
        <v>-3704.332625</v>
      </c>
      <c r="OG31" s="288">
        <f>OB31*4%</f>
        <v>1730.55</v>
      </c>
      <c r="OH31" s="288">
        <f>OF31*20%</f>
        <v>-740.866525</v>
      </c>
      <c r="OI31" s="288">
        <f>SUM(OI29)</f>
        <v>87750</v>
      </c>
      <c r="OJ31" s="288"/>
      <c r="OK31" s="301">
        <f t="shared" si="377"/>
        <v>-88764.970975</v>
      </c>
      <c r="OL31" s="290">
        <f t="shared" si="378"/>
        <v>115.580601092896</v>
      </c>
      <c r="OM31" s="288">
        <f t="shared" si="379"/>
        <v>150.221354166667</v>
      </c>
      <c r="ON31" s="291">
        <f t="shared" si="380"/>
        <v>0.23835165026207</v>
      </c>
      <c r="OO31" s="292">
        <f t="shared" si="381"/>
        <v>-0.000284962702251723</v>
      </c>
      <c r="OP31" s="53"/>
      <c r="OQ31" s="53"/>
      <c r="OR31" s="53"/>
      <c r="OS31" s="144"/>
      <c r="OT31" s="144"/>
      <c r="OU31" s="144"/>
      <c r="OV31" s="144"/>
      <c r="OW31" s="144"/>
      <c r="OX31" s="144"/>
      <c r="OY31" s="144"/>
      <c r="OZ31" s="144"/>
      <c r="PA31" s="144"/>
      <c r="PB31" s="144"/>
      <c r="PC31" s="144"/>
      <c r="PD31" s="144"/>
      <c r="PE31" s="144"/>
      <c r="PF31" s="144"/>
      <c r="PG31" s="144"/>
      <c r="PH31" s="144"/>
      <c r="PI31" s="144"/>
      <c r="PJ31" s="144"/>
      <c r="PK31" s="144"/>
      <c r="PL31" s="144"/>
      <c r="PM31" s="144"/>
      <c r="PN31" s="144"/>
      <c r="PO31" s="144"/>
      <c r="PP31" s="144"/>
      <c r="PQ31" s="144"/>
      <c r="PR31" s="144"/>
      <c r="PS31" s="144"/>
      <c r="PT31" s="146"/>
      <c r="PU31" s="84"/>
      <c r="PV31" s="84"/>
      <c r="PW31" s="154"/>
      <c r="PX31" s="154"/>
      <c r="PY31" s="154"/>
      <c r="PZ31" s="154"/>
      <c r="QA31" s="154"/>
      <c r="QB31" s="154"/>
      <c r="QC31" s="154"/>
      <c r="QD31" s="154"/>
      <c r="QE31" s="154"/>
      <c r="QF31" s="155"/>
      <c r="QG31" s="155"/>
      <c r="QH31" s="155"/>
      <c r="QI31" s="155"/>
      <c r="QJ31" s="155"/>
      <c r="QK31" s="155"/>
      <c r="QL31" s="155"/>
      <c r="QM31" s="155"/>
      <c r="QN31" s="155"/>
      <c r="QO31" s="155"/>
      <c r="QP31" s="297"/>
      <c r="QQ31" s="155"/>
      <c r="QR31" s="84"/>
      <c r="QS31" s="155"/>
      <c r="QT31" s="84"/>
      <c r="QU31" s="84"/>
      <c r="QV31" s="84"/>
      <c r="QW31" s="154"/>
      <c r="QX31" s="154"/>
      <c r="QY31" s="154"/>
      <c r="QZ31" s="154"/>
      <c r="RA31" s="154"/>
      <c r="RB31" s="154"/>
      <c r="RC31" s="155"/>
      <c r="RD31" s="154"/>
      <c r="RE31" s="154"/>
      <c r="RF31" s="154"/>
      <c r="RG31" s="154"/>
      <c r="RH31" s="154"/>
      <c r="RI31" s="154"/>
      <c r="RJ31" s="154"/>
      <c r="RK31" s="154"/>
      <c r="RL31" s="154"/>
      <c r="RM31" s="154"/>
      <c r="RN31" s="154"/>
      <c r="RO31" s="144"/>
      <c r="RP31" s="144"/>
      <c r="RQ31" s="84"/>
      <c r="RR31" s="84"/>
      <c r="RS31" s="154"/>
      <c r="RT31" s="154"/>
      <c r="RU31" s="154"/>
      <c r="RV31" s="154"/>
      <c r="RW31" s="154"/>
      <c r="RX31" s="154"/>
      <c r="RY31" s="154"/>
      <c r="RZ31" s="154"/>
      <c r="SA31" s="154"/>
      <c r="SB31" s="154"/>
      <c r="SC31" s="154"/>
      <c r="SD31" s="154"/>
      <c r="SE31" s="154"/>
      <c r="SF31" s="154"/>
      <c r="SG31" s="154"/>
      <c r="SH31" s="154"/>
      <c r="SI31" s="154"/>
      <c r="SJ31" s="154"/>
      <c r="SK31" s="157"/>
      <c r="SL31" s="144"/>
      <c r="SM31" s="84"/>
      <c r="SN31" s="84"/>
      <c r="SO31" s="154"/>
      <c r="SP31" s="154"/>
      <c r="SQ31" s="154"/>
      <c r="SR31" s="154"/>
      <c r="SS31" s="154"/>
      <c r="ST31" s="154"/>
      <c r="SU31" s="154"/>
      <c r="SV31" s="154"/>
      <c r="SW31" s="154"/>
      <c r="SX31" s="154"/>
      <c r="SY31" s="154"/>
      <c r="SZ31" s="154"/>
      <c r="TA31" s="154"/>
      <c r="TB31" s="154"/>
      <c r="TC31" s="154"/>
      <c r="TD31" s="154"/>
      <c r="TE31" s="154"/>
      <c r="TF31" s="154"/>
      <c r="TG31" s="156"/>
      <c r="TH31" s="84"/>
      <c r="TI31" s="84"/>
      <c r="TJ31" s="84"/>
      <c r="TK31" s="84"/>
      <c r="TL31" s="154"/>
      <c r="TM31" s="154"/>
      <c r="TN31" s="154"/>
      <c r="TO31" s="154"/>
      <c r="TP31" s="154"/>
      <c r="TQ31" s="154"/>
      <c r="TR31" s="154"/>
      <c r="TS31" s="154"/>
      <c r="TT31" s="154"/>
      <c r="TU31" s="154"/>
      <c r="TV31" s="154"/>
      <c r="TW31" s="154"/>
      <c r="TX31" s="154"/>
      <c r="TY31" s="154"/>
      <c r="TZ31" s="154"/>
      <c r="UA31" s="154"/>
      <c r="UB31" s="154"/>
      <c r="UC31" s="154"/>
      <c r="UD31" s="154"/>
      <c r="UE31" s="154"/>
      <c r="UF31" s="154"/>
      <c r="UG31" s="154"/>
      <c r="UH31" s="154"/>
      <c r="UI31" s="154"/>
      <c r="UJ31" s="154"/>
      <c r="UK31" s="154"/>
      <c r="UL31" s="154"/>
      <c r="UM31" s="154"/>
      <c r="UN31" s="154"/>
      <c r="UO31" s="154"/>
      <c r="UP31" s="154"/>
      <c r="UQ31" s="154"/>
      <c r="UR31" s="154"/>
      <c r="US31" s="154"/>
      <c r="UT31" s="154"/>
      <c r="UU31" s="154"/>
      <c r="UV31" s="154"/>
      <c r="UW31" s="154"/>
      <c r="UX31" s="154"/>
      <c r="UY31" s="154"/>
      <c r="UZ31" s="154"/>
      <c r="VA31" s="154"/>
      <c r="VB31" s="154"/>
      <c r="VC31" s="154"/>
      <c r="VD31" s="154"/>
      <c r="VE31" s="154"/>
      <c r="VF31" s="154"/>
      <c r="VG31" s="154"/>
      <c r="VH31" s="154"/>
      <c r="VI31" s="154"/>
      <c r="VJ31" s="154"/>
      <c r="VK31" s="154"/>
      <c r="VL31" s="154"/>
      <c r="VM31" s="154"/>
      <c r="VN31" s="154"/>
      <c r="VO31" s="154"/>
      <c r="VP31" s="154"/>
      <c r="VQ31" s="154"/>
      <c r="VR31" s="154"/>
      <c r="VS31" s="154"/>
      <c r="VT31" s="298"/>
      <c r="VU31" s="298"/>
    </row>
    <row r="32" ht="18" hidden="1" customHeight="1" spans="1:593">
      <c r="A32" s="53"/>
      <c r="B32" s="53"/>
      <c r="C32" s="302"/>
      <c r="D32" s="302"/>
      <c r="E32" s="302"/>
      <c r="F32" s="302"/>
      <c r="G32" s="302"/>
      <c r="H32" s="302"/>
      <c r="I32" s="302"/>
      <c r="J32" s="302"/>
      <c r="K32" s="302"/>
      <c r="L32" s="302"/>
      <c r="M32" s="302"/>
      <c r="N32" s="302"/>
      <c r="O32" s="302"/>
      <c r="P32" s="302"/>
      <c r="Q32" s="302"/>
      <c r="R32" s="302"/>
      <c r="S32" s="302"/>
      <c r="T32" s="302"/>
      <c r="U32" s="302"/>
      <c r="V32" s="302"/>
      <c r="W32" s="302"/>
      <c r="X32" s="302"/>
      <c r="Y32" s="302"/>
      <c r="Z32" s="302"/>
      <c r="AA32" s="302"/>
      <c r="AB32" s="302"/>
      <c r="AC32" s="302"/>
      <c r="AD32" s="302"/>
      <c r="AE32" s="302"/>
      <c r="AF32" s="302"/>
      <c r="AG32" s="302"/>
      <c r="AH32" s="302"/>
      <c r="AI32" s="53"/>
      <c r="AJ32" s="302"/>
      <c r="AK32" s="302"/>
      <c r="AL32" s="302"/>
      <c r="AM32" s="302"/>
      <c r="AN32" s="302"/>
      <c r="AO32" s="302"/>
      <c r="AP32" s="302"/>
      <c r="AQ32" s="302"/>
      <c r="AR32" s="302"/>
      <c r="AS32" s="302"/>
      <c r="AT32" s="302"/>
      <c r="AU32" s="302"/>
      <c r="AV32" s="302"/>
      <c r="AW32" s="302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2"/>
      <c r="BN32" s="302"/>
      <c r="BO32" s="302"/>
      <c r="BP32" s="53"/>
      <c r="BQ32" s="302"/>
      <c r="BR32" s="302"/>
      <c r="BS32" s="302"/>
      <c r="BT32" s="302"/>
      <c r="BU32" s="302"/>
      <c r="BV32" s="302"/>
      <c r="BW32" s="302"/>
      <c r="BX32" s="302"/>
      <c r="BY32" s="302"/>
      <c r="BZ32" s="302"/>
      <c r="CA32" s="302"/>
      <c r="CB32" s="302"/>
      <c r="CC32" s="302"/>
      <c r="CD32" s="302"/>
      <c r="CE32" s="302"/>
      <c r="CF32" s="302"/>
      <c r="CG32" s="302"/>
      <c r="CH32" s="302"/>
      <c r="CI32" s="302"/>
      <c r="CJ32" s="302"/>
      <c r="CK32" s="302"/>
      <c r="CL32" s="302"/>
      <c r="CM32" s="302"/>
      <c r="CN32" s="302"/>
      <c r="CO32" s="302"/>
      <c r="CP32" s="302"/>
      <c r="CQ32" s="302"/>
      <c r="CR32" s="302"/>
      <c r="CS32" s="302"/>
      <c r="CT32" s="302"/>
      <c r="CU32" s="302"/>
      <c r="CV32" s="302"/>
      <c r="CW32" s="53"/>
      <c r="CX32" s="302"/>
      <c r="CY32" s="302"/>
      <c r="CZ32" s="302"/>
      <c r="DA32" s="302"/>
      <c r="DB32" s="302"/>
      <c r="DC32" s="302"/>
      <c r="DD32" s="302"/>
      <c r="DE32" s="302"/>
      <c r="DF32" s="302"/>
      <c r="DG32" s="302"/>
      <c r="DH32" s="302"/>
      <c r="DI32" s="302"/>
      <c r="DJ32" s="302"/>
      <c r="DK32" s="302"/>
      <c r="DL32" s="302"/>
      <c r="DM32" s="302"/>
      <c r="DN32" s="302"/>
      <c r="DO32" s="302"/>
      <c r="DP32" s="302"/>
      <c r="DQ32" s="302"/>
      <c r="DR32" s="302"/>
      <c r="DS32" s="302"/>
      <c r="DT32" s="302"/>
      <c r="DU32" s="302"/>
      <c r="DV32" s="302"/>
      <c r="DW32" s="302"/>
      <c r="DX32" s="302"/>
      <c r="DY32" s="302"/>
      <c r="DZ32" s="302"/>
      <c r="EA32" s="302"/>
      <c r="EB32" s="302"/>
      <c r="EC32" s="302"/>
      <c r="ED32" s="53"/>
      <c r="EE32" s="241"/>
      <c r="EF32" s="241"/>
      <c r="EG32" s="241"/>
      <c r="EH32" s="241"/>
      <c r="EI32" s="241"/>
      <c r="EJ32" s="241"/>
      <c r="EK32" s="241"/>
      <c r="EL32" s="241"/>
      <c r="EM32" s="241"/>
      <c r="EN32" s="241"/>
      <c r="EO32" s="241"/>
      <c r="EP32" s="241"/>
      <c r="EQ32" s="241"/>
      <c r="ER32" s="241"/>
      <c r="ES32" s="241"/>
      <c r="ET32" s="241"/>
      <c r="EU32" s="241"/>
      <c r="EV32" s="241"/>
      <c r="EW32" s="241"/>
      <c r="EX32" s="241"/>
      <c r="EY32" s="241"/>
      <c r="EZ32" s="241"/>
      <c r="FA32" s="241"/>
      <c r="FB32" s="241"/>
      <c r="FC32" s="241"/>
      <c r="FD32" s="241"/>
      <c r="FE32" s="241"/>
      <c r="FF32" s="241"/>
      <c r="FG32" s="241"/>
      <c r="FH32" s="241"/>
      <c r="FI32" s="241"/>
      <c r="FJ32" s="241"/>
      <c r="FK32" s="53"/>
      <c r="FL32" s="53"/>
      <c r="FM32" s="53"/>
      <c r="FN32" s="241"/>
      <c r="FO32" s="241"/>
      <c r="FP32" s="241"/>
      <c r="FQ32" s="241"/>
      <c r="FR32" s="241"/>
      <c r="FS32" s="241"/>
      <c r="FT32" s="241"/>
      <c r="FU32" s="241"/>
      <c r="FV32" s="241"/>
      <c r="FW32" s="241"/>
      <c r="FX32" s="241"/>
      <c r="FY32" s="241"/>
      <c r="FZ32" s="241"/>
      <c r="GA32" s="241"/>
      <c r="GB32" s="241"/>
      <c r="GC32" s="241"/>
      <c r="GD32" s="241"/>
      <c r="GE32" s="241"/>
      <c r="GF32" s="241"/>
      <c r="GG32" s="241"/>
      <c r="GH32" s="241"/>
      <c r="GI32" s="241"/>
      <c r="GJ32" s="241"/>
      <c r="GK32" s="241"/>
      <c r="GL32" s="241"/>
      <c r="GM32" s="241"/>
      <c r="GN32" s="241"/>
      <c r="GO32" s="241"/>
      <c r="GP32" s="241"/>
      <c r="GQ32" s="241"/>
      <c r="GR32" s="241"/>
      <c r="GS32" s="241"/>
      <c r="GT32" s="53"/>
      <c r="GU32" s="53"/>
      <c r="GV32" s="241"/>
      <c r="GW32" s="241"/>
      <c r="GX32" s="241"/>
      <c r="GY32" s="241"/>
      <c r="GZ32" s="241"/>
      <c r="HA32" s="241"/>
      <c r="HB32" s="241"/>
      <c r="HC32" s="241"/>
      <c r="HD32" s="241"/>
      <c r="HE32" s="241"/>
      <c r="HF32" s="241"/>
      <c r="HG32" s="241"/>
      <c r="HH32" s="241"/>
      <c r="HI32" s="241"/>
      <c r="HJ32" s="241"/>
      <c r="HK32" s="241"/>
      <c r="HL32" s="241"/>
      <c r="HM32" s="241"/>
      <c r="HN32" s="241"/>
      <c r="HO32" s="241"/>
      <c r="HP32" s="241"/>
      <c r="HQ32" s="241"/>
      <c r="HR32" s="241"/>
      <c r="HS32" s="241"/>
      <c r="HT32" s="241"/>
      <c r="HU32" s="241"/>
      <c r="HV32" s="241"/>
      <c r="HW32" s="241"/>
      <c r="HX32" s="241"/>
      <c r="HY32" s="241"/>
      <c r="HZ32" s="241"/>
      <c r="IA32" s="241"/>
      <c r="IB32" s="53"/>
      <c r="IC32" s="53"/>
      <c r="ID32" s="241"/>
      <c r="IE32" s="241"/>
      <c r="IF32" s="241"/>
      <c r="IG32" s="241"/>
      <c r="IH32" s="241"/>
      <c r="II32" s="241"/>
      <c r="IJ32" s="241"/>
      <c r="IK32" s="241"/>
      <c r="IL32" s="241"/>
      <c r="IM32" s="241"/>
      <c r="IN32" s="241"/>
      <c r="IO32" s="241"/>
      <c r="IP32" s="241"/>
      <c r="IQ32" s="241"/>
      <c r="IR32" s="241"/>
      <c r="IS32" s="241"/>
      <c r="IT32" s="241"/>
      <c r="IU32" s="241"/>
      <c r="IV32" s="241"/>
      <c r="IW32" s="241"/>
      <c r="IX32" s="241"/>
      <c r="IY32" s="241"/>
      <c r="IZ32" s="241"/>
      <c r="JA32" s="241"/>
      <c r="JB32" s="241"/>
      <c r="JC32" s="241"/>
      <c r="JD32" s="241"/>
      <c r="JE32" s="241"/>
      <c r="JF32" s="241"/>
      <c r="JG32" s="241"/>
      <c r="JH32" s="241"/>
      <c r="JI32" s="241"/>
      <c r="JJ32" s="53"/>
      <c r="JK32" s="53"/>
      <c r="JL32" s="241"/>
      <c r="JM32" s="241"/>
      <c r="JN32" s="241"/>
      <c r="JO32" s="241"/>
      <c r="JP32" s="241"/>
      <c r="JQ32" s="241"/>
      <c r="JR32" s="241"/>
      <c r="JS32" s="241"/>
      <c r="JT32" s="241"/>
      <c r="JU32" s="241"/>
      <c r="JV32" s="241"/>
      <c r="JW32" s="241"/>
      <c r="JX32" s="241"/>
      <c r="JY32" s="241"/>
      <c r="JZ32" s="241"/>
      <c r="KA32" s="241"/>
      <c r="KB32" s="241"/>
      <c r="KC32" s="241"/>
      <c r="KD32" s="241"/>
      <c r="KE32" s="241"/>
      <c r="KF32" s="241"/>
      <c r="KG32" s="241"/>
      <c r="KH32" s="241"/>
      <c r="KI32" s="241"/>
      <c r="KJ32" s="241"/>
      <c r="KK32" s="241"/>
      <c r="KL32" s="241"/>
      <c r="KM32" s="241"/>
      <c r="KN32" s="241"/>
      <c r="KO32" s="241"/>
      <c r="KP32" s="241"/>
      <c r="KQ32" s="241"/>
      <c r="KR32" s="53"/>
      <c r="KS32" s="53"/>
      <c r="KT32" s="241"/>
      <c r="KU32" s="241"/>
      <c r="KV32" s="241"/>
      <c r="KW32" s="241"/>
      <c r="KX32" s="241"/>
      <c r="KY32" s="241"/>
      <c r="KZ32" s="241"/>
      <c r="LA32" s="241"/>
      <c r="LB32" s="241"/>
      <c r="LC32" s="241"/>
      <c r="LD32" s="241"/>
      <c r="LE32" s="241"/>
      <c r="LF32" s="241"/>
      <c r="LG32" s="241"/>
      <c r="LH32" s="241"/>
      <c r="LI32" s="241"/>
      <c r="LJ32" s="241"/>
      <c r="LK32" s="241"/>
      <c r="LL32" s="241"/>
      <c r="LM32" s="241"/>
      <c r="LN32" s="241"/>
      <c r="LO32" s="241"/>
      <c r="LP32" s="241"/>
      <c r="LQ32" s="241"/>
      <c r="LR32" s="241"/>
      <c r="LS32" s="241"/>
      <c r="LT32" s="241"/>
      <c r="LU32" s="241"/>
      <c r="LV32" s="241"/>
      <c r="LW32" s="241"/>
      <c r="LX32" s="241"/>
      <c r="LY32" s="241"/>
      <c r="LZ32" s="296"/>
      <c r="MA32" s="241"/>
      <c r="MB32" s="241"/>
      <c r="MC32" s="241"/>
      <c r="MD32" s="241"/>
      <c r="ME32" s="241"/>
      <c r="MF32" s="241"/>
      <c r="MG32" s="241"/>
      <c r="MH32" s="241"/>
      <c r="MI32" s="241"/>
      <c r="MJ32" s="241"/>
      <c r="MK32" s="241"/>
      <c r="ML32" s="241"/>
      <c r="MM32" s="241"/>
      <c r="MN32" s="241"/>
      <c r="MO32" s="241"/>
      <c r="MP32" s="241"/>
      <c r="MQ32" s="241"/>
      <c r="MR32" s="241"/>
      <c r="MS32" s="241"/>
      <c r="MT32" s="241"/>
      <c r="MU32" s="241"/>
      <c r="MV32" s="241"/>
      <c r="MW32" s="241"/>
      <c r="MX32" s="241"/>
      <c r="MY32" s="241"/>
      <c r="MZ32" s="241"/>
      <c r="NA32" s="241"/>
      <c r="NB32" s="241"/>
      <c r="NC32" s="241"/>
      <c r="ND32" s="241"/>
      <c r="NE32" s="241"/>
      <c r="NF32" s="241"/>
      <c r="NG32" s="241"/>
      <c r="NH32" s="53"/>
      <c r="NI32" s="53"/>
      <c r="NJ32" s="159"/>
      <c r="NK32" s="53"/>
      <c r="NL32" s="53"/>
      <c r="NM32" s="53"/>
      <c r="NN32" s="53"/>
      <c r="NO32" s="53"/>
      <c r="NP32" s="53"/>
      <c r="NQ32" s="53"/>
      <c r="NR32" s="53"/>
      <c r="NS32" s="53"/>
      <c r="NT32" s="53"/>
      <c r="NU32" s="53"/>
      <c r="NV32" s="53"/>
      <c r="NW32" s="53"/>
      <c r="NX32" s="53"/>
      <c r="NY32" s="53"/>
      <c r="NZ32" s="53"/>
      <c r="OA32" s="53"/>
      <c r="OB32" s="53"/>
      <c r="OC32" s="53"/>
      <c r="OD32" s="53"/>
      <c r="OE32" s="53"/>
      <c r="OF32" s="53"/>
      <c r="OG32" s="53"/>
      <c r="OH32" s="53"/>
      <c r="OI32" s="53"/>
      <c r="OJ32" s="53"/>
      <c r="OK32" s="53"/>
      <c r="OL32" s="53"/>
      <c r="OM32" s="53"/>
      <c r="ON32" s="53"/>
      <c r="OO32" s="53"/>
      <c r="OP32" s="53"/>
      <c r="OQ32" s="53"/>
      <c r="OR32" s="53"/>
      <c r="OS32" s="144"/>
      <c r="OT32" s="144"/>
      <c r="OU32" s="144"/>
      <c r="OV32" s="144"/>
      <c r="OW32" s="144"/>
      <c r="OX32" s="144"/>
      <c r="OY32" s="144"/>
      <c r="OZ32" s="144"/>
      <c r="PA32" s="144"/>
      <c r="PB32" s="144"/>
      <c r="PC32" s="144"/>
      <c r="PD32" s="144"/>
      <c r="PE32" s="144"/>
      <c r="PF32" s="144"/>
      <c r="PG32" s="144"/>
      <c r="PH32" s="144"/>
      <c r="PI32" s="144"/>
      <c r="PJ32" s="144"/>
      <c r="PK32" s="144"/>
      <c r="PL32" s="144"/>
      <c r="PM32" s="144"/>
      <c r="PN32" s="144"/>
      <c r="PO32" s="144"/>
      <c r="PP32" s="144"/>
      <c r="PQ32" s="144"/>
      <c r="PR32" s="144"/>
      <c r="PS32" s="144"/>
      <c r="PT32" s="146"/>
      <c r="PU32" s="84"/>
      <c r="PV32" s="84"/>
      <c r="PW32" s="154"/>
      <c r="PX32" s="154"/>
      <c r="PY32" s="154"/>
      <c r="PZ32" s="154"/>
      <c r="QA32" s="154"/>
      <c r="QB32" s="154"/>
      <c r="QC32" s="154"/>
      <c r="QD32" s="154"/>
      <c r="QE32" s="154"/>
      <c r="QF32" s="155"/>
      <c r="QG32" s="155"/>
      <c r="QH32" s="155"/>
      <c r="QI32" s="155"/>
      <c r="QJ32" s="155"/>
      <c r="QK32" s="155"/>
      <c r="QL32" s="155"/>
      <c r="QM32" s="155"/>
      <c r="QN32" s="155"/>
      <c r="QO32" s="155"/>
      <c r="QP32" s="297"/>
      <c r="QQ32" s="155"/>
      <c r="QR32" s="84"/>
      <c r="QS32" s="155"/>
      <c r="QT32" s="84"/>
      <c r="QU32" s="84"/>
      <c r="QV32" s="84"/>
      <c r="QW32" s="154"/>
      <c r="QX32" s="154"/>
      <c r="QY32" s="154"/>
      <c r="QZ32" s="154"/>
      <c r="RA32" s="154"/>
      <c r="RB32" s="154"/>
      <c r="RC32" s="155"/>
      <c r="RD32" s="154"/>
      <c r="RE32" s="154"/>
      <c r="RF32" s="154"/>
      <c r="RG32" s="154"/>
      <c r="RH32" s="154"/>
      <c r="RI32" s="154"/>
      <c r="RJ32" s="154"/>
      <c r="RK32" s="154"/>
      <c r="RL32" s="154"/>
      <c r="RM32" s="154"/>
      <c r="RN32" s="154"/>
      <c r="RO32" s="144"/>
      <c r="RP32" s="144"/>
      <c r="RQ32" s="84"/>
      <c r="RR32" s="84"/>
      <c r="RS32" s="154"/>
      <c r="RT32" s="154"/>
      <c r="RU32" s="154"/>
      <c r="RV32" s="154"/>
      <c r="RW32" s="154"/>
      <c r="RX32" s="154"/>
      <c r="RY32" s="154"/>
      <c r="RZ32" s="154"/>
      <c r="SA32" s="154"/>
      <c r="SB32" s="154"/>
      <c r="SC32" s="154"/>
      <c r="SD32" s="154"/>
      <c r="SE32" s="154"/>
      <c r="SF32" s="154"/>
      <c r="SG32" s="154"/>
      <c r="SH32" s="154"/>
      <c r="SI32" s="154"/>
      <c r="SJ32" s="154"/>
      <c r="SK32" s="157"/>
      <c r="SL32" s="144"/>
      <c r="SM32" s="84"/>
      <c r="SN32" s="84"/>
      <c r="SO32" s="154"/>
      <c r="SP32" s="154"/>
      <c r="SQ32" s="154"/>
      <c r="SR32" s="154"/>
      <c r="SS32" s="154"/>
      <c r="ST32" s="154"/>
      <c r="SU32" s="154"/>
      <c r="SV32" s="154"/>
      <c r="SW32" s="154"/>
      <c r="SX32" s="154"/>
      <c r="SY32" s="154"/>
      <c r="SZ32" s="154"/>
      <c r="TA32" s="154"/>
      <c r="TB32" s="154"/>
      <c r="TC32" s="154"/>
      <c r="TD32" s="154"/>
      <c r="TE32" s="154"/>
      <c r="TF32" s="154"/>
      <c r="TG32" s="156"/>
      <c r="TH32" s="84"/>
      <c r="TI32" s="84"/>
      <c r="TJ32" s="84"/>
      <c r="TK32" s="84"/>
      <c r="TL32" s="154"/>
      <c r="TM32" s="154"/>
      <c r="TN32" s="154"/>
      <c r="TO32" s="154"/>
      <c r="TP32" s="154"/>
      <c r="TQ32" s="154"/>
      <c r="TR32" s="154"/>
      <c r="TS32" s="154"/>
      <c r="TT32" s="154"/>
      <c r="TU32" s="154"/>
      <c r="TV32" s="154"/>
      <c r="TW32" s="154"/>
      <c r="TX32" s="154"/>
      <c r="TY32" s="154"/>
      <c r="TZ32" s="154"/>
      <c r="UA32" s="154"/>
      <c r="UB32" s="154"/>
      <c r="UC32" s="154"/>
      <c r="UD32" s="154"/>
      <c r="UE32" s="154"/>
      <c r="UF32" s="154"/>
      <c r="UG32" s="154"/>
      <c r="UH32" s="154"/>
      <c r="UI32" s="154"/>
      <c r="UJ32" s="154"/>
      <c r="UK32" s="154"/>
      <c r="UL32" s="154"/>
      <c r="UM32" s="154"/>
      <c r="UN32" s="154"/>
      <c r="UO32" s="154"/>
      <c r="UP32" s="154"/>
      <c r="UQ32" s="154"/>
      <c r="UR32" s="154"/>
      <c r="US32" s="154"/>
      <c r="UT32" s="154"/>
      <c r="UU32" s="154"/>
      <c r="UV32" s="154"/>
      <c r="UW32" s="154"/>
      <c r="UX32" s="154"/>
      <c r="UY32" s="154"/>
      <c r="UZ32" s="154"/>
      <c r="VA32" s="154"/>
      <c r="VB32" s="154"/>
      <c r="VC32" s="154"/>
      <c r="VD32" s="154"/>
      <c r="VE32" s="154"/>
      <c r="VF32" s="154"/>
      <c r="VG32" s="154"/>
      <c r="VH32" s="154"/>
      <c r="VI32" s="154"/>
      <c r="VJ32" s="154"/>
      <c r="VK32" s="154"/>
      <c r="VL32" s="154"/>
      <c r="VM32" s="154"/>
      <c r="VN32" s="154"/>
      <c r="VO32" s="154"/>
      <c r="VP32" s="154"/>
      <c r="VQ32" s="154"/>
      <c r="VR32" s="154"/>
      <c r="VS32" s="154"/>
      <c r="VT32" s="298"/>
      <c r="VU32" s="298"/>
    </row>
    <row r="33" ht="18" hidden="1" customHeight="1" spans="1:1024 1025:16384">
      <c r="A33" s="53"/>
      <c r="B33" s="53"/>
      <c r="C33" s="160" t="s">
        <v>20</v>
      </c>
      <c r="D33" s="160" t="s">
        <v>21</v>
      </c>
      <c r="E33" s="161" t="s">
        <v>22</v>
      </c>
      <c r="F33" s="162" t="s">
        <v>23</v>
      </c>
      <c r="G33" s="162" t="s">
        <v>24</v>
      </c>
      <c r="H33" s="162" t="s">
        <v>25</v>
      </c>
      <c r="I33" s="162" t="s">
        <v>26</v>
      </c>
      <c r="J33" s="162" t="s">
        <v>27</v>
      </c>
      <c r="K33" s="162" t="s">
        <v>28</v>
      </c>
      <c r="L33" s="162" t="s">
        <v>29</v>
      </c>
      <c r="M33" s="161" t="s">
        <v>30</v>
      </c>
      <c r="N33" s="161" t="s">
        <v>31</v>
      </c>
      <c r="O33" s="162" t="s">
        <v>32</v>
      </c>
      <c r="P33" s="162" t="s">
        <v>33</v>
      </c>
      <c r="Q33" s="162" t="s">
        <v>34</v>
      </c>
      <c r="R33" s="162" t="s">
        <v>35</v>
      </c>
      <c r="S33" s="162" t="s">
        <v>36</v>
      </c>
      <c r="T33" s="162" t="s">
        <v>37</v>
      </c>
      <c r="U33" s="162" t="s">
        <v>38</v>
      </c>
      <c r="V33" s="162" t="s">
        <v>39</v>
      </c>
      <c r="W33" s="162" t="s">
        <v>40</v>
      </c>
      <c r="X33" s="163" t="s">
        <v>41</v>
      </c>
      <c r="Y33" s="164" t="s">
        <v>42</v>
      </c>
      <c r="Z33" s="165" t="s">
        <v>43</v>
      </c>
      <c r="AA33" s="166" t="s">
        <v>44</v>
      </c>
      <c r="AB33" s="165" t="s">
        <v>45</v>
      </c>
      <c r="AC33" s="166" t="s">
        <v>46</v>
      </c>
      <c r="AD33" s="167" t="s">
        <v>47</v>
      </c>
      <c r="AE33" s="166" t="s">
        <v>48</v>
      </c>
      <c r="AF33" s="166" t="s">
        <v>49</v>
      </c>
      <c r="AG33" s="168" t="s">
        <v>50</v>
      </c>
      <c r="AH33" s="169" t="s">
        <v>51</v>
      </c>
      <c r="AI33" s="53"/>
      <c r="AJ33" s="160" t="s">
        <v>20</v>
      </c>
      <c r="AK33" s="160" t="s">
        <v>21</v>
      </c>
      <c r="AL33" s="161" t="s">
        <v>22</v>
      </c>
      <c r="AM33" s="162" t="s">
        <v>23</v>
      </c>
      <c r="AN33" s="162" t="s">
        <v>24</v>
      </c>
      <c r="AO33" s="162" t="s">
        <v>25</v>
      </c>
      <c r="AP33" s="162" t="s">
        <v>26</v>
      </c>
      <c r="AQ33" s="162" t="s">
        <v>27</v>
      </c>
      <c r="AR33" s="162" t="s">
        <v>28</v>
      </c>
      <c r="AS33" s="162" t="s">
        <v>29</v>
      </c>
      <c r="AT33" s="161" t="s">
        <v>30</v>
      </c>
      <c r="AU33" s="161" t="s">
        <v>31</v>
      </c>
      <c r="AV33" s="162" t="s">
        <v>32</v>
      </c>
      <c r="AW33" s="162" t="s">
        <v>33</v>
      </c>
      <c r="AX33" s="162" t="s">
        <v>34</v>
      </c>
      <c r="AY33" s="162" t="s">
        <v>35</v>
      </c>
      <c r="AZ33" s="162" t="s">
        <v>36</v>
      </c>
      <c r="BA33" s="162" t="s">
        <v>37</v>
      </c>
      <c r="BB33" s="162" t="s">
        <v>38</v>
      </c>
      <c r="BC33" s="162" t="s">
        <v>39</v>
      </c>
      <c r="BD33" s="162" t="s">
        <v>40</v>
      </c>
      <c r="BE33" s="163" t="s">
        <v>41</v>
      </c>
      <c r="BF33" s="164" t="s">
        <v>42</v>
      </c>
      <c r="BG33" s="165" t="s">
        <v>43</v>
      </c>
      <c r="BH33" s="166" t="s">
        <v>44</v>
      </c>
      <c r="BI33" s="165" t="s">
        <v>45</v>
      </c>
      <c r="BJ33" s="166" t="s">
        <v>46</v>
      </c>
      <c r="BK33" s="167" t="s">
        <v>47</v>
      </c>
      <c r="BL33" s="166" t="s">
        <v>48</v>
      </c>
      <c r="BM33" s="166" t="s">
        <v>49</v>
      </c>
      <c r="BN33" s="168" t="s">
        <v>50</v>
      </c>
      <c r="BO33" s="169" t="s">
        <v>51</v>
      </c>
      <c r="BP33" s="53"/>
      <c r="BQ33" s="160" t="s">
        <v>20</v>
      </c>
      <c r="BR33" s="160" t="s">
        <v>21</v>
      </c>
      <c r="BS33" s="161" t="s">
        <v>154</v>
      </c>
      <c r="BT33" s="162" t="s">
        <v>23</v>
      </c>
      <c r="BU33" s="162" t="s">
        <v>24</v>
      </c>
      <c r="BV33" s="162" t="s">
        <v>25</v>
      </c>
      <c r="BW33" s="162" t="s">
        <v>26</v>
      </c>
      <c r="BX33" s="162" t="s">
        <v>27</v>
      </c>
      <c r="BY33" s="162" t="s">
        <v>28</v>
      </c>
      <c r="BZ33" s="162" t="s">
        <v>29</v>
      </c>
      <c r="CA33" s="161" t="s">
        <v>30</v>
      </c>
      <c r="CB33" s="161" t="s">
        <v>31</v>
      </c>
      <c r="CC33" s="162" t="s">
        <v>32</v>
      </c>
      <c r="CD33" s="162" t="s">
        <v>33</v>
      </c>
      <c r="CE33" s="162" t="s">
        <v>34</v>
      </c>
      <c r="CF33" s="162" t="s">
        <v>35</v>
      </c>
      <c r="CG33" s="162" t="s">
        <v>36</v>
      </c>
      <c r="CH33" s="162" t="s">
        <v>37</v>
      </c>
      <c r="CI33" s="162" t="s">
        <v>38</v>
      </c>
      <c r="CJ33" s="162" t="s">
        <v>39</v>
      </c>
      <c r="CK33" s="162" t="s">
        <v>40</v>
      </c>
      <c r="CL33" s="163" t="s">
        <v>155</v>
      </c>
      <c r="CM33" s="164" t="s">
        <v>42</v>
      </c>
      <c r="CN33" s="165" t="s">
        <v>185</v>
      </c>
      <c r="CO33" s="166" t="s">
        <v>53</v>
      </c>
      <c r="CP33" s="165" t="s">
        <v>59</v>
      </c>
      <c r="CQ33" s="166" t="s">
        <v>154</v>
      </c>
      <c r="CR33" s="167" t="s">
        <v>47</v>
      </c>
      <c r="CS33" s="166" t="s">
        <v>157</v>
      </c>
      <c r="CT33" s="166" t="s">
        <v>61</v>
      </c>
      <c r="CU33" s="168" t="s">
        <v>158</v>
      </c>
      <c r="CV33" s="169" t="s">
        <v>51</v>
      </c>
      <c r="CW33" s="53"/>
      <c r="CX33" s="160" t="s">
        <v>20</v>
      </c>
      <c r="CY33" s="160" t="s">
        <v>21</v>
      </c>
      <c r="CZ33" s="161" t="s">
        <v>22</v>
      </c>
      <c r="DA33" s="162" t="s">
        <v>23</v>
      </c>
      <c r="DB33" s="162" t="s">
        <v>24</v>
      </c>
      <c r="DC33" s="162" t="s">
        <v>25</v>
      </c>
      <c r="DD33" s="162" t="s">
        <v>26</v>
      </c>
      <c r="DE33" s="162" t="s">
        <v>27</v>
      </c>
      <c r="DF33" s="162" t="s">
        <v>28</v>
      </c>
      <c r="DG33" s="162" t="s">
        <v>29</v>
      </c>
      <c r="DH33" s="161" t="s">
        <v>30</v>
      </c>
      <c r="DI33" s="161" t="s">
        <v>31</v>
      </c>
      <c r="DJ33" s="162" t="s">
        <v>32</v>
      </c>
      <c r="DK33" s="162" t="s">
        <v>33</v>
      </c>
      <c r="DL33" s="162" t="s">
        <v>34</v>
      </c>
      <c r="DM33" s="162" t="s">
        <v>35</v>
      </c>
      <c r="DN33" s="162" t="s">
        <v>36</v>
      </c>
      <c r="DO33" s="162" t="s">
        <v>37</v>
      </c>
      <c r="DP33" s="162" t="s">
        <v>38</v>
      </c>
      <c r="DQ33" s="162" t="s">
        <v>39</v>
      </c>
      <c r="DR33" s="162" t="s">
        <v>40</v>
      </c>
      <c r="DS33" s="163" t="s">
        <v>41</v>
      </c>
      <c r="DT33" s="164" t="s">
        <v>42</v>
      </c>
      <c r="DU33" s="165" t="s">
        <v>43</v>
      </c>
      <c r="DV33" s="166" t="s">
        <v>44</v>
      </c>
      <c r="DW33" s="165" t="s">
        <v>45</v>
      </c>
      <c r="DX33" s="166" t="s">
        <v>46</v>
      </c>
      <c r="DY33" s="167" t="s">
        <v>47</v>
      </c>
      <c r="DZ33" s="166" t="s">
        <v>48</v>
      </c>
      <c r="EA33" s="166" t="s">
        <v>49</v>
      </c>
      <c r="EB33" s="168" t="s">
        <v>50</v>
      </c>
      <c r="EC33" s="169" t="s">
        <v>51</v>
      </c>
      <c r="ED33" s="53"/>
      <c r="EE33" s="160" t="s">
        <v>20</v>
      </c>
      <c r="EF33" s="160" t="s">
        <v>21</v>
      </c>
      <c r="EG33" s="161" t="s">
        <v>22</v>
      </c>
      <c r="EH33" s="162" t="s">
        <v>23</v>
      </c>
      <c r="EI33" s="162" t="s">
        <v>24</v>
      </c>
      <c r="EJ33" s="162" t="s">
        <v>25</v>
      </c>
      <c r="EK33" s="162" t="s">
        <v>26</v>
      </c>
      <c r="EL33" s="162" t="s">
        <v>27</v>
      </c>
      <c r="EM33" s="162" t="s">
        <v>28</v>
      </c>
      <c r="EN33" s="162" t="s">
        <v>29</v>
      </c>
      <c r="EO33" s="161" t="s">
        <v>30</v>
      </c>
      <c r="EP33" s="161" t="s">
        <v>31</v>
      </c>
      <c r="EQ33" s="162" t="s">
        <v>32</v>
      </c>
      <c r="ER33" s="162" t="s">
        <v>33</v>
      </c>
      <c r="ES33" s="162" t="s">
        <v>34</v>
      </c>
      <c r="ET33" s="162" t="s">
        <v>35</v>
      </c>
      <c r="EU33" s="162" t="s">
        <v>36</v>
      </c>
      <c r="EV33" s="162" t="s">
        <v>37</v>
      </c>
      <c r="EW33" s="162" t="s">
        <v>38</v>
      </c>
      <c r="EX33" s="162" t="s">
        <v>39</v>
      </c>
      <c r="EY33" s="162" t="s">
        <v>40</v>
      </c>
      <c r="EZ33" s="163" t="s">
        <v>41</v>
      </c>
      <c r="FA33" s="164" t="s">
        <v>42</v>
      </c>
      <c r="FB33" s="165" t="s">
        <v>43</v>
      </c>
      <c r="FC33" s="166" t="s">
        <v>44</v>
      </c>
      <c r="FD33" s="165" t="s">
        <v>45</v>
      </c>
      <c r="FE33" s="166" t="s">
        <v>46</v>
      </c>
      <c r="FF33" s="167" t="s">
        <v>47</v>
      </c>
      <c r="FG33" s="166" t="s">
        <v>48</v>
      </c>
      <c r="FH33" s="166" t="s">
        <v>49</v>
      </c>
      <c r="FI33" s="168" t="s">
        <v>50</v>
      </c>
      <c r="FJ33" s="169" t="s">
        <v>51</v>
      </c>
      <c r="FK33" s="53"/>
      <c r="FL33" s="53"/>
      <c r="FM33" s="53"/>
      <c r="FN33" s="160" t="s">
        <v>20</v>
      </c>
      <c r="FO33" s="160" t="s">
        <v>21</v>
      </c>
      <c r="FP33" s="161" t="s">
        <v>22</v>
      </c>
      <c r="FQ33" s="162" t="s">
        <v>23</v>
      </c>
      <c r="FR33" s="162" t="s">
        <v>24</v>
      </c>
      <c r="FS33" s="162" t="s">
        <v>25</v>
      </c>
      <c r="FT33" s="162" t="s">
        <v>26</v>
      </c>
      <c r="FU33" s="162" t="s">
        <v>27</v>
      </c>
      <c r="FV33" s="162" t="s">
        <v>28</v>
      </c>
      <c r="FW33" s="162" t="s">
        <v>29</v>
      </c>
      <c r="FX33" s="161" t="s">
        <v>30</v>
      </c>
      <c r="FY33" s="161" t="s">
        <v>31</v>
      </c>
      <c r="FZ33" s="162" t="s">
        <v>32</v>
      </c>
      <c r="GA33" s="162" t="s">
        <v>33</v>
      </c>
      <c r="GB33" s="162" t="s">
        <v>34</v>
      </c>
      <c r="GC33" s="162" t="s">
        <v>35</v>
      </c>
      <c r="GD33" s="162" t="s">
        <v>36</v>
      </c>
      <c r="GE33" s="162" t="s">
        <v>37</v>
      </c>
      <c r="GF33" s="162" t="s">
        <v>38</v>
      </c>
      <c r="GG33" s="162" t="s">
        <v>39</v>
      </c>
      <c r="GH33" s="162" t="s">
        <v>40</v>
      </c>
      <c r="GI33" s="163" t="s">
        <v>41</v>
      </c>
      <c r="GJ33" s="164" t="s">
        <v>42</v>
      </c>
      <c r="GK33" s="165" t="s">
        <v>43</v>
      </c>
      <c r="GL33" s="166" t="s">
        <v>44</v>
      </c>
      <c r="GM33" s="165" t="s">
        <v>45</v>
      </c>
      <c r="GN33" s="166" t="s">
        <v>46</v>
      </c>
      <c r="GO33" s="167" t="s">
        <v>47</v>
      </c>
      <c r="GP33" s="166" t="s">
        <v>48</v>
      </c>
      <c r="GQ33" s="166" t="s">
        <v>49</v>
      </c>
      <c r="GR33" s="168" t="s">
        <v>50</v>
      </c>
      <c r="GS33" s="169" t="s">
        <v>51</v>
      </c>
      <c r="GT33" s="53"/>
      <c r="GU33" s="53"/>
      <c r="GV33" s="160" t="s">
        <v>20</v>
      </c>
      <c r="GW33" s="160" t="s">
        <v>21</v>
      </c>
      <c r="GX33" s="161" t="s">
        <v>22</v>
      </c>
      <c r="GY33" s="162" t="s">
        <v>23</v>
      </c>
      <c r="GZ33" s="162" t="s">
        <v>24</v>
      </c>
      <c r="HA33" s="162" t="s">
        <v>25</v>
      </c>
      <c r="HB33" s="162" t="s">
        <v>26</v>
      </c>
      <c r="HC33" s="162" t="s">
        <v>27</v>
      </c>
      <c r="HD33" s="162" t="s">
        <v>28</v>
      </c>
      <c r="HE33" s="162" t="s">
        <v>29</v>
      </c>
      <c r="HF33" s="161" t="s">
        <v>30</v>
      </c>
      <c r="HG33" s="161" t="s">
        <v>31</v>
      </c>
      <c r="HH33" s="162" t="s">
        <v>32</v>
      </c>
      <c r="HI33" s="162" t="s">
        <v>33</v>
      </c>
      <c r="HJ33" s="162" t="s">
        <v>34</v>
      </c>
      <c r="HK33" s="162" t="s">
        <v>35</v>
      </c>
      <c r="HL33" s="162" t="s">
        <v>36</v>
      </c>
      <c r="HM33" s="162" t="s">
        <v>37</v>
      </c>
      <c r="HN33" s="162" t="s">
        <v>38</v>
      </c>
      <c r="HO33" s="162" t="s">
        <v>39</v>
      </c>
      <c r="HP33" s="162" t="s">
        <v>40</v>
      </c>
      <c r="HQ33" s="163" t="s">
        <v>41</v>
      </c>
      <c r="HR33" s="164" t="s">
        <v>42</v>
      </c>
      <c r="HS33" s="165" t="s">
        <v>43</v>
      </c>
      <c r="HT33" s="166" t="s">
        <v>44</v>
      </c>
      <c r="HU33" s="165" t="s">
        <v>45</v>
      </c>
      <c r="HV33" s="166" t="s">
        <v>46</v>
      </c>
      <c r="HW33" s="167" t="s">
        <v>47</v>
      </c>
      <c r="HX33" s="166" t="s">
        <v>48</v>
      </c>
      <c r="HY33" s="166" t="s">
        <v>49</v>
      </c>
      <c r="HZ33" s="168" t="s">
        <v>50</v>
      </c>
      <c r="IA33" s="169" t="s">
        <v>51</v>
      </c>
      <c r="IB33" s="53"/>
      <c r="IC33" s="53"/>
      <c r="ID33" s="160" t="s">
        <v>20</v>
      </c>
      <c r="IE33" s="160" t="s">
        <v>21</v>
      </c>
      <c r="IF33" s="161" t="s">
        <v>22</v>
      </c>
      <c r="IG33" s="162" t="s">
        <v>23</v>
      </c>
      <c r="IH33" s="162" t="s">
        <v>24</v>
      </c>
      <c r="II33" s="162" t="s">
        <v>25</v>
      </c>
      <c r="IJ33" s="162" t="s">
        <v>26</v>
      </c>
      <c r="IK33" s="162" t="s">
        <v>27</v>
      </c>
      <c r="IL33" s="162" t="s">
        <v>28</v>
      </c>
      <c r="IM33" s="162" t="s">
        <v>29</v>
      </c>
      <c r="IN33" s="161" t="s">
        <v>30</v>
      </c>
      <c r="IO33" s="161" t="s">
        <v>31</v>
      </c>
      <c r="IP33" s="162" t="s">
        <v>32</v>
      </c>
      <c r="IQ33" s="162" t="s">
        <v>33</v>
      </c>
      <c r="IR33" s="162" t="s">
        <v>34</v>
      </c>
      <c r="IS33" s="162" t="s">
        <v>35</v>
      </c>
      <c r="IT33" s="162" t="s">
        <v>36</v>
      </c>
      <c r="IU33" s="162" t="s">
        <v>37</v>
      </c>
      <c r="IV33" s="162" t="s">
        <v>38</v>
      </c>
      <c r="IW33" s="162" t="s">
        <v>39</v>
      </c>
      <c r="IX33" s="162" t="s">
        <v>40</v>
      </c>
      <c r="IY33" s="163" t="s">
        <v>41</v>
      </c>
      <c r="IZ33" s="164" t="s">
        <v>42</v>
      </c>
      <c r="JA33" s="165" t="s">
        <v>43</v>
      </c>
      <c r="JB33" s="166" t="s">
        <v>44</v>
      </c>
      <c r="JC33" s="165" t="s">
        <v>45</v>
      </c>
      <c r="JD33" s="166" t="s">
        <v>46</v>
      </c>
      <c r="JE33" s="167" t="s">
        <v>47</v>
      </c>
      <c r="JF33" s="166" t="s">
        <v>48</v>
      </c>
      <c r="JG33" s="166" t="s">
        <v>49</v>
      </c>
      <c r="JH33" s="168" t="s">
        <v>50</v>
      </c>
      <c r="JI33" s="169" t="s">
        <v>51</v>
      </c>
      <c r="JJ33" s="53"/>
      <c r="JK33" s="53"/>
      <c r="JL33" s="160" t="s">
        <v>20</v>
      </c>
      <c r="JM33" s="160" t="s">
        <v>21</v>
      </c>
      <c r="JN33" s="161" t="s">
        <v>22</v>
      </c>
      <c r="JO33" s="162" t="s">
        <v>23</v>
      </c>
      <c r="JP33" s="162" t="s">
        <v>24</v>
      </c>
      <c r="JQ33" s="162" t="s">
        <v>25</v>
      </c>
      <c r="JR33" s="162" t="s">
        <v>26</v>
      </c>
      <c r="JS33" s="162" t="s">
        <v>27</v>
      </c>
      <c r="JT33" s="162" t="s">
        <v>28</v>
      </c>
      <c r="JU33" s="162" t="s">
        <v>29</v>
      </c>
      <c r="JV33" s="161" t="s">
        <v>30</v>
      </c>
      <c r="JW33" s="161" t="s">
        <v>31</v>
      </c>
      <c r="JX33" s="162" t="s">
        <v>32</v>
      </c>
      <c r="JY33" s="162" t="s">
        <v>33</v>
      </c>
      <c r="JZ33" s="162" t="s">
        <v>34</v>
      </c>
      <c r="KA33" s="162" t="s">
        <v>35</v>
      </c>
      <c r="KB33" s="162" t="s">
        <v>36</v>
      </c>
      <c r="KC33" s="162" t="s">
        <v>37</v>
      </c>
      <c r="KD33" s="162" t="s">
        <v>38</v>
      </c>
      <c r="KE33" s="162" t="s">
        <v>39</v>
      </c>
      <c r="KF33" s="162" t="s">
        <v>40</v>
      </c>
      <c r="KG33" s="163" t="s">
        <v>41</v>
      </c>
      <c r="KH33" s="164" t="s">
        <v>42</v>
      </c>
      <c r="KI33" s="165" t="s">
        <v>43</v>
      </c>
      <c r="KJ33" s="166" t="s">
        <v>44</v>
      </c>
      <c r="KK33" s="165" t="s">
        <v>45</v>
      </c>
      <c r="KL33" s="166" t="s">
        <v>46</v>
      </c>
      <c r="KM33" s="167" t="s">
        <v>47</v>
      </c>
      <c r="KN33" s="166" t="s">
        <v>48</v>
      </c>
      <c r="KO33" s="166" t="s">
        <v>49</v>
      </c>
      <c r="KP33" s="168" t="s">
        <v>50</v>
      </c>
      <c r="KQ33" s="169" t="s">
        <v>51</v>
      </c>
      <c r="KR33" s="53"/>
      <c r="KS33" s="53"/>
      <c r="KT33" s="254" t="s">
        <v>20</v>
      </c>
      <c r="KU33" s="254" t="s">
        <v>21</v>
      </c>
      <c r="KV33" s="254"/>
      <c r="KW33" s="255" t="s">
        <v>23</v>
      </c>
      <c r="KX33" s="255"/>
      <c r="KY33" s="255" t="s">
        <v>54</v>
      </c>
      <c r="KZ33" s="255" t="s">
        <v>55</v>
      </c>
      <c r="LA33" s="255" t="s">
        <v>27</v>
      </c>
      <c r="LB33" s="255" t="s">
        <v>159</v>
      </c>
      <c r="LC33" s="255" t="s">
        <v>29</v>
      </c>
      <c r="LD33" s="256" t="s">
        <v>30</v>
      </c>
      <c r="LE33" s="256" t="s">
        <v>31</v>
      </c>
      <c r="LF33" s="256"/>
      <c r="LG33" s="255" t="s">
        <v>33</v>
      </c>
      <c r="LH33" s="255" t="s">
        <v>34</v>
      </c>
      <c r="LI33" s="255" t="s">
        <v>35</v>
      </c>
      <c r="LJ33" s="255" t="s">
        <v>36</v>
      </c>
      <c r="LK33" s="255" t="s">
        <v>37</v>
      </c>
      <c r="LL33" s="255" t="s">
        <v>38</v>
      </c>
      <c r="LM33" s="255" t="s">
        <v>39</v>
      </c>
      <c r="LN33" s="255" t="s">
        <v>40</v>
      </c>
      <c r="LO33" s="256" t="s">
        <v>155</v>
      </c>
      <c r="LP33" s="257" t="s">
        <v>42</v>
      </c>
      <c r="LQ33" s="258" t="s">
        <v>185</v>
      </c>
      <c r="LR33" s="259" t="s">
        <v>53</v>
      </c>
      <c r="LS33" s="258" t="s">
        <v>59</v>
      </c>
      <c r="LT33" s="258"/>
      <c r="LU33" s="259" t="s">
        <v>47</v>
      </c>
      <c r="LV33" s="259" t="s">
        <v>157</v>
      </c>
      <c r="LW33" s="259" t="s">
        <v>61</v>
      </c>
      <c r="LX33" s="260" t="s">
        <v>158</v>
      </c>
      <c r="LY33" s="260" t="s">
        <v>51</v>
      </c>
      <c r="LZ33" s="296"/>
      <c r="MA33" s="241"/>
      <c r="MB33" s="254" t="s">
        <v>20</v>
      </c>
      <c r="MC33" s="254" t="s">
        <v>21</v>
      </c>
      <c r="MD33" s="254"/>
      <c r="ME33" s="255" t="s">
        <v>23</v>
      </c>
      <c r="MF33" s="255"/>
      <c r="MG33" s="255" t="s">
        <v>54</v>
      </c>
      <c r="MH33" s="255" t="s">
        <v>55</v>
      </c>
      <c r="MI33" s="255" t="s">
        <v>27</v>
      </c>
      <c r="MJ33" s="255" t="s">
        <v>159</v>
      </c>
      <c r="MK33" s="255" t="s">
        <v>29</v>
      </c>
      <c r="ML33" s="256" t="s">
        <v>30</v>
      </c>
      <c r="MM33" s="256" t="s">
        <v>31</v>
      </c>
      <c r="MN33" s="256"/>
      <c r="MO33" s="255" t="s">
        <v>33</v>
      </c>
      <c r="MP33" s="255" t="s">
        <v>34</v>
      </c>
      <c r="MQ33" s="255" t="s">
        <v>35</v>
      </c>
      <c r="MR33" s="255" t="s">
        <v>36</v>
      </c>
      <c r="MS33" s="255" t="s">
        <v>37</v>
      </c>
      <c r="MT33" s="255" t="s">
        <v>38</v>
      </c>
      <c r="MU33" s="255" t="s">
        <v>39</v>
      </c>
      <c r="MV33" s="255" t="s">
        <v>40</v>
      </c>
      <c r="MW33" s="256" t="s">
        <v>155</v>
      </c>
      <c r="MX33" s="257" t="s">
        <v>42</v>
      </c>
      <c r="MY33" s="258" t="s">
        <v>185</v>
      </c>
      <c r="MZ33" s="259" t="s">
        <v>53</v>
      </c>
      <c r="NA33" s="258" t="s">
        <v>59</v>
      </c>
      <c r="NB33" s="259" t="s">
        <v>47</v>
      </c>
      <c r="NC33" s="259"/>
      <c r="ND33" s="259" t="s">
        <v>157</v>
      </c>
      <c r="NE33" s="259" t="s">
        <v>61</v>
      </c>
      <c r="NF33" s="260" t="s">
        <v>158</v>
      </c>
      <c r="NG33" s="260" t="s">
        <v>51</v>
      </c>
      <c r="NH33" s="53"/>
      <c r="NI33" s="53"/>
      <c r="NJ33" s="159"/>
      <c r="NK33" s="53"/>
      <c r="NL33" s="53"/>
      <c r="NM33" s="53"/>
      <c r="NN33" s="53"/>
      <c r="NO33" s="53"/>
      <c r="NP33" s="53"/>
      <c r="NQ33" s="53"/>
      <c r="NR33" s="53"/>
      <c r="NS33" s="53"/>
      <c r="NT33" s="53"/>
      <c r="NU33" s="53"/>
      <c r="NV33" s="53"/>
      <c r="NW33" s="53"/>
      <c r="NX33" s="53"/>
      <c r="NY33" s="53"/>
      <c r="NZ33" s="53"/>
      <c r="OA33" s="53"/>
      <c r="OB33" s="53"/>
      <c r="OC33" s="53"/>
      <c r="OD33" s="53"/>
      <c r="OE33" s="53"/>
      <c r="OF33" s="53"/>
      <c r="OG33" s="53"/>
      <c r="OH33" s="53"/>
      <c r="OI33" s="53"/>
      <c r="OJ33" s="53"/>
      <c r="OK33" s="53"/>
      <c r="OL33" s="53"/>
      <c r="OM33" s="53"/>
      <c r="ON33" s="53"/>
      <c r="OO33" s="53"/>
      <c r="OP33" s="53"/>
      <c r="OQ33" s="53"/>
      <c r="OR33" s="53"/>
      <c r="OS33" s="144"/>
      <c r="OT33" s="144"/>
      <c r="OU33" s="144"/>
      <c r="OV33" s="144"/>
      <c r="OW33" s="144"/>
      <c r="OX33" s="144"/>
      <c r="OY33" s="144"/>
      <c r="OZ33" s="144"/>
      <c r="PA33" s="144"/>
      <c r="PB33" s="144"/>
      <c r="PC33" s="144"/>
      <c r="PD33" s="144"/>
      <c r="PE33" s="144"/>
      <c r="PF33" s="144"/>
      <c r="PG33" s="144"/>
      <c r="PH33" s="144"/>
      <c r="PI33" s="144"/>
      <c r="PJ33" s="144"/>
      <c r="PK33" s="144"/>
      <c r="PL33" s="144"/>
      <c r="PM33" s="144"/>
      <c r="PN33" s="144"/>
      <c r="PO33" s="144"/>
      <c r="PP33" s="144"/>
      <c r="PQ33" s="144"/>
      <c r="PR33" s="144"/>
      <c r="PS33" s="144"/>
      <c r="PT33" s="146"/>
      <c r="PU33" s="84"/>
      <c r="PV33" s="84"/>
      <c r="PW33" s="154"/>
      <c r="PX33" s="154"/>
      <c r="PY33" s="154"/>
      <c r="PZ33" s="154"/>
      <c r="QA33" s="154"/>
      <c r="QB33" s="154"/>
      <c r="QC33" s="154"/>
      <c r="QD33" s="154"/>
      <c r="QE33" s="154"/>
      <c r="QF33" s="155"/>
      <c r="QG33" s="155"/>
      <c r="QH33" s="155"/>
      <c r="QI33" s="155"/>
      <c r="QJ33" s="155"/>
      <c r="QK33" s="155"/>
      <c r="QL33" s="155"/>
      <c r="QM33" s="155"/>
      <c r="QN33" s="155"/>
      <c r="QO33" s="155"/>
      <c r="QP33" s="297"/>
      <c r="QQ33" s="303"/>
      <c r="QR33" s="84"/>
      <c r="QS33" s="155"/>
      <c r="QT33" s="144"/>
      <c r="QU33" s="84"/>
      <c r="QV33" s="84"/>
      <c r="QW33" s="154"/>
      <c r="QX33" s="154"/>
      <c r="QY33" s="154"/>
      <c r="QZ33" s="154"/>
      <c r="RA33" s="154"/>
      <c r="RB33" s="154"/>
      <c r="RC33" s="155"/>
      <c r="RD33" s="155"/>
      <c r="RE33" s="155"/>
      <c r="RF33" s="155"/>
      <c r="RG33" s="155"/>
      <c r="RH33" s="155"/>
      <c r="RI33" s="155"/>
      <c r="RJ33" s="304"/>
      <c r="RK33" s="297"/>
      <c r="RL33" s="297"/>
      <c r="RM33" s="303"/>
      <c r="RN33" s="84"/>
      <c r="RO33" s="144"/>
      <c r="RP33" s="144"/>
      <c r="RQ33" s="84"/>
      <c r="RR33" s="84"/>
      <c r="RS33" s="154"/>
      <c r="RT33" s="154"/>
      <c r="RU33" s="154"/>
      <c r="RV33" s="154"/>
      <c r="RW33" s="154"/>
      <c r="RX33" s="154"/>
      <c r="RY33" s="154"/>
      <c r="RZ33" s="154"/>
      <c r="SA33" s="154"/>
      <c r="SB33" s="154"/>
      <c r="SC33" s="154"/>
      <c r="SD33" s="154"/>
      <c r="SE33" s="154"/>
      <c r="SF33" s="154"/>
      <c r="SG33" s="154"/>
      <c r="SH33" s="297"/>
      <c r="SI33" s="303"/>
      <c r="SJ33" s="84"/>
      <c r="SK33" s="157"/>
      <c r="SL33" s="144"/>
      <c r="SM33" s="84"/>
      <c r="SN33" s="84"/>
      <c r="SO33" s="154"/>
      <c r="SP33" s="154"/>
      <c r="SQ33" s="154"/>
      <c r="SR33" s="154"/>
      <c r="SS33" s="154"/>
      <c r="ST33" s="154"/>
      <c r="SU33" s="155"/>
      <c r="SV33" s="305"/>
      <c r="SW33" s="305"/>
      <c r="SX33" s="306"/>
      <c r="SY33" s="306"/>
      <c r="SZ33" s="307"/>
      <c r="TA33" s="306"/>
      <c r="TB33" s="304"/>
      <c r="TC33" s="297"/>
      <c r="TD33" s="297"/>
      <c r="TE33" s="303"/>
      <c r="TF33" s="84"/>
      <c r="TG33" s="156"/>
      <c r="TH33" s="84"/>
      <c r="TI33" s="84"/>
      <c r="TJ33" s="84"/>
      <c r="TK33" s="84"/>
      <c r="TL33" s="154"/>
      <c r="TM33" s="154"/>
      <c r="TN33" s="154"/>
      <c r="TO33" s="154"/>
      <c r="TP33" s="154"/>
      <c r="TQ33" s="308"/>
      <c r="TR33" s="305"/>
      <c r="TS33" s="309"/>
      <c r="TT33" s="305"/>
      <c r="TU33" s="308"/>
      <c r="TV33" s="305"/>
      <c r="TW33" s="309"/>
      <c r="TX33" s="310"/>
      <c r="TY33" s="310"/>
      <c r="TZ33" s="156"/>
      <c r="UA33" s="84"/>
      <c r="UB33" s="144"/>
      <c r="UC33" s="144"/>
      <c r="UD33" s="84"/>
      <c r="UE33" s="84"/>
      <c r="UF33" s="154"/>
      <c r="UG33" s="154"/>
      <c r="UH33" s="154"/>
      <c r="UI33" s="154"/>
      <c r="UJ33" s="154"/>
      <c r="UK33" s="154"/>
      <c r="UL33" s="154"/>
      <c r="UM33" s="305"/>
      <c r="UN33" s="305"/>
      <c r="UO33" s="308"/>
      <c r="UP33" s="305"/>
      <c r="UQ33" s="308"/>
      <c r="UR33" s="305"/>
      <c r="US33" s="308"/>
      <c r="UT33" s="310"/>
      <c r="UU33" s="310"/>
      <c r="UV33" s="156"/>
      <c r="UW33" s="84"/>
      <c r="UX33" s="144"/>
      <c r="UY33" s="144"/>
      <c r="UZ33" s="84"/>
      <c r="VA33" s="84"/>
      <c r="VB33" s="154"/>
      <c r="VC33" s="154"/>
      <c r="VD33" s="154"/>
      <c r="VE33" s="154"/>
      <c r="VF33" s="154"/>
      <c r="VG33" s="154"/>
      <c r="VH33" s="154"/>
      <c r="VI33" s="308"/>
      <c r="VJ33" s="308"/>
      <c r="VK33" s="308"/>
      <c r="VL33" s="308"/>
      <c r="VM33" s="308"/>
      <c r="VN33" s="305"/>
      <c r="VO33" s="308"/>
      <c r="VP33" s="310"/>
      <c r="VQ33" s="310"/>
      <c r="VR33" s="156"/>
      <c r="VS33" s="84"/>
      <c r="VT33" s="53"/>
      <c r="VU33" s="53"/>
    </row>
    <row r="34" ht="18" hidden="1" customHeight="1" spans="1:1024 1025:16384">
      <c r="A34" s="53"/>
      <c r="B34" s="53"/>
      <c r="C34" s="160" t="s">
        <v>186</v>
      </c>
      <c r="D34" s="160"/>
      <c r="E34" s="161"/>
      <c r="F34" s="162"/>
      <c r="G34" s="268"/>
      <c r="H34" s="162"/>
      <c r="I34" s="162"/>
      <c r="J34" s="163"/>
      <c r="K34" s="163"/>
      <c r="L34" s="163"/>
      <c r="M34" s="161"/>
      <c r="N34" s="161"/>
      <c r="O34" s="311">
        <f>M34-N34</f>
        <v>0</v>
      </c>
      <c r="P34" s="162"/>
      <c r="Q34" s="162"/>
      <c r="R34" s="162"/>
      <c r="S34" s="162"/>
      <c r="T34" s="162"/>
      <c r="U34" s="162"/>
      <c r="V34" s="162"/>
      <c r="W34" s="162">
        <f>U34-V34</f>
        <v>0</v>
      </c>
      <c r="X34" s="162"/>
      <c r="Y34" s="185"/>
      <c r="Z34" s="179">
        <f>U34*8%</f>
        <v>0</v>
      </c>
      <c r="AA34" s="167">
        <f>IF(Y34&gt;0,Y34*20%,0)</f>
        <v>0</v>
      </c>
      <c r="AB34" s="179"/>
      <c r="AC34" s="167"/>
      <c r="AD34" s="167">
        <f>W34-Z34-AA34-X34-AB34-AC34</f>
        <v>0</v>
      </c>
      <c r="AE34" s="167" t="e">
        <f>K34/I34</f>
        <v>#DIV/0!</v>
      </c>
      <c r="AF34" s="186" t="e">
        <f>U34/S34</f>
        <v>#DIV/0!</v>
      </c>
      <c r="AG34" s="187" t="e">
        <f>K34/(Z34+AA34+X34+AB34)</f>
        <v>#DIV/0!</v>
      </c>
      <c r="AH34" s="188" t="e">
        <f>W34/(Z34+AA34+X34+AB34+AC34)</f>
        <v>#DIV/0!</v>
      </c>
      <c r="AI34" s="53"/>
      <c r="AJ34" s="160" t="s">
        <v>186</v>
      </c>
      <c r="AK34" s="160"/>
      <c r="AL34" s="161"/>
      <c r="AM34" s="162"/>
      <c r="AN34" s="268" t="e">
        <f>(AP34/AM34)/AZ1</f>
        <v>#DIV/0!</v>
      </c>
      <c r="AO34" s="162"/>
      <c r="AP34" s="162"/>
      <c r="AQ34" s="163"/>
      <c r="AR34" s="163"/>
      <c r="AS34" s="163"/>
      <c r="AT34" s="161"/>
      <c r="AU34" s="161"/>
      <c r="AV34" s="311">
        <f>AT34-AU34</f>
        <v>0</v>
      </c>
      <c r="AW34" s="162"/>
      <c r="AX34" s="162"/>
      <c r="AY34" s="162"/>
      <c r="AZ34" s="162"/>
      <c r="BA34" s="162"/>
      <c r="BB34" s="162"/>
      <c r="BC34" s="162"/>
      <c r="BD34" s="162">
        <f>BB34-BC34</f>
        <v>0</v>
      </c>
      <c r="BE34" s="162"/>
      <c r="BF34" s="185"/>
      <c r="BG34" s="179">
        <f>BB34*8%</f>
        <v>0</v>
      </c>
      <c r="BH34" s="167">
        <f>IF(BF34&gt;0,BF34*20%,0)</f>
        <v>0</v>
      </c>
      <c r="BI34" s="179"/>
      <c r="BJ34" s="167"/>
      <c r="BK34" s="167">
        <f>BD34-BG34-BH34-BE34-BI34-BJ34</f>
        <v>0</v>
      </c>
      <c r="BL34" s="167" t="e">
        <f>AR34/AP34</f>
        <v>#DIV/0!</v>
      </c>
      <c r="BM34" s="186" t="e">
        <f>BB34/AZ34</f>
        <v>#DIV/0!</v>
      </c>
      <c r="BN34" s="187" t="e">
        <f>AR34/(BG34+BH34+BE34+BI34)</f>
        <v>#DIV/0!</v>
      </c>
      <c r="BO34" s="188" t="e">
        <f>BD34/(BG34+BH34+BE34+BI34+BJ34)</f>
        <v>#DIV/0!</v>
      </c>
      <c r="BP34" s="53"/>
      <c r="BQ34" s="160" t="s">
        <v>186</v>
      </c>
      <c r="BR34" s="160">
        <v>1</v>
      </c>
      <c r="BS34" s="161">
        <v>0</v>
      </c>
      <c r="BT34" s="162">
        <f>'[1]IN05'!$AE$4</f>
        <v>0</v>
      </c>
      <c r="BU34" s="268" t="e">
        <f>(BW34/BT34)/CI1</f>
        <v>#DIV/0!</v>
      </c>
      <c r="BV34" s="162">
        <f>'[1]IN05'!$G$4</f>
        <v>0</v>
      </c>
      <c r="BW34" s="162">
        <f>'[1]IN05'!$H$4</f>
        <v>0</v>
      </c>
      <c r="BX34" s="163">
        <f>'[1]IN05'!$T$4</f>
        <v>0</v>
      </c>
      <c r="BY34" s="163">
        <f>'[1]IN05'!$U$4</f>
        <v>0</v>
      </c>
      <c r="BZ34" s="163">
        <f>'[1]IN05'!$V$4</f>
        <v>0</v>
      </c>
      <c r="CA34" s="161">
        <v>600</v>
      </c>
      <c r="CB34" s="161">
        <v>0</v>
      </c>
      <c r="CC34" s="311">
        <f t="shared" si="402"/>
        <v>600</v>
      </c>
      <c r="CD34" s="162">
        <f>'[1]IN05'!$J$4</f>
        <v>0</v>
      </c>
      <c r="CE34" s="162">
        <f>'[1]IN05'!$R$4</f>
        <v>0</v>
      </c>
      <c r="CF34" s="162">
        <f>'[1]IN05'!$S$4</f>
        <v>0</v>
      </c>
      <c r="CG34" s="162">
        <f>'[1]IN05'!$K$4</f>
        <v>0</v>
      </c>
      <c r="CH34" s="162">
        <f>'[1]IN05'!$L$4</f>
        <v>0</v>
      </c>
      <c r="CI34" s="162">
        <f>'[1]IN05'!$W$4</f>
        <v>0</v>
      </c>
      <c r="CJ34" s="162">
        <f>'[1]IN05'!$X$4</f>
        <v>0</v>
      </c>
      <c r="CK34" s="162">
        <f>CI34-CJ34</f>
        <v>0</v>
      </c>
      <c r="CL34" s="162">
        <f>'[1]IN05'!$D$4</f>
        <v>0</v>
      </c>
      <c r="CM34" s="185">
        <v>4546.53</v>
      </c>
      <c r="CN34" s="179">
        <f>CI34*8%</f>
        <v>0</v>
      </c>
      <c r="CO34" s="167">
        <f>IF(CM34&gt;0,CM34*20%,0)</f>
        <v>909.306</v>
      </c>
      <c r="CP34" s="179">
        <f>'[1]IN05'!$B$4</f>
        <v>0</v>
      </c>
      <c r="CQ34" s="167">
        <f>'[1]IN05'!$C$4</f>
        <v>0</v>
      </c>
      <c r="CR34" s="167">
        <f>CK34-CN34-CO34-CL34-CP34-CQ34</f>
        <v>-909.306</v>
      </c>
      <c r="CS34" s="167" t="e">
        <f>BY34/BW34</f>
        <v>#DIV/0!</v>
      </c>
      <c r="CT34" s="186" t="e">
        <f>CI34/CG34</f>
        <v>#DIV/0!</v>
      </c>
      <c r="CU34" s="187">
        <f>BY34/(CN34+CO34+CL34+CP34)</f>
        <v>0</v>
      </c>
      <c r="CV34" s="188">
        <f>CK34/(CN34+CO34+CL34+CP34+CQ34)</f>
        <v>0</v>
      </c>
      <c r="CW34" s="53"/>
      <c r="CX34" s="160" t="s">
        <v>186</v>
      </c>
      <c r="CY34" s="160">
        <v>1</v>
      </c>
      <c r="CZ34" s="161">
        <v>0</v>
      </c>
      <c r="DA34" s="162">
        <f>'[1]IN05'!$AE$4</f>
        <v>0</v>
      </c>
      <c r="DB34" s="268" t="e">
        <f>(DD34/DA34)/DP1</f>
        <v>#DIV/0!</v>
      </c>
      <c r="DC34" s="162">
        <f>'[1]IN05'!$G$4</f>
        <v>0</v>
      </c>
      <c r="DD34" s="162">
        <f>'[1]IN05'!$H$4</f>
        <v>0</v>
      </c>
      <c r="DE34" s="163">
        <f>'[1]IN05'!$T$4</f>
        <v>0</v>
      </c>
      <c r="DF34" s="163">
        <f>'[1]IN05'!$U$4</f>
        <v>0</v>
      </c>
      <c r="DG34" s="163">
        <f>'[1]IN05'!$V$4</f>
        <v>0</v>
      </c>
      <c r="DH34" s="161">
        <v>600</v>
      </c>
      <c r="DI34" s="161">
        <v>0</v>
      </c>
      <c r="DJ34" s="311">
        <f>DH34-DI34</f>
        <v>600</v>
      </c>
      <c r="DK34" s="162">
        <f>'[1]IN05'!$J$4</f>
        <v>0</v>
      </c>
      <c r="DL34" s="162">
        <f>'[1]IN05'!$R$4</f>
        <v>0</v>
      </c>
      <c r="DM34" s="162">
        <f>'[1]IN05'!$S$4</f>
        <v>0</v>
      </c>
      <c r="DN34" s="162">
        <f>'[1]IN05'!$K$4</f>
        <v>0</v>
      </c>
      <c r="DO34" s="162">
        <f>'[1]IN05'!$L$4</f>
        <v>0</v>
      </c>
      <c r="DP34" s="162">
        <f>'[1]IN05'!$W$4</f>
        <v>0</v>
      </c>
      <c r="DQ34" s="162">
        <f>'[1]IN05'!$X$4</f>
        <v>0</v>
      </c>
      <c r="DR34" s="162">
        <f>DP34-DQ34</f>
        <v>0</v>
      </c>
      <c r="DS34" s="162">
        <f>'[1]IN05'!$D$4</f>
        <v>0</v>
      </c>
      <c r="DT34" s="185">
        <v>4546.53</v>
      </c>
      <c r="DU34" s="179">
        <f>DP34*8%</f>
        <v>0</v>
      </c>
      <c r="DV34" s="167">
        <f>IF(DT34&gt;0,DT34*20%,0)</f>
        <v>909.306</v>
      </c>
      <c r="DW34" s="179">
        <f>'[1]IN05'!$B$4</f>
        <v>0</v>
      </c>
      <c r="DX34" s="167">
        <f>'[1]IN05'!$C$4</f>
        <v>0</v>
      </c>
      <c r="DY34" s="167">
        <f>DR34-DU34-DV34-DS34-DW34-DX34</f>
        <v>-909.306</v>
      </c>
      <c r="DZ34" s="167" t="e">
        <f>DF34/DD34</f>
        <v>#DIV/0!</v>
      </c>
      <c r="EA34" s="186" t="e">
        <f>DP34/DN34</f>
        <v>#DIV/0!</v>
      </c>
      <c r="EB34" s="187">
        <f>DF34/(DU34+DV34+DS34+DW34)</f>
        <v>0</v>
      </c>
      <c r="EC34" s="188">
        <f>DR34/(DU34+DV34+DS34+DW34+DX34)</f>
        <v>0</v>
      </c>
      <c r="ED34" s="53"/>
      <c r="EE34" s="160" t="s">
        <v>186</v>
      </c>
      <c r="EF34" s="160">
        <v>1</v>
      </c>
      <c r="EG34" s="160">
        <v>0</v>
      </c>
      <c r="EH34" s="162">
        <v>3</v>
      </c>
      <c r="EI34" s="162">
        <v>0.387096774193548</v>
      </c>
      <c r="EJ34" s="162">
        <v>296</v>
      </c>
      <c r="EK34" s="162">
        <v>36</v>
      </c>
      <c r="EL34" s="163">
        <v>6200</v>
      </c>
      <c r="EM34" s="163">
        <v>6300</v>
      </c>
      <c r="EN34" s="163">
        <v>5739</v>
      </c>
      <c r="EO34" s="161">
        <v>11320</v>
      </c>
      <c r="EP34" s="161">
        <v>8689</v>
      </c>
      <c r="EQ34" s="162">
        <v>2631</v>
      </c>
      <c r="ER34" s="162">
        <v>32</v>
      </c>
      <c r="ES34" s="162">
        <v>5400</v>
      </c>
      <c r="ET34" s="162">
        <v>5739</v>
      </c>
      <c r="EU34" s="162">
        <v>62</v>
      </c>
      <c r="EV34" s="162">
        <v>26</v>
      </c>
      <c r="EW34" s="162">
        <v>16500</v>
      </c>
      <c r="EX34" s="162">
        <v>12789</v>
      </c>
      <c r="EY34" s="162">
        <v>3711</v>
      </c>
      <c r="EZ34" s="162">
        <v>0</v>
      </c>
      <c r="FA34" s="185">
        <v>3059.53</v>
      </c>
      <c r="FB34" s="179">
        <v>1320</v>
      </c>
      <c r="FC34" s="167">
        <v>611.906</v>
      </c>
      <c r="FD34" s="179">
        <v>187705</v>
      </c>
      <c r="FE34" s="167">
        <v>0</v>
      </c>
      <c r="FF34" s="167">
        <v>-185925.906</v>
      </c>
      <c r="FG34" s="167">
        <v>175</v>
      </c>
      <c r="FH34" s="186">
        <v>266.129032258065</v>
      </c>
      <c r="FI34" s="187">
        <v>0.033221381496279</v>
      </c>
      <c r="FJ34" s="188">
        <v>0.0195689756718558</v>
      </c>
      <c r="FK34" s="53"/>
      <c r="FL34" s="53"/>
      <c r="FM34" s="53"/>
      <c r="FN34" s="160" t="s">
        <v>186</v>
      </c>
      <c r="FO34" s="160">
        <v>1</v>
      </c>
      <c r="FP34" s="160">
        <v>0</v>
      </c>
      <c r="FQ34" s="162">
        <v>3</v>
      </c>
      <c r="FR34" s="162">
        <f>(FT34/FQ34)/GF1</f>
        <v>0.404761904761905</v>
      </c>
      <c r="FS34" s="162">
        <v>142</v>
      </c>
      <c r="FT34" s="162">
        <v>34</v>
      </c>
      <c r="FU34" s="163">
        <v>5600</v>
      </c>
      <c r="FV34" s="163">
        <v>5700</v>
      </c>
      <c r="FW34" s="163">
        <v>2000</v>
      </c>
      <c r="FX34" s="161">
        <v>6150</v>
      </c>
      <c r="FY34" s="161">
        <v>2300</v>
      </c>
      <c r="FZ34" s="162">
        <f t="shared" si="410"/>
        <v>3850</v>
      </c>
      <c r="GA34" s="162">
        <v>31</v>
      </c>
      <c r="GB34" s="162">
        <v>4800</v>
      </c>
      <c r="GC34" s="162">
        <v>1600</v>
      </c>
      <c r="GD34" s="162">
        <v>69</v>
      </c>
      <c r="GE34" s="162">
        <v>35</v>
      </c>
      <c r="GF34" s="162">
        <v>18349.91</v>
      </c>
      <c r="GG34" s="162">
        <v>8600</v>
      </c>
      <c r="GH34" s="162">
        <v>9749.91</v>
      </c>
      <c r="GI34" s="162">
        <v>0</v>
      </c>
      <c r="GJ34" s="185">
        <v>8599.72</v>
      </c>
      <c r="GK34" s="179">
        <v>1467.9928</v>
      </c>
      <c r="GL34" s="167">
        <v>1719.944</v>
      </c>
      <c r="GM34" s="179">
        <v>169540</v>
      </c>
      <c r="GN34" s="167">
        <v>0</v>
      </c>
      <c r="GO34" s="167">
        <v>-162978.0268</v>
      </c>
      <c r="GP34" s="167">
        <v>167.647058823529</v>
      </c>
      <c r="GQ34" s="186">
        <v>265.940724637681</v>
      </c>
      <c r="GR34" s="187">
        <f>FV34/(GK34+GL34+GI34+GM34)</f>
        <v>0.0329998731276457</v>
      </c>
      <c r="GS34" s="188">
        <f>GH34/(GK34+GL34+GI34+GM34+GN34)</f>
        <v>0.0564466303519235</v>
      </c>
      <c r="GT34" s="53"/>
      <c r="GU34" s="53"/>
      <c r="GV34" s="160" t="s">
        <v>186</v>
      </c>
      <c r="GW34" s="160">
        <v>1</v>
      </c>
      <c r="GX34" s="160">
        <v>0</v>
      </c>
      <c r="GY34" s="162">
        <v>12</v>
      </c>
      <c r="GZ34" s="162">
        <f>(HB34/GY34)/HL1</f>
        <v>0.231182795698925</v>
      </c>
      <c r="HA34" s="162">
        <v>149</v>
      </c>
      <c r="HB34" s="162">
        <v>86</v>
      </c>
      <c r="HC34" s="163">
        <v>10922.17</v>
      </c>
      <c r="HD34" s="163">
        <v>12822.17</v>
      </c>
      <c r="HE34" s="163">
        <v>5512</v>
      </c>
      <c r="HF34" s="161">
        <v>17839</v>
      </c>
      <c r="HG34" s="161">
        <v>9607</v>
      </c>
      <c r="HH34" s="162">
        <f t="shared" si="393"/>
        <v>8232</v>
      </c>
      <c r="HI34" s="162">
        <v>75</v>
      </c>
      <c r="HJ34" s="162">
        <v>9787.17</v>
      </c>
      <c r="HK34" s="162">
        <v>4878</v>
      </c>
      <c r="HL34" s="162">
        <v>129</v>
      </c>
      <c r="HM34" s="162">
        <v>43</v>
      </c>
      <c r="HN34" s="162">
        <v>28235.91</v>
      </c>
      <c r="HO34" s="162">
        <v>26207</v>
      </c>
      <c r="HP34" s="162">
        <v>2028.91</v>
      </c>
      <c r="HQ34" s="162">
        <v>2200</v>
      </c>
      <c r="HR34" s="185">
        <v>-865.55</v>
      </c>
      <c r="HS34" s="179">
        <v>2258.8728</v>
      </c>
      <c r="HT34" s="167">
        <v>1430.5</v>
      </c>
      <c r="HU34" s="179">
        <v>187705</v>
      </c>
      <c r="HV34" s="167">
        <v>0</v>
      </c>
      <c r="HW34" s="167">
        <v>-191565.4628</v>
      </c>
      <c r="HX34" s="167">
        <v>149.095</v>
      </c>
      <c r="HY34" s="186">
        <v>218.883023255814</v>
      </c>
      <c r="HZ34" s="187">
        <f>HD34/(HS34+HT34+HQ34+HU34)</f>
        <v>0.0662321420532529</v>
      </c>
      <c r="IA34" s="188">
        <f>HP34/(HS34+HT34+HQ34+HU34+HV34)</f>
        <v>0.0104802116438376</v>
      </c>
      <c r="IB34" s="53"/>
      <c r="IC34" s="53"/>
      <c r="ID34" s="160" t="s">
        <v>186</v>
      </c>
      <c r="IE34" s="160">
        <v>1</v>
      </c>
      <c r="IF34" s="160">
        <v>0</v>
      </c>
      <c r="IG34" s="162">
        <v>12</v>
      </c>
      <c r="IH34" s="162">
        <f>(IJ34/IG34)/IT1</f>
        <v>0.166666666666667</v>
      </c>
      <c r="II34" s="162">
        <v>144</v>
      </c>
      <c r="IJ34" s="162">
        <v>62</v>
      </c>
      <c r="IK34" s="163">
        <v>7100</v>
      </c>
      <c r="IL34" s="163">
        <v>10800</v>
      </c>
      <c r="IM34" s="163">
        <v>5100</v>
      </c>
      <c r="IN34" s="161">
        <v>30300</v>
      </c>
      <c r="IO34" s="161">
        <v>45800</v>
      </c>
      <c r="IP34" s="162">
        <f>IN34-IO34</f>
        <v>-15500</v>
      </c>
      <c r="IQ34" s="162">
        <v>60</v>
      </c>
      <c r="IR34" s="162">
        <v>10600</v>
      </c>
      <c r="IS34" s="162">
        <v>4600</v>
      </c>
      <c r="IT34" s="162">
        <v>103</v>
      </c>
      <c r="IU34" s="162">
        <v>41</v>
      </c>
      <c r="IV34" s="162">
        <v>93660</v>
      </c>
      <c r="IW34" s="162">
        <v>84327</v>
      </c>
      <c r="IX34" s="162">
        <f>IV34-IW34</f>
        <v>9333</v>
      </c>
      <c r="IY34" s="162">
        <v>0</v>
      </c>
      <c r="IZ34" s="185">
        <v>7767.72</v>
      </c>
      <c r="JA34" s="179">
        <f>IV34*8%</f>
        <v>7492.8</v>
      </c>
      <c r="JB34" s="167">
        <f>IZ34*20%</f>
        <v>1553.544</v>
      </c>
      <c r="JC34" s="179">
        <v>87296</v>
      </c>
      <c r="JD34" s="167">
        <v>0</v>
      </c>
      <c r="JE34" s="167">
        <f>IX34-JA34-JB34-IY34-JC34</f>
        <v>-87009.344</v>
      </c>
      <c r="JF34" s="167">
        <f>IL34/IJ34</f>
        <v>174.193548387097</v>
      </c>
      <c r="JG34" s="186">
        <f>IV34/IT34</f>
        <v>909.320388349515</v>
      </c>
      <c r="JH34" s="187">
        <f>IL34/(JA34+JB34+IY34+JC34)</f>
        <v>0.1121002411982</v>
      </c>
      <c r="JI34" s="188">
        <f>IX34/(JA34+JB34+IY34+JC34)</f>
        <v>0.0968732917687782</v>
      </c>
      <c r="JJ34" s="53"/>
      <c r="JK34" s="53"/>
      <c r="JL34" s="160" t="s">
        <v>186</v>
      </c>
      <c r="JM34" s="160">
        <v>1</v>
      </c>
      <c r="JN34" s="160">
        <v>8</v>
      </c>
      <c r="JO34" s="162"/>
      <c r="JP34" s="162"/>
      <c r="JQ34" s="162">
        <v>104</v>
      </c>
      <c r="JR34" s="162">
        <v>62</v>
      </c>
      <c r="JS34" s="163">
        <v>6400</v>
      </c>
      <c r="JT34" s="163">
        <v>6400</v>
      </c>
      <c r="JU34" s="163">
        <v>3121</v>
      </c>
      <c r="JV34" s="161">
        <v>6900</v>
      </c>
      <c r="JW34" s="161">
        <v>3121</v>
      </c>
      <c r="JX34" s="162"/>
      <c r="JY34" s="162">
        <v>60</v>
      </c>
      <c r="JZ34" s="162">
        <v>6200</v>
      </c>
      <c r="KA34" s="162">
        <v>3121</v>
      </c>
      <c r="KB34" s="162">
        <v>111</v>
      </c>
      <c r="KC34" s="162">
        <v>49</v>
      </c>
      <c r="KD34" s="162">
        <v>85249</v>
      </c>
      <c r="KE34" s="162">
        <v>79897</v>
      </c>
      <c r="KF34" s="162">
        <f>KD34-KE34</f>
        <v>5352</v>
      </c>
      <c r="KG34" s="162">
        <v>0</v>
      </c>
      <c r="KH34" s="185">
        <v>9118.24</v>
      </c>
      <c r="KI34" s="179">
        <f>KD34*8%</f>
        <v>6819.92</v>
      </c>
      <c r="KJ34" s="167">
        <f>KH34*20%</f>
        <v>1823.648</v>
      </c>
      <c r="KK34" s="179">
        <v>84480</v>
      </c>
      <c r="KL34" s="167"/>
      <c r="KM34" s="167">
        <f>KF34-KI34-KJ34-KG34-KK34</f>
        <v>-87771.568</v>
      </c>
      <c r="KN34" s="167">
        <f>JT34/JR34</f>
        <v>103.225806451613</v>
      </c>
      <c r="KO34" s="186">
        <f>KD34/KB34</f>
        <v>768.009009009009</v>
      </c>
      <c r="KP34" s="187">
        <f>JT34/(KI34+KJ34+KG34+KK34)</f>
        <v>0.0687258890252143</v>
      </c>
      <c r="KQ34" s="188">
        <f>KF34/(KI34+KJ34+KG34+KK34)</f>
        <v>0.0574720246973355</v>
      </c>
      <c r="KR34" s="53"/>
      <c r="KS34" s="53"/>
      <c r="KT34" s="213" t="s">
        <v>186</v>
      </c>
      <c r="KU34" s="213">
        <v>1</v>
      </c>
      <c r="KV34" s="213"/>
      <c r="KW34" s="214">
        <v>19</v>
      </c>
      <c r="KX34" s="214"/>
      <c r="KY34" s="214">
        <v>198</v>
      </c>
      <c r="KZ34" s="214">
        <v>47</v>
      </c>
      <c r="LA34" s="214">
        <v>36600</v>
      </c>
      <c r="LB34" s="214">
        <v>41400</v>
      </c>
      <c r="LC34" s="214">
        <v>13644</v>
      </c>
      <c r="LD34" s="216">
        <v>51400</v>
      </c>
      <c r="LE34" s="216">
        <v>32525</v>
      </c>
      <c r="LF34" s="216"/>
      <c r="LG34" s="214">
        <v>40</v>
      </c>
      <c r="LH34" s="214">
        <v>40100</v>
      </c>
      <c r="LI34" s="214">
        <v>13144</v>
      </c>
      <c r="LJ34" s="214">
        <v>99</v>
      </c>
      <c r="LK34" s="214">
        <v>52</v>
      </c>
      <c r="LL34" s="214">
        <v>142573</v>
      </c>
      <c r="LM34" s="214">
        <v>120178</v>
      </c>
      <c r="LN34" s="214">
        <v>22395</v>
      </c>
      <c r="LO34" s="275">
        <v>0</v>
      </c>
      <c r="LP34" s="232">
        <v>21853.44</v>
      </c>
      <c r="LQ34" s="218">
        <v>11405.84</v>
      </c>
      <c r="LR34" s="219">
        <v>4370.688</v>
      </c>
      <c r="LS34" s="218">
        <v>87296</v>
      </c>
      <c r="LT34" s="218"/>
      <c r="LU34" s="219">
        <v>-80677.528</v>
      </c>
      <c r="LV34" s="219">
        <v>880.851063829787</v>
      </c>
      <c r="LW34" s="220">
        <v>1440.13131313131</v>
      </c>
      <c r="LX34" s="221">
        <v>0.401658917301417</v>
      </c>
      <c r="LY34" s="222">
        <v>0.217274189685151</v>
      </c>
      <c r="LZ34" s="269"/>
      <c r="MA34" s="241"/>
      <c r="MB34" s="213" t="s">
        <v>186</v>
      </c>
      <c r="MC34" s="213">
        <v>1</v>
      </c>
      <c r="MD34" s="213"/>
      <c r="ME34" s="214">
        <v>11</v>
      </c>
      <c r="MF34" s="214"/>
      <c r="MG34" s="214">
        <v>379</v>
      </c>
      <c r="MH34" s="214">
        <v>90</v>
      </c>
      <c r="MI34" s="214">
        <v>22000</v>
      </c>
      <c r="MJ34" s="214">
        <v>27150</v>
      </c>
      <c r="MK34" s="214">
        <v>18280</v>
      </c>
      <c r="ML34" s="216">
        <v>216848</v>
      </c>
      <c r="MM34" s="216">
        <v>215245</v>
      </c>
      <c r="MN34" s="216"/>
      <c r="MO34" s="214">
        <v>79</v>
      </c>
      <c r="MP34" s="214">
        <v>25050</v>
      </c>
      <c r="MQ34" s="214">
        <v>16655</v>
      </c>
      <c r="MR34" s="214">
        <v>123</v>
      </c>
      <c r="MS34" s="215">
        <v>33</v>
      </c>
      <c r="MT34" s="214">
        <v>216848</v>
      </c>
      <c r="MU34" s="214">
        <v>215245</v>
      </c>
      <c r="MV34" s="214">
        <f>MT34-MU34</f>
        <v>1603</v>
      </c>
      <c r="MW34" s="275">
        <v>0</v>
      </c>
      <c r="MX34" s="217">
        <v>-19320.28</v>
      </c>
      <c r="MY34" s="218">
        <f>MT34*8%</f>
        <v>17347.84</v>
      </c>
      <c r="MZ34" s="219">
        <v>0</v>
      </c>
      <c r="NA34" s="218">
        <v>126737</v>
      </c>
      <c r="NB34" s="219">
        <f>MV34-MY34-MZ34-MW34-NA34</f>
        <v>-142481.84</v>
      </c>
      <c r="NC34" s="219"/>
      <c r="ND34" s="219">
        <f>MJ34/MH34</f>
        <v>301.666666666667</v>
      </c>
      <c r="NE34" s="220">
        <f>MT34/MR34</f>
        <v>1762.9918699187</v>
      </c>
      <c r="NF34" s="221">
        <f>MJ34/(MY34+MZ34+MW34+NA34)</f>
        <v>0.188430649608939</v>
      </c>
      <c r="NG34" s="222">
        <f>MV34/(MY34+MZ34+MW34+NA34)</f>
        <v>0.0111253897356585</v>
      </c>
      <c r="NH34" s="53" t="s">
        <v>187</v>
      </c>
      <c r="NI34" s="53"/>
      <c r="NJ34" s="159"/>
      <c r="NK34" s="53"/>
      <c r="NL34" s="53"/>
      <c r="NM34" s="53"/>
      <c r="NN34" s="53"/>
      <c r="NO34" s="53"/>
      <c r="NP34" s="53"/>
      <c r="NQ34" s="53"/>
      <c r="NR34" s="53"/>
      <c r="NS34" s="53"/>
      <c r="NT34" s="53"/>
      <c r="NU34" s="53"/>
      <c r="NV34" s="53"/>
      <c r="NW34" s="53"/>
      <c r="NX34" s="53"/>
      <c r="NY34" s="53"/>
      <c r="NZ34" s="53"/>
      <c r="OA34" s="53"/>
      <c r="OB34" s="53"/>
      <c r="OC34" s="53"/>
      <c r="OD34" s="53"/>
      <c r="OE34" s="53"/>
      <c r="OF34" s="53"/>
      <c r="OG34" s="53"/>
      <c r="OH34" s="53"/>
      <c r="OI34" s="53"/>
      <c r="OJ34" s="53"/>
      <c r="OK34" s="53"/>
      <c r="OL34" s="53"/>
      <c r="OM34" s="53"/>
      <c r="ON34" s="53"/>
      <c r="OO34" s="53"/>
      <c r="OP34" s="53"/>
      <c r="OQ34" s="53"/>
      <c r="OR34" s="53"/>
      <c r="OS34" s="144"/>
      <c r="OT34" s="144"/>
      <c r="OU34" s="144"/>
      <c r="OV34" s="144"/>
      <c r="OW34" s="144"/>
      <c r="OX34" s="144"/>
      <c r="OY34" s="144"/>
      <c r="OZ34" s="144"/>
      <c r="PA34" s="144"/>
      <c r="PB34" s="144"/>
      <c r="PC34" s="144"/>
      <c r="PD34" s="144"/>
      <c r="PE34" s="144"/>
      <c r="PF34" s="144"/>
      <c r="PG34" s="144"/>
      <c r="PH34" s="144"/>
      <c r="PI34" s="144"/>
      <c r="PJ34" s="144"/>
      <c r="PK34" s="144"/>
      <c r="PL34" s="144"/>
      <c r="PM34" s="144"/>
      <c r="PN34" s="144"/>
      <c r="PO34" s="144"/>
      <c r="PP34" s="144"/>
      <c r="PQ34" s="144"/>
      <c r="PR34" s="144"/>
      <c r="PS34" s="144"/>
      <c r="PT34" s="146"/>
      <c r="PU34" s="84"/>
      <c r="PV34" s="84"/>
      <c r="PW34" s="154"/>
      <c r="PX34" s="154"/>
      <c r="PY34" s="154"/>
      <c r="PZ34" s="154"/>
      <c r="QA34" s="154"/>
      <c r="QB34" s="154"/>
      <c r="QC34" s="154"/>
      <c r="QD34" s="154"/>
      <c r="QE34" s="154"/>
      <c r="QF34" s="155"/>
      <c r="QG34" s="155"/>
      <c r="QH34" s="155"/>
      <c r="QI34" s="155"/>
      <c r="QJ34" s="155"/>
      <c r="QK34" s="155"/>
      <c r="QL34" s="155"/>
      <c r="QM34" s="155"/>
      <c r="QN34" s="155"/>
      <c r="QO34" s="155"/>
      <c r="QP34" s="297"/>
      <c r="QQ34" s="303"/>
      <c r="QR34" s="84"/>
      <c r="QS34" s="155"/>
      <c r="QT34" s="144"/>
      <c r="QU34" s="84"/>
      <c r="QV34" s="84"/>
      <c r="QW34" s="154"/>
      <c r="QX34" s="154"/>
      <c r="QY34" s="154"/>
      <c r="QZ34" s="154"/>
      <c r="RA34" s="154"/>
      <c r="RB34" s="154"/>
      <c r="RC34" s="155"/>
      <c r="RD34" s="155"/>
      <c r="RE34" s="155"/>
      <c r="RF34" s="155"/>
      <c r="RG34" s="155"/>
      <c r="RH34" s="155"/>
      <c r="RI34" s="155"/>
      <c r="RJ34" s="304"/>
      <c r="RK34" s="297"/>
      <c r="RL34" s="297"/>
      <c r="RM34" s="303"/>
      <c r="RN34" s="84"/>
      <c r="RO34" s="144"/>
      <c r="RP34" s="144"/>
      <c r="RQ34" s="84"/>
      <c r="RR34" s="84"/>
      <c r="RS34" s="154"/>
      <c r="RT34" s="154"/>
      <c r="RU34" s="154"/>
      <c r="RV34" s="154"/>
      <c r="RW34" s="154"/>
      <c r="RX34" s="154"/>
      <c r="RY34" s="154"/>
      <c r="RZ34" s="154"/>
      <c r="SA34" s="154"/>
      <c r="SB34" s="154"/>
      <c r="SC34" s="154"/>
      <c r="SD34" s="154"/>
      <c r="SE34" s="154"/>
      <c r="SF34" s="154"/>
      <c r="SG34" s="154"/>
      <c r="SH34" s="297"/>
      <c r="SI34" s="303"/>
      <c r="SJ34" s="84"/>
      <c r="SK34" s="157"/>
      <c r="SL34" s="144"/>
      <c r="SM34" s="84"/>
      <c r="SN34" s="84"/>
      <c r="SO34" s="154"/>
      <c r="SP34" s="154"/>
      <c r="SQ34" s="154"/>
      <c r="SR34" s="154"/>
      <c r="SS34" s="154"/>
      <c r="ST34" s="154"/>
      <c r="SU34" s="155"/>
      <c r="SV34" s="305"/>
      <c r="SW34" s="305"/>
      <c r="SX34" s="306"/>
      <c r="SY34" s="306"/>
      <c r="SZ34" s="307"/>
      <c r="TA34" s="306"/>
      <c r="TB34" s="304"/>
      <c r="TC34" s="297"/>
      <c r="TD34" s="297"/>
      <c r="TE34" s="303"/>
      <c r="TF34" s="84"/>
      <c r="TG34" s="156"/>
      <c r="TH34" s="84"/>
      <c r="TI34" s="84"/>
      <c r="TJ34" s="84"/>
      <c r="TK34" s="84"/>
      <c r="TL34" s="154"/>
      <c r="TM34" s="154"/>
      <c r="TN34" s="154"/>
      <c r="TO34" s="154"/>
      <c r="TP34" s="154"/>
      <c r="TQ34" s="308"/>
      <c r="TR34" s="305"/>
      <c r="TS34" s="309"/>
      <c r="TT34" s="305"/>
      <c r="TU34" s="308"/>
      <c r="TV34" s="305"/>
      <c r="TW34" s="309"/>
      <c r="TX34" s="310"/>
      <c r="TY34" s="310"/>
      <c r="TZ34" s="156"/>
      <c r="UA34" s="84"/>
      <c r="UB34" s="144"/>
      <c r="UC34" s="144"/>
      <c r="UD34" s="84"/>
      <c r="UE34" s="84"/>
      <c r="UF34" s="154"/>
      <c r="UG34" s="154"/>
      <c r="UH34" s="154"/>
      <c r="UI34" s="154"/>
      <c r="UJ34" s="154"/>
      <c r="UK34" s="154"/>
      <c r="UL34" s="154"/>
      <c r="UM34" s="305"/>
      <c r="UN34" s="305"/>
      <c r="UO34" s="308"/>
      <c r="UP34" s="305"/>
      <c r="UQ34" s="308"/>
      <c r="UR34" s="305"/>
      <c r="US34" s="308"/>
      <c r="UT34" s="310"/>
      <c r="UU34" s="310"/>
      <c r="UV34" s="156"/>
      <c r="UW34" s="84"/>
      <c r="UX34" s="144"/>
      <c r="UY34" s="144"/>
      <c r="UZ34" s="84"/>
      <c r="VA34" s="84"/>
      <c r="VB34" s="154"/>
      <c r="VC34" s="154"/>
      <c r="VD34" s="154"/>
      <c r="VE34" s="154"/>
      <c r="VF34" s="154"/>
      <c r="VG34" s="154"/>
      <c r="VH34" s="154"/>
      <c r="VI34" s="308"/>
      <c r="VJ34" s="308"/>
      <c r="VK34" s="308"/>
      <c r="VL34" s="308"/>
      <c r="VM34" s="308"/>
      <c r="VN34" s="305"/>
      <c r="VO34" s="308"/>
      <c r="VP34" s="310"/>
      <c r="VQ34" s="310"/>
      <c r="VR34" s="156"/>
      <c r="VS34" s="84"/>
      <c r="VT34" s="53"/>
      <c r="VU34" s="53"/>
    </row>
    <row r="35" ht="18" hidden="1" customHeight="1" spans="1:1024 1025:16384">
      <c r="A35" s="53"/>
      <c r="B35" s="53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312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53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312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60"/>
      <c r="BK35" s="160"/>
      <c r="BL35" s="160"/>
      <c r="BM35" s="160"/>
      <c r="BN35" s="160"/>
      <c r="BO35" s="160"/>
      <c r="BP35" s="53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0"/>
      <c r="CB35" s="160"/>
      <c r="CC35" s="312"/>
      <c r="CD35" s="160"/>
      <c r="CE35" s="160"/>
      <c r="CF35" s="160"/>
      <c r="CG35" s="160"/>
      <c r="CH35" s="160"/>
      <c r="CI35" s="160"/>
      <c r="CJ35" s="160"/>
      <c r="CK35" s="160"/>
      <c r="CL35" s="160"/>
      <c r="CM35" s="160"/>
      <c r="CN35" s="160"/>
      <c r="CO35" s="160"/>
      <c r="CP35" s="160"/>
      <c r="CQ35" s="160"/>
      <c r="CR35" s="160"/>
      <c r="CS35" s="160"/>
      <c r="CT35" s="160"/>
      <c r="CU35" s="160"/>
      <c r="CV35" s="160"/>
      <c r="CW35" s="53"/>
      <c r="CX35" s="160"/>
      <c r="CY35" s="160"/>
      <c r="CZ35" s="160"/>
      <c r="DA35" s="160"/>
      <c r="DB35" s="160"/>
      <c r="DC35" s="160"/>
      <c r="DD35" s="160"/>
      <c r="DE35" s="160"/>
      <c r="DF35" s="160"/>
      <c r="DG35" s="160"/>
      <c r="DH35" s="160"/>
      <c r="DI35" s="160"/>
      <c r="DJ35" s="312"/>
      <c r="DK35" s="160"/>
      <c r="DL35" s="160"/>
      <c r="DM35" s="160"/>
      <c r="DN35" s="160"/>
      <c r="DO35" s="160"/>
      <c r="DP35" s="160"/>
      <c r="DQ35" s="160"/>
      <c r="DR35" s="160"/>
      <c r="DS35" s="160"/>
      <c r="DT35" s="160"/>
      <c r="DU35" s="160"/>
      <c r="DV35" s="160"/>
      <c r="DW35" s="160"/>
      <c r="DX35" s="160"/>
      <c r="DY35" s="160"/>
      <c r="DZ35" s="160"/>
      <c r="EA35" s="160"/>
      <c r="EB35" s="160"/>
      <c r="EC35" s="160"/>
      <c r="ED35" s="53"/>
      <c r="EE35" s="213"/>
      <c r="EF35" s="213"/>
      <c r="EG35" s="213"/>
      <c r="EH35" s="213"/>
      <c r="EI35" s="213"/>
      <c r="EJ35" s="213"/>
      <c r="EK35" s="213"/>
      <c r="EL35" s="213"/>
      <c r="EM35" s="213"/>
      <c r="EN35" s="213"/>
      <c r="EO35" s="213"/>
      <c r="EP35" s="213"/>
      <c r="EQ35" s="313"/>
      <c r="ER35" s="213"/>
      <c r="ES35" s="213"/>
      <c r="ET35" s="213"/>
      <c r="EU35" s="213"/>
      <c r="EV35" s="213"/>
      <c r="EW35" s="213"/>
      <c r="EX35" s="213"/>
      <c r="EY35" s="213"/>
      <c r="EZ35" s="213"/>
      <c r="FA35" s="213"/>
      <c r="FB35" s="213"/>
      <c r="FC35" s="213"/>
      <c r="FD35" s="213"/>
      <c r="FE35" s="213"/>
      <c r="FF35" s="213"/>
      <c r="FG35" s="213"/>
      <c r="FH35" s="213"/>
      <c r="FI35" s="213"/>
      <c r="FJ35" s="213"/>
      <c r="FK35" s="53"/>
      <c r="FL35" s="53"/>
      <c r="FM35" s="53"/>
      <c r="FN35" s="213"/>
      <c r="FO35" s="213"/>
      <c r="FP35" s="213"/>
      <c r="FQ35" s="213"/>
      <c r="FR35" s="213"/>
      <c r="FS35" s="213"/>
      <c r="FT35" s="213"/>
      <c r="FU35" s="213"/>
      <c r="FV35" s="213"/>
      <c r="FW35" s="213"/>
      <c r="FX35" s="213"/>
      <c r="FY35" s="213"/>
      <c r="FZ35" s="213"/>
      <c r="GA35" s="213"/>
      <c r="GB35" s="213"/>
      <c r="GC35" s="213"/>
      <c r="GD35" s="213"/>
      <c r="GE35" s="213"/>
      <c r="GF35" s="213"/>
      <c r="GG35" s="213"/>
      <c r="GH35" s="213"/>
      <c r="GI35" s="213"/>
      <c r="GJ35" s="213"/>
      <c r="GK35" s="213"/>
      <c r="GL35" s="213"/>
      <c r="GM35" s="213"/>
      <c r="GN35" s="213"/>
      <c r="GO35" s="213"/>
      <c r="GP35" s="213"/>
      <c r="GQ35" s="213"/>
      <c r="GR35" s="213"/>
      <c r="GS35" s="213"/>
      <c r="GT35" s="53"/>
      <c r="GU35" s="53"/>
      <c r="GV35" s="213"/>
      <c r="GW35" s="213"/>
      <c r="GX35" s="213"/>
      <c r="GY35" s="213"/>
      <c r="GZ35" s="213"/>
      <c r="HA35" s="213"/>
      <c r="HB35" s="213"/>
      <c r="HC35" s="213"/>
      <c r="HD35" s="213"/>
      <c r="HE35" s="213"/>
      <c r="HF35" s="213"/>
      <c r="HG35" s="213"/>
      <c r="HH35" s="213"/>
      <c r="HI35" s="213"/>
      <c r="HJ35" s="213"/>
      <c r="HK35" s="213"/>
      <c r="HL35" s="213"/>
      <c r="HM35" s="213"/>
      <c r="HN35" s="213"/>
      <c r="HO35" s="213"/>
      <c r="HP35" s="213"/>
      <c r="HQ35" s="213"/>
      <c r="HR35" s="213"/>
      <c r="HS35" s="213"/>
      <c r="HT35" s="213"/>
      <c r="HU35" s="213"/>
      <c r="HV35" s="213"/>
      <c r="HW35" s="213"/>
      <c r="HX35" s="213"/>
      <c r="HY35" s="213"/>
      <c r="HZ35" s="213"/>
      <c r="IA35" s="213"/>
      <c r="IB35" s="53"/>
      <c r="IC35" s="53"/>
      <c r="ID35" s="213"/>
      <c r="IE35" s="213"/>
      <c r="IF35" s="213"/>
      <c r="IG35" s="213"/>
      <c r="IH35" s="213"/>
      <c r="II35" s="213"/>
      <c r="IJ35" s="213"/>
      <c r="IK35" s="213"/>
      <c r="IL35" s="213"/>
      <c r="IM35" s="213"/>
      <c r="IN35" s="213"/>
      <c r="IO35" s="213"/>
      <c r="IP35" s="213"/>
      <c r="IQ35" s="213"/>
      <c r="IR35" s="213"/>
      <c r="IS35" s="213"/>
      <c r="IT35" s="213"/>
      <c r="IU35" s="213"/>
      <c r="IV35" s="213"/>
      <c r="IW35" s="213"/>
      <c r="IX35" s="213"/>
      <c r="IY35" s="213"/>
      <c r="IZ35" s="213"/>
      <c r="JA35" s="213"/>
      <c r="JB35" s="213"/>
      <c r="JC35" s="213"/>
      <c r="JD35" s="213"/>
      <c r="JE35" s="213"/>
      <c r="JF35" s="213"/>
      <c r="JG35" s="213"/>
      <c r="JH35" s="213"/>
      <c r="JI35" s="213"/>
      <c r="JJ35" s="53"/>
      <c r="JK35" s="53"/>
      <c r="JL35" s="213"/>
      <c r="JM35" s="213"/>
      <c r="JN35" s="213"/>
      <c r="JO35" s="213"/>
      <c r="JP35" s="213"/>
      <c r="JQ35" s="213"/>
      <c r="JR35" s="213"/>
      <c r="JS35" s="213"/>
      <c r="JT35" s="213"/>
      <c r="JU35" s="213"/>
      <c r="JV35" s="213"/>
      <c r="JW35" s="213"/>
      <c r="JX35" s="213"/>
      <c r="JY35" s="213"/>
      <c r="JZ35" s="213"/>
      <c r="KA35" s="213"/>
      <c r="KB35" s="213"/>
      <c r="KC35" s="213"/>
      <c r="KD35" s="213"/>
      <c r="KE35" s="213"/>
      <c r="KF35" s="213"/>
      <c r="KG35" s="213"/>
      <c r="KH35" s="213"/>
      <c r="KI35" s="213"/>
      <c r="KJ35" s="213"/>
      <c r="KK35" s="213"/>
      <c r="KL35" s="213"/>
      <c r="KM35" s="213"/>
      <c r="KN35" s="213"/>
      <c r="KO35" s="213"/>
      <c r="KP35" s="213"/>
      <c r="KQ35" s="213"/>
      <c r="KR35" s="53"/>
      <c r="KS35" s="53"/>
      <c r="KT35" s="213"/>
      <c r="KU35" s="213"/>
      <c r="KV35" s="213"/>
      <c r="KW35" s="299"/>
      <c r="KX35" s="299"/>
      <c r="KY35" s="299"/>
      <c r="KZ35" s="299"/>
      <c r="LA35" s="299"/>
      <c r="LB35" s="299"/>
      <c r="LC35" s="299"/>
      <c r="LD35" s="300"/>
      <c r="LE35" s="300"/>
      <c r="LF35" s="300"/>
      <c r="LG35" s="299"/>
      <c r="LH35" s="299"/>
      <c r="LI35" s="299"/>
      <c r="LJ35" s="299"/>
      <c r="LK35" s="299"/>
      <c r="LL35" s="299"/>
      <c r="LM35" s="299"/>
      <c r="LN35" s="299"/>
      <c r="LO35" s="213"/>
      <c r="LP35" s="213"/>
      <c r="LQ35" s="299"/>
      <c r="LR35" s="299"/>
      <c r="LS35" s="299"/>
      <c r="LT35" s="299"/>
      <c r="LU35" s="299"/>
      <c r="LV35" s="299"/>
      <c r="LW35" s="299"/>
      <c r="LX35" s="213"/>
      <c r="LY35" s="213"/>
      <c r="LZ35" s="241"/>
      <c r="MA35" s="241"/>
      <c r="MB35" s="213"/>
      <c r="MC35" s="213"/>
      <c r="MD35" s="213"/>
      <c r="ME35" s="299"/>
      <c r="MF35" s="299"/>
      <c r="MG35" s="299"/>
      <c r="MH35" s="299"/>
      <c r="MI35" s="299"/>
      <c r="MJ35" s="299"/>
      <c r="MK35" s="299"/>
      <c r="ML35" s="300"/>
      <c r="MM35" s="300"/>
      <c r="MN35" s="300"/>
      <c r="MO35" s="299"/>
      <c r="MP35" s="299"/>
      <c r="MQ35" s="299"/>
      <c r="MR35" s="299"/>
      <c r="MS35" s="299"/>
      <c r="MT35" s="299"/>
      <c r="MU35" s="299"/>
      <c r="MV35" s="299"/>
      <c r="MW35" s="213"/>
      <c r="MX35" s="213"/>
      <c r="MY35" s="299"/>
      <c r="MZ35" s="299"/>
      <c r="NA35" s="299"/>
      <c r="NB35" s="299"/>
      <c r="NC35" s="299"/>
      <c r="ND35" s="299"/>
      <c r="NE35" s="299"/>
      <c r="NF35" s="213"/>
      <c r="NG35" s="213"/>
      <c r="NH35" s="53"/>
      <c r="NI35" s="53"/>
      <c r="NJ35" s="159"/>
      <c r="NK35" s="53"/>
      <c r="NL35" s="53"/>
      <c r="NM35" s="53"/>
      <c r="NN35" s="53"/>
      <c r="NO35" s="53"/>
      <c r="NP35" s="53"/>
      <c r="NQ35" s="53"/>
      <c r="NR35" s="53"/>
      <c r="NS35" s="53"/>
      <c r="NT35" s="53"/>
      <c r="NU35" s="53"/>
      <c r="NV35" s="53"/>
      <c r="NW35" s="53"/>
      <c r="NX35" s="53"/>
      <c r="NY35" s="53"/>
      <c r="NZ35" s="53"/>
      <c r="OA35" s="53"/>
      <c r="OB35" s="53"/>
      <c r="OC35" s="53"/>
      <c r="OD35" s="53"/>
      <c r="OE35" s="53"/>
      <c r="OF35" s="53"/>
      <c r="OG35" s="53"/>
      <c r="OH35" s="53"/>
      <c r="OI35" s="53"/>
      <c r="OJ35" s="53"/>
      <c r="OK35" s="53"/>
      <c r="OL35" s="53"/>
      <c r="OM35" s="53"/>
      <c r="ON35" s="53"/>
      <c r="OO35" s="53"/>
      <c r="OP35" s="53"/>
      <c r="OQ35" s="53"/>
      <c r="OR35" s="53"/>
      <c r="OS35" s="144"/>
      <c r="OT35" s="144"/>
      <c r="OU35" s="144"/>
      <c r="OV35" s="144"/>
      <c r="OW35" s="144"/>
      <c r="OX35" s="144"/>
      <c r="OY35" s="144"/>
      <c r="OZ35" s="144"/>
      <c r="PA35" s="144"/>
      <c r="PB35" s="144"/>
      <c r="PC35" s="144"/>
      <c r="PD35" s="144"/>
      <c r="PE35" s="144"/>
      <c r="PF35" s="144"/>
      <c r="PG35" s="144"/>
      <c r="PH35" s="144"/>
      <c r="PI35" s="144"/>
      <c r="PJ35" s="144"/>
      <c r="PK35" s="144"/>
      <c r="PL35" s="144"/>
      <c r="PM35" s="144"/>
      <c r="PN35" s="144"/>
      <c r="PO35" s="144"/>
      <c r="PP35" s="144"/>
      <c r="PQ35" s="144"/>
      <c r="PR35" s="144"/>
      <c r="PS35" s="144"/>
      <c r="PT35" s="146"/>
      <c r="PU35" s="84"/>
      <c r="PV35" s="84"/>
      <c r="PW35" s="154"/>
      <c r="PX35" s="154"/>
      <c r="PY35" s="154"/>
      <c r="PZ35" s="154"/>
      <c r="QA35" s="154"/>
      <c r="QB35" s="154"/>
      <c r="QC35" s="154"/>
      <c r="QD35" s="154"/>
      <c r="QE35" s="154"/>
      <c r="QF35" s="155"/>
      <c r="QG35" s="155"/>
      <c r="QH35" s="155"/>
      <c r="QI35" s="155"/>
      <c r="QJ35" s="155"/>
      <c r="QK35" s="155"/>
      <c r="QL35" s="155"/>
      <c r="QM35" s="155"/>
      <c r="QN35" s="155"/>
      <c r="QO35" s="155"/>
      <c r="QP35" s="297"/>
      <c r="QQ35" s="303"/>
      <c r="QR35" s="84"/>
      <c r="QS35" s="155"/>
      <c r="QT35" s="144"/>
      <c r="QU35" s="84"/>
      <c r="QV35" s="84"/>
      <c r="QW35" s="154"/>
      <c r="QX35" s="154"/>
      <c r="QY35" s="154"/>
      <c r="QZ35" s="154"/>
      <c r="RA35" s="154"/>
      <c r="RB35" s="154"/>
      <c r="RC35" s="155"/>
      <c r="RD35" s="155"/>
      <c r="RE35" s="305"/>
      <c r="RF35" s="306"/>
      <c r="RG35" s="306"/>
      <c r="RH35" s="307"/>
      <c r="RI35" s="306"/>
      <c r="RJ35" s="304"/>
      <c r="RK35" s="297"/>
      <c r="RL35" s="297"/>
      <c r="RM35" s="303"/>
      <c r="RN35" s="84"/>
      <c r="RO35" s="144"/>
      <c r="RP35" s="144"/>
      <c r="RQ35" s="84"/>
      <c r="RR35" s="84"/>
      <c r="RS35" s="154"/>
      <c r="RT35" s="154"/>
      <c r="RU35" s="154"/>
      <c r="RV35" s="154"/>
      <c r="RW35" s="154"/>
      <c r="RX35" s="154"/>
      <c r="RY35" s="155"/>
      <c r="RZ35" s="305"/>
      <c r="SA35" s="305"/>
      <c r="SB35" s="306"/>
      <c r="SC35" s="306"/>
      <c r="SD35" s="307"/>
      <c r="SE35" s="306"/>
      <c r="SF35" s="304"/>
      <c r="SG35" s="297"/>
      <c r="SH35" s="297"/>
      <c r="SI35" s="303"/>
      <c r="SJ35" s="84"/>
      <c r="SK35" s="157"/>
      <c r="SL35" s="144"/>
      <c r="SM35" s="84"/>
      <c r="SN35" s="84"/>
      <c r="SO35" s="154"/>
      <c r="SP35" s="154"/>
      <c r="SQ35" s="154"/>
      <c r="SR35" s="154"/>
      <c r="SS35" s="154"/>
      <c r="ST35" s="154"/>
      <c r="SU35" s="155"/>
      <c r="SV35" s="305"/>
      <c r="SW35" s="305"/>
      <c r="SX35" s="306"/>
      <c r="SY35" s="306"/>
      <c r="SZ35" s="307"/>
      <c r="TA35" s="306"/>
      <c r="TB35" s="304"/>
      <c r="TC35" s="297"/>
      <c r="TD35" s="297"/>
      <c r="TE35" s="303"/>
      <c r="TF35" s="84"/>
      <c r="TG35" s="156"/>
      <c r="TH35" s="84"/>
      <c r="TI35" s="84"/>
      <c r="TJ35" s="84"/>
      <c r="TK35" s="84"/>
      <c r="TL35" s="154"/>
      <c r="TM35" s="154"/>
      <c r="TN35" s="154"/>
      <c r="TO35" s="154"/>
      <c r="TP35" s="154"/>
      <c r="TQ35" s="308"/>
      <c r="TR35" s="305"/>
      <c r="TS35" s="309"/>
      <c r="TT35" s="305"/>
      <c r="TU35" s="308"/>
      <c r="TV35" s="305"/>
      <c r="TW35" s="309"/>
      <c r="TX35" s="310"/>
      <c r="TY35" s="310"/>
      <c r="TZ35" s="156"/>
      <c r="UA35" s="84"/>
      <c r="UB35" s="144"/>
      <c r="UC35" s="144"/>
      <c r="UD35" s="84"/>
      <c r="UE35" s="84"/>
      <c r="UF35" s="154"/>
      <c r="UG35" s="154"/>
      <c r="UH35" s="154"/>
      <c r="UI35" s="154"/>
      <c r="UJ35" s="154"/>
      <c r="UK35" s="154"/>
      <c r="UL35" s="154"/>
      <c r="UM35" s="305"/>
      <c r="UN35" s="305"/>
      <c r="UO35" s="308"/>
      <c r="UP35" s="305"/>
      <c r="UQ35" s="308"/>
      <c r="UR35" s="305"/>
      <c r="US35" s="308"/>
      <c r="UT35" s="310"/>
      <c r="UU35" s="310"/>
      <c r="UV35" s="156"/>
      <c r="UW35" s="84"/>
      <c r="UX35" s="144"/>
      <c r="UY35" s="144"/>
      <c r="UZ35" s="84"/>
      <c r="VA35" s="84"/>
      <c r="VB35" s="154"/>
      <c r="VC35" s="154"/>
      <c r="VD35" s="154"/>
      <c r="VE35" s="154"/>
      <c r="VF35" s="154"/>
      <c r="VG35" s="154"/>
      <c r="VH35" s="154"/>
      <c r="VI35" s="308"/>
      <c r="VJ35" s="308"/>
      <c r="VK35" s="308"/>
      <c r="VL35" s="308"/>
      <c r="VM35" s="308"/>
      <c r="VN35" s="305"/>
      <c r="VO35" s="308"/>
      <c r="VP35" s="310"/>
      <c r="VQ35" s="310"/>
      <c r="VR35" s="156"/>
      <c r="VS35" s="84"/>
      <c r="VT35" s="53"/>
      <c r="VU35" s="53"/>
    </row>
    <row r="36" ht="18" hidden="1" customHeight="1" spans="1:1024 1025:16384">
      <c r="A36" s="53"/>
      <c r="B36" s="53"/>
      <c r="C36" s="235" t="s">
        <v>153</v>
      </c>
      <c r="D36" s="237">
        <f t="shared" ref="D36:F36" si="423">SUM(D34)</f>
        <v>0</v>
      </c>
      <c r="E36" s="237">
        <f t="shared" si="423"/>
        <v>0</v>
      </c>
      <c r="F36" s="237">
        <f t="shared" si="423"/>
        <v>0</v>
      </c>
      <c r="G36" s="314" t="e">
        <f>(I36/F36)/S1</f>
        <v>#DIV/0!</v>
      </c>
      <c r="H36" s="237">
        <f t="shared" ref="H36:N36" si="424">SUM(H34)</f>
        <v>0</v>
      </c>
      <c r="I36" s="237">
        <f t="shared" si="424"/>
        <v>0</v>
      </c>
      <c r="J36" s="237">
        <f t="shared" si="424"/>
        <v>0</v>
      </c>
      <c r="K36" s="237">
        <f t="shared" si="424"/>
        <v>0</v>
      </c>
      <c r="L36" s="237">
        <f t="shared" si="424"/>
        <v>0</v>
      </c>
      <c r="M36" s="237">
        <f t="shared" si="424"/>
        <v>0</v>
      </c>
      <c r="N36" s="237">
        <f t="shared" si="424"/>
        <v>0</v>
      </c>
      <c r="O36" s="315">
        <f>M36-N36</f>
        <v>0</v>
      </c>
      <c r="P36" s="237">
        <f t="shared" ref="P36:Y36" si="425">SUM(P34)</f>
        <v>0</v>
      </c>
      <c r="Q36" s="237">
        <f t="shared" si="425"/>
        <v>0</v>
      </c>
      <c r="R36" s="237">
        <f t="shared" si="425"/>
        <v>0</v>
      </c>
      <c r="S36" s="237">
        <f t="shared" si="425"/>
        <v>0</v>
      </c>
      <c r="T36" s="237">
        <f t="shared" si="425"/>
        <v>0</v>
      </c>
      <c r="U36" s="237">
        <f t="shared" si="425"/>
        <v>0</v>
      </c>
      <c r="V36" s="237">
        <f t="shared" si="425"/>
        <v>0</v>
      </c>
      <c r="W36" s="237">
        <f t="shared" si="425"/>
        <v>0</v>
      </c>
      <c r="X36" s="237">
        <f t="shared" si="425"/>
        <v>0</v>
      </c>
      <c r="Y36" s="237">
        <f t="shared" si="425"/>
        <v>0</v>
      </c>
      <c r="Z36" s="237">
        <f>U36*8%</f>
        <v>0</v>
      </c>
      <c r="AA36" s="238">
        <f>IF(Y36&gt;0,Y36*20%,0)</f>
        <v>0</v>
      </c>
      <c r="AB36" s="237">
        <f>SUM(AB34)</f>
        <v>0</v>
      </c>
      <c r="AC36" s="237">
        <f>SUM(AC34)</f>
        <v>0</v>
      </c>
      <c r="AD36" s="237">
        <f>W36-X36-Z36-AA36-AB36-AC36</f>
        <v>0</v>
      </c>
      <c r="AE36" s="238" t="e">
        <f>K36/I36</f>
        <v>#DIV/0!</v>
      </c>
      <c r="AF36" s="237" t="e">
        <f>U36/S36</f>
        <v>#DIV/0!</v>
      </c>
      <c r="AG36" s="239" t="e">
        <f>K36/(Z36+AA36+X36+AB36)</f>
        <v>#DIV/0!</v>
      </c>
      <c r="AH36" s="240" t="e">
        <f>W36/(Z36+AA36+X36+AB36+AC36)</f>
        <v>#DIV/0!</v>
      </c>
      <c r="AI36" s="53"/>
      <c r="AJ36" s="235" t="s">
        <v>153</v>
      </c>
      <c r="AK36" s="237">
        <f t="shared" ref="AK36:AM36" si="426">SUM(AK34)</f>
        <v>0</v>
      </c>
      <c r="AL36" s="237">
        <f t="shared" si="426"/>
        <v>0</v>
      </c>
      <c r="AM36" s="237">
        <f t="shared" si="426"/>
        <v>0</v>
      </c>
      <c r="AN36" s="314" t="e">
        <f>(AP36/AM36)/AZ1</f>
        <v>#DIV/0!</v>
      </c>
      <c r="AO36" s="237">
        <f t="shared" ref="AO36:AU36" si="427">SUM(AO34)</f>
        <v>0</v>
      </c>
      <c r="AP36" s="237">
        <f t="shared" si="427"/>
        <v>0</v>
      </c>
      <c r="AQ36" s="237">
        <f t="shared" si="427"/>
        <v>0</v>
      </c>
      <c r="AR36" s="237">
        <f t="shared" si="427"/>
        <v>0</v>
      </c>
      <c r="AS36" s="237">
        <f t="shared" si="427"/>
        <v>0</v>
      </c>
      <c r="AT36" s="237">
        <f t="shared" si="427"/>
        <v>0</v>
      </c>
      <c r="AU36" s="237">
        <f t="shared" si="427"/>
        <v>0</v>
      </c>
      <c r="AV36" s="315">
        <f>AT36-AU36</f>
        <v>0</v>
      </c>
      <c r="AW36" s="237">
        <f t="shared" ref="AW36:BF36" si="428">SUM(AW34)</f>
        <v>0</v>
      </c>
      <c r="AX36" s="237">
        <f t="shared" si="428"/>
        <v>0</v>
      </c>
      <c r="AY36" s="237">
        <f t="shared" si="428"/>
        <v>0</v>
      </c>
      <c r="AZ36" s="237">
        <f t="shared" si="428"/>
        <v>0</v>
      </c>
      <c r="BA36" s="237">
        <f t="shared" si="428"/>
        <v>0</v>
      </c>
      <c r="BB36" s="237">
        <f t="shared" si="428"/>
        <v>0</v>
      </c>
      <c r="BC36" s="237">
        <f t="shared" si="428"/>
        <v>0</v>
      </c>
      <c r="BD36" s="237">
        <f t="shared" si="428"/>
        <v>0</v>
      </c>
      <c r="BE36" s="237">
        <f t="shared" si="428"/>
        <v>0</v>
      </c>
      <c r="BF36" s="237">
        <f t="shared" si="428"/>
        <v>0</v>
      </c>
      <c r="BG36" s="237">
        <f>BB36*8%</f>
        <v>0</v>
      </c>
      <c r="BH36" s="238">
        <f>IF(BF36&gt;0,BF36*20%,0)</f>
        <v>0</v>
      </c>
      <c r="BI36" s="237">
        <f>SUM(BI34)</f>
        <v>0</v>
      </c>
      <c r="BJ36" s="237">
        <f>SUM(BJ34)</f>
        <v>0</v>
      </c>
      <c r="BK36" s="237">
        <f>BD36-BE36-BG36-BH36-BI36-BJ36</f>
        <v>0</v>
      </c>
      <c r="BL36" s="238" t="e">
        <f>AR36/AP36</f>
        <v>#DIV/0!</v>
      </c>
      <c r="BM36" s="237" t="e">
        <f>BB36/AZ36</f>
        <v>#DIV/0!</v>
      </c>
      <c r="BN36" s="239" t="e">
        <f>AR36/(BG36+BH36+BE36+BI36)</f>
        <v>#DIV/0!</v>
      </c>
      <c r="BO36" s="240" t="e">
        <f>BD36/(BG36+BH36+BE36+BI36+BJ36)</f>
        <v>#DIV/0!</v>
      </c>
      <c r="BP36" s="53"/>
      <c r="BQ36" s="235" t="s">
        <v>153</v>
      </c>
      <c r="BR36" s="237">
        <f t="shared" ref="BR36:BT36" si="429">SUM(BR34)</f>
        <v>1</v>
      </c>
      <c r="BS36" s="237">
        <f t="shared" si="429"/>
        <v>0</v>
      </c>
      <c r="BT36" s="237">
        <f t="shared" si="429"/>
        <v>0</v>
      </c>
      <c r="BU36" s="314" t="e">
        <f>(BW36/BT36)/CI1</f>
        <v>#DIV/0!</v>
      </c>
      <c r="BV36" s="237">
        <f t="shared" ref="BV36:CB36" si="430">SUM(BV34)</f>
        <v>0</v>
      </c>
      <c r="BW36" s="237">
        <f t="shared" si="430"/>
        <v>0</v>
      </c>
      <c r="BX36" s="237">
        <f t="shared" si="430"/>
        <v>0</v>
      </c>
      <c r="BY36" s="237">
        <f t="shared" si="430"/>
        <v>0</v>
      </c>
      <c r="BZ36" s="237">
        <f t="shared" si="430"/>
        <v>0</v>
      </c>
      <c r="CA36" s="237">
        <f t="shared" si="430"/>
        <v>600</v>
      </c>
      <c r="CB36" s="237">
        <f t="shared" si="430"/>
        <v>0</v>
      </c>
      <c r="CC36" s="315">
        <f t="shared" si="402"/>
        <v>600</v>
      </c>
      <c r="CD36" s="237">
        <f t="shared" ref="CD36:CM36" si="431">SUM(CD34)</f>
        <v>0</v>
      </c>
      <c r="CE36" s="237">
        <f t="shared" si="431"/>
        <v>0</v>
      </c>
      <c r="CF36" s="237">
        <f t="shared" si="431"/>
        <v>0</v>
      </c>
      <c r="CG36" s="237">
        <f t="shared" si="431"/>
        <v>0</v>
      </c>
      <c r="CH36" s="237">
        <f t="shared" si="431"/>
        <v>0</v>
      </c>
      <c r="CI36" s="237">
        <f t="shared" si="431"/>
        <v>0</v>
      </c>
      <c r="CJ36" s="237">
        <f t="shared" si="431"/>
        <v>0</v>
      </c>
      <c r="CK36" s="237">
        <f t="shared" si="431"/>
        <v>0</v>
      </c>
      <c r="CL36" s="237">
        <f t="shared" si="431"/>
        <v>0</v>
      </c>
      <c r="CM36" s="237">
        <f t="shared" si="431"/>
        <v>4546.53</v>
      </c>
      <c r="CN36" s="237">
        <f>CI36*8%</f>
        <v>0</v>
      </c>
      <c r="CO36" s="238">
        <f>IF(CM36&gt;0,CM36*20%,0)</f>
        <v>909.306</v>
      </c>
      <c r="CP36" s="237">
        <f>SUM(CP34)</f>
        <v>0</v>
      </c>
      <c r="CQ36" s="237">
        <f>SUM(CQ34)</f>
        <v>0</v>
      </c>
      <c r="CR36" s="237">
        <f>CK36-CL36-CN36-CO36-CP36-CQ36</f>
        <v>-909.306</v>
      </c>
      <c r="CS36" s="238" t="e">
        <f>BY36/BW36</f>
        <v>#DIV/0!</v>
      </c>
      <c r="CT36" s="237" t="e">
        <f>CI36/CG36</f>
        <v>#DIV/0!</v>
      </c>
      <c r="CU36" s="239">
        <f>BY36/(CN36+CO36+CL36+CP36)</f>
        <v>0</v>
      </c>
      <c r="CV36" s="240">
        <f>CK36/(CN36+CO36+CL36+CP36+CQ36)</f>
        <v>0</v>
      </c>
      <c r="CW36" s="53"/>
      <c r="CX36" s="235" t="s">
        <v>153</v>
      </c>
      <c r="CY36" s="237">
        <f t="shared" ref="CY36:DA36" si="432">SUM(CY34)</f>
        <v>1</v>
      </c>
      <c r="CZ36" s="237">
        <f t="shared" si="432"/>
        <v>0</v>
      </c>
      <c r="DA36" s="237">
        <f t="shared" si="432"/>
        <v>0</v>
      </c>
      <c r="DB36" s="314" t="e">
        <f>(DD36/DA36)/DP1</f>
        <v>#DIV/0!</v>
      </c>
      <c r="DC36" s="237">
        <f t="shared" ref="DC36:DI36" si="433">SUM(DC34)</f>
        <v>0</v>
      </c>
      <c r="DD36" s="237">
        <f t="shared" si="433"/>
        <v>0</v>
      </c>
      <c r="DE36" s="237">
        <f t="shared" si="433"/>
        <v>0</v>
      </c>
      <c r="DF36" s="237">
        <f t="shared" si="433"/>
        <v>0</v>
      </c>
      <c r="DG36" s="237">
        <f t="shared" si="433"/>
        <v>0</v>
      </c>
      <c r="DH36" s="237">
        <f t="shared" si="433"/>
        <v>600</v>
      </c>
      <c r="DI36" s="237">
        <f t="shared" si="433"/>
        <v>0</v>
      </c>
      <c r="DJ36" s="315">
        <f>DH36-DI36</f>
        <v>600</v>
      </c>
      <c r="DK36" s="237">
        <f t="shared" ref="DK36:DT36" si="434">SUM(DK34)</f>
        <v>0</v>
      </c>
      <c r="DL36" s="237">
        <f t="shared" si="434"/>
        <v>0</v>
      </c>
      <c r="DM36" s="237">
        <f t="shared" si="434"/>
        <v>0</v>
      </c>
      <c r="DN36" s="237">
        <f t="shared" si="434"/>
        <v>0</v>
      </c>
      <c r="DO36" s="237">
        <f t="shared" si="434"/>
        <v>0</v>
      </c>
      <c r="DP36" s="237">
        <f t="shared" si="434"/>
        <v>0</v>
      </c>
      <c r="DQ36" s="237">
        <f t="shared" si="434"/>
        <v>0</v>
      </c>
      <c r="DR36" s="237">
        <f t="shared" si="434"/>
        <v>0</v>
      </c>
      <c r="DS36" s="237">
        <f t="shared" si="434"/>
        <v>0</v>
      </c>
      <c r="DT36" s="237">
        <f t="shared" si="434"/>
        <v>4546.53</v>
      </c>
      <c r="DU36" s="237">
        <f>DP36*8%</f>
        <v>0</v>
      </c>
      <c r="DV36" s="238">
        <f>IF(DT36&gt;0,DT36*20%,0)</f>
        <v>909.306</v>
      </c>
      <c r="DW36" s="237">
        <f>SUM(DW34)</f>
        <v>0</v>
      </c>
      <c r="DX36" s="237">
        <f>SUM(DX34)</f>
        <v>0</v>
      </c>
      <c r="DY36" s="237">
        <f>DR36-DS36-DU36-DV36-DW36-DX36</f>
        <v>-909.306</v>
      </c>
      <c r="DZ36" s="238" t="e">
        <f>DF36/DD36</f>
        <v>#DIV/0!</v>
      </c>
      <c r="EA36" s="237" t="e">
        <f>DP36/DN36</f>
        <v>#DIV/0!</v>
      </c>
      <c r="EB36" s="239">
        <f>DF36/(DU36+DV36+DS36+DW36)</f>
        <v>0</v>
      </c>
      <c r="EC36" s="240">
        <f>DR36/(DU36+DV36+DS36+DW36+DX36)</f>
        <v>0</v>
      </c>
      <c r="ED36" s="53"/>
      <c r="EE36" s="235" t="s">
        <v>153</v>
      </c>
      <c r="EF36" s="236">
        <f>SUM(EF34)</f>
        <v>1</v>
      </c>
      <c r="EG36" s="236">
        <f>SUM(EG34)</f>
        <v>0</v>
      </c>
      <c r="EH36" s="236">
        <f>SUM(EH34)</f>
        <v>3</v>
      </c>
      <c r="EI36" s="236">
        <f>(EK36/EH36)/EW1</f>
        <v>0.387096774193548</v>
      </c>
      <c r="EJ36" s="236">
        <f t="shared" ref="EJ36:EP36" si="435">SUM(EJ34)</f>
        <v>296</v>
      </c>
      <c r="EK36" s="236">
        <f t="shared" si="435"/>
        <v>36</v>
      </c>
      <c r="EL36" s="236">
        <f t="shared" si="435"/>
        <v>6200</v>
      </c>
      <c r="EM36" s="236">
        <f t="shared" si="435"/>
        <v>6300</v>
      </c>
      <c r="EN36" s="236">
        <f t="shared" si="435"/>
        <v>5739</v>
      </c>
      <c r="EO36" s="236">
        <f t="shared" si="435"/>
        <v>11320</v>
      </c>
      <c r="EP36" s="236">
        <f t="shared" si="435"/>
        <v>8689</v>
      </c>
      <c r="EQ36" s="236">
        <f>EO36-EP36</f>
        <v>2631</v>
      </c>
      <c r="ER36" s="236">
        <f t="shared" ref="ER36:FA36" si="436">SUM(ER34)</f>
        <v>32</v>
      </c>
      <c r="ES36" s="236">
        <f t="shared" si="436"/>
        <v>5400</v>
      </c>
      <c r="ET36" s="236">
        <f t="shared" si="436"/>
        <v>5739</v>
      </c>
      <c r="EU36" s="236">
        <f t="shared" si="436"/>
        <v>62</v>
      </c>
      <c r="EV36" s="236">
        <f t="shared" si="436"/>
        <v>26</v>
      </c>
      <c r="EW36" s="236">
        <f t="shared" si="436"/>
        <v>16500</v>
      </c>
      <c r="EX36" s="236">
        <f t="shared" si="436"/>
        <v>12789</v>
      </c>
      <c r="EY36" s="236">
        <f t="shared" si="436"/>
        <v>3711</v>
      </c>
      <c r="EZ36" s="236">
        <f t="shared" si="436"/>
        <v>0</v>
      </c>
      <c r="FA36" s="236">
        <f t="shared" si="436"/>
        <v>3059.53</v>
      </c>
      <c r="FB36" s="237">
        <f>EW36*8%</f>
        <v>1320</v>
      </c>
      <c r="FC36" s="238">
        <f>IF(FA36&gt;0,FA36*20%,0)</f>
        <v>611.906</v>
      </c>
      <c r="FD36" s="236">
        <f>SUM(FD34)</f>
        <v>187705</v>
      </c>
      <c r="FE36" s="236">
        <f>SUM(FE34)</f>
        <v>0</v>
      </c>
      <c r="FF36" s="237">
        <f>EY36-EZ36-FB36-FC36-FD36-FE36</f>
        <v>-185925.906</v>
      </c>
      <c r="FG36" s="238">
        <f>EM36/EK36</f>
        <v>175</v>
      </c>
      <c r="FH36" s="237">
        <f>EW36/EU36</f>
        <v>266.129032258065</v>
      </c>
      <c r="FI36" s="239">
        <f>EM36/(FB36+FC36+EZ36+FD36)</f>
        <v>0.033221381496279</v>
      </c>
      <c r="FJ36" s="240">
        <f>EY36/(FB36+FC36+EZ36+FD36+FE36)</f>
        <v>0.0195689756718558</v>
      </c>
      <c r="FK36" s="53"/>
      <c r="FL36" s="53"/>
      <c r="FM36" s="53"/>
      <c r="FN36" s="235" t="s">
        <v>153</v>
      </c>
      <c r="FO36" s="236">
        <f>SUM(FO34)</f>
        <v>1</v>
      </c>
      <c r="FP36" s="236">
        <f>SUM(FP34)</f>
        <v>0</v>
      </c>
      <c r="FQ36" s="236">
        <f>SUM(FQ34)</f>
        <v>3</v>
      </c>
      <c r="FR36" s="236">
        <f>(FT36/FQ36)/GF1</f>
        <v>0.404761904761905</v>
      </c>
      <c r="FS36" s="236">
        <f t="shared" ref="FS36:FY36" si="437">SUM(FS34)</f>
        <v>142</v>
      </c>
      <c r="FT36" s="236">
        <f t="shared" si="437"/>
        <v>34</v>
      </c>
      <c r="FU36" s="236">
        <f t="shared" si="437"/>
        <v>5600</v>
      </c>
      <c r="FV36" s="236">
        <f t="shared" si="437"/>
        <v>5700</v>
      </c>
      <c r="FW36" s="236">
        <f t="shared" si="437"/>
        <v>2000</v>
      </c>
      <c r="FX36" s="236">
        <f t="shared" si="437"/>
        <v>6150</v>
      </c>
      <c r="FY36" s="236">
        <f t="shared" si="437"/>
        <v>2300</v>
      </c>
      <c r="FZ36" s="236">
        <f t="shared" si="410"/>
        <v>3850</v>
      </c>
      <c r="GA36" s="236">
        <f t="shared" ref="GA36:GJ36" si="438">SUM(GA34)</f>
        <v>31</v>
      </c>
      <c r="GB36" s="236">
        <f t="shared" si="438"/>
        <v>4800</v>
      </c>
      <c r="GC36" s="236">
        <f t="shared" si="438"/>
        <v>1600</v>
      </c>
      <c r="GD36" s="236">
        <f t="shared" si="438"/>
        <v>69</v>
      </c>
      <c r="GE36" s="236">
        <f t="shared" si="438"/>
        <v>35</v>
      </c>
      <c r="GF36" s="236">
        <f t="shared" si="438"/>
        <v>18349.91</v>
      </c>
      <c r="GG36" s="236">
        <f t="shared" si="438"/>
        <v>8600</v>
      </c>
      <c r="GH36" s="236">
        <f t="shared" si="438"/>
        <v>9749.91</v>
      </c>
      <c r="GI36" s="236">
        <f t="shared" si="438"/>
        <v>0</v>
      </c>
      <c r="GJ36" s="236">
        <f t="shared" si="438"/>
        <v>8599.72</v>
      </c>
      <c r="GK36" s="237">
        <f>GF36*8%</f>
        <v>1467.9928</v>
      </c>
      <c r="GL36" s="238">
        <f>GJ36*20%</f>
        <v>1719.944</v>
      </c>
      <c r="GM36" s="236">
        <f>SUM(GM34)</f>
        <v>169540</v>
      </c>
      <c r="GN36" s="236">
        <f>SUM(GN34)</f>
        <v>0</v>
      </c>
      <c r="GO36" s="237">
        <f>GH36-GI36-GK36-GL36-GM36-GN36</f>
        <v>-162978.0268</v>
      </c>
      <c r="GP36" s="238">
        <f>FV36/FT36</f>
        <v>167.647058823529</v>
      </c>
      <c r="GQ36" s="237">
        <f>GF36/GD36</f>
        <v>265.940724637681</v>
      </c>
      <c r="GR36" s="239">
        <f>FV36/(GK36+GL36+GI36+GM36)</f>
        <v>0.0329998731276457</v>
      </c>
      <c r="GS36" s="240">
        <f>GH36/(GK36+GL36+GI36+GM36+GN36)</f>
        <v>0.0564466303519235</v>
      </c>
      <c r="GT36" s="53"/>
      <c r="GU36" s="53"/>
      <c r="GV36" s="235" t="s">
        <v>153</v>
      </c>
      <c r="GW36" s="236">
        <f t="shared" ref="GW36:GY36" si="439">SUM(GW34)</f>
        <v>1</v>
      </c>
      <c r="GX36" s="236">
        <f t="shared" si="439"/>
        <v>0</v>
      </c>
      <c r="GY36" s="236">
        <f t="shared" si="439"/>
        <v>12</v>
      </c>
      <c r="GZ36" s="236">
        <f>(HB36/GY36)/HL1</f>
        <v>0.231182795698925</v>
      </c>
      <c r="HA36" s="236">
        <f t="shared" ref="HA36:HG36" si="440">SUM(HA34)</f>
        <v>149</v>
      </c>
      <c r="HB36" s="236">
        <f t="shared" si="440"/>
        <v>86</v>
      </c>
      <c r="HC36" s="236">
        <f t="shared" si="440"/>
        <v>10922.17</v>
      </c>
      <c r="HD36" s="236">
        <f t="shared" si="440"/>
        <v>12822.17</v>
      </c>
      <c r="HE36" s="236">
        <f t="shared" si="440"/>
        <v>5512</v>
      </c>
      <c r="HF36" s="236">
        <f t="shared" si="440"/>
        <v>17839</v>
      </c>
      <c r="HG36" s="236">
        <f t="shared" si="440"/>
        <v>9607</v>
      </c>
      <c r="HH36" s="236">
        <f>HF36-HG36</f>
        <v>8232</v>
      </c>
      <c r="HI36" s="236">
        <f t="shared" ref="HI36:HR36" si="441">SUM(HI34)</f>
        <v>75</v>
      </c>
      <c r="HJ36" s="236">
        <f t="shared" si="441"/>
        <v>9787.17</v>
      </c>
      <c r="HK36" s="236">
        <f t="shared" si="441"/>
        <v>4878</v>
      </c>
      <c r="HL36" s="236">
        <f t="shared" si="441"/>
        <v>129</v>
      </c>
      <c r="HM36" s="236">
        <f t="shared" si="441"/>
        <v>43</v>
      </c>
      <c r="HN36" s="236">
        <f t="shared" si="441"/>
        <v>28235.91</v>
      </c>
      <c r="HO36" s="236">
        <f t="shared" si="441"/>
        <v>26207</v>
      </c>
      <c r="HP36" s="236">
        <f t="shared" si="441"/>
        <v>2028.91</v>
      </c>
      <c r="HQ36" s="236">
        <f t="shared" si="441"/>
        <v>2200</v>
      </c>
      <c r="HR36" s="236">
        <f t="shared" si="441"/>
        <v>-865.55</v>
      </c>
      <c r="HS36" s="237">
        <f>HN36*8%</f>
        <v>2258.8728</v>
      </c>
      <c r="HT36" s="238">
        <v>0</v>
      </c>
      <c r="HU36" s="236">
        <f>SUM(HU34)</f>
        <v>187705</v>
      </c>
      <c r="HV36" s="236">
        <f>SUM(HV34)</f>
        <v>0</v>
      </c>
      <c r="HW36" s="237">
        <f>HP36-HQ36-HS36-HT36-HU36-HV36</f>
        <v>-190134.9628</v>
      </c>
      <c r="HX36" s="238">
        <f>HD36/HB36</f>
        <v>149.095</v>
      </c>
      <c r="HY36" s="237">
        <f>HN36/HL36</f>
        <v>218.883023255814</v>
      </c>
      <c r="HZ36" s="239">
        <f>HD36/(HS36+HT36+HQ36+HU36)</f>
        <v>0.0667251851930828</v>
      </c>
      <c r="IA36" s="240">
        <f>HP36/(HS36+HT36+HQ36+HU36+HV36)</f>
        <v>0.0105582280916645</v>
      </c>
      <c r="IB36" s="53"/>
      <c r="IC36" s="53"/>
      <c r="ID36" s="235" t="s">
        <v>153</v>
      </c>
      <c r="IE36" s="236">
        <f>SUM(IE34)</f>
        <v>1</v>
      </c>
      <c r="IF36" s="236">
        <f>SUM(IF34)</f>
        <v>0</v>
      </c>
      <c r="IG36" s="236">
        <f>SUM(IG34)</f>
        <v>12</v>
      </c>
      <c r="IH36" s="236">
        <f>(IJ36/IG36)/IT1</f>
        <v>0.166666666666667</v>
      </c>
      <c r="II36" s="236">
        <f t="shared" ref="II36:IO36" si="442">SUM(II34)</f>
        <v>144</v>
      </c>
      <c r="IJ36" s="236">
        <f t="shared" si="442"/>
        <v>62</v>
      </c>
      <c r="IK36" s="236">
        <f t="shared" si="442"/>
        <v>7100</v>
      </c>
      <c r="IL36" s="236">
        <f t="shared" si="442"/>
        <v>10800</v>
      </c>
      <c r="IM36" s="236">
        <f t="shared" si="442"/>
        <v>5100</v>
      </c>
      <c r="IN36" s="236">
        <f t="shared" si="442"/>
        <v>30300</v>
      </c>
      <c r="IO36" s="236">
        <f t="shared" si="442"/>
        <v>45800</v>
      </c>
      <c r="IP36" s="236">
        <f>IN36-IO36</f>
        <v>-15500</v>
      </c>
      <c r="IQ36" s="236">
        <f t="shared" ref="IQ36:IZ36" si="443">SUM(IQ34)</f>
        <v>60</v>
      </c>
      <c r="IR36" s="236">
        <f t="shared" si="443"/>
        <v>10600</v>
      </c>
      <c r="IS36" s="236">
        <f t="shared" si="443"/>
        <v>4600</v>
      </c>
      <c r="IT36" s="236">
        <f t="shared" si="443"/>
        <v>103</v>
      </c>
      <c r="IU36" s="236">
        <f t="shared" si="443"/>
        <v>41</v>
      </c>
      <c r="IV36" s="236">
        <f t="shared" si="443"/>
        <v>93660</v>
      </c>
      <c r="IW36" s="236">
        <f t="shared" si="443"/>
        <v>84327</v>
      </c>
      <c r="IX36" s="236">
        <f t="shared" si="443"/>
        <v>9333</v>
      </c>
      <c r="IY36" s="236">
        <f t="shared" si="443"/>
        <v>0</v>
      </c>
      <c r="IZ36" s="236">
        <f t="shared" si="443"/>
        <v>7767.72</v>
      </c>
      <c r="JA36" s="237">
        <f>IV36*8%</f>
        <v>7492.8</v>
      </c>
      <c r="JB36" s="238">
        <f>IZ36*20%</f>
        <v>1553.544</v>
      </c>
      <c r="JC36" s="236">
        <f>SUM(JC34)</f>
        <v>87296</v>
      </c>
      <c r="JD36" s="236">
        <f>SUM(JD34)</f>
        <v>0</v>
      </c>
      <c r="JE36" s="237">
        <f>IX36-IY36-JA36-JB36-JC36</f>
        <v>-87009.344</v>
      </c>
      <c r="JF36" s="238">
        <f>IL36/IJ36</f>
        <v>174.193548387097</v>
      </c>
      <c r="JG36" s="237">
        <f>IV36/IT36</f>
        <v>909.320388349515</v>
      </c>
      <c r="JH36" s="239">
        <f>IL36/(JA36+JB36+IY36+JC36)</f>
        <v>0.1121002411982</v>
      </c>
      <c r="JI36" s="240">
        <f>IX36/(JA36+JB36+IY36+JC36)</f>
        <v>0.0968732917687782</v>
      </c>
      <c r="JJ36" s="53"/>
      <c r="JK36" s="53"/>
      <c r="JL36" s="235" t="s">
        <v>153</v>
      </c>
      <c r="JM36" s="236">
        <f>SUM(JM34)</f>
        <v>1</v>
      </c>
      <c r="JN36" s="236">
        <f>SUM(JN34)</f>
        <v>8</v>
      </c>
      <c r="JO36" s="236"/>
      <c r="JP36" s="236"/>
      <c r="JQ36" s="236">
        <f t="shared" ref="JQ36:JW36" si="444">SUM(JQ34)</f>
        <v>104</v>
      </c>
      <c r="JR36" s="236">
        <f t="shared" si="444"/>
        <v>62</v>
      </c>
      <c r="JS36" s="236">
        <f t="shared" si="444"/>
        <v>6400</v>
      </c>
      <c r="JT36" s="236">
        <f t="shared" si="444"/>
        <v>6400</v>
      </c>
      <c r="JU36" s="236">
        <f t="shared" si="444"/>
        <v>3121</v>
      </c>
      <c r="JV36" s="236">
        <f t="shared" si="444"/>
        <v>6900</v>
      </c>
      <c r="JW36" s="236">
        <f t="shared" si="444"/>
        <v>3121</v>
      </c>
      <c r="JX36" s="236"/>
      <c r="JY36" s="236">
        <f t="shared" ref="JY36:KK36" si="445">SUM(JY34)</f>
        <v>60</v>
      </c>
      <c r="JZ36" s="236">
        <f t="shared" si="445"/>
        <v>6200</v>
      </c>
      <c r="KA36" s="236">
        <f t="shared" si="445"/>
        <v>3121</v>
      </c>
      <c r="KB36" s="236">
        <f t="shared" si="445"/>
        <v>111</v>
      </c>
      <c r="KC36" s="236">
        <f t="shared" si="445"/>
        <v>49</v>
      </c>
      <c r="KD36" s="236">
        <f t="shared" si="445"/>
        <v>85249</v>
      </c>
      <c r="KE36" s="236">
        <f t="shared" si="445"/>
        <v>79897</v>
      </c>
      <c r="KF36" s="236">
        <f t="shared" si="445"/>
        <v>5352</v>
      </c>
      <c r="KG36" s="236">
        <f t="shared" si="445"/>
        <v>0</v>
      </c>
      <c r="KH36" s="236">
        <f t="shared" si="445"/>
        <v>9118.24</v>
      </c>
      <c r="KI36" s="237">
        <f t="shared" si="445"/>
        <v>6819.92</v>
      </c>
      <c r="KJ36" s="238">
        <f t="shared" si="445"/>
        <v>1823.648</v>
      </c>
      <c r="KK36" s="236">
        <f t="shared" si="445"/>
        <v>84480</v>
      </c>
      <c r="KL36" s="236"/>
      <c r="KM36" s="237">
        <f>KF36-KG36-KI36-KJ36-KK36</f>
        <v>-87771.568</v>
      </c>
      <c r="KN36" s="238">
        <f>JT36/JR36</f>
        <v>103.225806451613</v>
      </c>
      <c r="KO36" s="237">
        <f>KD36/KB36</f>
        <v>768.009009009009</v>
      </c>
      <c r="KP36" s="239">
        <f>JT36/(KI36+KJ36+KG36+KK36)</f>
        <v>0.0687258890252143</v>
      </c>
      <c r="KQ36" s="240">
        <f>KF36/(KI36+KJ36+KG36+KK36)</f>
        <v>0.0574720246973355</v>
      </c>
      <c r="KR36" s="53"/>
      <c r="KS36" s="53"/>
      <c r="KT36" s="287" t="s">
        <v>153</v>
      </c>
      <c r="KU36" s="288">
        <v>1</v>
      </c>
      <c r="KV36" s="288"/>
      <c r="KW36" s="288">
        <v>19</v>
      </c>
      <c r="KX36" s="288"/>
      <c r="KY36" s="288">
        <v>198</v>
      </c>
      <c r="KZ36" s="288">
        <v>47</v>
      </c>
      <c r="LA36" s="288">
        <v>36600</v>
      </c>
      <c r="LB36" s="288">
        <v>41400</v>
      </c>
      <c r="LC36" s="288">
        <v>13644</v>
      </c>
      <c r="LD36" s="288">
        <v>51400</v>
      </c>
      <c r="LE36" s="288">
        <v>32525</v>
      </c>
      <c r="LF36" s="288"/>
      <c r="LG36" s="288">
        <v>40</v>
      </c>
      <c r="LH36" s="288">
        <v>40100</v>
      </c>
      <c r="LI36" s="288">
        <v>13144</v>
      </c>
      <c r="LJ36" s="288">
        <v>99</v>
      </c>
      <c r="LK36" s="288">
        <v>52</v>
      </c>
      <c r="LL36" s="288">
        <v>142573</v>
      </c>
      <c r="LM36" s="288">
        <v>120178</v>
      </c>
      <c r="LN36" s="288">
        <v>22395</v>
      </c>
      <c r="LO36" s="288">
        <v>0</v>
      </c>
      <c r="LP36" s="288">
        <v>21853.44</v>
      </c>
      <c r="LQ36" s="288">
        <v>11405.84</v>
      </c>
      <c r="LR36" s="288">
        <v>4370.688</v>
      </c>
      <c r="LS36" s="288">
        <v>87296</v>
      </c>
      <c r="LT36" s="288"/>
      <c r="LU36" s="288">
        <v>-80677.528</v>
      </c>
      <c r="LV36" s="290">
        <v>880.851063829787</v>
      </c>
      <c r="LW36" s="288">
        <v>1440.13131313131</v>
      </c>
      <c r="LX36" s="291">
        <v>0.401658917301417</v>
      </c>
      <c r="LY36" s="292">
        <v>0.217274189685151</v>
      </c>
      <c r="LZ36" s="241"/>
      <c r="MA36" s="241"/>
      <c r="MB36" s="287" t="s">
        <v>153</v>
      </c>
      <c r="MC36" s="288">
        <f>SUM(MC34)</f>
        <v>1</v>
      </c>
      <c r="MD36" s="288"/>
      <c r="ME36" s="288">
        <f>SUM(ME34)</f>
        <v>11</v>
      </c>
      <c r="MF36" s="288"/>
      <c r="MG36" s="288">
        <f t="shared" ref="MG36:MM36" si="446">SUM(MG34)</f>
        <v>379</v>
      </c>
      <c r="MH36" s="288">
        <f t="shared" si="446"/>
        <v>90</v>
      </c>
      <c r="MI36" s="288">
        <f t="shared" si="446"/>
        <v>22000</v>
      </c>
      <c r="MJ36" s="288">
        <f t="shared" si="446"/>
        <v>27150</v>
      </c>
      <c r="MK36" s="288">
        <f t="shared" si="446"/>
        <v>18280</v>
      </c>
      <c r="ML36" s="288">
        <f t="shared" si="446"/>
        <v>216848</v>
      </c>
      <c r="MM36" s="288">
        <f t="shared" si="446"/>
        <v>215245</v>
      </c>
      <c r="MN36" s="288"/>
      <c r="MO36" s="288">
        <f t="shared" ref="MO36:MX36" si="447">SUM(MO34)</f>
        <v>79</v>
      </c>
      <c r="MP36" s="288">
        <f t="shared" si="447"/>
        <v>25050</v>
      </c>
      <c r="MQ36" s="288">
        <f t="shared" si="447"/>
        <v>16655</v>
      </c>
      <c r="MR36" s="288">
        <f t="shared" si="447"/>
        <v>123</v>
      </c>
      <c r="MS36" s="288">
        <f t="shared" si="447"/>
        <v>33</v>
      </c>
      <c r="MT36" s="288">
        <f t="shared" si="447"/>
        <v>216848</v>
      </c>
      <c r="MU36" s="288">
        <f t="shared" si="447"/>
        <v>215245</v>
      </c>
      <c r="MV36" s="288">
        <f t="shared" si="447"/>
        <v>1603</v>
      </c>
      <c r="MW36" s="288">
        <f t="shared" si="447"/>
        <v>0</v>
      </c>
      <c r="MX36" s="288">
        <f t="shared" si="447"/>
        <v>-19320.28</v>
      </c>
      <c r="MY36" s="288">
        <f>MT36*8%</f>
        <v>17347.84</v>
      </c>
      <c r="MZ36" s="288">
        <f>MX36*20%</f>
        <v>-3864.056</v>
      </c>
      <c r="NA36" s="288">
        <f>SUM(NA34)</f>
        <v>126737</v>
      </c>
      <c r="NB36" s="288">
        <f>MV36-MW36-MY36-MZ36-NA36</f>
        <v>-138617.784</v>
      </c>
      <c r="NC36" s="290"/>
      <c r="ND36" s="290">
        <f>MJ36/MH36</f>
        <v>301.666666666667</v>
      </c>
      <c r="NE36" s="288">
        <f>MT36/MR36</f>
        <v>1762.9918699187</v>
      </c>
      <c r="NF36" s="291">
        <f>MJ36/(MY36+MZ36+MW36+NA36)</f>
        <v>0.193623222075267</v>
      </c>
      <c r="NG36" s="292">
        <f>MV36/(MY36+MZ36+MW36+NA36)</f>
        <v>0.0114319714543887</v>
      </c>
      <c r="NH36" s="53"/>
      <c r="NI36" s="53"/>
      <c r="NJ36" s="159"/>
      <c r="NK36" s="53"/>
      <c r="NL36" s="53"/>
      <c r="NM36" s="53"/>
      <c r="NN36" s="53"/>
      <c r="NO36" s="53"/>
      <c r="NP36" s="53"/>
      <c r="NQ36" s="53"/>
      <c r="NR36" s="53"/>
      <c r="NS36" s="53"/>
      <c r="NT36" s="53"/>
      <c r="NU36" s="53"/>
      <c r="NV36" s="53"/>
      <c r="NW36" s="53"/>
      <c r="NX36" s="53"/>
      <c r="NY36" s="53"/>
      <c r="NZ36" s="53"/>
      <c r="OA36" s="53"/>
      <c r="OB36" s="53"/>
      <c r="OC36" s="53"/>
      <c r="OD36" s="53"/>
      <c r="OE36" s="53"/>
      <c r="OF36" s="53"/>
      <c r="OG36" s="53"/>
      <c r="OH36" s="53"/>
      <c r="OI36" s="53"/>
      <c r="OJ36" s="53"/>
      <c r="OK36" s="53"/>
      <c r="OL36" s="53"/>
      <c r="OM36" s="53"/>
      <c r="ON36" s="53"/>
      <c r="OO36" s="53"/>
      <c r="OP36" s="53"/>
      <c r="OQ36" s="53"/>
      <c r="OR36" s="53"/>
      <c r="OS36" s="144"/>
      <c r="OT36" s="144"/>
      <c r="OU36" s="144"/>
      <c r="OV36" s="144"/>
      <c r="OW36" s="144"/>
      <c r="OX36" s="144"/>
      <c r="OY36" s="144"/>
      <c r="OZ36" s="144"/>
      <c r="PA36" s="144"/>
      <c r="PB36" s="144"/>
      <c r="PC36" s="144"/>
      <c r="PD36" s="144"/>
      <c r="PE36" s="144"/>
      <c r="PF36" s="144"/>
      <c r="PG36" s="144"/>
      <c r="PH36" s="144"/>
      <c r="PI36" s="144"/>
      <c r="PJ36" s="144"/>
      <c r="PK36" s="144"/>
      <c r="PL36" s="144"/>
      <c r="PM36" s="144"/>
      <c r="PN36" s="144"/>
      <c r="PO36" s="144"/>
      <c r="PP36" s="144"/>
      <c r="PQ36" s="144"/>
      <c r="PR36" s="144"/>
      <c r="PS36" s="144"/>
      <c r="PT36" s="146"/>
      <c r="PU36" s="84"/>
      <c r="PV36" s="84"/>
      <c r="PW36" s="154"/>
      <c r="PX36" s="154"/>
      <c r="PY36" s="154"/>
      <c r="PZ36" s="154"/>
      <c r="QA36" s="154"/>
      <c r="QB36" s="154"/>
      <c r="QC36" s="154"/>
      <c r="QD36" s="154"/>
      <c r="QE36" s="154"/>
      <c r="QF36" s="155"/>
      <c r="QG36" s="155"/>
      <c r="QH36" s="155"/>
      <c r="QI36" s="155"/>
      <c r="QJ36" s="155"/>
      <c r="QK36" s="155"/>
      <c r="QL36" s="155"/>
      <c r="QM36" s="155"/>
      <c r="QN36" s="155"/>
      <c r="QO36" s="155"/>
      <c r="QP36" s="297"/>
      <c r="QQ36" s="303"/>
      <c r="QR36" s="84"/>
      <c r="QS36" s="155"/>
      <c r="QT36" s="144"/>
      <c r="QU36" s="84"/>
      <c r="QV36" s="84"/>
      <c r="QW36" s="154"/>
      <c r="QX36" s="154"/>
      <c r="QY36" s="154"/>
      <c r="QZ36" s="154"/>
      <c r="RA36" s="154"/>
      <c r="RB36" s="154"/>
      <c r="RC36" s="155"/>
      <c r="RD36" s="155"/>
      <c r="RE36" s="155"/>
      <c r="RF36" s="155"/>
      <c r="RG36" s="155"/>
      <c r="RH36" s="155"/>
      <c r="RI36" s="155"/>
      <c r="RJ36" s="304"/>
      <c r="RK36" s="297"/>
      <c r="RL36" s="297"/>
      <c r="RM36" s="303"/>
      <c r="RN36" s="84"/>
      <c r="RO36" s="144"/>
      <c r="RP36" s="144"/>
      <c r="RQ36" s="84"/>
      <c r="RR36" s="84"/>
      <c r="RS36" s="154"/>
      <c r="RT36" s="154"/>
      <c r="RU36" s="154"/>
      <c r="RV36" s="154"/>
      <c r="RW36" s="154"/>
      <c r="RX36" s="154"/>
      <c r="RY36" s="155"/>
      <c r="RZ36" s="155"/>
      <c r="SA36" s="155"/>
      <c r="SB36" s="155"/>
      <c r="SC36" s="155"/>
      <c r="SD36" s="155"/>
      <c r="SE36" s="155"/>
      <c r="SF36" s="155"/>
      <c r="SG36" s="297"/>
      <c r="SH36" s="297"/>
      <c r="SI36" s="303"/>
      <c r="SJ36" s="84"/>
      <c r="SK36" s="157"/>
      <c r="SL36" s="144"/>
      <c r="SM36" s="84"/>
      <c r="SN36" s="84"/>
      <c r="SO36" s="154"/>
      <c r="SP36" s="154"/>
      <c r="SQ36" s="154"/>
      <c r="SR36" s="154"/>
      <c r="SS36" s="154"/>
      <c r="ST36" s="154"/>
      <c r="SU36" s="155"/>
      <c r="SV36" s="305"/>
      <c r="SW36" s="305"/>
      <c r="SX36" s="306"/>
      <c r="SY36" s="306"/>
      <c r="SZ36" s="307"/>
      <c r="TA36" s="306"/>
      <c r="TB36" s="304"/>
      <c r="TC36" s="297"/>
      <c r="TD36" s="297"/>
      <c r="TE36" s="303"/>
      <c r="TF36" s="84"/>
      <c r="TG36" s="156"/>
      <c r="TH36" s="84"/>
      <c r="TI36" s="84"/>
      <c r="TJ36" s="84"/>
      <c r="TK36" s="84"/>
      <c r="TL36" s="154"/>
      <c r="TM36" s="154"/>
      <c r="TN36" s="154"/>
      <c r="TO36" s="154"/>
      <c r="TP36" s="154"/>
      <c r="TQ36" s="308"/>
      <c r="TR36" s="305"/>
      <c r="TS36" s="309"/>
      <c r="TT36" s="305"/>
      <c r="TU36" s="308"/>
      <c r="TV36" s="305"/>
      <c r="TW36" s="309"/>
      <c r="TX36" s="310"/>
      <c r="TY36" s="310"/>
      <c r="TZ36" s="156"/>
      <c r="UA36" s="84"/>
      <c r="UB36" s="144"/>
      <c r="UC36" s="144"/>
      <c r="UD36" s="84"/>
      <c r="UE36" s="84"/>
      <c r="UF36" s="154"/>
      <c r="UG36" s="154"/>
      <c r="UH36" s="154"/>
      <c r="UI36" s="154"/>
      <c r="UJ36" s="154"/>
      <c r="UK36" s="154"/>
      <c r="UL36" s="154"/>
      <c r="UM36" s="305"/>
      <c r="UN36" s="305"/>
      <c r="UO36" s="308"/>
      <c r="UP36" s="305"/>
      <c r="UQ36" s="308"/>
      <c r="UR36" s="305"/>
      <c r="US36" s="308"/>
      <c r="UT36" s="310"/>
      <c r="UU36" s="310"/>
      <c r="UV36" s="156"/>
      <c r="UW36" s="84"/>
      <c r="UX36" s="144"/>
      <c r="UY36" s="144"/>
      <c r="UZ36" s="84"/>
      <c r="VA36" s="84"/>
      <c r="VB36" s="154"/>
      <c r="VC36" s="154"/>
      <c r="VD36" s="154"/>
      <c r="VE36" s="154"/>
      <c r="VF36" s="154"/>
      <c r="VG36" s="154"/>
      <c r="VH36" s="154"/>
      <c r="VI36" s="308"/>
      <c r="VJ36" s="308"/>
      <c r="VK36" s="308"/>
      <c r="VL36" s="308"/>
      <c r="VM36" s="308"/>
      <c r="VN36" s="305"/>
      <c r="VO36" s="308"/>
      <c r="VP36" s="310"/>
      <c r="VQ36" s="310"/>
      <c r="VR36" s="156"/>
      <c r="VS36" s="84"/>
      <c r="VT36" s="53"/>
      <c r="VU36" s="53"/>
    </row>
    <row r="37" ht="18" customHeight="1" spans="1:1024 1025:16384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3"/>
      <c r="EI37" s="53"/>
      <c r="EJ37" s="53"/>
      <c r="EK37" s="53"/>
      <c r="EL37" s="53"/>
      <c r="EM37" s="53"/>
      <c r="EN37" s="53"/>
      <c r="EO37" s="53"/>
      <c r="EP37" s="53"/>
      <c r="EQ37" s="53"/>
      <c r="ER37" s="53"/>
      <c r="ES37" s="53"/>
      <c r="ET37" s="53"/>
      <c r="EU37" s="53"/>
      <c r="EV37" s="53"/>
      <c r="EW37" s="53"/>
      <c r="EX37" s="53"/>
      <c r="EY37" s="53"/>
      <c r="EZ37" s="53"/>
      <c r="FA37" s="53"/>
      <c r="FB37" s="53"/>
      <c r="FC37" s="53"/>
      <c r="FD37" s="53"/>
      <c r="FE37" s="53"/>
      <c r="FF37" s="53"/>
      <c r="FG37" s="53"/>
      <c r="FH37" s="53"/>
      <c r="FI37" s="53"/>
      <c r="FJ37" s="53"/>
      <c r="FK37" s="53"/>
      <c r="FL37" s="53"/>
      <c r="FM37" s="53"/>
      <c r="FN37" s="53"/>
      <c r="FO37" s="53"/>
      <c r="FP37" s="53"/>
      <c r="FQ37" s="53"/>
      <c r="FR37" s="53"/>
      <c r="FS37" s="53"/>
      <c r="FT37" s="53"/>
      <c r="FU37" s="53"/>
      <c r="FV37" s="53"/>
      <c r="FW37" s="53"/>
      <c r="FX37" s="53"/>
      <c r="FY37" s="53"/>
      <c r="FZ37" s="53"/>
      <c r="GA37" s="53"/>
      <c r="GB37" s="53"/>
      <c r="GC37" s="53"/>
      <c r="GD37" s="53"/>
      <c r="GE37" s="53"/>
      <c r="GF37" s="53"/>
      <c r="GG37" s="53"/>
      <c r="GH37" s="53"/>
      <c r="GI37" s="53"/>
      <c r="GJ37" s="53"/>
      <c r="GK37" s="53"/>
      <c r="GL37" s="53"/>
      <c r="GM37" s="53"/>
      <c r="GN37" s="53"/>
      <c r="GO37" s="53"/>
      <c r="GP37" s="53"/>
      <c r="GQ37" s="53"/>
      <c r="GR37" s="53"/>
      <c r="GS37" s="53"/>
      <c r="GT37" s="53"/>
      <c r="GU37" s="53"/>
      <c r="GV37" s="53"/>
      <c r="GW37" s="53"/>
      <c r="GX37" s="53"/>
      <c r="GY37" s="53"/>
      <c r="GZ37" s="53"/>
      <c r="HA37" s="53"/>
      <c r="HB37" s="53"/>
      <c r="HC37" s="53"/>
      <c r="HD37" s="53"/>
      <c r="HE37" s="53"/>
      <c r="HF37" s="53"/>
      <c r="HG37" s="53"/>
      <c r="HH37" s="53"/>
      <c r="HI37" s="53"/>
      <c r="HJ37" s="53"/>
      <c r="HK37" s="53"/>
      <c r="HL37" s="53"/>
      <c r="HM37" s="53"/>
      <c r="HN37" s="53"/>
      <c r="HO37" s="53"/>
      <c r="HP37" s="53"/>
      <c r="HQ37" s="53"/>
      <c r="HR37" s="53"/>
      <c r="HS37" s="53"/>
      <c r="HT37" s="53"/>
      <c r="HU37" s="53"/>
      <c r="HV37" s="53"/>
      <c r="HW37" s="53"/>
      <c r="HX37" s="53"/>
      <c r="HY37" s="53"/>
      <c r="HZ37" s="53"/>
      <c r="IA37" s="53"/>
      <c r="IB37" s="53"/>
      <c r="IC37" s="53"/>
      <c r="ID37" s="53"/>
      <c r="IE37" s="53"/>
      <c r="IF37" s="53"/>
      <c r="IG37" s="53"/>
      <c r="IH37" s="53"/>
      <c r="II37" s="53"/>
      <c r="IJ37" s="53"/>
      <c r="IK37" s="53"/>
      <c r="IL37" s="53"/>
      <c r="IM37" s="53"/>
      <c r="IN37" s="53"/>
      <c r="IO37" s="53"/>
      <c r="IP37" s="53"/>
      <c r="IQ37" s="53"/>
      <c r="IR37" s="53"/>
      <c r="IS37" s="53"/>
      <c r="IT37" s="53"/>
      <c r="IU37" s="53"/>
      <c r="IV37" s="53"/>
      <c r="IW37" s="53"/>
      <c r="IX37" s="53"/>
      <c r="IY37" s="53"/>
      <c r="IZ37" s="53"/>
      <c r="JA37" s="53"/>
      <c r="JB37" s="53"/>
      <c r="JC37" s="53"/>
      <c r="JD37" s="53"/>
      <c r="JE37" s="53"/>
      <c r="JF37" s="53"/>
      <c r="JG37" s="53"/>
      <c r="JH37" s="53"/>
      <c r="JI37" s="53"/>
      <c r="JJ37" s="53"/>
      <c r="JK37" s="53"/>
      <c r="JL37" s="53"/>
      <c r="JM37" s="53"/>
      <c r="JN37" s="53"/>
      <c r="JO37" s="53"/>
      <c r="JP37" s="53"/>
      <c r="JQ37" s="53"/>
      <c r="JR37" s="53"/>
      <c r="JS37" s="53"/>
      <c r="JT37" s="53"/>
      <c r="JU37" s="53"/>
      <c r="JV37" s="53"/>
      <c r="JW37" s="53"/>
      <c r="JX37" s="53"/>
      <c r="JY37" s="53"/>
      <c r="JZ37" s="53"/>
      <c r="KA37" s="53"/>
      <c r="KB37" s="53"/>
      <c r="KC37" s="53"/>
      <c r="KD37" s="53"/>
      <c r="KE37" s="53"/>
      <c r="KF37" s="53"/>
      <c r="KG37" s="53"/>
      <c r="KH37" s="53"/>
      <c r="KI37" s="53"/>
      <c r="KJ37" s="53"/>
      <c r="KK37" s="53"/>
      <c r="KL37" s="53"/>
      <c r="KM37" s="53"/>
      <c r="KN37" s="53"/>
      <c r="KO37" s="53"/>
      <c r="KP37" s="53"/>
      <c r="KQ37" s="53"/>
      <c r="KR37" s="53"/>
      <c r="KS37" s="53"/>
      <c r="KT37" s="53"/>
      <c r="KU37" s="53"/>
      <c r="KV37" s="53"/>
      <c r="KW37" s="53"/>
      <c r="KX37" s="53"/>
      <c r="KY37" s="53"/>
      <c r="KZ37" s="53"/>
      <c r="LA37" s="53"/>
      <c r="LB37" s="53"/>
      <c r="LC37" s="53"/>
      <c r="LD37" s="53"/>
      <c r="LE37" s="53"/>
      <c r="LF37" s="53"/>
      <c r="LG37" s="53"/>
      <c r="LH37" s="53"/>
      <c r="LI37" s="53"/>
      <c r="LJ37" s="53"/>
      <c r="LK37" s="53"/>
      <c r="LL37" s="53"/>
      <c r="LM37" s="53"/>
      <c r="LN37" s="53"/>
      <c r="LO37" s="53"/>
      <c r="LP37" s="53"/>
      <c r="LQ37" s="53"/>
      <c r="LR37" s="53"/>
      <c r="LS37" s="53"/>
      <c r="LT37" s="53"/>
      <c r="LU37" s="53"/>
      <c r="LV37" s="53"/>
      <c r="LW37" s="53"/>
      <c r="LX37" s="53"/>
      <c r="LY37" s="53"/>
      <c r="LZ37" s="53"/>
      <c r="MA37" s="53"/>
      <c r="MB37" s="53"/>
      <c r="MC37" s="53"/>
      <c r="MD37" s="53"/>
      <c r="ME37" s="53"/>
      <c r="MF37" s="53"/>
      <c r="MG37" s="53"/>
      <c r="MH37" s="53"/>
      <c r="MI37" s="53"/>
      <c r="MJ37" s="53"/>
      <c r="MK37" s="53"/>
      <c r="ML37" s="53"/>
      <c r="MM37" s="53"/>
      <c r="MN37" s="53"/>
      <c r="MO37" s="53"/>
      <c r="MP37" s="53"/>
      <c r="MQ37" s="53"/>
      <c r="MR37" s="53"/>
      <c r="MS37" s="53"/>
      <c r="MT37" s="53"/>
      <c r="MU37" s="53"/>
      <c r="MV37" s="53"/>
      <c r="MW37" s="53"/>
      <c r="MX37" s="53"/>
      <c r="MY37" s="53"/>
      <c r="MZ37" s="53"/>
      <c r="NA37" s="53"/>
      <c r="NB37" s="53"/>
      <c r="NC37" s="53"/>
      <c r="ND37" s="53"/>
      <c r="NE37" s="53"/>
      <c r="NF37" s="53"/>
      <c r="NG37" s="53"/>
      <c r="NH37" s="53"/>
      <c r="NI37" s="53"/>
      <c r="NJ37" s="53"/>
      <c r="NK37" s="53"/>
      <c r="NL37" s="53"/>
      <c r="NM37" s="53"/>
      <c r="NN37" s="53"/>
      <c r="NO37" s="53"/>
      <c r="NP37" s="53"/>
      <c r="NQ37" s="53"/>
      <c r="NR37" s="53"/>
      <c r="NS37" s="53"/>
      <c r="NT37" s="53"/>
      <c r="NU37" s="53"/>
      <c r="NV37" s="53"/>
      <c r="NW37" s="53"/>
      <c r="NX37" s="53"/>
      <c r="NY37" s="53"/>
      <c r="NZ37" s="53"/>
      <c r="OA37" s="53"/>
      <c r="OB37" s="53"/>
      <c r="OC37" s="53"/>
      <c r="OD37" s="53"/>
      <c r="OE37" s="53"/>
      <c r="OF37" s="53"/>
      <c r="OG37" s="53"/>
      <c r="OH37" s="53"/>
      <c r="OI37" s="53"/>
      <c r="OJ37" s="53"/>
      <c r="OK37" s="53"/>
      <c r="OL37" s="53"/>
      <c r="OM37" s="53"/>
      <c r="ON37" s="53"/>
      <c r="OO37" s="53"/>
      <c r="OP37" s="53"/>
      <c r="OQ37" s="53"/>
      <c r="OR37" s="53"/>
      <c r="OS37" s="144"/>
      <c r="OT37" s="144"/>
      <c r="OU37" s="144"/>
      <c r="OV37" s="144"/>
      <c r="OW37" s="144"/>
      <c r="OX37" s="144"/>
      <c r="OY37" s="144"/>
      <c r="OZ37" s="144"/>
      <c r="PA37" s="144"/>
      <c r="PB37" s="144"/>
      <c r="PC37" s="144"/>
      <c r="PD37" s="144"/>
      <c r="PE37" s="144"/>
      <c r="PF37" s="144"/>
      <c r="PG37" s="144"/>
      <c r="PH37" s="144"/>
      <c r="PI37" s="144"/>
      <c r="PJ37" s="144"/>
      <c r="PK37" s="144"/>
      <c r="PL37" s="144"/>
      <c r="PM37" s="144"/>
      <c r="PN37" s="144"/>
      <c r="PO37" s="144"/>
      <c r="PP37" s="144"/>
      <c r="PQ37" s="144"/>
      <c r="PR37" s="144"/>
      <c r="PS37" s="144"/>
      <c r="PT37" s="144"/>
      <c r="PU37" s="144"/>
      <c r="PV37" s="144"/>
      <c r="PW37" s="144"/>
      <c r="PX37" s="144"/>
      <c r="PY37" s="144"/>
      <c r="PZ37" s="144"/>
      <c r="QA37" s="144"/>
      <c r="QB37" s="144"/>
      <c r="QC37" s="144"/>
      <c r="QD37" s="144"/>
      <c r="QE37" s="144"/>
      <c r="QF37" s="144"/>
      <c r="QG37" s="144"/>
      <c r="QH37" s="144"/>
      <c r="QI37" s="144"/>
      <c r="QJ37" s="144"/>
      <c r="QK37" s="144"/>
      <c r="QL37" s="144"/>
      <c r="QM37" s="144"/>
      <c r="QN37" s="144"/>
      <c r="QO37" s="144"/>
      <c r="QP37" s="144"/>
      <c r="QQ37" s="144"/>
      <c r="QR37" s="144"/>
      <c r="QS37" s="144"/>
      <c r="QT37" s="144"/>
      <c r="QU37" s="144"/>
      <c r="QV37" s="144"/>
      <c r="QW37" s="144"/>
      <c r="QX37" s="144"/>
      <c r="QY37" s="144"/>
      <c r="QZ37" s="144"/>
      <c r="RA37" s="144"/>
      <c r="RB37" s="144"/>
      <c r="RC37" s="144"/>
      <c r="RD37" s="144"/>
      <c r="RE37" s="144"/>
      <c r="RF37" s="144"/>
      <c r="RG37" s="144"/>
      <c r="RH37" s="144"/>
      <c r="RI37" s="144"/>
      <c r="RJ37" s="144"/>
      <c r="RK37" s="144"/>
      <c r="RL37" s="144"/>
      <c r="RM37" s="144"/>
      <c r="RN37" s="144"/>
      <c r="RO37" s="144"/>
      <c r="RP37" s="144"/>
      <c r="RQ37" s="144"/>
      <c r="RR37" s="144"/>
      <c r="RS37" s="144"/>
      <c r="RT37" s="144"/>
      <c r="RU37" s="144"/>
      <c r="RV37" s="144"/>
      <c r="RW37" s="144"/>
      <c r="RX37" s="144"/>
      <c r="RY37" s="144"/>
      <c r="RZ37" s="144"/>
      <c r="SA37" s="144"/>
      <c r="SB37" s="144"/>
      <c r="SC37" s="144"/>
      <c r="SD37" s="144"/>
      <c r="SE37" s="144"/>
      <c r="SF37" s="144"/>
      <c r="SG37" s="144"/>
      <c r="SH37" s="144"/>
      <c r="SI37" s="144"/>
      <c r="SJ37" s="144"/>
      <c r="SK37" s="144"/>
      <c r="SL37" s="144"/>
      <c r="SM37" s="144"/>
      <c r="SN37" s="144"/>
      <c r="SO37" s="144"/>
      <c r="SP37" s="144"/>
      <c r="SQ37" s="144"/>
      <c r="SR37" s="144"/>
      <c r="SS37" s="144"/>
      <c r="ST37" s="144"/>
      <c r="SU37" s="144"/>
      <c r="SV37" s="144"/>
      <c r="SW37" s="144"/>
      <c r="SX37" s="144"/>
      <c r="SY37" s="144"/>
      <c r="SZ37" s="144"/>
      <c r="TA37" s="144"/>
      <c r="TB37" s="144"/>
      <c r="TC37" s="144"/>
      <c r="TD37" s="144"/>
      <c r="TE37" s="144"/>
      <c r="TF37" s="144"/>
      <c r="TG37" s="144"/>
      <c r="TH37" s="144"/>
      <c r="TI37" s="144"/>
      <c r="TJ37" s="144"/>
      <c r="TK37" s="144"/>
      <c r="TL37" s="144"/>
      <c r="TM37" s="144"/>
      <c r="TN37" s="144"/>
      <c r="TO37" s="144"/>
      <c r="TP37" s="144"/>
      <c r="TQ37" s="144"/>
      <c r="TR37" s="144"/>
      <c r="TS37" s="144"/>
      <c r="TT37" s="144"/>
      <c r="TU37" s="144"/>
      <c r="TV37" s="144"/>
      <c r="TW37" s="144"/>
      <c r="TX37" s="144"/>
      <c r="TY37" s="144"/>
      <c r="TZ37" s="144"/>
      <c r="UA37" s="144"/>
      <c r="UB37" s="144"/>
      <c r="UC37" s="144"/>
      <c r="UD37" s="144"/>
      <c r="UE37" s="144"/>
      <c r="UF37" s="144"/>
      <c r="UG37" s="144"/>
      <c r="UH37" s="144"/>
      <c r="UI37" s="144"/>
      <c r="UJ37" s="144"/>
      <c r="UK37" s="144"/>
      <c r="UL37" s="144"/>
      <c r="UM37" s="144"/>
      <c r="UN37" s="144"/>
      <c r="UO37" s="144"/>
      <c r="UP37" s="144"/>
      <c r="UQ37" s="144"/>
      <c r="UR37" s="144"/>
      <c r="US37" s="144"/>
      <c r="UT37" s="144"/>
      <c r="UU37" s="144"/>
      <c r="UV37" s="144"/>
      <c r="UW37" s="144"/>
      <c r="UX37" s="144"/>
      <c r="UY37" s="144"/>
      <c r="UZ37" s="144"/>
      <c r="VA37" s="144"/>
      <c r="VB37" s="144"/>
      <c r="VC37" s="144"/>
      <c r="VD37" s="144"/>
      <c r="VE37" s="144"/>
      <c r="VF37" s="144"/>
      <c r="VG37" s="144"/>
      <c r="VH37" s="144"/>
      <c r="VI37" s="144"/>
      <c r="VJ37" s="144"/>
      <c r="VK37" s="144"/>
      <c r="VL37" s="144"/>
      <c r="VM37" s="144"/>
      <c r="VN37" s="144"/>
      <c r="VO37" s="144"/>
      <c r="VP37" s="144"/>
      <c r="VQ37" s="144"/>
      <c r="VR37" s="144"/>
      <c r="VS37" s="144"/>
      <c r="VT37" s="53"/>
      <c r="VU37" s="53"/>
      <c r="VV37" s="53"/>
      <c r="VW37" s="53"/>
      <c r="VX37" s="53"/>
      <c r="VY37" s="53"/>
      <c r="VZ37" s="53"/>
      <c r="WA37" s="53"/>
      <c r="WB37" s="53"/>
      <c r="WC37" s="53"/>
      <c r="WD37" s="53"/>
      <c r="WE37" s="53"/>
      <c r="WF37" s="53"/>
      <c r="WG37" s="53"/>
      <c r="WH37" s="53"/>
      <c r="WI37" s="53"/>
      <c r="WJ37" s="53"/>
      <c r="WK37" s="53"/>
      <c r="WL37" s="53"/>
      <c r="WM37" s="53"/>
      <c r="WN37" s="53"/>
      <c r="WO37" s="53"/>
      <c r="WP37" s="53"/>
      <c r="WQ37" s="53"/>
      <c r="WR37" s="53"/>
      <c r="WS37" s="53"/>
      <c r="WT37" s="53"/>
      <c r="WU37" s="53"/>
      <c r="WV37" s="53"/>
      <c r="WW37" s="53"/>
      <c r="WX37" s="53"/>
      <c r="WY37" s="53"/>
      <c r="WZ37" s="53"/>
      <c r="XA37" s="53"/>
      <c r="XB37" s="53"/>
      <c r="XC37" s="53"/>
      <c r="XD37" s="53"/>
      <c r="XE37" s="53"/>
      <c r="XF37" s="53"/>
      <c r="XG37" s="53"/>
      <c r="XH37" s="53"/>
      <c r="XI37" s="53"/>
      <c r="XJ37" s="53"/>
      <c r="XK37" s="53"/>
      <c r="XL37" s="53"/>
      <c r="XM37" s="53"/>
      <c r="XN37" s="53"/>
      <c r="XO37" s="53"/>
      <c r="XP37" s="53"/>
      <c r="XQ37" s="53"/>
      <c r="XR37" s="53"/>
      <c r="XS37" s="53"/>
      <c r="XT37" s="53"/>
      <c r="XU37" s="53"/>
      <c r="XV37" s="53"/>
      <c r="XW37" s="53"/>
      <c r="XX37" s="53"/>
      <c r="XY37" s="53"/>
      <c r="XZ37" s="53"/>
      <c r="YA37" s="53"/>
      <c r="YB37" s="53"/>
      <c r="YC37" s="53"/>
      <c r="YD37" s="53"/>
      <c r="YE37" s="53"/>
      <c r="YF37" s="53"/>
      <c r="YG37" s="53"/>
      <c r="YH37" s="53"/>
      <c r="YI37" s="53"/>
      <c r="YJ37" s="53"/>
      <c r="YK37" s="53"/>
      <c r="YL37" s="53"/>
      <c r="YM37" s="53"/>
      <c r="YN37" s="53"/>
      <c r="YO37" s="53"/>
      <c r="YP37" s="53"/>
      <c r="YQ37" s="53"/>
      <c r="YR37" s="53"/>
      <c r="YS37" s="53"/>
      <c r="YT37" s="53"/>
      <c r="YU37" s="53"/>
      <c r="YV37" s="53"/>
      <c r="YW37" s="53"/>
      <c r="YX37" s="53"/>
      <c r="YY37" s="53"/>
      <c r="YZ37" s="53"/>
      <c r="ZA37" s="53"/>
      <c r="ZB37" s="53"/>
      <c r="ZC37" s="53"/>
      <c r="ZD37" s="53"/>
      <c r="ZE37" s="53"/>
      <c r="ZF37" s="53"/>
      <c r="ZG37" s="53"/>
      <c r="ZH37" s="53"/>
      <c r="ZI37" s="53"/>
      <c r="ZJ37" s="53"/>
      <c r="ZK37" s="53"/>
      <c r="ZL37" s="53"/>
      <c r="ZM37" s="53"/>
      <c r="ZN37" s="53"/>
      <c r="ZO37" s="53"/>
      <c r="ZP37" s="53"/>
      <c r="ZQ37" s="53"/>
      <c r="ZR37" s="53"/>
      <c r="ZS37" s="53"/>
      <c r="ZT37" s="53"/>
      <c r="ZU37" s="53"/>
      <c r="ZV37" s="53"/>
      <c r="ZW37" s="53"/>
      <c r="ZX37" s="53"/>
      <c r="ZY37" s="53"/>
      <c r="ZZ37" s="53"/>
      <c r="AAA37" s="53"/>
      <c r="AAB37" s="53"/>
      <c r="AAC37" s="53"/>
      <c r="AAD37" s="53"/>
      <c r="AAE37" s="53"/>
      <c r="AAF37" s="53"/>
      <c r="AAG37" s="53"/>
      <c r="AAH37" s="53"/>
      <c r="AAI37" s="53"/>
      <c r="AAJ37" s="53"/>
      <c r="AAK37" s="53"/>
      <c r="AAL37" s="53"/>
      <c r="AAM37" s="53"/>
      <c r="AAN37" s="53"/>
      <c r="AAO37" s="53"/>
      <c r="AAP37" s="53"/>
      <c r="AAQ37" s="53"/>
      <c r="AAR37" s="53"/>
      <c r="AAS37" s="53"/>
      <c r="AAT37" s="53"/>
      <c r="AAU37" s="53"/>
      <c r="AAV37" s="53"/>
      <c r="AAW37" s="53"/>
      <c r="AAX37" s="53"/>
      <c r="AAY37" s="53"/>
      <c r="AAZ37" s="53"/>
      <c r="ABA37" s="53"/>
      <c r="ABB37" s="53"/>
      <c r="ABC37" s="53"/>
      <c r="ABD37" s="53"/>
      <c r="ABE37" s="53"/>
      <c r="ABF37" s="53"/>
      <c r="ABG37" s="53"/>
      <c r="ABH37" s="53"/>
      <c r="ABI37" s="53"/>
      <c r="ABJ37" s="53"/>
      <c r="ABK37" s="53"/>
      <c r="ABL37" s="53"/>
      <c r="ABM37" s="53"/>
      <c r="ABN37" s="53"/>
      <c r="ABO37" s="53"/>
      <c r="ABP37" s="53"/>
      <c r="ABQ37" s="53"/>
      <c r="ABR37" s="53"/>
      <c r="ABS37" s="53"/>
      <c r="ABT37" s="53"/>
      <c r="ABU37" s="53"/>
      <c r="ABV37" s="53"/>
      <c r="ABW37" s="53"/>
      <c r="ABX37" s="53"/>
      <c r="ABY37" s="53"/>
      <c r="ABZ37" s="53"/>
      <c r="ACA37" s="53"/>
      <c r="ACB37" s="53"/>
      <c r="ACC37" s="53"/>
      <c r="ACD37" s="53"/>
      <c r="ACE37" s="53"/>
      <c r="ACF37" s="53"/>
      <c r="ACG37" s="53"/>
      <c r="ACH37" s="53"/>
      <c r="ACI37" s="53"/>
      <c r="ACJ37" s="53"/>
      <c r="ACK37" s="53"/>
      <c r="ACL37" s="53"/>
      <c r="ACM37" s="53"/>
      <c r="ACN37" s="53"/>
      <c r="ACO37" s="53"/>
      <c r="ACP37" s="53"/>
      <c r="ACQ37" s="53"/>
      <c r="ACR37" s="53"/>
      <c r="ACS37" s="53"/>
      <c r="ACT37" s="53"/>
      <c r="ACU37" s="53"/>
      <c r="ACV37" s="53"/>
      <c r="ACW37" s="53"/>
      <c r="ACX37" s="53"/>
      <c r="ACY37" s="53"/>
      <c r="ACZ37" s="53"/>
      <c r="ADA37" s="53"/>
      <c r="ADB37" s="53"/>
      <c r="ADC37" s="53"/>
      <c r="ADD37" s="53"/>
      <c r="ADE37" s="53"/>
      <c r="ADF37" s="53"/>
      <c r="ADG37" s="53"/>
      <c r="ADH37" s="53"/>
      <c r="ADI37" s="53"/>
      <c r="ADJ37" s="53"/>
      <c r="ADK37" s="53"/>
      <c r="ADL37" s="53"/>
      <c r="ADM37" s="53"/>
      <c r="ADN37" s="53"/>
      <c r="ADO37" s="53"/>
      <c r="ADP37" s="53"/>
      <c r="ADQ37" s="53"/>
      <c r="ADR37" s="53"/>
      <c r="ADS37" s="53"/>
      <c r="ADT37" s="53"/>
      <c r="ADU37" s="53"/>
      <c r="ADV37" s="53"/>
      <c r="ADW37" s="53"/>
      <c r="ADX37" s="53"/>
      <c r="ADY37" s="53"/>
      <c r="ADZ37" s="53"/>
      <c r="AEA37" s="53"/>
      <c r="AEB37" s="53"/>
      <c r="AEC37" s="53"/>
      <c r="AED37" s="53"/>
      <c r="AEE37" s="53"/>
      <c r="AEF37" s="53"/>
      <c r="AEG37" s="53"/>
      <c r="AEH37" s="53"/>
      <c r="AEI37" s="53"/>
      <c r="AEJ37" s="53"/>
      <c r="AEK37" s="53"/>
      <c r="AEL37" s="53"/>
      <c r="AEM37" s="53"/>
      <c r="AEN37" s="53"/>
      <c r="AEO37" s="53"/>
      <c r="AEP37" s="53"/>
      <c r="AEQ37" s="53"/>
      <c r="AER37" s="53"/>
      <c r="AES37" s="53"/>
      <c r="AET37" s="53"/>
      <c r="AEU37" s="53"/>
      <c r="AEV37" s="53"/>
      <c r="AEW37" s="53"/>
      <c r="AEX37" s="53"/>
      <c r="AEY37" s="53"/>
      <c r="AEZ37" s="53"/>
      <c r="AFA37" s="53"/>
      <c r="AFB37" s="53"/>
      <c r="AFC37" s="53"/>
      <c r="AFD37" s="53"/>
      <c r="AFE37" s="53"/>
      <c r="AFF37" s="53"/>
      <c r="AFG37" s="53"/>
      <c r="AFH37" s="53"/>
      <c r="AFI37" s="53"/>
      <c r="AFJ37" s="53"/>
      <c r="AFK37" s="53"/>
      <c r="AFL37" s="53"/>
      <c r="AFM37" s="53"/>
      <c r="AFN37" s="53"/>
      <c r="AFO37" s="53"/>
      <c r="AFP37" s="53"/>
      <c r="AFQ37" s="53"/>
      <c r="AFR37" s="53"/>
      <c r="AFS37" s="53"/>
      <c r="AFT37" s="53"/>
      <c r="AFU37" s="53"/>
      <c r="AFV37" s="53"/>
      <c r="AFW37" s="53"/>
      <c r="AFX37" s="53"/>
      <c r="AFY37" s="53"/>
      <c r="AFZ37" s="53"/>
      <c r="AGA37" s="53"/>
      <c r="AGB37" s="53"/>
      <c r="AGC37" s="53"/>
      <c r="AGD37" s="53"/>
      <c r="AGE37" s="53"/>
      <c r="AGF37" s="53"/>
      <c r="AGG37" s="53"/>
      <c r="AGH37" s="53"/>
      <c r="AGI37" s="53"/>
      <c r="AGJ37" s="53"/>
      <c r="AGK37" s="53"/>
      <c r="AGL37" s="53"/>
      <c r="AGM37" s="53"/>
      <c r="AGN37" s="53"/>
      <c r="AGO37" s="53"/>
      <c r="AGP37" s="53"/>
      <c r="AGQ37" s="53"/>
      <c r="AGR37" s="53"/>
      <c r="AGS37" s="53"/>
      <c r="AGT37" s="53"/>
      <c r="AGU37" s="53"/>
      <c r="AGV37" s="53"/>
      <c r="AGW37" s="53"/>
      <c r="AGX37" s="53"/>
      <c r="AGY37" s="53"/>
      <c r="AGZ37" s="53"/>
      <c r="AHA37" s="53"/>
      <c r="AHB37" s="53"/>
      <c r="AHC37" s="53"/>
      <c r="AHD37" s="53"/>
      <c r="AHE37" s="53"/>
      <c r="AHF37" s="53"/>
      <c r="AHG37" s="53"/>
      <c r="AHH37" s="53"/>
      <c r="AHI37" s="53"/>
      <c r="AHJ37" s="53"/>
      <c r="AHK37" s="53"/>
      <c r="AHL37" s="53"/>
      <c r="AHM37" s="53"/>
      <c r="AHN37" s="53"/>
      <c r="AHO37" s="53"/>
      <c r="AHP37" s="53"/>
      <c r="AHQ37" s="53"/>
      <c r="AHR37" s="53"/>
      <c r="AHS37" s="53"/>
      <c r="AHT37" s="53"/>
      <c r="AHU37" s="53"/>
      <c r="AHV37" s="53"/>
      <c r="AHW37" s="53"/>
      <c r="AHX37" s="53"/>
      <c r="AHY37" s="53"/>
      <c r="AHZ37" s="53"/>
      <c r="AIA37" s="53"/>
      <c r="AIB37" s="53"/>
      <c r="AIC37" s="53"/>
      <c r="AID37" s="53"/>
      <c r="AIE37" s="53"/>
      <c r="AIF37" s="53"/>
      <c r="AIG37" s="53"/>
      <c r="AIH37" s="53"/>
      <c r="AII37" s="53"/>
      <c r="AIJ37" s="53"/>
      <c r="AIK37" s="53"/>
      <c r="AIL37" s="53"/>
      <c r="AIM37" s="53"/>
      <c r="AIN37" s="53"/>
      <c r="AIO37" s="53"/>
      <c r="AIP37" s="53"/>
      <c r="AIQ37" s="53"/>
      <c r="AIR37" s="53"/>
      <c r="AIS37" s="53"/>
      <c r="AIT37" s="53"/>
      <c r="AIU37" s="53"/>
      <c r="AIV37" s="53"/>
      <c r="AIW37" s="53"/>
      <c r="AIX37" s="53"/>
      <c r="AIY37" s="53"/>
      <c r="AIZ37" s="53"/>
      <c r="AJA37" s="53"/>
      <c r="AJB37" s="53"/>
      <c r="AJC37" s="53"/>
      <c r="AJD37" s="53"/>
      <c r="AJE37" s="53"/>
      <c r="AJF37" s="53"/>
      <c r="AJG37" s="53"/>
      <c r="AJH37" s="53"/>
      <c r="AJI37" s="53"/>
      <c r="AJJ37" s="53"/>
      <c r="AJK37" s="53"/>
      <c r="AJL37" s="53"/>
      <c r="AJM37" s="53"/>
      <c r="AJN37" s="53"/>
      <c r="AJO37" s="53"/>
      <c r="AJP37" s="53"/>
      <c r="AJQ37" s="53"/>
      <c r="AJR37" s="53"/>
      <c r="AJS37" s="53"/>
      <c r="AJT37" s="53"/>
      <c r="AJU37" s="53"/>
      <c r="AJV37" s="53"/>
      <c r="AJW37" s="53"/>
      <c r="AJX37" s="53"/>
      <c r="AJY37" s="53"/>
      <c r="AJZ37" s="53"/>
      <c r="AKA37" s="53"/>
      <c r="AKB37" s="53"/>
      <c r="AKC37" s="53"/>
      <c r="AKD37" s="53"/>
      <c r="AKE37" s="53"/>
      <c r="AKF37" s="53"/>
      <c r="AKG37" s="53"/>
      <c r="AKH37" s="53"/>
      <c r="AKI37" s="53"/>
      <c r="AKJ37" s="53"/>
      <c r="AKK37" s="53"/>
      <c r="AKL37" s="53"/>
      <c r="AKM37" s="53"/>
      <c r="AKN37" s="53"/>
      <c r="AKO37" s="53"/>
      <c r="AKP37" s="53"/>
      <c r="AKQ37" s="53"/>
      <c r="AKR37" s="53"/>
      <c r="AKS37" s="53"/>
      <c r="AKT37" s="53"/>
      <c r="AKU37" s="53"/>
      <c r="AKV37" s="53"/>
      <c r="AKW37" s="53"/>
      <c r="AKX37" s="53"/>
      <c r="AKY37" s="53"/>
      <c r="AKZ37" s="53"/>
      <c r="ALA37" s="53"/>
      <c r="ALB37" s="53"/>
      <c r="ALC37" s="53"/>
      <c r="ALD37" s="53"/>
      <c r="ALE37" s="53"/>
      <c r="ALF37" s="53"/>
      <c r="ALG37" s="53"/>
      <c r="ALH37" s="53"/>
      <c r="ALI37" s="53"/>
      <c r="ALJ37" s="53"/>
      <c r="ALK37" s="53"/>
      <c r="ALL37" s="53"/>
      <c r="ALM37" s="53"/>
      <c r="ALN37" s="53"/>
      <c r="ALO37" s="53"/>
      <c r="ALP37" s="53"/>
      <c r="ALQ37" s="53"/>
      <c r="ALR37" s="53"/>
      <c r="ALS37" s="53"/>
      <c r="ALT37" s="53"/>
      <c r="ALU37" s="53"/>
      <c r="ALV37" s="53"/>
      <c r="ALW37" s="53"/>
      <c r="ALX37" s="53"/>
      <c r="ALY37" s="53"/>
      <c r="ALZ37" s="53"/>
      <c r="AMA37" s="53"/>
      <c r="AMB37" s="53"/>
      <c r="AMC37" s="53"/>
      <c r="AMD37" s="53"/>
      <c r="AME37" s="53"/>
      <c r="AMF37" s="53"/>
      <c r="AMG37" s="53"/>
      <c r="AMH37" s="53"/>
      <c r="AMI37" s="53"/>
      <c r="AMJ37" s="53"/>
      <c r="AMK37" s="53"/>
      <c r="AML37" s="53"/>
      <c r="AMM37" s="53"/>
      <c r="AMN37" s="53"/>
      <c r="AMO37" s="53"/>
      <c r="AMP37" s="53"/>
      <c r="AMQ37" s="53"/>
      <c r="AMR37" s="53"/>
      <c r="AMS37" s="53"/>
      <c r="AMT37" s="53"/>
      <c r="AMU37" s="53"/>
      <c r="AMV37" s="53"/>
      <c r="AMW37" s="53"/>
      <c r="AMX37" s="53"/>
      <c r="AMY37" s="53"/>
      <c r="AMZ37" s="53"/>
      <c r="ANA37" s="53"/>
      <c r="ANB37" s="53"/>
      <c r="ANC37" s="53"/>
      <c r="AND37" s="53"/>
      <c r="ANE37" s="53"/>
      <c r="ANF37" s="53"/>
      <c r="ANG37" s="53"/>
      <c r="ANH37" s="53"/>
      <c r="ANI37" s="53"/>
      <c r="ANJ37" s="53"/>
      <c r="ANK37" s="53"/>
      <c r="ANL37" s="53"/>
      <c r="ANM37" s="53"/>
      <c r="ANN37" s="53"/>
      <c r="ANO37" s="53"/>
      <c r="ANP37" s="53"/>
      <c r="ANQ37" s="53"/>
      <c r="ANR37" s="53"/>
      <c r="ANS37" s="53"/>
      <c r="ANT37" s="53"/>
      <c r="ANU37" s="53"/>
      <c r="ANV37" s="53"/>
      <c r="ANW37" s="53"/>
      <c r="ANX37" s="53"/>
      <c r="ANY37" s="53"/>
      <c r="ANZ37" s="53"/>
      <c r="AOA37" s="53"/>
      <c r="AOB37" s="53"/>
      <c r="AOC37" s="53"/>
      <c r="AOD37" s="53"/>
      <c r="AOE37" s="53"/>
      <c r="AOF37" s="53"/>
      <c r="AOG37" s="53"/>
      <c r="AOH37" s="53"/>
      <c r="AOI37" s="53"/>
      <c r="AOJ37" s="53"/>
      <c r="AOK37" s="53"/>
      <c r="AOL37" s="53"/>
      <c r="AOM37" s="53"/>
      <c r="AON37" s="53"/>
      <c r="AOO37" s="53"/>
      <c r="AOP37" s="53"/>
      <c r="AOQ37" s="53"/>
      <c r="AOR37" s="53"/>
      <c r="AOS37" s="53"/>
      <c r="AOT37" s="53"/>
      <c r="AOU37" s="53"/>
      <c r="AOV37" s="53"/>
      <c r="AOW37" s="53"/>
      <c r="AOX37" s="53"/>
      <c r="AOY37" s="53"/>
      <c r="AOZ37" s="53"/>
      <c r="APA37" s="53"/>
      <c r="APB37" s="53"/>
      <c r="APC37" s="53"/>
      <c r="APD37" s="53"/>
      <c r="APE37" s="53"/>
      <c r="APF37" s="53"/>
      <c r="APG37" s="53"/>
      <c r="APH37" s="53"/>
      <c r="API37" s="53"/>
      <c r="APJ37" s="53"/>
      <c r="APK37" s="53"/>
      <c r="APL37" s="53"/>
      <c r="APM37" s="53"/>
      <c r="APN37" s="53"/>
      <c r="APO37" s="53"/>
      <c r="APP37" s="53"/>
      <c r="APQ37" s="53"/>
      <c r="APR37" s="53"/>
      <c r="APS37" s="53"/>
      <c r="APT37" s="53"/>
      <c r="APU37" s="53"/>
      <c r="APV37" s="53"/>
      <c r="APW37" s="53"/>
      <c r="APX37" s="53"/>
      <c r="APY37" s="53"/>
      <c r="APZ37" s="53"/>
      <c r="AQA37" s="53"/>
      <c r="AQB37" s="53"/>
      <c r="AQC37" s="53"/>
      <c r="AQD37" s="53"/>
      <c r="AQE37" s="53"/>
      <c r="AQF37" s="53"/>
      <c r="AQG37" s="53"/>
      <c r="AQH37" s="53"/>
      <c r="AQI37" s="53"/>
      <c r="AQJ37" s="53"/>
      <c r="AQK37" s="53"/>
      <c r="AQL37" s="53"/>
      <c r="AQM37" s="53"/>
      <c r="AQN37" s="53"/>
      <c r="AQO37" s="53"/>
      <c r="AQP37" s="53"/>
      <c r="AQQ37" s="53"/>
      <c r="AQR37" s="53"/>
      <c r="AQS37" s="53"/>
      <c r="AQT37" s="53"/>
      <c r="AQU37" s="53"/>
      <c r="AQV37" s="53"/>
      <c r="AQW37" s="53"/>
      <c r="AQX37" s="53"/>
      <c r="AQY37" s="53"/>
      <c r="AQZ37" s="53"/>
      <c r="ARA37" s="53"/>
      <c r="ARB37" s="53"/>
      <c r="ARC37" s="53"/>
      <c r="ARD37" s="53"/>
      <c r="ARE37" s="53"/>
      <c r="ARF37" s="53"/>
      <c r="ARG37" s="53"/>
      <c r="ARH37" s="53"/>
      <c r="ARI37" s="53"/>
      <c r="ARJ37" s="53"/>
      <c r="ARK37" s="53"/>
      <c r="ARL37" s="53"/>
      <c r="ARM37" s="53"/>
      <c r="ARN37" s="53"/>
      <c r="ARO37" s="53"/>
      <c r="ARP37" s="53"/>
      <c r="ARQ37" s="53"/>
      <c r="ARR37" s="53"/>
      <c r="ARS37" s="53"/>
      <c r="ART37" s="53"/>
      <c r="ARU37" s="53"/>
      <c r="ARV37" s="53"/>
      <c r="ARW37" s="53"/>
      <c r="ARX37" s="53"/>
      <c r="ARY37" s="53"/>
      <c r="ARZ37" s="53"/>
      <c r="ASA37" s="53"/>
      <c r="ASB37" s="53"/>
      <c r="ASC37" s="53"/>
      <c r="ASD37" s="53"/>
      <c r="ASE37" s="53"/>
      <c r="ASF37" s="53"/>
      <c r="ASG37" s="53"/>
      <c r="ASH37" s="53"/>
      <c r="ASI37" s="53"/>
      <c r="ASJ37" s="53"/>
      <c r="ASK37" s="53"/>
      <c r="ASL37" s="53"/>
      <c r="ASM37" s="53"/>
      <c r="ASN37" s="53"/>
      <c r="ASO37" s="53"/>
      <c r="ASP37" s="53"/>
      <c r="ASQ37" s="53"/>
      <c r="ASR37" s="53"/>
      <c r="ASS37" s="53"/>
      <c r="AST37" s="53"/>
      <c r="ASU37" s="53"/>
      <c r="ASV37" s="53"/>
      <c r="ASW37" s="53"/>
      <c r="ASX37" s="53"/>
      <c r="ASY37" s="53"/>
      <c r="ASZ37" s="53"/>
      <c r="ATA37" s="53"/>
      <c r="ATB37" s="53"/>
      <c r="ATC37" s="53"/>
      <c r="ATD37" s="53"/>
      <c r="ATE37" s="53"/>
      <c r="ATF37" s="53"/>
      <c r="ATG37" s="53"/>
      <c r="ATH37" s="53"/>
      <c r="ATI37" s="53"/>
      <c r="ATJ37" s="53"/>
      <c r="ATK37" s="53"/>
      <c r="ATL37" s="53"/>
      <c r="ATM37" s="53"/>
      <c r="ATN37" s="53"/>
      <c r="ATO37" s="53"/>
      <c r="ATP37" s="53"/>
      <c r="ATQ37" s="53"/>
      <c r="ATR37" s="53"/>
      <c r="ATS37" s="53"/>
      <c r="ATT37" s="53"/>
      <c r="ATU37" s="53"/>
      <c r="ATV37" s="53"/>
      <c r="ATW37" s="53"/>
      <c r="ATX37" s="53"/>
      <c r="ATY37" s="53"/>
      <c r="ATZ37" s="53"/>
      <c r="AUA37" s="53"/>
      <c r="AUB37" s="53"/>
      <c r="AUC37" s="53"/>
      <c r="AUD37" s="53"/>
      <c r="AUE37" s="53"/>
      <c r="AUF37" s="53"/>
      <c r="AUG37" s="53"/>
      <c r="AUH37" s="53"/>
      <c r="AUI37" s="53"/>
      <c r="AUJ37" s="53"/>
      <c r="AUK37" s="53"/>
      <c r="AUL37" s="53"/>
      <c r="AUM37" s="53"/>
      <c r="AUN37" s="53"/>
      <c r="AUO37" s="53"/>
      <c r="AUP37" s="53"/>
      <c r="AUQ37" s="53"/>
      <c r="AUR37" s="53"/>
      <c r="AUS37" s="53"/>
      <c r="AUT37" s="53"/>
      <c r="AUU37" s="53"/>
      <c r="AUV37" s="53"/>
      <c r="AUW37" s="53"/>
      <c r="AUX37" s="53"/>
      <c r="AUY37" s="53"/>
      <c r="AUZ37" s="53"/>
      <c r="AVA37" s="53"/>
      <c r="AVB37" s="53"/>
      <c r="AVC37" s="53"/>
      <c r="AVD37" s="53"/>
      <c r="AVE37" s="53"/>
      <c r="AVF37" s="53"/>
      <c r="AVG37" s="53"/>
      <c r="AVH37" s="53"/>
      <c r="AVI37" s="53"/>
      <c r="AVJ37" s="53"/>
      <c r="AVK37" s="53"/>
      <c r="AVL37" s="53"/>
      <c r="AVM37" s="53"/>
      <c r="AVN37" s="53"/>
      <c r="AVO37" s="53"/>
      <c r="AVP37" s="53"/>
      <c r="AVQ37" s="53"/>
      <c r="AVR37" s="53"/>
      <c r="AVS37" s="53"/>
      <c r="AVT37" s="53"/>
      <c r="AVU37" s="53"/>
      <c r="AVV37" s="53"/>
      <c r="AVW37" s="53"/>
      <c r="AVX37" s="53"/>
      <c r="AVY37" s="53"/>
      <c r="AVZ37" s="53"/>
      <c r="AWA37" s="53"/>
      <c r="AWB37" s="53"/>
      <c r="AWC37" s="53"/>
      <c r="AWD37" s="53"/>
      <c r="AWE37" s="53"/>
      <c r="AWF37" s="53"/>
      <c r="AWG37" s="53"/>
      <c r="AWH37" s="53"/>
      <c r="AWI37" s="53"/>
      <c r="AWJ37" s="53"/>
      <c r="AWK37" s="53"/>
      <c r="AWL37" s="53"/>
      <c r="AWM37" s="53"/>
      <c r="AWN37" s="53"/>
      <c r="AWO37" s="53"/>
      <c r="AWP37" s="53"/>
      <c r="AWQ37" s="53"/>
      <c r="AWR37" s="53"/>
      <c r="AWS37" s="53"/>
      <c r="AWT37" s="53"/>
      <c r="AWU37" s="53"/>
      <c r="AWV37" s="53"/>
      <c r="AWW37" s="53"/>
      <c r="AWX37" s="53"/>
      <c r="AWY37" s="53"/>
      <c r="AWZ37" s="53"/>
      <c r="AXA37" s="53"/>
      <c r="AXB37" s="53"/>
      <c r="AXC37" s="53"/>
      <c r="AXD37" s="53"/>
      <c r="AXE37" s="53"/>
      <c r="AXF37" s="53"/>
      <c r="AXG37" s="53"/>
      <c r="AXH37" s="53"/>
      <c r="AXI37" s="53"/>
      <c r="AXJ37" s="53"/>
      <c r="AXK37" s="53"/>
      <c r="AXL37" s="53"/>
      <c r="AXM37" s="53"/>
      <c r="AXN37" s="53"/>
      <c r="AXO37" s="53"/>
      <c r="AXP37" s="53"/>
      <c r="AXQ37" s="53"/>
      <c r="AXR37" s="53"/>
      <c r="AXS37" s="53"/>
      <c r="AXT37" s="53"/>
      <c r="AXU37" s="53"/>
      <c r="AXV37" s="53"/>
      <c r="AXW37" s="53"/>
      <c r="AXX37" s="53"/>
      <c r="AXY37" s="53"/>
      <c r="AXZ37" s="53"/>
      <c r="AYA37" s="53"/>
      <c r="AYB37" s="53"/>
      <c r="AYC37" s="53"/>
      <c r="AYD37" s="53"/>
      <c r="AYE37" s="53"/>
      <c r="AYF37" s="53"/>
      <c r="AYG37" s="53"/>
      <c r="AYH37" s="53"/>
      <c r="AYI37" s="53"/>
      <c r="AYJ37" s="53"/>
      <c r="AYK37" s="53"/>
      <c r="AYL37" s="53"/>
      <c r="AYM37" s="53"/>
      <c r="AYN37" s="53"/>
      <c r="AYO37" s="53"/>
      <c r="AYP37" s="53"/>
      <c r="AYQ37" s="53"/>
      <c r="AYR37" s="53"/>
      <c r="AYS37" s="53"/>
      <c r="AYT37" s="53"/>
      <c r="AYU37" s="53"/>
      <c r="AYV37" s="53"/>
      <c r="AYW37" s="53"/>
      <c r="AYX37" s="53"/>
      <c r="AYY37" s="53"/>
      <c r="AYZ37" s="53"/>
      <c r="AZA37" s="53"/>
      <c r="AZB37" s="53"/>
      <c r="AZC37" s="53"/>
      <c r="AZD37" s="53"/>
      <c r="AZE37" s="53"/>
      <c r="AZF37" s="53"/>
      <c r="AZG37" s="53"/>
      <c r="AZH37" s="53"/>
      <c r="AZI37" s="53"/>
      <c r="AZJ37" s="53"/>
      <c r="AZK37" s="53"/>
      <c r="AZL37" s="53"/>
      <c r="AZM37" s="53"/>
      <c r="AZN37" s="53"/>
      <c r="AZO37" s="53"/>
      <c r="AZP37" s="53"/>
      <c r="AZQ37" s="53"/>
      <c r="AZR37" s="53"/>
      <c r="AZS37" s="53"/>
      <c r="AZT37" s="53"/>
      <c r="AZU37" s="53"/>
      <c r="AZV37" s="53"/>
      <c r="AZW37" s="53"/>
      <c r="AZX37" s="53"/>
      <c r="AZY37" s="53"/>
      <c r="AZZ37" s="53"/>
      <c r="BAA37" s="53"/>
      <c r="BAB37" s="53"/>
      <c r="BAC37" s="53"/>
      <c r="BAD37" s="53"/>
      <c r="BAE37" s="53"/>
      <c r="BAF37" s="53"/>
      <c r="BAG37" s="53"/>
      <c r="BAH37" s="53"/>
      <c r="BAI37" s="53"/>
      <c r="BAJ37" s="53"/>
      <c r="BAK37" s="53"/>
      <c r="BAL37" s="53"/>
      <c r="BAM37" s="53"/>
      <c r="BAN37" s="53"/>
      <c r="BAO37" s="53"/>
      <c r="BAP37" s="53"/>
      <c r="BAQ37" s="53"/>
      <c r="BAR37" s="53"/>
      <c r="BAS37" s="53"/>
      <c r="BAT37" s="53"/>
      <c r="BAU37" s="53"/>
      <c r="BAV37" s="53"/>
      <c r="BAW37" s="53"/>
      <c r="BAX37" s="53"/>
      <c r="BAY37" s="53"/>
      <c r="BAZ37" s="53"/>
      <c r="BBA37" s="53"/>
      <c r="BBB37" s="53"/>
      <c r="BBC37" s="53"/>
      <c r="BBD37" s="53"/>
      <c r="BBE37" s="53"/>
      <c r="BBF37" s="53"/>
      <c r="BBG37" s="53"/>
      <c r="BBH37" s="53"/>
      <c r="BBI37" s="53"/>
      <c r="BBJ37" s="53"/>
      <c r="BBK37" s="53"/>
      <c r="BBL37" s="53"/>
      <c r="BBM37" s="53"/>
      <c r="BBN37" s="53"/>
      <c r="BBO37" s="53"/>
      <c r="BBP37" s="53"/>
      <c r="BBQ37" s="53"/>
      <c r="BBR37" s="53"/>
      <c r="BBS37" s="53"/>
      <c r="BBT37" s="53"/>
      <c r="BBU37" s="53"/>
      <c r="BBV37" s="53"/>
      <c r="BBW37" s="53"/>
      <c r="BBX37" s="53"/>
      <c r="BBY37" s="53"/>
      <c r="BBZ37" s="53"/>
      <c r="BCA37" s="53"/>
      <c r="BCB37" s="53"/>
      <c r="BCC37" s="53"/>
      <c r="BCD37" s="53"/>
      <c r="BCE37" s="53"/>
      <c r="BCF37" s="53"/>
      <c r="BCG37" s="53"/>
      <c r="BCH37" s="53"/>
      <c r="BCI37" s="53"/>
      <c r="BCJ37" s="53"/>
      <c r="BCK37" s="53"/>
      <c r="BCL37" s="53"/>
      <c r="BCM37" s="53"/>
      <c r="BCN37" s="53"/>
      <c r="BCO37" s="53"/>
      <c r="BCP37" s="53"/>
      <c r="BCQ37" s="53"/>
      <c r="BCR37" s="53"/>
      <c r="BCS37" s="53"/>
      <c r="BCT37" s="53"/>
      <c r="BCU37" s="53"/>
      <c r="BCV37" s="53"/>
      <c r="BCW37" s="53"/>
      <c r="BCX37" s="53"/>
      <c r="BCY37" s="53"/>
      <c r="BCZ37" s="53"/>
      <c r="BDA37" s="53"/>
      <c r="BDB37" s="53"/>
      <c r="BDC37" s="53"/>
      <c r="BDD37" s="53"/>
      <c r="BDE37" s="53"/>
      <c r="BDF37" s="53"/>
      <c r="BDG37" s="53"/>
      <c r="BDH37" s="53"/>
      <c r="BDI37" s="53"/>
      <c r="BDJ37" s="53"/>
      <c r="BDK37" s="53"/>
      <c r="BDL37" s="53"/>
      <c r="BDM37" s="53"/>
      <c r="BDN37" s="53"/>
      <c r="BDO37" s="53"/>
      <c r="BDP37" s="53"/>
      <c r="BDQ37" s="53"/>
      <c r="BDR37" s="53"/>
      <c r="BDS37" s="53"/>
      <c r="BDT37" s="53"/>
      <c r="BDU37" s="53"/>
      <c r="BDV37" s="53"/>
      <c r="BDW37" s="53"/>
      <c r="BDX37" s="53"/>
      <c r="BDY37" s="53"/>
      <c r="BDZ37" s="53"/>
      <c r="BEA37" s="53"/>
      <c r="BEB37" s="53"/>
      <c r="BEC37" s="53"/>
      <c r="BED37" s="53"/>
      <c r="BEE37" s="53"/>
      <c r="BEF37" s="53"/>
      <c r="BEG37" s="53"/>
      <c r="BEH37" s="53"/>
      <c r="BEI37" s="53"/>
      <c r="BEJ37" s="53"/>
      <c r="BEK37" s="53"/>
      <c r="BEL37" s="53"/>
      <c r="BEM37" s="53"/>
      <c r="BEN37" s="53"/>
      <c r="BEO37" s="53"/>
      <c r="BEP37" s="53"/>
      <c r="BEQ37" s="53"/>
      <c r="BER37" s="53"/>
      <c r="BES37" s="53"/>
      <c r="BET37" s="53"/>
      <c r="BEU37" s="53"/>
      <c r="BEV37" s="53"/>
      <c r="BEW37" s="53"/>
      <c r="BEX37" s="53"/>
      <c r="BEY37" s="53"/>
      <c r="BEZ37" s="53"/>
      <c r="BFA37" s="53"/>
      <c r="BFB37" s="53"/>
      <c r="BFC37" s="53"/>
      <c r="BFD37" s="53"/>
      <c r="BFE37" s="53"/>
      <c r="BFF37" s="53"/>
      <c r="BFG37" s="53"/>
      <c r="BFH37" s="53"/>
      <c r="BFI37" s="53"/>
      <c r="BFJ37" s="53"/>
      <c r="BFK37" s="53"/>
      <c r="BFL37" s="53"/>
      <c r="BFM37" s="53"/>
      <c r="BFN37" s="53"/>
      <c r="BFO37" s="53"/>
      <c r="BFP37" s="53"/>
      <c r="BFQ37" s="53"/>
      <c r="BFR37" s="53"/>
      <c r="BFS37" s="53"/>
      <c r="BFT37" s="53"/>
      <c r="BFU37" s="53"/>
      <c r="BFV37" s="53"/>
      <c r="BFW37" s="53"/>
      <c r="BFX37" s="53"/>
      <c r="BFY37" s="53"/>
      <c r="BFZ37" s="53"/>
      <c r="BGA37" s="53"/>
      <c r="BGB37" s="53"/>
      <c r="BGC37" s="53"/>
      <c r="BGD37" s="53"/>
      <c r="BGE37" s="53"/>
      <c r="BGF37" s="53"/>
      <c r="BGG37" s="53"/>
      <c r="BGH37" s="53"/>
      <c r="BGI37" s="53"/>
      <c r="BGJ37" s="53"/>
      <c r="BGK37" s="53"/>
      <c r="BGL37" s="53"/>
      <c r="BGM37" s="53"/>
      <c r="BGN37" s="53"/>
      <c r="BGO37" s="53"/>
      <c r="BGP37" s="53"/>
      <c r="BGQ37" s="53"/>
      <c r="BGR37" s="53"/>
      <c r="BGS37" s="53"/>
      <c r="BGT37" s="53"/>
      <c r="BGU37" s="53"/>
      <c r="BGV37" s="53"/>
      <c r="BGW37" s="53"/>
      <c r="BGX37" s="53"/>
      <c r="BGY37" s="53"/>
      <c r="BGZ37" s="53"/>
      <c r="BHA37" s="53"/>
      <c r="BHB37" s="53"/>
      <c r="BHC37" s="53"/>
      <c r="BHD37" s="53"/>
      <c r="BHE37" s="53"/>
      <c r="BHF37" s="53"/>
      <c r="BHG37" s="53"/>
      <c r="BHH37" s="53"/>
      <c r="BHI37" s="53"/>
      <c r="BHJ37" s="53"/>
      <c r="BHK37" s="53"/>
      <c r="BHL37" s="53"/>
      <c r="BHM37" s="53"/>
      <c r="BHN37" s="53"/>
      <c r="BHO37" s="53"/>
      <c r="BHP37" s="53"/>
      <c r="BHQ37" s="53"/>
      <c r="BHR37" s="53"/>
      <c r="BHS37" s="53"/>
      <c r="BHT37" s="53"/>
      <c r="BHU37" s="53"/>
      <c r="BHV37" s="53"/>
      <c r="BHW37" s="53"/>
      <c r="BHX37" s="53"/>
      <c r="BHY37" s="53"/>
      <c r="BHZ37" s="53"/>
      <c r="BIA37" s="53"/>
      <c r="BIB37" s="53"/>
      <c r="BIC37" s="53"/>
      <c r="BID37" s="53"/>
      <c r="BIE37" s="53"/>
      <c r="BIF37" s="53"/>
      <c r="BIG37" s="53"/>
      <c r="BIH37" s="53"/>
      <c r="BII37" s="53"/>
      <c r="BIJ37" s="53"/>
      <c r="BIK37" s="53"/>
      <c r="BIL37" s="53"/>
      <c r="BIM37" s="53"/>
      <c r="BIN37" s="53"/>
      <c r="BIO37" s="53"/>
      <c r="BIP37" s="53"/>
      <c r="BIQ37" s="53"/>
      <c r="BIR37" s="53"/>
      <c r="BIS37" s="53"/>
      <c r="BIT37" s="53"/>
      <c r="BIU37" s="53"/>
      <c r="BIV37" s="53"/>
      <c r="BIW37" s="53"/>
      <c r="BIX37" s="53"/>
      <c r="BIY37" s="53"/>
      <c r="BIZ37" s="53"/>
      <c r="BJA37" s="53"/>
      <c r="BJB37" s="53"/>
      <c r="BJC37" s="53"/>
      <c r="BJD37" s="53"/>
      <c r="BJE37" s="53"/>
      <c r="BJF37" s="53"/>
      <c r="BJG37" s="53"/>
      <c r="BJH37" s="53"/>
      <c r="BJI37" s="53"/>
      <c r="BJJ37" s="53"/>
      <c r="BJK37" s="53"/>
      <c r="BJL37" s="53"/>
      <c r="BJM37" s="53"/>
      <c r="BJN37" s="53"/>
      <c r="BJO37" s="53"/>
      <c r="BJP37" s="53"/>
      <c r="BJQ37" s="53"/>
      <c r="BJR37" s="53"/>
      <c r="BJS37" s="53"/>
      <c r="BJT37" s="53"/>
      <c r="BJU37" s="53"/>
      <c r="BJV37" s="53"/>
      <c r="BJW37" s="53"/>
      <c r="BJX37" s="53"/>
      <c r="BJY37" s="53"/>
      <c r="BJZ37" s="53"/>
      <c r="BKA37" s="53"/>
      <c r="BKB37" s="53"/>
      <c r="BKC37" s="53"/>
      <c r="BKD37" s="53"/>
      <c r="BKE37" s="53"/>
      <c r="BKF37" s="53"/>
      <c r="BKG37" s="53"/>
      <c r="BKH37" s="53"/>
      <c r="BKI37" s="53"/>
      <c r="BKJ37" s="53"/>
      <c r="BKK37" s="53"/>
      <c r="BKL37" s="53"/>
      <c r="BKM37" s="53"/>
      <c r="BKN37" s="53"/>
      <c r="BKO37" s="53"/>
      <c r="BKP37" s="53"/>
      <c r="BKQ37" s="53"/>
      <c r="BKR37" s="53"/>
      <c r="BKS37" s="53"/>
      <c r="BKT37" s="53"/>
      <c r="BKU37" s="53"/>
      <c r="BKV37" s="53"/>
      <c r="BKW37" s="53"/>
      <c r="BKX37" s="53"/>
      <c r="BKY37" s="53"/>
      <c r="BKZ37" s="53"/>
      <c r="BLA37" s="53"/>
      <c r="BLB37" s="53"/>
      <c r="BLC37" s="53"/>
      <c r="BLD37" s="53"/>
      <c r="BLE37" s="53"/>
      <c r="BLF37" s="53"/>
      <c r="BLG37" s="53"/>
      <c r="BLH37" s="53"/>
      <c r="BLI37" s="53"/>
      <c r="BLJ37" s="53"/>
      <c r="BLK37" s="53"/>
      <c r="BLL37" s="53"/>
      <c r="BLM37" s="53"/>
      <c r="BLN37" s="53"/>
      <c r="BLO37" s="53"/>
      <c r="BLP37" s="53"/>
      <c r="BLQ37" s="53"/>
      <c r="BLR37" s="53"/>
      <c r="BLS37" s="53"/>
      <c r="BLT37" s="53"/>
      <c r="BLU37" s="53"/>
      <c r="BLV37" s="53"/>
      <c r="BLW37" s="53"/>
      <c r="BLX37" s="53"/>
      <c r="BLY37" s="53"/>
      <c r="BLZ37" s="53"/>
      <c r="BMA37" s="53"/>
      <c r="BMB37" s="53"/>
      <c r="BMC37" s="53"/>
      <c r="BMD37" s="53"/>
      <c r="BME37" s="53"/>
      <c r="BMF37" s="53"/>
      <c r="BMG37" s="53"/>
      <c r="BMH37" s="53"/>
      <c r="BMI37" s="53"/>
      <c r="BMJ37" s="53"/>
      <c r="BMK37" s="53"/>
      <c r="BML37" s="53"/>
      <c r="BMM37" s="53"/>
      <c r="BMN37" s="53"/>
      <c r="BMO37" s="53"/>
      <c r="BMP37" s="53"/>
      <c r="BMQ37" s="53"/>
      <c r="BMR37" s="53"/>
      <c r="BMS37" s="53"/>
      <c r="BMT37" s="53"/>
      <c r="BMU37" s="53"/>
      <c r="BMV37" s="53"/>
      <c r="BMW37" s="53"/>
      <c r="BMX37" s="53"/>
      <c r="BMY37" s="53"/>
      <c r="BMZ37" s="53"/>
      <c r="BNA37" s="53"/>
      <c r="BNB37" s="53"/>
      <c r="BNC37" s="53"/>
      <c r="BND37" s="53"/>
      <c r="BNE37" s="53"/>
      <c r="BNF37" s="53"/>
      <c r="BNG37" s="53"/>
      <c r="BNH37" s="53"/>
      <c r="BNI37" s="53"/>
      <c r="BNJ37" s="53"/>
      <c r="BNK37" s="53"/>
      <c r="BNL37" s="53"/>
      <c r="BNM37" s="53"/>
      <c r="BNN37" s="53"/>
      <c r="BNO37" s="53"/>
      <c r="BNP37" s="53"/>
      <c r="BNQ37" s="53"/>
      <c r="BNR37" s="53"/>
      <c r="BNS37" s="53"/>
      <c r="BNT37" s="53"/>
      <c r="BNU37" s="53"/>
      <c r="BNV37" s="53"/>
      <c r="BNW37" s="53"/>
      <c r="BNX37" s="53"/>
      <c r="BNY37" s="53"/>
      <c r="BNZ37" s="53"/>
      <c r="BOA37" s="53"/>
      <c r="BOB37" s="53"/>
      <c r="BOC37" s="53"/>
      <c r="BOD37" s="53"/>
      <c r="BOE37" s="53"/>
      <c r="BOF37" s="53"/>
      <c r="BOG37" s="53"/>
      <c r="BOH37" s="53"/>
      <c r="BOI37" s="53"/>
      <c r="BOJ37" s="53"/>
      <c r="BOK37" s="53"/>
      <c r="BOL37" s="53"/>
      <c r="BOM37" s="53"/>
      <c r="BON37" s="53"/>
      <c r="BOO37" s="53"/>
      <c r="BOP37" s="53"/>
      <c r="BOQ37" s="53"/>
      <c r="BOR37" s="53"/>
      <c r="BOS37" s="53"/>
      <c r="BOT37" s="53"/>
      <c r="BOU37" s="53"/>
      <c r="BOV37" s="53"/>
      <c r="BOW37" s="53"/>
      <c r="BOX37" s="53"/>
      <c r="BOY37" s="53"/>
      <c r="BOZ37" s="53"/>
      <c r="BPA37" s="53"/>
      <c r="BPB37" s="53"/>
      <c r="BPC37" s="53"/>
      <c r="BPD37" s="53"/>
      <c r="BPE37" s="53"/>
      <c r="BPF37" s="53"/>
      <c r="BPG37" s="53"/>
      <c r="BPH37" s="53"/>
      <c r="BPI37" s="53"/>
      <c r="BPJ37" s="53"/>
      <c r="BPK37" s="53"/>
      <c r="BPL37" s="53"/>
      <c r="BPM37" s="53"/>
      <c r="BPN37" s="53"/>
      <c r="BPO37" s="53"/>
      <c r="BPP37" s="53"/>
      <c r="BPQ37" s="53"/>
      <c r="BPR37" s="53"/>
      <c r="BPS37" s="53"/>
      <c r="BPT37" s="53"/>
      <c r="BPU37" s="53"/>
      <c r="BPV37" s="53"/>
      <c r="BPW37" s="53"/>
      <c r="BPX37" s="53"/>
      <c r="BPY37" s="53"/>
      <c r="BPZ37" s="53"/>
      <c r="BQA37" s="53"/>
      <c r="BQB37" s="53"/>
      <c r="BQC37" s="53"/>
      <c r="BQD37" s="53"/>
      <c r="BQE37" s="53"/>
      <c r="BQF37" s="53"/>
      <c r="BQG37" s="53"/>
      <c r="BQH37" s="53"/>
      <c r="BQI37" s="53"/>
      <c r="BQJ37" s="53"/>
      <c r="BQK37" s="53"/>
      <c r="BQL37" s="53"/>
      <c r="BQM37" s="53"/>
      <c r="BQN37" s="53"/>
      <c r="BQO37" s="53"/>
      <c r="BQP37" s="53"/>
      <c r="BQQ37" s="53"/>
      <c r="BQR37" s="53"/>
      <c r="BQS37" s="53"/>
      <c r="BQT37" s="53"/>
      <c r="BQU37" s="53"/>
      <c r="BQV37" s="53"/>
      <c r="BQW37" s="53"/>
      <c r="BQX37" s="53"/>
      <c r="BQY37" s="53"/>
      <c r="BQZ37" s="53"/>
      <c r="BRA37" s="53"/>
      <c r="BRB37" s="53"/>
      <c r="BRC37" s="53"/>
      <c r="BRD37" s="53"/>
      <c r="BRE37" s="53"/>
      <c r="BRF37" s="53"/>
      <c r="BRG37" s="53"/>
      <c r="BRH37" s="53"/>
      <c r="BRI37" s="53"/>
      <c r="BRJ37" s="53"/>
      <c r="BRK37" s="53"/>
      <c r="BRL37" s="53"/>
      <c r="BRM37" s="53"/>
      <c r="BRN37" s="53"/>
      <c r="BRO37" s="53"/>
      <c r="BRP37" s="53"/>
      <c r="BRQ37" s="53"/>
      <c r="BRR37" s="53"/>
      <c r="BRS37" s="53"/>
      <c r="BRT37" s="53"/>
      <c r="BRU37" s="53"/>
      <c r="BRV37" s="53"/>
      <c r="BRW37" s="53"/>
      <c r="BRX37" s="53"/>
      <c r="BRY37" s="53"/>
      <c r="BRZ37" s="53"/>
      <c r="BSA37" s="53"/>
      <c r="BSB37" s="53"/>
      <c r="BSC37" s="53"/>
      <c r="BSD37" s="53"/>
      <c r="BSE37" s="53"/>
      <c r="BSF37" s="53"/>
      <c r="BSG37" s="53"/>
      <c r="BSH37" s="53"/>
      <c r="BSI37" s="53"/>
      <c r="BSJ37" s="53"/>
      <c r="BSK37" s="53"/>
      <c r="BSL37" s="53"/>
      <c r="BSM37" s="53"/>
      <c r="BSN37" s="53"/>
      <c r="BSO37" s="53"/>
      <c r="BSP37" s="53"/>
      <c r="BSQ37" s="53"/>
      <c r="BSR37" s="53"/>
      <c r="BSS37" s="53"/>
      <c r="BST37" s="53"/>
      <c r="BSU37" s="53"/>
      <c r="BSV37" s="53"/>
      <c r="BSW37" s="53"/>
      <c r="BSX37" s="53"/>
      <c r="BSY37" s="53"/>
      <c r="BSZ37" s="53"/>
      <c r="BTA37" s="53"/>
      <c r="BTB37" s="53"/>
      <c r="BTC37" s="53"/>
      <c r="BTD37" s="53"/>
      <c r="BTE37" s="53"/>
      <c r="BTF37" s="53"/>
      <c r="BTG37" s="53"/>
      <c r="BTH37" s="53"/>
      <c r="BTI37" s="53"/>
      <c r="BTJ37" s="53"/>
      <c r="BTK37" s="53"/>
      <c r="BTL37" s="53"/>
      <c r="BTM37" s="53"/>
      <c r="BTN37" s="53"/>
      <c r="BTO37" s="53"/>
      <c r="BTP37" s="53"/>
      <c r="BTQ37" s="53"/>
      <c r="BTR37" s="53"/>
      <c r="BTS37" s="53"/>
      <c r="BTT37" s="53"/>
      <c r="BTU37" s="53"/>
      <c r="BTV37" s="53"/>
      <c r="BTW37" s="53"/>
      <c r="BTX37" s="53"/>
      <c r="BTY37" s="53"/>
      <c r="BTZ37" s="53"/>
      <c r="BUA37" s="53"/>
      <c r="BUB37" s="53"/>
      <c r="BUC37" s="53"/>
      <c r="BUD37" s="53"/>
      <c r="BUE37" s="53"/>
      <c r="BUF37" s="53"/>
      <c r="BUG37" s="53"/>
      <c r="BUH37" s="53"/>
      <c r="BUI37" s="53"/>
      <c r="BUJ37" s="53"/>
      <c r="BUK37" s="53"/>
      <c r="BUL37" s="53"/>
      <c r="BUM37" s="53"/>
      <c r="BUN37" s="53"/>
      <c r="BUO37" s="53"/>
      <c r="BUP37" s="53"/>
      <c r="BUQ37" s="53"/>
      <c r="BUR37" s="53"/>
      <c r="BUS37" s="53"/>
      <c r="BUT37" s="53"/>
      <c r="BUU37" s="53"/>
      <c r="BUV37" s="53"/>
      <c r="BUW37" s="53"/>
      <c r="BUX37" s="53"/>
      <c r="BUY37" s="53"/>
      <c r="BUZ37" s="53"/>
      <c r="BVA37" s="53"/>
      <c r="BVB37" s="53"/>
      <c r="BVC37" s="53"/>
      <c r="BVD37" s="53"/>
      <c r="BVE37" s="53"/>
      <c r="BVF37" s="53"/>
      <c r="BVG37" s="53"/>
      <c r="BVH37" s="53"/>
      <c r="BVI37" s="53"/>
      <c r="BVJ37" s="53"/>
      <c r="BVK37" s="53"/>
      <c r="BVL37" s="53"/>
      <c r="BVM37" s="53"/>
      <c r="BVN37" s="53"/>
      <c r="BVO37" s="53"/>
      <c r="BVP37" s="53"/>
      <c r="BVQ37" s="53"/>
      <c r="BVR37" s="53"/>
      <c r="BVS37" s="53"/>
      <c r="BVT37" s="53"/>
      <c r="BVU37" s="53"/>
      <c r="BVV37" s="53"/>
      <c r="BVW37" s="53"/>
      <c r="BVX37" s="53"/>
      <c r="BVY37" s="53"/>
      <c r="BVZ37" s="53"/>
      <c r="BWA37" s="53"/>
      <c r="BWB37" s="53"/>
      <c r="BWC37" s="53"/>
      <c r="BWD37" s="53"/>
      <c r="BWE37" s="53"/>
      <c r="BWF37" s="53"/>
      <c r="BWG37" s="53"/>
      <c r="BWH37" s="53"/>
      <c r="BWI37" s="53"/>
      <c r="BWJ37" s="53"/>
      <c r="BWK37" s="53"/>
      <c r="BWL37" s="53"/>
      <c r="BWM37" s="53"/>
      <c r="BWN37" s="53"/>
      <c r="BWO37" s="53"/>
      <c r="BWP37" s="53"/>
      <c r="BWQ37" s="53"/>
      <c r="BWR37" s="53"/>
      <c r="BWS37" s="53"/>
      <c r="BWT37" s="53"/>
      <c r="BWU37" s="53"/>
      <c r="BWV37" s="53"/>
      <c r="BWW37" s="53"/>
      <c r="BWX37" s="53"/>
      <c r="BWY37" s="53"/>
      <c r="BWZ37" s="53"/>
      <c r="BXA37" s="53"/>
      <c r="BXB37" s="53"/>
      <c r="BXC37" s="53"/>
      <c r="BXD37" s="53"/>
      <c r="BXE37" s="53"/>
      <c r="BXF37" s="53"/>
      <c r="BXG37" s="53"/>
      <c r="BXH37" s="53"/>
      <c r="BXI37" s="53"/>
      <c r="BXJ37" s="53"/>
      <c r="BXK37" s="53"/>
      <c r="BXL37" s="53"/>
      <c r="BXM37" s="53"/>
      <c r="BXN37" s="53"/>
      <c r="BXO37" s="53"/>
      <c r="BXP37" s="53"/>
      <c r="BXQ37" s="53"/>
      <c r="BXR37" s="53"/>
      <c r="BXS37" s="53"/>
      <c r="BXT37" s="53"/>
      <c r="BXU37" s="53"/>
      <c r="BXV37" s="53"/>
      <c r="BXW37" s="53"/>
      <c r="BXX37" s="53"/>
      <c r="BXY37" s="53"/>
      <c r="BXZ37" s="53"/>
      <c r="BYA37" s="53"/>
      <c r="BYB37" s="53"/>
      <c r="BYC37" s="53"/>
      <c r="BYD37" s="53"/>
      <c r="BYE37" s="53"/>
      <c r="BYF37" s="53"/>
      <c r="BYG37" s="53"/>
      <c r="BYH37" s="53"/>
      <c r="BYI37" s="53"/>
      <c r="BYJ37" s="53"/>
      <c r="BYK37" s="53"/>
      <c r="BYL37" s="53"/>
      <c r="BYM37" s="53"/>
      <c r="BYN37" s="53"/>
      <c r="BYO37" s="53"/>
      <c r="BYP37" s="53"/>
      <c r="BYQ37" s="53"/>
      <c r="BYR37" s="53"/>
      <c r="BYS37" s="53"/>
      <c r="BYT37" s="53"/>
      <c r="BYU37" s="53"/>
      <c r="BYV37" s="53"/>
      <c r="BYW37" s="53"/>
      <c r="BYX37" s="53"/>
      <c r="BYY37" s="53"/>
      <c r="BYZ37" s="53"/>
      <c r="BZA37" s="53"/>
      <c r="BZB37" s="53"/>
      <c r="BZC37" s="53"/>
      <c r="BZD37" s="53"/>
      <c r="BZE37" s="53"/>
      <c r="BZF37" s="53"/>
      <c r="BZG37" s="53"/>
      <c r="BZH37" s="53"/>
      <c r="BZI37" s="53"/>
      <c r="BZJ37" s="53"/>
      <c r="BZK37" s="53"/>
      <c r="BZL37" s="53"/>
      <c r="BZM37" s="53"/>
      <c r="BZN37" s="53"/>
      <c r="BZO37" s="53"/>
      <c r="BZP37" s="53"/>
      <c r="BZQ37" s="53"/>
      <c r="BZR37" s="53"/>
      <c r="BZS37" s="53"/>
      <c r="BZT37" s="53"/>
      <c r="BZU37" s="53"/>
      <c r="BZV37" s="53"/>
      <c r="BZW37" s="53"/>
      <c r="BZX37" s="53"/>
      <c r="BZY37" s="53"/>
      <c r="BZZ37" s="53"/>
      <c r="CAA37" s="53"/>
      <c r="CAB37" s="53"/>
      <c r="CAC37" s="53"/>
      <c r="CAD37" s="53"/>
      <c r="CAE37" s="53"/>
      <c r="CAF37" s="53"/>
      <c r="CAG37" s="53"/>
      <c r="CAH37" s="53"/>
      <c r="CAI37" s="53"/>
      <c r="CAJ37" s="53"/>
      <c r="CAK37" s="53"/>
      <c r="CAL37" s="53"/>
      <c r="CAM37" s="53"/>
      <c r="CAN37" s="53"/>
      <c r="CAO37" s="53"/>
      <c r="CAP37" s="53"/>
      <c r="CAQ37" s="53"/>
      <c r="CAR37" s="53"/>
      <c r="CAS37" s="53"/>
      <c r="CAT37" s="53"/>
      <c r="CAU37" s="53"/>
      <c r="CAV37" s="53"/>
      <c r="CAW37" s="53"/>
      <c r="CAX37" s="53"/>
      <c r="CAY37" s="53"/>
      <c r="CAZ37" s="53"/>
      <c r="CBA37" s="53"/>
      <c r="CBB37" s="53"/>
      <c r="CBC37" s="53"/>
      <c r="CBD37" s="53"/>
      <c r="CBE37" s="53"/>
      <c r="CBF37" s="53"/>
      <c r="CBG37" s="53"/>
      <c r="CBH37" s="53"/>
      <c r="CBI37" s="53"/>
      <c r="CBJ37" s="53"/>
      <c r="CBK37" s="53"/>
      <c r="CBL37" s="53"/>
      <c r="CBM37" s="53"/>
      <c r="CBN37" s="53"/>
      <c r="CBO37" s="53"/>
      <c r="CBP37" s="53"/>
      <c r="CBQ37" s="53"/>
      <c r="CBR37" s="53"/>
      <c r="CBS37" s="53"/>
      <c r="CBT37" s="53"/>
      <c r="CBU37" s="53"/>
      <c r="CBV37" s="53"/>
      <c r="CBW37" s="53"/>
      <c r="CBX37" s="53"/>
      <c r="CBY37" s="53"/>
      <c r="CBZ37" s="53"/>
      <c r="CCA37" s="53"/>
      <c r="CCB37" s="53"/>
      <c r="CCC37" s="53"/>
      <c r="CCD37" s="53"/>
      <c r="CCE37" s="53"/>
      <c r="CCF37" s="53"/>
      <c r="CCG37" s="53"/>
      <c r="CCH37" s="53"/>
      <c r="CCI37" s="53"/>
      <c r="CCJ37" s="53"/>
      <c r="CCK37" s="53"/>
      <c r="CCL37" s="53"/>
      <c r="CCM37" s="53"/>
      <c r="CCN37" s="53"/>
      <c r="CCO37" s="53"/>
      <c r="CCP37" s="53"/>
      <c r="CCQ37" s="53"/>
      <c r="CCR37" s="53"/>
      <c r="CCS37" s="53"/>
      <c r="CCT37" s="53"/>
      <c r="CCU37" s="53"/>
      <c r="CCV37" s="53"/>
      <c r="CCW37" s="53"/>
      <c r="CCX37" s="53"/>
      <c r="CCY37" s="53"/>
      <c r="CCZ37" s="53"/>
      <c r="CDA37" s="53"/>
      <c r="CDB37" s="53"/>
      <c r="CDC37" s="53"/>
      <c r="CDD37" s="53"/>
      <c r="CDE37" s="53"/>
      <c r="CDF37" s="53"/>
      <c r="CDG37" s="53"/>
      <c r="CDH37" s="53"/>
      <c r="CDI37" s="53"/>
      <c r="CDJ37" s="53"/>
      <c r="CDK37" s="53"/>
      <c r="CDL37" s="53"/>
      <c r="CDM37" s="53"/>
      <c r="CDN37" s="53"/>
      <c r="CDO37" s="53"/>
      <c r="CDP37" s="53"/>
      <c r="CDQ37" s="53"/>
      <c r="CDR37" s="53"/>
      <c r="CDS37" s="53"/>
      <c r="CDT37" s="53"/>
      <c r="CDU37" s="53"/>
      <c r="CDV37" s="53"/>
      <c r="CDW37" s="53"/>
      <c r="CDX37" s="53"/>
      <c r="CDY37" s="53"/>
      <c r="CDZ37" s="53"/>
      <c r="CEA37" s="53"/>
      <c r="CEB37" s="53"/>
      <c r="CEC37" s="53"/>
      <c r="CED37" s="53"/>
      <c r="CEE37" s="53"/>
      <c r="CEF37" s="53"/>
      <c r="CEG37" s="53"/>
      <c r="CEH37" s="53"/>
      <c r="CEI37" s="53"/>
      <c r="CEJ37" s="53"/>
      <c r="CEK37" s="53"/>
      <c r="CEL37" s="53"/>
      <c r="CEM37" s="53"/>
      <c r="CEN37" s="53"/>
      <c r="CEO37" s="53"/>
      <c r="CEP37" s="53"/>
      <c r="CEQ37" s="53"/>
      <c r="CER37" s="53"/>
      <c r="CES37" s="53"/>
      <c r="CET37" s="53"/>
      <c r="CEU37" s="53"/>
      <c r="CEV37" s="53"/>
      <c r="CEW37" s="53"/>
      <c r="CEX37" s="53"/>
      <c r="CEY37" s="53"/>
      <c r="CEZ37" s="53"/>
      <c r="CFA37" s="53"/>
      <c r="CFB37" s="53"/>
      <c r="CFC37" s="53"/>
      <c r="CFD37" s="53"/>
      <c r="CFE37" s="53"/>
      <c r="CFF37" s="53"/>
      <c r="CFG37" s="53"/>
      <c r="CFH37" s="53"/>
      <c r="CFI37" s="53"/>
      <c r="CFJ37" s="53"/>
      <c r="CFK37" s="53"/>
      <c r="CFL37" s="53"/>
      <c r="CFM37" s="53"/>
      <c r="CFN37" s="53"/>
      <c r="CFO37" s="53"/>
      <c r="CFP37" s="53"/>
      <c r="CFQ37" s="53"/>
      <c r="CFR37" s="53"/>
      <c r="CFS37" s="53"/>
      <c r="CFT37" s="53"/>
      <c r="CFU37" s="53"/>
      <c r="CFV37" s="53"/>
      <c r="CFW37" s="53"/>
      <c r="CFX37" s="53"/>
      <c r="CFY37" s="53"/>
      <c r="CFZ37" s="53"/>
      <c r="CGA37" s="53"/>
      <c r="CGB37" s="53"/>
      <c r="CGC37" s="53"/>
      <c r="CGD37" s="53"/>
      <c r="CGE37" s="53"/>
      <c r="CGF37" s="53"/>
      <c r="CGG37" s="53"/>
      <c r="CGH37" s="53"/>
      <c r="CGI37" s="53"/>
      <c r="CGJ37" s="53"/>
      <c r="CGK37" s="53"/>
      <c r="CGL37" s="53"/>
      <c r="CGM37" s="53"/>
      <c r="CGN37" s="53"/>
      <c r="CGO37" s="53"/>
      <c r="CGP37" s="53"/>
      <c r="CGQ37" s="53"/>
      <c r="CGR37" s="53"/>
      <c r="CGS37" s="53"/>
      <c r="CGT37" s="53"/>
      <c r="CGU37" s="53"/>
      <c r="CGV37" s="53"/>
      <c r="CGW37" s="53"/>
      <c r="CGX37" s="53"/>
      <c r="CGY37" s="53"/>
      <c r="CGZ37" s="53"/>
      <c r="CHA37" s="53"/>
      <c r="CHB37" s="53"/>
      <c r="CHC37" s="53"/>
      <c r="CHD37" s="53"/>
      <c r="CHE37" s="53"/>
      <c r="CHF37" s="53"/>
      <c r="CHG37" s="53"/>
      <c r="CHH37" s="53"/>
      <c r="CHI37" s="53"/>
      <c r="CHJ37" s="53"/>
      <c r="CHK37" s="53"/>
      <c r="CHL37" s="53"/>
      <c r="CHM37" s="53"/>
      <c r="CHN37" s="53"/>
      <c r="CHO37" s="53"/>
      <c r="CHP37" s="53"/>
      <c r="CHQ37" s="53"/>
      <c r="CHR37" s="53"/>
      <c r="CHS37" s="53"/>
      <c r="CHT37" s="53"/>
      <c r="CHU37" s="53"/>
      <c r="CHV37" s="53"/>
      <c r="CHW37" s="53"/>
      <c r="CHX37" s="53"/>
      <c r="CHY37" s="53"/>
      <c r="CHZ37" s="53"/>
      <c r="CIA37" s="53"/>
      <c r="CIB37" s="53"/>
      <c r="CIC37" s="53"/>
      <c r="CID37" s="53"/>
      <c r="CIE37" s="53"/>
      <c r="CIF37" s="53"/>
      <c r="CIG37" s="53"/>
      <c r="CIH37" s="53"/>
      <c r="CII37" s="53"/>
      <c r="CIJ37" s="53"/>
      <c r="CIK37" s="53"/>
      <c r="CIL37" s="53"/>
      <c r="CIM37" s="53"/>
      <c r="CIN37" s="53"/>
      <c r="CIO37" s="53"/>
      <c r="CIP37" s="53"/>
      <c r="CIQ37" s="53"/>
      <c r="CIR37" s="53"/>
      <c r="CIS37" s="53"/>
      <c r="CIT37" s="53"/>
      <c r="CIU37" s="53"/>
      <c r="CIV37" s="53"/>
      <c r="CIW37" s="53"/>
      <c r="CIX37" s="53"/>
      <c r="CIY37" s="53"/>
      <c r="CIZ37" s="53"/>
      <c r="CJA37" s="53"/>
      <c r="CJB37" s="53"/>
      <c r="CJC37" s="53"/>
      <c r="CJD37" s="53"/>
      <c r="CJE37" s="53"/>
      <c r="CJF37" s="53"/>
      <c r="CJG37" s="53"/>
      <c r="CJH37" s="53"/>
      <c r="CJI37" s="53"/>
      <c r="CJJ37" s="53"/>
      <c r="CJK37" s="53"/>
      <c r="CJL37" s="53"/>
      <c r="CJM37" s="53"/>
      <c r="CJN37" s="53"/>
      <c r="CJO37" s="53"/>
      <c r="CJP37" s="53"/>
      <c r="CJQ37" s="53"/>
      <c r="CJR37" s="53"/>
      <c r="CJS37" s="53"/>
      <c r="CJT37" s="53"/>
      <c r="CJU37" s="53"/>
      <c r="CJV37" s="53"/>
      <c r="CJW37" s="53"/>
      <c r="CJX37" s="53"/>
      <c r="CJY37" s="53"/>
      <c r="CJZ37" s="53"/>
      <c r="CKA37" s="53"/>
      <c r="CKB37" s="53"/>
      <c r="CKC37" s="53"/>
      <c r="CKD37" s="53"/>
      <c r="CKE37" s="53"/>
      <c r="CKF37" s="53"/>
      <c r="CKG37" s="53"/>
      <c r="CKH37" s="53"/>
      <c r="CKI37" s="53"/>
      <c r="CKJ37" s="53"/>
      <c r="CKK37" s="53"/>
      <c r="CKL37" s="53"/>
      <c r="CKM37" s="53"/>
      <c r="CKN37" s="53"/>
      <c r="CKO37" s="53"/>
      <c r="CKP37" s="53"/>
      <c r="CKQ37" s="53"/>
      <c r="CKR37" s="53"/>
      <c r="CKS37" s="53"/>
      <c r="CKT37" s="53"/>
      <c r="CKU37" s="53"/>
      <c r="CKV37" s="53"/>
      <c r="CKW37" s="53"/>
      <c r="CKX37" s="53"/>
      <c r="CKY37" s="53"/>
      <c r="CKZ37" s="53"/>
      <c r="CLA37" s="53"/>
      <c r="CLB37" s="53"/>
      <c r="CLC37" s="53"/>
      <c r="CLD37" s="53"/>
      <c r="CLE37" s="53"/>
      <c r="CLF37" s="53"/>
      <c r="CLG37" s="53"/>
      <c r="CLH37" s="53"/>
      <c r="CLI37" s="53"/>
      <c r="CLJ37" s="53"/>
      <c r="CLK37" s="53"/>
      <c r="CLL37" s="53"/>
      <c r="CLM37" s="53"/>
      <c r="CLN37" s="53"/>
      <c r="CLO37" s="53"/>
      <c r="CLP37" s="53"/>
      <c r="CLQ37" s="53"/>
      <c r="CLR37" s="53"/>
      <c r="CLS37" s="53"/>
      <c r="CLT37" s="53"/>
      <c r="CLU37" s="53"/>
      <c r="CLV37" s="53"/>
      <c r="CLW37" s="53"/>
      <c r="CLX37" s="53"/>
      <c r="CLY37" s="53"/>
      <c r="CLZ37" s="53"/>
      <c r="CMA37" s="53"/>
      <c r="CMB37" s="53"/>
      <c r="CMC37" s="53"/>
      <c r="CMD37" s="53"/>
      <c r="CME37" s="53"/>
      <c r="CMF37" s="53"/>
      <c r="CMG37" s="53"/>
      <c r="CMH37" s="53"/>
      <c r="CMI37" s="53"/>
      <c r="CMJ37" s="53"/>
      <c r="CMK37" s="53"/>
      <c r="CML37" s="53"/>
      <c r="CMM37" s="53"/>
      <c r="CMN37" s="53"/>
      <c r="CMO37" s="53"/>
      <c r="CMP37" s="53"/>
      <c r="CMQ37" s="53"/>
      <c r="CMR37" s="53"/>
      <c r="CMS37" s="53"/>
      <c r="CMT37" s="53"/>
      <c r="CMU37" s="53"/>
      <c r="CMV37" s="53"/>
      <c r="CMW37" s="53"/>
      <c r="CMX37" s="53"/>
      <c r="CMY37" s="53"/>
      <c r="CMZ37" s="53"/>
      <c r="CNA37" s="53"/>
      <c r="CNB37" s="53"/>
      <c r="CNC37" s="53"/>
      <c r="CND37" s="53"/>
      <c r="CNE37" s="53"/>
      <c r="CNF37" s="53"/>
      <c r="CNG37" s="53"/>
      <c r="CNH37" s="53"/>
      <c r="CNI37" s="53"/>
      <c r="CNJ37" s="53"/>
      <c r="CNK37" s="53"/>
      <c r="CNL37" s="53"/>
      <c r="CNM37" s="53"/>
      <c r="CNN37" s="53"/>
      <c r="CNO37" s="53"/>
      <c r="CNP37" s="53"/>
      <c r="CNQ37" s="53"/>
      <c r="CNR37" s="53"/>
      <c r="CNS37" s="53"/>
      <c r="CNT37" s="53"/>
      <c r="CNU37" s="53"/>
      <c r="CNV37" s="53"/>
      <c r="CNW37" s="53"/>
      <c r="CNX37" s="53"/>
      <c r="CNY37" s="53"/>
      <c r="CNZ37" s="53"/>
      <c r="COA37" s="53"/>
      <c r="COB37" s="53"/>
      <c r="COC37" s="53"/>
      <c r="COD37" s="53"/>
      <c r="COE37" s="53"/>
      <c r="COF37" s="53"/>
      <c r="COG37" s="53"/>
      <c r="COH37" s="53"/>
      <c r="COI37" s="53"/>
      <c r="COJ37" s="53"/>
      <c r="COK37" s="53"/>
      <c r="COL37" s="53"/>
      <c r="COM37" s="53"/>
      <c r="CON37" s="53"/>
      <c r="COO37" s="53"/>
      <c r="COP37" s="53"/>
      <c r="COQ37" s="53"/>
      <c r="COR37" s="53"/>
      <c r="COS37" s="53"/>
      <c r="COT37" s="53"/>
      <c r="COU37" s="53"/>
      <c r="COV37" s="53"/>
      <c r="COW37" s="53"/>
      <c r="COX37" s="53"/>
      <c r="COY37" s="53"/>
      <c r="COZ37" s="53"/>
      <c r="CPA37" s="53"/>
      <c r="CPB37" s="53"/>
      <c r="CPC37" s="53"/>
      <c r="CPD37" s="53"/>
      <c r="CPE37" s="53"/>
      <c r="CPF37" s="53"/>
      <c r="CPG37" s="53"/>
      <c r="CPH37" s="53"/>
      <c r="CPI37" s="53"/>
      <c r="CPJ37" s="53"/>
      <c r="CPK37" s="53"/>
      <c r="CPL37" s="53"/>
      <c r="CPM37" s="53"/>
      <c r="CPN37" s="53"/>
      <c r="CPO37" s="53"/>
      <c r="CPP37" s="53"/>
      <c r="CPQ37" s="53"/>
      <c r="CPR37" s="53"/>
      <c r="CPS37" s="53"/>
      <c r="CPT37" s="53"/>
      <c r="CPU37" s="53"/>
      <c r="CPV37" s="53"/>
      <c r="CPW37" s="53"/>
      <c r="CPX37" s="53"/>
      <c r="CPY37" s="53"/>
      <c r="CPZ37" s="53"/>
      <c r="CQA37" s="53"/>
      <c r="CQB37" s="53"/>
      <c r="CQC37" s="53"/>
      <c r="CQD37" s="53"/>
      <c r="CQE37" s="53"/>
      <c r="CQF37" s="53"/>
      <c r="CQG37" s="53"/>
      <c r="CQH37" s="53"/>
      <c r="CQI37" s="53"/>
      <c r="CQJ37" s="53"/>
      <c r="CQK37" s="53"/>
      <c r="CQL37" s="53"/>
      <c r="CQM37" s="53"/>
      <c r="CQN37" s="53"/>
      <c r="CQO37" s="53"/>
      <c r="CQP37" s="53"/>
      <c r="CQQ37" s="53"/>
      <c r="CQR37" s="53"/>
      <c r="CQS37" s="53"/>
      <c r="CQT37" s="53"/>
      <c r="CQU37" s="53"/>
      <c r="CQV37" s="53"/>
      <c r="CQW37" s="53"/>
      <c r="CQX37" s="53"/>
      <c r="CQY37" s="53"/>
      <c r="CQZ37" s="53"/>
      <c r="CRA37" s="53"/>
      <c r="CRB37" s="53"/>
      <c r="CRC37" s="53"/>
      <c r="CRD37" s="53"/>
      <c r="CRE37" s="53"/>
      <c r="CRF37" s="53"/>
      <c r="CRG37" s="53"/>
      <c r="CRH37" s="53"/>
      <c r="CRI37" s="53"/>
      <c r="CRJ37" s="53"/>
      <c r="CRK37" s="53"/>
      <c r="CRL37" s="53"/>
      <c r="CRM37" s="53"/>
      <c r="CRN37" s="53"/>
      <c r="CRO37" s="53"/>
      <c r="CRP37" s="53"/>
      <c r="CRQ37" s="53"/>
      <c r="CRR37" s="53"/>
      <c r="CRS37" s="53"/>
      <c r="CRT37" s="53"/>
      <c r="CRU37" s="53"/>
      <c r="CRV37" s="53"/>
      <c r="CRW37" s="53"/>
      <c r="CRX37" s="53"/>
      <c r="CRY37" s="53"/>
      <c r="CRZ37" s="53"/>
      <c r="CSA37" s="53"/>
      <c r="CSB37" s="53"/>
      <c r="CSC37" s="53"/>
      <c r="CSD37" s="53"/>
      <c r="CSE37" s="53"/>
      <c r="CSF37" s="53"/>
      <c r="CSG37" s="53"/>
      <c r="CSH37" s="53"/>
      <c r="CSI37" s="53"/>
      <c r="CSJ37" s="53"/>
      <c r="CSK37" s="53"/>
      <c r="CSL37" s="53"/>
      <c r="CSM37" s="53"/>
      <c r="CSN37" s="53"/>
      <c r="CSO37" s="53"/>
      <c r="CSP37" s="53"/>
      <c r="CSQ37" s="53"/>
      <c r="CSR37" s="53"/>
      <c r="CSS37" s="53"/>
      <c r="CST37" s="53"/>
      <c r="CSU37" s="53"/>
      <c r="CSV37" s="53"/>
      <c r="CSW37" s="53"/>
      <c r="CSX37" s="53"/>
      <c r="CSY37" s="53"/>
      <c r="CSZ37" s="53"/>
      <c r="CTA37" s="53"/>
      <c r="CTB37" s="53"/>
      <c r="CTC37" s="53"/>
      <c r="CTD37" s="53"/>
      <c r="CTE37" s="53"/>
      <c r="CTF37" s="53"/>
      <c r="CTG37" s="53"/>
      <c r="CTH37" s="53"/>
      <c r="CTI37" s="53"/>
      <c r="CTJ37" s="53"/>
      <c r="CTK37" s="53"/>
      <c r="CTL37" s="53"/>
      <c r="CTM37" s="53"/>
      <c r="CTN37" s="53"/>
      <c r="CTO37" s="53"/>
      <c r="CTP37" s="53"/>
      <c r="CTQ37" s="53"/>
      <c r="CTR37" s="53"/>
      <c r="CTS37" s="53"/>
      <c r="CTT37" s="53"/>
      <c r="CTU37" s="53"/>
      <c r="CTV37" s="53"/>
      <c r="CTW37" s="53"/>
      <c r="CTX37" s="53"/>
      <c r="CTY37" s="53"/>
      <c r="CTZ37" s="53"/>
      <c r="CUA37" s="53"/>
      <c r="CUB37" s="53"/>
      <c r="CUC37" s="53"/>
      <c r="CUD37" s="53"/>
      <c r="CUE37" s="53"/>
      <c r="CUF37" s="53"/>
      <c r="CUG37" s="53"/>
      <c r="CUH37" s="53"/>
      <c r="CUI37" s="53"/>
      <c r="CUJ37" s="53"/>
      <c r="CUK37" s="53"/>
      <c r="CUL37" s="53"/>
      <c r="CUM37" s="53"/>
      <c r="CUN37" s="53"/>
      <c r="CUO37" s="53"/>
      <c r="CUP37" s="53"/>
      <c r="CUQ37" s="53"/>
      <c r="CUR37" s="53"/>
      <c r="CUS37" s="53"/>
      <c r="CUT37" s="53"/>
      <c r="CUU37" s="53"/>
      <c r="CUV37" s="53"/>
      <c r="CUW37" s="53"/>
      <c r="CUX37" s="53"/>
      <c r="CUY37" s="53"/>
      <c r="CUZ37" s="53"/>
      <c r="CVA37" s="53"/>
      <c r="CVB37" s="53"/>
      <c r="CVC37" s="53"/>
      <c r="CVD37" s="53"/>
      <c r="CVE37" s="53"/>
      <c r="CVF37" s="53"/>
      <c r="CVG37" s="53"/>
      <c r="CVH37" s="53"/>
      <c r="CVI37" s="53"/>
      <c r="CVJ37" s="53"/>
      <c r="CVK37" s="53"/>
      <c r="CVL37" s="53"/>
      <c r="CVM37" s="53"/>
      <c r="CVN37" s="53"/>
      <c r="CVO37" s="53"/>
      <c r="CVP37" s="53"/>
      <c r="CVQ37" s="53"/>
      <c r="CVR37" s="53"/>
      <c r="CVS37" s="53"/>
      <c r="CVT37" s="53"/>
      <c r="CVU37" s="53"/>
      <c r="CVV37" s="53"/>
      <c r="CVW37" s="53"/>
      <c r="CVX37" s="53"/>
      <c r="CVY37" s="53"/>
      <c r="CVZ37" s="53"/>
      <c r="CWA37" s="53"/>
      <c r="CWB37" s="53"/>
      <c r="CWC37" s="53"/>
      <c r="CWD37" s="53"/>
      <c r="CWE37" s="53"/>
      <c r="CWF37" s="53"/>
      <c r="CWG37" s="53"/>
      <c r="CWH37" s="53"/>
      <c r="CWI37" s="53"/>
      <c r="CWJ37" s="53"/>
      <c r="CWK37" s="53"/>
      <c r="CWL37" s="53"/>
      <c r="CWM37" s="53"/>
      <c r="CWN37" s="53"/>
      <c r="CWO37" s="53"/>
      <c r="CWP37" s="53"/>
      <c r="CWQ37" s="53"/>
      <c r="CWR37" s="53"/>
      <c r="CWS37" s="53"/>
      <c r="CWT37" s="53"/>
      <c r="CWU37" s="53"/>
      <c r="CWV37" s="53"/>
      <c r="CWW37" s="53"/>
      <c r="CWX37" s="53"/>
      <c r="CWY37" s="53"/>
      <c r="CWZ37" s="53"/>
      <c r="CXA37" s="53"/>
      <c r="CXB37" s="53"/>
      <c r="CXC37" s="53"/>
      <c r="CXD37" s="53"/>
      <c r="CXE37" s="53"/>
      <c r="CXF37" s="53"/>
      <c r="CXG37" s="53"/>
      <c r="CXH37" s="53"/>
      <c r="CXI37" s="53"/>
      <c r="CXJ37" s="53"/>
      <c r="CXK37" s="53"/>
      <c r="CXL37" s="53"/>
      <c r="CXM37" s="53"/>
      <c r="CXN37" s="53"/>
      <c r="CXO37" s="53"/>
      <c r="CXP37" s="53"/>
      <c r="CXQ37" s="53"/>
      <c r="CXR37" s="53"/>
      <c r="CXS37" s="53"/>
      <c r="CXT37" s="53"/>
      <c r="CXU37" s="53"/>
      <c r="CXV37" s="53"/>
      <c r="CXW37" s="53"/>
      <c r="CXX37" s="53"/>
      <c r="CXY37" s="53"/>
      <c r="CXZ37" s="53"/>
      <c r="CYA37" s="53"/>
      <c r="CYB37" s="53"/>
      <c r="CYC37" s="53"/>
      <c r="CYD37" s="53"/>
      <c r="CYE37" s="53"/>
      <c r="CYF37" s="53"/>
      <c r="CYG37" s="53"/>
      <c r="CYH37" s="53"/>
      <c r="CYI37" s="53"/>
      <c r="CYJ37" s="53"/>
      <c r="CYK37" s="53"/>
      <c r="CYL37" s="53"/>
      <c r="CYM37" s="53"/>
      <c r="CYN37" s="53"/>
      <c r="CYO37" s="53"/>
      <c r="CYP37" s="53"/>
      <c r="CYQ37" s="53"/>
      <c r="CYR37" s="53"/>
      <c r="CYS37" s="53"/>
      <c r="CYT37" s="53"/>
      <c r="CYU37" s="53"/>
      <c r="CYV37" s="53"/>
      <c r="CYW37" s="53"/>
      <c r="CYX37" s="53"/>
      <c r="CYY37" s="53"/>
      <c r="CYZ37" s="53"/>
      <c r="CZA37" s="53"/>
      <c r="CZB37" s="53"/>
      <c r="CZC37" s="53"/>
      <c r="CZD37" s="53"/>
      <c r="CZE37" s="53"/>
      <c r="CZF37" s="53"/>
      <c r="CZG37" s="53"/>
      <c r="CZH37" s="53"/>
      <c r="CZI37" s="53"/>
      <c r="CZJ37" s="53"/>
      <c r="CZK37" s="53"/>
      <c r="CZL37" s="53"/>
      <c r="CZM37" s="53"/>
      <c r="CZN37" s="53"/>
      <c r="CZO37" s="53"/>
      <c r="CZP37" s="53"/>
      <c r="CZQ37" s="53"/>
      <c r="CZR37" s="53"/>
      <c r="CZS37" s="53"/>
      <c r="CZT37" s="53"/>
      <c r="CZU37" s="53"/>
      <c r="CZV37" s="53"/>
      <c r="CZW37" s="53"/>
      <c r="CZX37" s="53"/>
      <c r="CZY37" s="53"/>
      <c r="CZZ37" s="53"/>
      <c r="DAA37" s="53"/>
      <c r="DAB37" s="53"/>
      <c r="DAC37" s="53"/>
      <c r="DAD37" s="53"/>
      <c r="DAE37" s="53"/>
      <c r="DAF37" s="53"/>
      <c r="DAG37" s="53"/>
      <c r="DAH37" s="53"/>
      <c r="DAI37" s="53"/>
      <c r="DAJ37" s="53"/>
      <c r="DAK37" s="53"/>
      <c r="DAL37" s="53"/>
      <c r="DAM37" s="53"/>
      <c r="DAN37" s="53"/>
      <c r="DAO37" s="53"/>
      <c r="DAP37" s="53"/>
      <c r="DAQ37" s="53"/>
      <c r="DAR37" s="53"/>
      <c r="DAS37" s="53"/>
      <c r="DAT37" s="53"/>
      <c r="DAU37" s="53"/>
      <c r="DAV37" s="53"/>
      <c r="DAW37" s="53"/>
      <c r="DAX37" s="53"/>
      <c r="DAY37" s="53"/>
      <c r="DAZ37" s="53"/>
      <c r="DBA37" s="53"/>
      <c r="DBB37" s="53"/>
      <c r="DBC37" s="53"/>
      <c r="DBD37" s="53"/>
      <c r="DBE37" s="53"/>
      <c r="DBF37" s="53"/>
      <c r="DBG37" s="53"/>
      <c r="DBH37" s="53"/>
      <c r="DBI37" s="53"/>
      <c r="DBJ37" s="53"/>
      <c r="DBK37" s="53"/>
      <c r="DBL37" s="53"/>
      <c r="DBM37" s="53"/>
      <c r="DBN37" s="53"/>
      <c r="DBO37" s="53"/>
      <c r="DBP37" s="53"/>
      <c r="DBQ37" s="53"/>
      <c r="DBR37" s="53"/>
      <c r="DBS37" s="53"/>
      <c r="DBT37" s="53"/>
      <c r="DBU37" s="53"/>
      <c r="DBV37" s="53"/>
      <c r="DBW37" s="53"/>
      <c r="DBX37" s="53"/>
      <c r="DBY37" s="53"/>
      <c r="DBZ37" s="53"/>
      <c r="DCA37" s="53"/>
      <c r="DCB37" s="53"/>
      <c r="DCC37" s="53"/>
      <c r="DCD37" s="53"/>
      <c r="DCE37" s="53"/>
      <c r="DCF37" s="53"/>
      <c r="DCG37" s="53"/>
      <c r="DCH37" s="53"/>
      <c r="DCI37" s="53"/>
      <c r="DCJ37" s="53"/>
      <c r="DCK37" s="53"/>
      <c r="DCL37" s="53"/>
      <c r="DCM37" s="53"/>
      <c r="DCN37" s="53"/>
      <c r="DCO37" s="53"/>
      <c r="DCP37" s="53"/>
      <c r="DCQ37" s="53"/>
      <c r="DCR37" s="53"/>
      <c r="DCS37" s="53"/>
      <c r="DCT37" s="53"/>
      <c r="DCU37" s="53"/>
      <c r="DCV37" s="53"/>
      <c r="DCW37" s="53"/>
      <c r="DCX37" s="53"/>
      <c r="DCY37" s="53"/>
      <c r="DCZ37" s="53"/>
      <c r="DDA37" s="53"/>
      <c r="DDB37" s="53"/>
      <c r="DDC37" s="53"/>
      <c r="DDD37" s="53"/>
      <c r="DDE37" s="53"/>
      <c r="DDF37" s="53"/>
      <c r="DDG37" s="53"/>
      <c r="DDH37" s="53"/>
      <c r="DDI37" s="53"/>
      <c r="DDJ37" s="53"/>
      <c r="DDK37" s="53"/>
      <c r="DDL37" s="53"/>
      <c r="DDM37" s="53"/>
      <c r="DDN37" s="53"/>
      <c r="DDO37" s="53"/>
      <c r="DDP37" s="53"/>
      <c r="DDQ37" s="53"/>
      <c r="DDR37" s="53"/>
      <c r="DDS37" s="53"/>
      <c r="DDT37" s="53"/>
      <c r="DDU37" s="53"/>
      <c r="DDV37" s="53"/>
      <c r="DDW37" s="53"/>
      <c r="DDX37" s="53"/>
      <c r="DDY37" s="53"/>
      <c r="DDZ37" s="53"/>
      <c r="DEA37" s="53"/>
      <c r="DEB37" s="53"/>
      <c r="DEC37" s="53"/>
      <c r="DED37" s="53"/>
      <c r="DEE37" s="53"/>
      <c r="DEF37" s="53"/>
      <c r="DEG37" s="53"/>
      <c r="DEH37" s="53"/>
      <c r="DEI37" s="53"/>
      <c r="DEJ37" s="53"/>
      <c r="DEK37" s="53"/>
      <c r="DEL37" s="53"/>
      <c r="DEM37" s="53"/>
      <c r="DEN37" s="53"/>
      <c r="DEO37" s="53"/>
      <c r="DEP37" s="53"/>
      <c r="DEQ37" s="53"/>
      <c r="DER37" s="53"/>
      <c r="DES37" s="53"/>
      <c r="DET37" s="53"/>
      <c r="DEU37" s="53"/>
      <c r="DEV37" s="53"/>
      <c r="DEW37" s="53"/>
      <c r="DEX37" s="53"/>
      <c r="DEY37" s="53"/>
      <c r="DEZ37" s="53"/>
      <c r="DFA37" s="53"/>
      <c r="DFB37" s="53"/>
      <c r="DFC37" s="53"/>
      <c r="DFD37" s="53"/>
      <c r="DFE37" s="53"/>
      <c r="DFF37" s="53"/>
      <c r="DFG37" s="53"/>
      <c r="DFH37" s="53"/>
      <c r="DFI37" s="53"/>
      <c r="DFJ37" s="53"/>
      <c r="DFK37" s="53"/>
      <c r="DFL37" s="53"/>
      <c r="DFM37" s="53"/>
      <c r="DFN37" s="53"/>
      <c r="DFO37" s="53"/>
      <c r="DFP37" s="53"/>
      <c r="DFQ37" s="53"/>
      <c r="DFR37" s="53"/>
      <c r="DFS37" s="53"/>
      <c r="DFT37" s="53"/>
      <c r="DFU37" s="53"/>
      <c r="DFV37" s="53"/>
      <c r="DFW37" s="53"/>
      <c r="DFX37" s="53"/>
      <c r="DFY37" s="53"/>
      <c r="DFZ37" s="53"/>
      <c r="DGA37" s="53"/>
      <c r="DGB37" s="53"/>
      <c r="DGC37" s="53"/>
      <c r="DGD37" s="53"/>
      <c r="DGE37" s="53"/>
      <c r="DGF37" s="53"/>
      <c r="DGG37" s="53"/>
      <c r="DGH37" s="53"/>
      <c r="DGI37" s="53"/>
      <c r="DGJ37" s="53"/>
      <c r="DGK37" s="53"/>
      <c r="DGL37" s="53"/>
      <c r="DGM37" s="53"/>
      <c r="DGN37" s="53"/>
      <c r="DGO37" s="53"/>
      <c r="DGP37" s="53"/>
      <c r="DGQ37" s="53"/>
      <c r="DGR37" s="53"/>
      <c r="DGS37" s="53"/>
      <c r="DGT37" s="53"/>
      <c r="DGU37" s="53"/>
      <c r="DGV37" s="53"/>
      <c r="DGW37" s="53"/>
      <c r="DGX37" s="53"/>
      <c r="DGY37" s="53"/>
      <c r="DGZ37" s="53"/>
      <c r="DHA37" s="53"/>
      <c r="DHB37" s="53"/>
      <c r="DHC37" s="53"/>
      <c r="DHD37" s="53"/>
      <c r="DHE37" s="53"/>
      <c r="DHF37" s="53"/>
      <c r="DHG37" s="53"/>
      <c r="DHH37" s="53"/>
      <c r="DHI37" s="53"/>
      <c r="DHJ37" s="53"/>
      <c r="DHK37" s="53"/>
      <c r="DHL37" s="53"/>
      <c r="DHM37" s="53"/>
      <c r="DHN37" s="53"/>
      <c r="DHO37" s="53"/>
      <c r="DHP37" s="53"/>
      <c r="DHQ37" s="53"/>
      <c r="DHR37" s="53"/>
      <c r="DHS37" s="53"/>
      <c r="DHT37" s="53"/>
      <c r="DHU37" s="53"/>
      <c r="DHV37" s="53"/>
      <c r="DHW37" s="53"/>
      <c r="DHX37" s="53"/>
      <c r="DHY37" s="53"/>
      <c r="DHZ37" s="53"/>
      <c r="DIA37" s="53"/>
      <c r="DIB37" s="53"/>
      <c r="DIC37" s="53"/>
      <c r="DID37" s="53"/>
      <c r="DIE37" s="53"/>
      <c r="DIF37" s="53"/>
      <c r="DIG37" s="53"/>
      <c r="DIH37" s="53"/>
      <c r="DII37" s="53"/>
      <c r="DIJ37" s="53"/>
      <c r="DIK37" s="53"/>
      <c r="DIL37" s="53"/>
      <c r="DIM37" s="53"/>
      <c r="DIN37" s="53"/>
      <c r="DIO37" s="53"/>
      <c r="DIP37" s="53"/>
      <c r="DIQ37" s="53"/>
      <c r="DIR37" s="53"/>
      <c r="DIS37" s="53"/>
      <c r="DIT37" s="53"/>
      <c r="DIU37" s="53"/>
      <c r="DIV37" s="53"/>
      <c r="DIW37" s="53"/>
      <c r="DIX37" s="53"/>
      <c r="DIY37" s="53"/>
      <c r="DIZ37" s="53"/>
      <c r="DJA37" s="53"/>
      <c r="DJB37" s="53"/>
      <c r="DJC37" s="53"/>
      <c r="DJD37" s="53"/>
      <c r="DJE37" s="53"/>
      <c r="DJF37" s="53"/>
      <c r="DJG37" s="53"/>
      <c r="DJH37" s="53"/>
      <c r="DJI37" s="53"/>
      <c r="DJJ37" s="53"/>
      <c r="DJK37" s="53"/>
      <c r="DJL37" s="53"/>
      <c r="DJM37" s="53"/>
      <c r="DJN37" s="53"/>
      <c r="DJO37" s="53"/>
      <c r="DJP37" s="53"/>
      <c r="DJQ37" s="53"/>
      <c r="DJR37" s="53"/>
      <c r="DJS37" s="53"/>
      <c r="DJT37" s="53"/>
      <c r="DJU37" s="53"/>
      <c r="DJV37" s="53"/>
      <c r="DJW37" s="53"/>
      <c r="DJX37" s="53"/>
      <c r="DJY37" s="53"/>
      <c r="DJZ37" s="53"/>
      <c r="DKA37" s="53"/>
      <c r="DKB37" s="53"/>
      <c r="DKC37" s="53"/>
      <c r="DKD37" s="53"/>
      <c r="DKE37" s="53"/>
      <c r="DKF37" s="53"/>
      <c r="DKG37" s="53"/>
      <c r="DKH37" s="53"/>
      <c r="DKI37" s="53"/>
      <c r="DKJ37" s="53"/>
      <c r="DKK37" s="53"/>
      <c r="DKL37" s="53"/>
      <c r="DKM37" s="53"/>
      <c r="DKN37" s="53"/>
      <c r="DKO37" s="53"/>
      <c r="DKP37" s="53"/>
      <c r="DKQ37" s="53"/>
      <c r="DKR37" s="53"/>
      <c r="DKS37" s="53"/>
      <c r="DKT37" s="53"/>
      <c r="DKU37" s="53"/>
      <c r="DKV37" s="53"/>
      <c r="DKW37" s="53"/>
      <c r="DKX37" s="53"/>
      <c r="DKY37" s="53"/>
      <c r="DKZ37" s="53"/>
      <c r="DLA37" s="53"/>
      <c r="DLB37" s="53"/>
      <c r="DLC37" s="53"/>
      <c r="DLD37" s="53"/>
      <c r="DLE37" s="53"/>
      <c r="DLF37" s="53"/>
      <c r="DLG37" s="53"/>
      <c r="DLH37" s="53"/>
      <c r="DLI37" s="53"/>
      <c r="DLJ37" s="53"/>
      <c r="DLK37" s="53"/>
      <c r="DLL37" s="53"/>
      <c r="DLM37" s="53"/>
      <c r="DLN37" s="53"/>
      <c r="DLO37" s="53"/>
      <c r="DLP37" s="53"/>
      <c r="DLQ37" s="53"/>
      <c r="DLR37" s="53"/>
      <c r="DLS37" s="53"/>
      <c r="DLT37" s="53"/>
      <c r="DLU37" s="53"/>
      <c r="DLV37" s="53"/>
      <c r="DLW37" s="53"/>
      <c r="DLX37" s="53"/>
      <c r="DLY37" s="53"/>
      <c r="DLZ37" s="53"/>
      <c r="DMA37" s="53"/>
      <c r="DMB37" s="53"/>
      <c r="DMC37" s="53"/>
      <c r="DMD37" s="53"/>
      <c r="DME37" s="53"/>
      <c r="DMF37" s="53"/>
      <c r="DMG37" s="53"/>
      <c r="DMH37" s="53"/>
      <c r="DMI37" s="53"/>
      <c r="DMJ37" s="53"/>
      <c r="DMK37" s="53"/>
      <c r="DML37" s="53"/>
      <c r="DMM37" s="53"/>
      <c r="DMN37" s="53"/>
      <c r="DMO37" s="53"/>
      <c r="DMP37" s="53"/>
      <c r="DMQ37" s="53"/>
      <c r="DMR37" s="53"/>
      <c r="DMS37" s="53"/>
      <c r="DMT37" s="53"/>
      <c r="DMU37" s="53"/>
      <c r="DMV37" s="53"/>
      <c r="DMW37" s="53"/>
      <c r="DMX37" s="53"/>
      <c r="DMY37" s="53"/>
      <c r="DMZ37" s="53"/>
      <c r="DNA37" s="53"/>
      <c r="DNB37" s="53"/>
      <c r="DNC37" s="53"/>
      <c r="DND37" s="53"/>
      <c r="DNE37" s="53"/>
      <c r="DNF37" s="53"/>
      <c r="DNG37" s="53"/>
      <c r="DNH37" s="53"/>
      <c r="DNI37" s="53"/>
      <c r="DNJ37" s="53"/>
      <c r="DNK37" s="53"/>
      <c r="DNL37" s="53"/>
      <c r="DNM37" s="53"/>
      <c r="DNN37" s="53"/>
      <c r="DNO37" s="53"/>
      <c r="DNP37" s="53"/>
      <c r="DNQ37" s="53"/>
      <c r="DNR37" s="53"/>
      <c r="DNS37" s="53"/>
      <c r="DNT37" s="53"/>
      <c r="DNU37" s="53"/>
      <c r="DNV37" s="53"/>
      <c r="DNW37" s="53"/>
      <c r="DNX37" s="53"/>
      <c r="DNY37" s="53"/>
      <c r="DNZ37" s="53"/>
      <c r="DOA37" s="53"/>
      <c r="DOB37" s="53"/>
      <c r="DOC37" s="53"/>
      <c r="DOD37" s="53"/>
      <c r="DOE37" s="53"/>
      <c r="DOF37" s="53"/>
      <c r="DOG37" s="53"/>
      <c r="DOH37" s="53"/>
      <c r="DOI37" s="53"/>
      <c r="DOJ37" s="53"/>
      <c r="DOK37" s="53"/>
      <c r="DOL37" s="53"/>
      <c r="DOM37" s="53"/>
      <c r="DON37" s="53"/>
      <c r="DOO37" s="53"/>
      <c r="DOP37" s="53"/>
      <c r="DOQ37" s="53"/>
      <c r="DOR37" s="53"/>
      <c r="DOS37" s="53"/>
      <c r="DOT37" s="53"/>
      <c r="DOU37" s="53"/>
      <c r="DOV37" s="53"/>
      <c r="DOW37" s="53"/>
      <c r="DOX37" s="53"/>
      <c r="DOY37" s="53"/>
      <c r="DOZ37" s="53"/>
      <c r="DPA37" s="53"/>
      <c r="DPB37" s="53"/>
      <c r="DPC37" s="53"/>
      <c r="DPD37" s="53"/>
      <c r="DPE37" s="53"/>
      <c r="DPF37" s="53"/>
      <c r="DPG37" s="53"/>
      <c r="DPH37" s="53"/>
      <c r="DPI37" s="53"/>
      <c r="DPJ37" s="53"/>
      <c r="DPK37" s="53"/>
      <c r="DPL37" s="53"/>
      <c r="DPM37" s="53"/>
      <c r="DPN37" s="53"/>
      <c r="DPO37" s="53"/>
      <c r="DPP37" s="53"/>
      <c r="DPQ37" s="53"/>
      <c r="DPR37" s="53"/>
      <c r="DPS37" s="53"/>
      <c r="DPT37" s="53"/>
      <c r="DPU37" s="53"/>
      <c r="DPV37" s="53"/>
      <c r="DPW37" s="53"/>
      <c r="DPX37" s="53"/>
      <c r="DPY37" s="53"/>
      <c r="DPZ37" s="53"/>
      <c r="DQA37" s="53"/>
      <c r="DQB37" s="53"/>
      <c r="DQC37" s="53"/>
      <c r="DQD37" s="53"/>
      <c r="DQE37" s="53"/>
      <c r="DQF37" s="53"/>
      <c r="DQG37" s="53"/>
      <c r="DQH37" s="53"/>
      <c r="DQI37" s="53"/>
      <c r="DQJ37" s="53"/>
      <c r="DQK37" s="53"/>
      <c r="DQL37" s="53"/>
      <c r="DQM37" s="53"/>
      <c r="DQN37" s="53"/>
      <c r="DQO37" s="53"/>
      <c r="DQP37" s="53"/>
      <c r="DQQ37" s="53"/>
      <c r="DQR37" s="53"/>
      <c r="DQS37" s="53"/>
      <c r="DQT37" s="53"/>
      <c r="DQU37" s="53"/>
      <c r="DQV37" s="53"/>
      <c r="DQW37" s="53"/>
      <c r="DQX37" s="53"/>
      <c r="DQY37" s="53"/>
      <c r="DQZ37" s="53"/>
      <c r="DRA37" s="53"/>
      <c r="DRB37" s="53"/>
      <c r="DRC37" s="53"/>
      <c r="DRD37" s="53"/>
      <c r="DRE37" s="53"/>
      <c r="DRF37" s="53"/>
      <c r="DRG37" s="53"/>
      <c r="DRH37" s="53"/>
      <c r="DRI37" s="53"/>
      <c r="DRJ37" s="53"/>
      <c r="DRK37" s="53"/>
      <c r="DRL37" s="53"/>
      <c r="DRM37" s="53"/>
      <c r="DRN37" s="53"/>
      <c r="DRO37" s="53"/>
      <c r="DRP37" s="53"/>
      <c r="DRQ37" s="53"/>
      <c r="DRR37" s="53"/>
      <c r="DRS37" s="53"/>
      <c r="DRT37" s="53"/>
      <c r="DRU37" s="53"/>
      <c r="DRV37" s="53"/>
      <c r="DRW37" s="53"/>
      <c r="DRX37" s="53"/>
      <c r="DRY37" s="53"/>
      <c r="DRZ37" s="53"/>
      <c r="DSA37" s="53"/>
      <c r="DSB37" s="53"/>
      <c r="DSC37" s="53"/>
      <c r="DSD37" s="53"/>
      <c r="DSE37" s="53"/>
      <c r="DSF37" s="53"/>
      <c r="DSG37" s="53"/>
      <c r="DSH37" s="53"/>
      <c r="DSI37" s="53"/>
      <c r="DSJ37" s="53"/>
      <c r="DSK37" s="53"/>
      <c r="DSL37" s="53"/>
      <c r="DSM37" s="53"/>
      <c r="DSN37" s="53"/>
      <c r="DSO37" s="53"/>
      <c r="DSP37" s="53"/>
      <c r="DSQ37" s="53"/>
      <c r="DSR37" s="53"/>
      <c r="DSS37" s="53"/>
      <c r="DST37" s="53"/>
      <c r="DSU37" s="53"/>
      <c r="DSV37" s="53"/>
      <c r="DSW37" s="53"/>
      <c r="DSX37" s="53"/>
      <c r="DSY37" s="53"/>
      <c r="DSZ37" s="53"/>
      <c r="DTA37" s="53"/>
      <c r="DTB37" s="53"/>
      <c r="DTC37" s="53"/>
      <c r="DTD37" s="53"/>
      <c r="DTE37" s="53"/>
      <c r="DTF37" s="53"/>
      <c r="DTG37" s="53"/>
      <c r="DTH37" s="53"/>
      <c r="DTI37" s="53"/>
      <c r="DTJ37" s="53"/>
      <c r="DTK37" s="53"/>
      <c r="DTL37" s="53"/>
      <c r="DTM37" s="53"/>
      <c r="DTN37" s="53"/>
      <c r="DTO37" s="53"/>
      <c r="DTP37" s="53"/>
      <c r="DTQ37" s="53"/>
      <c r="DTR37" s="53"/>
      <c r="DTS37" s="53"/>
      <c r="DTT37" s="53"/>
      <c r="DTU37" s="53"/>
      <c r="DTV37" s="53"/>
      <c r="DTW37" s="53"/>
      <c r="DTX37" s="53"/>
      <c r="DTY37" s="53"/>
      <c r="DTZ37" s="53"/>
      <c r="DUA37" s="53"/>
      <c r="DUB37" s="53"/>
      <c r="DUC37" s="53"/>
      <c r="DUD37" s="53"/>
      <c r="DUE37" s="53"/>
      <c r="DUF37" s="53"/>
      <c r="DUG37" s="53"/>
      <c r="DUH37" s="53"/>
      <c r="DUI37" s="53"/>
      <c r="DUJ37" s="53"/>
      <c r="DUK37" s="53"/>
      <c r="DUL37" s="53"/>
      <c r="DUM37" s="53"/>
      <c r="DUN37" s="53"/>
      <c r="DUO37" s="53"/>
      <c r="DUP37" s="53"/>
      <c r="DUQ37" s="53"/>
      <c r="DUR37" s="53"/>
      <c r="DUS37" s="53"/>
      <c r="DUT37" s="53"/>
      <c r="DUU37" s="53"/>
      <c r="DUV37" s="53"/>
      <c r="DUW37" s="53"/>
      <c r="DUX37" s="53"/>
      <c r="DUY37" s="53"/>
      <c r="DUZ37" s="53"/>
      <c r="DVA37" s="53"/>
      <c r="DVB37" s="53"/>
      <c r="DVC37" s="53"/>
      <c r="DVD37" s="53"/>
      <c r="DVE37" s="53"/>
      <c r="DVF37" s="53"/>
      <c r="DVG37" s="53"/>
      <c r="DVH37" s="53"/>
      <c r="DVI37" s="53"/>
      <c r="DVJ37" s="53"/>
      <c r="DVK37" s="53"/>
      <c r="DVL37" s="53"/>
      <c r="DVM37" s="53"/>
      <c r="DVN37" s="53"/>
      <c r="DVO37" s="53"/>
      <c r="DVP37" s="53"/>
      <c r="DVQ37" s="53"/>
      <c r="DVR37" s="53"/>
      <c r="DVS37" s="53"/>
      <c r="DVT37" s="53"/>
      <c r="DVU37" s="53"/>
      <c r="DVV37" s="53"/>
      <c r="DVW37" s="53"/>
      <c r="DVX37" s="53"/>
      <c r="DVY37" s="53"/>
      <c r="DVZ37" s="53"/>
      <c r="DWA37" s="53"/>
      <c r="DWB37" s="53"/>
      <c r="DWC37" s="53"/>
      <c r="DWD37" s="53"/>
      <c r="DWE37" s="53"/>
      <c r="DWF37" s="53"/>
      <c r="DWG37" s="53"/>
      <c r="DWH37" s="53"/>
      <c r="DWI37" s="53"/>
      <c r="DWJ37" s="53"/>
      <c r="DWK37" s="53"/>
      <c r="DWL37" s="53"/>
      <c r="DWM37" s="53"/>
      <c r="DWN37" s="53"/>
      <c r="DWO37" s="53"/>
      <c r="DWP37" s="53"/>
      <c r="DWQ37" s="53"/>
      <c r="DWR37" s="53"/>
      <c r="DWS37" s="53"/>
      <c r="DWT37" s="53"/>
      <c r="DWU37" s="53"/>
      <c r="DWV37" s="53"/>
      <c r="DWW37" s="53"/>
      <c r="DWX37" s="53"/>
      <c r="DWY37" s="53"/>
      <c r="DWZ37" s="53"/>
      <c r="DXA37" s="53"/>
      <c r="DXB37" s="53"/>
      <c r="DXC37" s="53"/>
      <c r="DXD37" s="53"/>
      <c r="DXE37" s="53"/>
      <c r="DXF37" s="53"/>
      <c r="DXG37" s="53"/>
      <c r="DXH37" s="53"/>
      <c r="DXI37" s="53"/>
      <c r="DXJ37" s="53"/>
      <c r="DXK37" s="53"/>
      <c r="DXL37" s="53"/>
      <c r="DXM37" s="53"/>
      <c r="DXN37" s="53"/>
      <c r="DXO37" s="53"/>
      <c r="DXP37" s="53"/>
      <c r="DXQ37" s="53"/>
      <c r="DXR37" s="53"/>
      <c r="DXS37" s="53"/>
      <c r="DXT37" s="53"/>
      <c r="DXU37" s="53"/>
      <c r="DXV37" s="53"/>
      <c r="DXW37" s="53"/>
      <c r="DXX37" s="53"/>
      <c r="DXY37" s="53"/>
      <c r="DXZ37" s="53"/>
      <c r="DYA37" s="53"/>
      <c r="DYB37" s="53"/>
      <c r="DYC37" s="53"/>
      <c r="DYD37" s="53"/>
      <c r="DYE37" s="53"/>
      <c r="DYF37" s="53"/>
      <c r="DYG37" s="53"/>
      <c r="DYH37" s="53"/>
      <c r="DYI37" s="53"/>
      <c r="DYJ37" s="53"/>
      <c r="DYK37" s="53"/>
      <c r="DYL37" s="53"/>
      <c r="DYM37" s="53"/>
      <c r="DYN37" s="53"/>
      <c r="DYO37" s="53"/>
      <c r="DYP37" s="53"/>
      <c r="DYQ37" s="53"/>
      <c r="DYR37" s="53"/>
      <c r="DYS37" s="53"/>
      <c r="DYT37" s="53"/>
      <c r="DYU37" s="53"/>
      <c r="DYV37" s="53"/>
      <c r="DYW37" s="53"/>
      <c r="DYX37" s="53"/>
      <c r="DYY37" s="53"/>
      <c r="DYZ37" s="53"/>
      <c r="DZA37" s="53"/>
      <c r="DZB37" s="53"/>
      <c r="DZC37" s="53"/>
      <c r="DZD37" s="53"/>
      <c r="DZE37" s="53"/>
      <c r="DZF37" s="53"/>
      <c r="DZG37" s="53"/>
      <c r="DZH37" s="53"/>
      <c r="DZI37" s="53"/>
      <c r="DZJ37" s="53"/>
      <c r="DZK37" s="53"/>
      <c r="DZL37" s="53"/>
      <c r="DZM37" s="53"/>
      <c r="DZN37" s="53"/>
      <c r="DZO37" s="53"/>
      <c r="DZP37" s="53"/>
      <c r="DZQ37" s="53"/>
      <c r="DZR37" s="53"/>
      <c r="DZS37" s="53"/>
      <c r="DZT37" s="53"/>
      <c r="DZU37" s="53"/>
      <c r="DZV37" s="53"/>
      <c r="DZW37" s="53"/>
      <c r="DZX37" s="53"/>
      <c r="DZY37" s="53"/>
      <c r="DZZ37" s="53"/>
      <c r="EAA37" s="53"/>
      <c r="EAB37" s="53"/>
      <c r="EAC37" s="53"/>
      <c r="EAD37" s="53"/>
      <c r="EAE37" s="53"/>
      <c r="EAF37" s="53"/>
      <c r="EAG37" s="53"/>
      <c r="EAH37" s="53"/>
      <c r="EAI37" s="53"/>
      <c r="EAJ37" s="53"/>
      <c r="EAK37" s="53"/>
      <c r="EAL37" s="53"/>
      <c r="EAM37" s="53"/>
      <c r="EAN37" s="53"/>
      <c r="EAO37" s="53"/>
      <c r="EAP37" s="53"/>
      <c r="EAQ37" s="53"/>
      <c r="EAR37" s="53"/>
      <c r="EAS37" s="53"/>
      <c r="EAT37" s="53"/>
      <c r="EAU37" s="53"/>
      <c r="EAV37" s="53"/>
      <c r="EAW37" s="53"/>
      <c r="EAX37" s="53"/>
      <c r="EAY37" s="53"/>
      <c r="EAZ37" s="53"/>
      <c r="EBA37" s="53"/>
      <c r="EBB37" s="53"/>
      <c r="EBC37" s="53"/>
      <c r="EBD37" s="53"/>
      <c r="EBE37" s="53"/>
      <c r="EBF37" s="53"/>
      <c r="EBG37" s="53"/>
      <c r="EBH37" s="53"/>
      <c r="EBI37" s="53"/>
      <c r="EBJ37" s="53"/>
      <c r="EBK37" s="53"/>
      <c r="EBL37" s="53"/>
      <c r="EBM37" s="53"/>
      <c r="EBN37" s="53"/>
      <c r="EBO37" s="53"/>
      <c r="EBP37" s="53"/>
      <c r="EBQ37" s="53"/>
      <c r="EBR37" s="53"/>
      <c r="EBS37" s="53"/>
      <c r="EBT37" s="53"/>
      <c r="EBU37" s="53"/>
      <c r="EBV37" s="53"/>
      <c r="EBW37" s="53"/>
      <c r="EBX37" s="53"/>
      <c r="EBY37" s="53"/>
      <c r="EBZ37" s="53"/>
      <c r="ECA37" s="53"/>
      <c r="ECB37" s="53"/>
      <c r="ECC37" s="53"/>
      <c r="ECD37" s="53"/>
      <c r="ECE37" s="53"/>
      <c r="ECF37" s="53"/>
      <c r="ECG37" s="53"/>
      <c r="ECH37" s="53"/>
      <c r="ECI37" s="53"/>
      <c r="ECJ37" s="53"/>
      <c r="ECK37" s="53"/>
      <c r="ECL37" s="53"/>
      <c r="ECM37" s="53"/>
      <c r="ECN37" s="53"/>
      <c r="ECO37" s="53"/>
      <c r="ECP37" s="53"/>
      <c r="ECQ37" s="53"/>
      <c r="ECR37" s="53"/>
      <c r="ECS37" s="53"/>
      <c r="ECT37" s="53"/>
      <c r="ECU37" s="53"/>
      <c r="ECV37" s="53"/>
      <c r="ECW37" s="53"/>
      <c r="ECX37" s="53"/>
      <c r="ECY37" s="53"/>
      <c r="ECZ37" s="53"/>
      <c r="EDA37" s="53"/>
      <c r="EDB37" s="53"/>
      <c r="EDC37" s="53"/>
      <c r="EDD37" s="53"/>
      <c r="EDE37" s="53"/>
      <c r="EDF37" s="53"/>
      <c r="EDG37" s="53"/>
      <c r="EDH37" s="53"/>
      <c r="EDI37" s="53"/>
      <c r="EDJ37" s="53"/>
      <c r="EDK37" s="53"/>
      <c r="EDL37" s="53"/>
      <c r="EDM37" s="53"/>
      <c r="EDN37" s="53"/>
      <c r="EDO37" s="53"/>
      <c r="EDP37" s="53"/>
      <c r="EDQ37" s="53"/>
      <c r="EDR37" s="53"/>
      <c r="EDS37" s="53"/>
      <c r="EDT37" s="53"/>
      <c r="EDU37" s="53"/>
      <c r="EDV37" s="53"/>
      <c r="EDW37" s="53"/>
      <c r="EDX37" s="53"/>
      <c r="EDY37" s="53"/>
      <c r="EDZ37" s="53"/>
      <c r="EEA37" s="53"/>
      <c r="EEB37" s="53"/>
      <c r="EEC37" s="53"/>
      <c r="EED37" s="53"/>
      <c r="EEE37" s="53"/>
      <c r="EEF37" s="53"/>
      <c r="EEG37" s="53"/>
      <c r="EEH37" s="53"/>
      <c r="EEI37" s="53"/>
      <c r="EEJ37" s="53"/>
      <c r="EEK37" s="53"/>
      <c r="EEL37" s="53"/>
      <c r="EEM37" s="53"/>
      <c r="EEN37" s="53"/>
      <c r="EEO37" s="53"/>
      <c r="EEP37" s="53"/>
      <c r="EEQ37" s="53"/>
      <c r="EER37" s="53"/>
      <c r="EES37" s="53"/>
      <c r="EET37" s="53"/>
      <c r="EEU37" s="53"/>
      <c r="EEV37" s="53"/>
      <c r="EEW37" s="53"/>
      <c r="EEX37" s="53"/>
      <c r="EEY37" s="53"/>
      <c r="EEZ37" s="53"/>
      <c r="EFA37" s="53"/>
      <c r="EFB37" s="53"/>
      <c r="EFC37" s="53"/>
      <c r="EFD37" s="53"/>
      <c r="EFE37" s="53"/>
      <c r="EFF37" s="53"/>
      <c r="EFG37" s="53"/>
      <c r="EFH37" s="53"/>
      <c r="EFI37" s="53"/>
      <c r="EFJ37" s="53"/>
      <c r="EFK37" s="53"/>
      <c r="EFL37" s="53"/>
      <c r="EFM37" s="53"/>
      <c r="EFN37" s="53"/>
      <c r="EFO37" s="53"/>
      <c r="EFP37" s="53"/>
      <c r="EFQ37" s="53"/>
      <c r="EFR37" s="53"/>
      <c r="EFS37" s="53"/>
      <c r="EFT37" s="53"/>
      <c r="EFU37" s="53"/>
      <c r="EFV37" s="53"/>
      <c r="EFW37" s="53"/>
      <c r="EFX37" s="53"/>
      <c r="EFY37" s="53"/>
      <c r="EFZ37" s="53"/>
      <c r="EGA37" s="53"/>
      <c r="EGB37" s="53"/>
      <c r="EGC37" s="53"/>
      <c r="EGD37" s="53"/>
      <c r="EGE37" s="53"/>
      <c r="EGF37" s="53"/>
      <c r="EGG37" s="53"/>
      <c r="EGH37" s="53"/>
      <c r="EGI37" s="53"/>
      <c r="EGJ37" s="53"/>
      <c r="EGK37" s="53"/>
      <c r="EGL37" s="53"/>
      <c r="EGM37" s="53"/>
      <c r="EGN37" s="53"/>
      <c r="EGO37" s="53"/>
      <c r="EGP37" s="53"/>
      <c r="EGQ37" s="53"/>
      <c r="EGR37" s="53"/>
      <c r="EGS37" s="53"/>
      <c r="EGT37" s="53"/>
      <c r="EGU37" s="53"/>
      <c r="EGV37" s="53"/>
      <c r="EGW37" s="53"/>
      <c r="EGX37" s="53"/>
      <c r="EGY37" s="53"/>
      <c r="EGZ37" s="53"/>
      <c r="EHA37" s="53"/>
      <c r="EHB37" s="53"/>
      <c r="EHC37" s="53"/>
      <c r="EHD37" s="53"/>
      <c r="EHE37" s="53"/>
      <c r="EHF37" s="53"/>
      <c r="EHG37" s="53"/>
      <c r="EHH37" s="53"/>
      <c r="EHI37" s="53"/>
      <c r="EHJ37" s="53"/>
      <c r="EHK37" s="53"/>
      <c r="EHL37" s="53"/>
      <c r="EHM37" s="53"/>
      <c r="EHN37" s="53"/>
      <c r="EHO37" s="53"/>
      <c r="EHP37" s="53"/>
      <c r="EHQ37" s="53"/>
      <c r="EHR37" s="53"/>
      <c r="EHS37" s="53"/>
      <c r="EHT37" s="53"/>
      <c r="EHU37" s="53"/>
      <c r="EHV37" s="53"/>
      <c r="EHW37" s="53"/>
      <c r="EHX37" s="53"/>
      <c r="EHY37" s="53"/>
      <c r="EHZ37" s="53"/>
      <c r="EIA37" s="53"/>
      <c r="EIB37" s="53"/>
      <c r="EIC37" s="53"/>
      <c r="EID37" s="53"/>
      <c r="EIE37" s="53"/>
      <c r="EIF37" s="53"/>
      <c r="EIG37" s="53"/>
      <c r="EIH37" s="53"/>
      <c r="EII37" s="53"/>
      <c r="EIJ37" s="53"/>
      <c r="EIK37" s="53"/>
      <c r="EIL37" s="53"/>
      <c r="EIM37" s="53"/>
      <c r="EIN37" s="53"/>
      <c r="EIO37" s="53"/>
      <c r="EIP37" s="53"/>
      <c r="EIQ37" s="53"/>
      <c r="EIR37" s="53"/>
      <c r="EIS37" s="53"/>
      <c r="EIT37" s="53"/>
      <c r="EIU37" s="53"/>
      <c r="EIV37" s="53"/>
      <c r="EIW37" s="53"/>
      <c r="EIX37" s="53"/>
      <c r="EIY37" s="53"/>
      <c r="EIZ37" s="53"/>
      <c r="EJA37" s="53"/>
      <c r="EJB37" s="53"/>
      <c r="EJC37" s="53"/>
      <c r="EJD37" s="53"/>
      <c r="EJE37" s="53"/>
      <c r="EJF37" s="53"/>
      <c r="EJG37" s="53"/>
      <c r="EJH37" s="53"/>
      <c r="EJI37" s="53"/>
      <c r="EJJ37" s="53"/>
      <c r="EJK37" s="53"/>
      <c r="EJL37" s="53"/>
      <c r="EJM37" s="53"/>
      <c r="EJN37" s="53"/>
      <c r="EJO37" s="53"/>
      <c r="EJP37" s="53"/>
      <c r="EJQ37" s="53"/>
      <c r="EJR37" s="53"/>
      <c r="EJS37" s="53"/>
      <c r="EJT37" s="53"/>
      <c r="EJU37" s="53"/>
      <c r="EJV37" s="53"/>
      <c r="EJW37" s="53"/>
      <c r="EJX37" s="53"/>
      <c r="EJY37" s="53"/>
      <c r="EJZ37" s="53"/>
      <c r="EKA37" s="53"/>
      <c r="EKB37" s="53"/>
      <c r="EKC37" s="53"/>
      <c r="EKD37" s="53"/>
      <c r="EKE37" s="53"/>
      <c r="EKF37" s="53"/>
      <c r="EKG37" s="53"/>
      <c r="EKH37" s="53"/>
      <c r="EKI37" s="53"/>
      <c r="EKJ37" s="53"/>
      <c r="EKK37" s="53"/>
      <c r="EKL37" s="53"/>
      <c r="EKM37" s="53"/>
      <c r="EKN37" s="53"/>
      <c r="EKO37" s="53"/>
      <c r="EKP37" s="53"/>
      <c r="EKQ37" s="53"/>
      <c r="EKR37" s="53"/>
      <c r="EKS37" s="53"/>
      <c r="EKT37" s="53"/>
      <c r="EKU37" s="53"/>
      <c r="EKV37" s="53"/>
      <c r="EKW37" s="53"/>
      <c r="EKX37" s="53"/>
      <c r="EKY37" s="53"/>
      <c r="EKZ37" s="53"/>
      <c r="ELA37" s="53"/>
      <c r="ELB37" s="53"/>
      <c r="ELC37" s="53"/>
      <c r="ELD37" s="53"/>
      <c r="ELE37" s="53"/>
      <c r="ELF37" s="53"/>
      <c r="ELG37" s="53"/>
      <c r="ELH37" s="53"/>
      <c r="ELI37" s="53"/>
      <c r="ELJ37" s="53"/>
      <c r="ELK37" s="53"/>
      <c r="ELL37" s="53"/>
      <c r="ELM37" s="53"/>
      <c r="ELN37" s="53"/>
      <c r="ELO37" s="53"/>
      <c r="ELP37" s="53"/>
      <c r="ELQ37" s="53"/>
      <c r="ELR37" s="53"/>
      <c r="ELS37" s="53"/>
      <c r="ELT37" s="53"/>
      <c r="ELU37" s="53"/>
      <c r="ELV37" s="53"/>
      <c r="ELW37" s="53"/>
      <c r="ELX37" s="53"/>
      <c r="ELY37" s="53"/>
      <c r="ELZ37" s="53"/>
      <c r="EMA37" s="53"/>
      <c r="EMB37" s="53"/>
      <c r="EMC37" s="53"/>
      <c r="EMD37" s="53"/>
      <c r="EME37" s="53"/>
      <c r="EMF37" s="53"/>
      <c r="EMG37" s="53"/>
      <c r="EMH37" s="53"/>
      <c r="EMI37" s="53"/>
      <c r="EMJ37" s="53"/>
      <c r="EMK37" s="53"/>
      <c r="EML37" s="53"/>
      <c r="EMM37" s="53"/>
      <c r="EMN37" s="53"/>
      <c r="EMO37" s="53"/>
      <c r="EMP37" s="53"/>
      <c r="EMQ37" s="53"/>
      <c r="EMR37" s="53"/>
      <c r="EMS37" s="53"/>
      <c r="EMT37" s="53"/>
      <c r="EMU37" s="53"/>
      <c r="EMV37" s="53"/>
      <c r="EMW37" s="53"/>
      <c r="EMX37" s="53"/>
      <c r="EMY37" s="53"/>
      <c r="EMZ37" s="53"/>
      <c r="ENA37" s="53"/>
      <c r="ENB37" s="53"/>
      <c r="ENC37" s="53"/>
      <c r="END37" s="53"/>
      <c r="ENE37" s="53"/>
      <c r="ENF37" s="53"/>
      <c r="ENG37" s="53"/>
      <c r="ENH37" s="53"/>
      <c r="ENI37" s="53"/>
      <c r="ENJ37" s="53"/>
      <c r="ENK37" s="53"/>
      <c r="ENL37" s="53"/>
      <c r="ENM37" s="53"/>
      <c r="ENN37" s="53"/>
      <c r="ENO37" s="53"/>
      <c r="ENP37" s="53"/>
      <c r="ENQ37" s="53"/>
      <c r="ENR37" s="53"/>
      <c r="ENS37" s="53"/>
      <c r="ENT37" s="53"/>
      <c r="ENU37" s="53"/>
      <c r="ENV37" s="53"/>
      <c r="ENW37" s="53"/>
      <c r="ENX37" s="53"/>
      <c r="ENY37" s="53"/>
      <c r="ENZ37" s="53"/>
      <c r="EOA37" s="53"/>
      <c r="EOB37" s="53"/>
      <c r="EOC37" s="53"/>
      <c r="EOD37" s="53"/>
      <c r="EOE37" s="53"/>
      <c r="EOF37" s="53"/>
      <c r="EOG37" s="53"/>
      <c r="EOH37" s="53"/>
      <c r="EOI37" s="53"/>
      <c r="EOJ37" s="53"/>
      <c r="EOK37" s="53"/>
      <c r="EOL37" s="53"/>
      <c r="EOM37" s="53"/>
      <c r="EON37" s="53"/>
      <c r="EOO37" s="53"/>
      <c r="EOP37" s="53"/>
      <c r="EOQ37" s="53"/>
      <c r="EOR37" s="53"/>
      <c r="EOS37" s="53"/>
      <c r="EOT37" s="53"/>
      <c r="EOU37" s="53"/>
      <c r="EOV37" s="53"/>
      <c r="EOW37" s="53"/>
      <c r="EOX37" s="53"/>
      <c r="EOY37" s="53"/>
      <c r="EOZ37" s="53"/>
      <c r="EPA37" s="53"/>
      <c r="EPB37" s="53"/>
      <c r="EPC37" s="53"/>
      <c r="EPD37" s="53"/>
      <c r="EPE37" s="53"/>
      <c r="EPF37" s="53"/>
      <c r="EPG37" s="53"/>
      <c r="EPH37" s="53"/>
      <c r="EPI37" s="53"/>
      <c r="EPJ37" s="53"/>
      <c r="EPK37" s="53"/>
      <c r="EPL37" s="53"/>
      <c r="EPM37" s="53"/>
      <c r="EPN37" s="53"/>
      <c r="EPO37" s="53"/>
      <c r="EPP37" s="53"/>
      <c r="EPQ37" s="53"/>
      <c r="EPR37" s="53"/>
      <c r="EPS37" s="53"/>
      <c r="EPT37" s="53"/>
      <c r="EPU37" s="53"/>
      <c r="EPV37" s="53"/>
      <c r="EPW37" s="53"/>
      <c r="EPX37" s="53"/>
      <c r="EPY37" s="53"/>
      <c r="EPZ37" s="53"/>
      <c r="EQA37" s="53"/>
      <c r="EQB37" s="53"/>
      <c r="EQC37" s="53"/>
      <c r="EQD37" s="53"/>
      <c r="EQE37" s="53"/>
      <c r="EQF37" s="53"/>
      <c r="EQG37" s="53"/>
      <c r="EQH37" s="53"/>
      <c r="EQI37" s="53"/>
      <c r="EQJ37" s="53"/>
      <c r="EQK37" s="53"/>
      <c r="EQL37" s="53"/>
      <c r="EQM37" s="53"/>
      <c r="EQN37" s="53"/>
      <c r="EQO37" s="53"/>
      <c r="EQP37" s="53"/>
      <c r="EQQ37" s="53"/>
      <c r="EQR37" s="53"/>
      <c r="EQS37" s="53"/>
      <c r="EQT37" s="53"/>
      <c r="EQU37" s="53"/>
      <c r="EQV37" s="53"/>
      <c r="EQW37" s="53"/>
      <c r="EQX37" s="53"/>
      <c r="EQY37" s="53"/>
      <c r="EQZ37" s="53"/>
      <c r="ERA37" s="53"/>
      <c r="ERB37" s="53"/>
      <c r="ERC37" s="53"/>
      <c r="ERD37" s="53"/>
      <c r="ERE37" s="53"/>
      <c r="ERF37" s="53"/>
      <c r="ERG37" s="53"/>
      <c r="ERH37" s="53"/>
      <c r="ERI37" s="53"/>
      <c r="ERJ37" s="53"/>
      <c r="ERK37" s="53"/>
      <c r="ERL37" s="53"/>
      <c r="ERM37" s="53"/>
      <c r="ERN37" s="53"/>
      <c r="ERO37" s="53"/>
      <c r="ERP37" s="53"/>
      <c r="ERQ37" s="53"/>
      <c r="ERR37" s="53"/>
      <c r="ERS37" s="53"/>
      <c r="ERT37" s="53"/>
      <c r="ERU37" s="53"/>
      <c r="ERV37" s="53"/>
      <c r="ERW37" s="53"/>
      <c r="ERX37" s="53"/>
      <c r="ERY37" s="53"/>
      <c r="ERZ37" s="53"/>
      <c r="ESA37" s="53"/>
      <c r="ESB37" s="53"/>
      <c r="ESC37" s="53"/>
      <c r="ESD37" s="53"/>
      <c r="ESE37" s="53"/>
      <c r="ESF37" s="53"/>
      <c r="ESG37" s="53"/>
      <c r="ESH37" s="53"/>
      <c r="ESI37" s="53"/>
      <c r="ESJ37" s="53"/>
      <c r="ESK37" s="53"/>
      <c r="ESL37" s="53"/>
      <c r="ESM37" s="53"/>
      <c r="ESN37" s="53"/>
      <c r="ESO37" s="53"/>
      <c r="ESP37" s="53"/>
      <c r="ESQ37" s="53"/>
      <c r="ESR37" s="53"/>
      <c r="ESS37" s="53"/>
      <c r="EST37" s="53"/>
      <c r="ESU37" s="53"/>
      <c r="ESV37" s="53"/>
      <c r="ESW37" s="53"/>
      <c r="ESX37" s="53"/>
      <c r="ESY37" s="53"/>
      <c r="ESZ37" s="53"/>
      <c r="ETA37" s="53"/>
      <c r="ETB37" s="53"/>
      <c r="ETC37" s="53"/>
      <c r="ETD37" s="53"/>
      <c r="ETE37" s="53"/>
      <c r="ETF37" s="53"/>
      <c r="ETG37" s="53"/>
      <c r="ETH37" s="53"/>
      <c r="ETI37" s="53"/>
      <c r="ETJ37" s="53"/>
      <c r="ETK37" s="53"/>
      <c r="ETL37" s="53"/>
      <c r="ETM37" s="53"/>
      <c r="ETN37" s="53"/>
      <c r="ETO37" s="53"/>
      <c r="ETP37" s="53"/>
      <c r="ETQ37" s="53"/>
      <c r="ETR37" s="53"/>
      <c r="ETS37" s="53"/>
      <c r="ETT37" s="53"/>
      <c r="ETU37" s="53"/>
      <c r="ETV37" s="53"/>
      <c r="ETW37" s="53"/>
      <c r="ETX37" s="53"/>
      <c r="ETY37" s="53"/>
      <c r="ETZ37" s="53"/>
      <c r="EUA37" s="53"/>
      <c r="EUB37" s="53"/>
      <c r="EUC37" s="53"/>
      <c r="EUD37" s="53"/>
      <c r="EUE37" s="53"/>
      <c r="EUF37" s="53"/>
      <c r="EUG37" s="53"/>
      <c r="EUH37" s="53"/>
      <c r="EUI37" s="53"/>
      <c r="EUJ37" s="53"/>
      <c r="EUK37" s="53"/>
      <c r="EUL37" s="53"/>
      <c r="EUM37" s="53"/>
      <c r="EUN37" s="53"/>
      <c r="EUO37" s="53"/>
      <c r="EUP37" s="53"/>
      <c r="EUQ37" s="53"/>
      <c r="EUR37" s="53"/>
      <c r="EUS37" s="53"/>
      <c r="EUT37" s="53"/>
      <c r="EUU37" s="53"/>
      <c r="EUV37" s="53"/>
      <c r="EUW37" s="53"/>
      <c r="EUX37" s="53"/>
      <c r="EUY37" s="53"/>
      <c r="EUZ37" s="53"/>
      <c r="EVA37" s="53"/>
      <c r="EVB37" s="53"/>
      <c r="EVC37" s="53"/>
      <c r="EVD37" s="53"/>
      <c r="EVE37" s="53"/>
      <c r="EVF37" s="53"/>
      <c r="EVG37" s="53"/>
      <c r="EVH37" s="53"/>
      <c r="EVI37" s="53"/>
      <c r="EVJ37" s="53"/>
      <c r="EVK37" s="53"/>
      <c r="EVL37" s="53"/>
      <c r="EVM37" s="53"/>
      <c r="EVN37" s="53"/>
      <c r="EVO37" s="53"/>
      <c r="EVP37" s="53"/>
      <c r="EVQ37" s="53"/>
      <c r="EVR37" s="53"/>
      <c r="EVS37" s="53"/>
      <c r="EVT37" s="53"/>
      <c r="EVU37" s="53"/>
      <c r="EVV37" s="53"/>
      <c r="EVW37" s="53"/>
      <c r="EVX37" s="53"/>
      <c r="EVY37" s="53"/>
      <c r="EVZ37" s="53"/>
      <c r="EWA37" s="53"/>
      <c r="EWB37" s="53"/>
      <c r="EWC37" s="53"/>
      <c r="EWD37" s="53"/>
      <c r="EWE37" s="53"/>
      <c r="EWF37" s="53"/>
      <c r="EWG37" s="53"/>
      <c r="EWH37" s="53"/>
      <c r="EWI37" s="53"/>
      <c r="EWJ37" s="53"/>
      <c r="EWK37" s="53"/>
      <c r="EWL37" s="53"/>
      <c r="EWM37" s="53"/>
      <c r="EWN37" s="53"/>
      <c r="EWO37" s="53"/>
      <c r="EWP37" s="53"/>
      <c r="EWQ37" s="53"/>
      <c r="EWR37" s="53"/>
      <c r="EWS37" s="53"/>
      <c r="EWT37" s="53"/>
      <c r="EWU37" s="53"/>
      <c r="EWV37" s="53"/>
      <c r="EWW37" s="53"/>
      <c r="EWX37" s="53"/>
      <c r="EWY37" s="53"/>
      <c r="EWZ37" s="53"/>
      <c r="EXA37" s="53"/>
      <c r="EXB37" s="53"/>
      <c r="EXC37" s="53"/>
      <c r="EXD37" s="53"/>
      <c r="EXE37" s="53"/>
      <c r="EXF37" s="53"/>
      <c r="EXG37" s="53"/>
      <c r="EXH37" s="53"/>
      <c r="EXI37" s="53"/>
      <c r="EXJ37" s="53"/>
      <c r="EXK37" s="53"/>
      <c r="EXL37" s="53"/>
      <c r="EXM37" s="53"/>
      <c r="EXN37" s="53"/>
      <c r="EXO37" s="53"/>
      <c r="EXP37" s="53"/>
      <c r="EXQ37" s="53"/>
      <c r="EXR37" s="53"/>
      <c r="EXS37" s="53"/>
      <c r="EXT37" s="53"/>
      <c r="EXU37" s="53"/>
      <c r="EXV37" s="53"/>
      <c r="EXW37" s="53"/>
      <c r="EXX37" s="53"/>
      <c r="EXY37" s="53"/>
      <c r="EXZ37" s="53"/>
      <c r="EYA37" s="53"/>
      <c r="EYB37" s="53"/>
      <c r="EYC37" s="53"/>
      <c r="EYD37" s="53"/>
      <c r="EYE37" s="53"/>
      <c r="EYF37" s="53"/>
      <c r="EYG37" s="53"/>
      <c r="EYH37" s="53"/>
      <c r="EYI37" s="53"/>
      <c r="EYJ37" s="53"/>
      <c r="EYK37" s="53"/>
      <c r="EYL37" s="53"/>
      <c r="EYM37" s="53"/>
      <c r="EYN37" s="53"/>
      <c r="EYO37" s="53"/>
      <c r="EYP37" s="53"/>
      <c r="EYQ37" s="53"/>
      <c r="EYR37" s="53"/>
      <c r="EYS37" s="53"/>
      <c r="EYT37" s="53"/>
      <c r="EYU37" s="53"/>
      <c r="EYV37" s="53"/>
      <c r="EYW37" s="53"/>
      <c r="EYX37" s="53"/>
      <c r="EYY37" s="53"/>
      <c r="EYZ37" s="53"/>
      <c r="EZA37" s="53"/>
      <c r="EZB37" s="53"/>
      <c r="EZC37" s="53"/>
      <c r="EZD37" s="53"/>
      <c r="EZE37" s="53"/>
      <c r="EZF37" s="53"/>
      <c r="EZG37" s="53"/>
      <c r="EZH37" s="53"/>
      <c r="EZI37" s="53"/>
      <c r="EZJ37" s="53"/>
      <c r="EZK37" s="53"/>
      <c r="EZL37" s="53"/>
      <c r="EZM37" s="53"/>
      <c r="EZN37" s="53"/>
      <c r="EZO37" s="53"/>
      <c r="EZP37" s="53"/>
      <c r="EZQ37" s="53"/>
      <c r="EZR37" s="53"/>
      <c r="EZS37" s="53"/>
      <c r="EZT37" s="53"/>
      <c r="EZU37" s="53"/>
      <c r="EZV37" s="53"/>
      <c r="EZW37" s="53"/>
      <c r="EZX37" s="53"/>
      <c r="EZY37" s="53"/>
      <c r="EZZ37" s="53"/>
      <c r="FAA37" s="53"/>
      <c r="FAB37" s="53"/>
      <c r="FAC37" s="53"/>
      <c r="FAD37" s="53"/>
      <c r="FAE37" s="53"/>
      <c r="FAF37" s="53"/>
      <c r="FAG37" s="53"/>
      <c r="FAH37" s="53"/>
      <c r="FAI37" s="53"/>
      <c r="FAJ37" s="53"/>
      <c r="FAK37" s="53"/>
      <c r="FAL37" s="53"/>
      <c r="FAM37" s="53"/>
      <c r="FAN37" s="53"/>
      <c r="FAO37" s="53"/>
      <c r="FAP37" s="53"/>
      <c r="FAQ37" s="53"/>
      <c r="FAR37" s="53"/>
      <c r="FAS37" s="53"/>
      <c r="FAT37" s="53"/>
      <c r="FAU37" s="53"/>
      <c r="FAV37" s="53"/>
      <c r="FAW37" s="53"/>
      <c r="FAX37" s="53"/>
      <c r="FAY37" s="53"/>
      <c r="FAZ37" s="53"/>
      <c r="FBA37" s="53"/>
      <c r="FBB37" s="53"/>
      <c r="FBC37" s="53"/>
      <c r="FBD37" s="53"/>
      <c r="FBE37" s="53"/>
      <c r="FBF37" s="53"/>
      <c r="FBG37" s="53"/>
      <c r="FBH37" s="53"/>
      <c r="FBI37" s="53"/>
      <c r="FBJ37" s="53"/>
      <c r="FBK37" s="53"/>
      <c r="FBL37" s="53"/>
      <c r="FBM37" s="53"/>
      <c r="FBN37" s="53"/>
      <c r="FBO37" s="53"/>
      <c r="FBP37" s="53"/>
      <c r="FBQ37" s="53"/>
      <c r="FBR37" s="53"/>
      <c r="FBS37" s="53"/>
      <c r="FBT37" s="53"/>
      <c r="FBU37" s="53"/>
      <c r="FBV37" s="53"/>
      <c r="FBW37" s="53"/>
      <c r="FBX37" s="53"/>
      <c r="FBY37" s="53"/>
      <c r="FBZ37" s="53"/>
      <c r="FCA37" s="53"/>
      <c r="FCB37" s="53"/>
      <c r="FCC37" s="53"/>
      <c r="FCD37" s="53"/>
      <c r="FCE37" s="53"/>
      <c r="FCF37" s="53"/>
      <c r="FCG37" s="53"/>
      <c r="FCH37" s="53"/>
      <c r="FCI37" s="53"/>
      <c r="FCJ37" s="53"/>
      <c r="FCK37" s="53"/>
      <c r="FCL37" s="53"/>
      <c r="FCM37" s="53"/>
      <c r="FCN37" s="53"/>
      <c r="FCO37" s="53"/>
      <c r="FCP37" s="53"/>
      <c r="FCQ37" s="53"/>
      <c r="FCR37" s="53"/>
      <c r="FCS37" s="53"/>
      <c r="FCT37" s="53"/>
      <c r="FCU37" s="53"/>
      <c r="FCV37" s="53"/>
      <c r="FCW37" s="53"/>
      <c r="FCX37" s="53"/>
      <c r="FCY37" s="53"/>
      <c r="FCZ37" s="53"/>
      <c r="FDA37" s="53"/>
      <c r="FDB37" s="53"/>
      <c r="FDC37" s="53"/>
      <c r="FDD37" s="53"/>
      <c r="FDE37" s="53"/>
      <c r="FDF37" s="53"/>
      <c r="FDG37" s="53"/>
      <c r="FDH37" s="53"/>
      <c r="FDI37" s="53"/>
      <c r="FDJ37" s="53"/>
      <c r="FDK37" s="53"/>
      <c r="FDL37" s="53"/>
      <c r="FDM37" s="53"/>
      <c r="FDN37" s="53"/>
      <c r="FDO37" s="53"/>
      <c r="FDP37" s="53"/>
      <c r="FDQ37" s="53"/>
      <c r="FDR37" s="53"/>
      <c r="FDS37" s="53"/>
      <c r="FDT37" s="53"/>
      <c r="FDU37" s="53"/>
      <c r="FDV37" s="53"/>
      <c r="FDW37" s="53"/>
      <c r="FDX37" s="53"/>
      <c r="FDY37" s="53"/>
      <c r="FDZ37" s="53"/>
      <c r="FEA37" s="53"/>
      <c r="FEB37" s="53"/>
      <c r="FEC37" s="53"/>
      <c r="FED37" s="53"/>
      <c r="FEE37" s="53"/>
      <c r="FEF37" s="53"/>
      <c r="FEG37" s="53"/>
      <c r="FEH37" s="53"/>
      <c r="FEI37" s="53"/>
      <c r="FEJ37" s="53"/>
      <c r="FEK37" s="53"/>
      <c r="FEL37" s="53"/>
      <c r="FEM37" s="53"/>
      <c r="FEN37" s="53"/>
      <c r="FEO37" s="53"/>
      <c r="FEP37" s="53"/>
      <c r="FEQ37" s="53"/>
      <c r="FER37" s="53"/>
      <c r="FES37" s="53"/>
      <c r="FET37" s="53"/>
      <c r="FEU37" s="53"/>
      <c r="FEV37" s="53"/>
      <c r="FEW37" s="53"/>
      <c r="FEX37" s="53"/>
      <c r="FEY37" s="53"/>
      <c r="FEZ37" s="53"/>
      <c r="FFA37" s="53"/>
      <c r="FFB37" s="53"/>
      <c r="FFC37" s="53"/>
      <c r="FFD37" s="53"/>
      <c r="FFE37" s="53"/>
      <c r="FFF37" s="53"/>
      <c r="FFG37" s="53"/>
      <c r="FFH37" s="53"/>
      <c r="FFI37" s="53"/>
      <c r="FFJ37" s="53"/>
      <c r="FFK37" s="53"/>
      <c r="FFL37" s="53"/>
      <c r="FFM37" s="53"/>
      <c r="FFN37" s="53"/>
      <c r="FFO37" s="53"/>
      <c r="FFP37" s="53"/>
      <c r="FFQ37" s="53"/>
      <c r="FFR37" s="53"/>
      <c r="FFS37" s="53"/>
      <c r="FFT37" s="53"/>
      <c r="FFU37" s="53"/>
      <c r="FFV37" s="53"/>
      <c r="FFW37" s="53"/>
      <c r="FFX37" s="53"/>
      <c r="FFY37" s="53"/>
      <c r="FFZ37" s="53"/>
      <c r="FGA37" s="53"/>
      <c r="FGB37" s="53"/>
      <c r="FGC37" s="53"/>
      <c r="FGD37" s="53"/>
      <c r="FGE37" s="53"/>
      <c r="FGF37" s="53"/>
      <c r="FGG37" s="53"/>
      <c r="FGH37" s="53"/>
      <c r="FGI37" s="53"/>
      <c r="FGJ37" s="53"/>
      <c r="FGK37" s="53"/>
      <c r="FGL37" s="53"/>
      <c r="FGM37" s="53"/>
      <c r="FGN37" s="53"/>
      <c r="FGO37" s="53"/>
      <c r="FGP37" s="53"/>
      <c r="FGQ37" s="53"/>
      <c r="FGR37" s="53"/>
      <c r="FGS37" s="53"/>
      <c r="FGT37" s="53"/>
      <c r="FGU37" s="53"/>
      <c r="FGV37" s="53"/>
      <c r="FGW37" s="53"/>
      <c r="FGX37" s="53"/>
      <c r="FGY37" s="53"/>
      <c r="FGZ37" s="53"/>
      <c r="FHA37" s="53"/>
      <c r="FHB37" s="53"/>
      <c r="FHC37" s="53"/>
      <c r="FHD37" s="53"/>
      <c r="FHE37" s="53"/>
      <c r="FHF37" s="53"/>
      <c r="FHG37" s="53"/>
      <c r="FHH37" s="53"/>
      <c r="FHI37" s="53"/>
      <c r="FHJ37" s="53"/>
      <c r="FHK37" s="53"/>
      <c r="FHL37" s="53"/>
      <c r="FHM37" s="53"/>
      <c r="FHN37" s="53"/>
      <c r="FHO37" s="53"/>
      <c r="FHP37" s="53"/>
      <c r="FHQ37" s="53"/>
      <c r="FHR37" s="53"/>
      <c r="FHS37" s="53"/>
      <c r="FHT37" s="53"/>
      <c r="FHU37" s="53"/>
      <c r="FHV37" s="53"/>
      <c r="FHW37" s="53"/>
      <c r="FHX37" s="53"/>
      <c r="FHY37" s="53"/>
      <c r="FHZ37" s="53"/>
      <c r="FIA37" s="53"/>
      <c r="FIB37" s="53"/>
      <c r="FIC37" s="53"/>
      <c r="FID37" s="53"/>
      <c r="FIE37" s="53"/>
      <c r="FIF37" s="53"/>
      <c r="FIG37" s="53"/>
      <c r="FIH37" s="53"/>
      <c r="FII37" s="53"/>
      <c r="FIJ37" s="53"/>
      <c r="FIK37" s="53"/>
      <c r="FIL37" s="53"/>
      <c r="FIM37" s="53"/>
      <c r="FIN37" s="53"/>
      <c r="FIO37" s="53"/>
      <c r="FIP37" s="53"/>
      <c r="FIQ37" s="53"/>
      <c r="FIR37" s="53"/>
      <c r="FIS37" s="53"/>
      <c r="FIT37" s="53"/>
      <c r="FIU37" s="53"/>
      <c r="FIV37" s="53"/>
      <c r="FIW37" s="53"/>
      <c r="FIX37" s="53"/>
      <c r="FIY37" s="53"/>
      <c r="FIZ37" s="53"/>
      <c r="FJA37" s="53"/>
      <c r="FJB37" s="53"/>
      <c r="FJC37" s="53"/>
      <c r="FJD37" s="53"/>
      <c r="FJE37" s="53"/>
      <c r="FJF37" s="53"/>
      <c r="FJG37" s="53"/>
      <c r="FJH37" s="53"/>
      <c r="FJI37" s="53"/>
      <c r="FJJ37" s="53"/>
      <c r="FJK37" s="53"/>
      <c r="FJL37" s="53"/>
      <c r="FJM37" s="53"/>
      <c r="FJN37" s="53"/>
      <c r="FJO37" s="53"/>
      <c r="FJP37" s="53"/>
      <c r="FJQ37" s="53"/>
      <c r="FJR37" s="53"/>
      <c r="FJS37" s="53"/>
      <c r="FJT37" s="53"/>
      <c r="FJU37" s="53"/>
      <c r="FJV37" s="53"/>
      <c r="FJW37" s="53"/>
      <c r="FJX37" s="53"/>
      <c r="FJY37" s="53"/>
      <c r="FJZ37" s="53"/>
      <c r="FKA37" s="53"/>
      <c r="FKB37" s="53"/>
      <c r="FKC37" s="53"/>
      <c r="FKD37" s="53"/>
      <c r="FKE37" s="53"/>
      <c r="FKF37" s="53"/>
      <c r="FKG37" s="53"/>
      <c r="FKH37" s="53"/>
      <c r="FKI37" s="53"/>
      <c r="FKJ37" s="53"/>
      <c r="FKK37" s="53"/>
      <c r="FKL37" s="53"/>
      <c r="FKM37" s="53"/>
      <c r="FKN37" s="53"/>
      <c r="FKO37" s="53"/>
      <c r="FKP37" s="53"/>
      <c r="FKQ37" s="53"/>
      <c r="FKR37" s="53"/>
      <c r="FKS37" s="53"/>
      <c r="FKT37" s="53"/>
      <c r="FKU37" s="53"/>
      <c r="FKV37" s="53"/>
      <c r="FKW37" s="53"/>
      <c r="FKX37" s="53"/>
      <c r="FKY37" s="53"/>
      <c r="FKZ37" s="53"/>
      <c r="FLA37" s="53"/>
      <c r="FLB37" s="53"/>
      <c r="FLC37" s="53"/>
      <c r="FLD37" s="53"/>
      <c r="FLE37" s="53"/>
      <c r="FLF37" s="53"/>
      <c r="FLG37" s="53"/>
      <c r="FLH37" s="53"/>
      <c r="FLI37" s="53"/>
      <c r="FLJ37" s="53"/>
      <c r="FLK37" s="53"/>
      <c r="FLL37" s="53"/>
      <c r="FLM37" s="53"/>
      <c r="FLN37" s="53"/>
      <c r="FLO37" s="53"/>
      <c r="FLP37" s="53"/>
      <c r="FLQ37" s="53"/>
      <c r="FLR37" s="53"/>
      <c r="FLS37" s="53"/>
      <c r="FLT37" s="53"/>
      <c r="FLU37" s="53"/>
      <c r="FLV37" s="53"/>
      <c r="FLW37" s="53"/>
      <c r="FLX37" s="53"/>
      <c r="FLY37" s="53"/>
      <c r="FLZ37" s="53"/>
      <c r="FMA37" s="53"/>
      <c r="FMB37" s="53"/>
      <c r="FMC37" s="53"/>
      <c r="FMD37" s="53"/>
      <c r="FME37" s="53"/>
      <c r="FMF37" s="53"/>
      <c r="FMG37" s="53"/>
      <c r="FMH37" s="53"/>
      <c r="FMI37" s="53"/>
      <c r="FMJ37" s="53"/>
      <c r="FMK37" s="53"/>
      <c r="FML37" s="53"/>
      <c r="FMM37" s="53"/>
      <c r="FMN37" s="53"/>
      <c r="FMO37" s="53"/>
      <c r="FMP37" s="53"/>
      <c r="FMQ37" s="53"/>
      <c r="FMR37" s="53"/>
      <c r="FMS37" s="53"/>
      <c r="FMT37" s="53"/>
      <c r="FMU37" s="53"/>
      <c r="FMV37" s="53"/>
      <c r="FMW37" s="53"/>
      <c r="FMX37" s="53"/>
      <c r="FMY37" s="53"/>
      <c r="FMZ37" s="53"/>
      <c r="FNA37" s="53"/>
      <c r="FNB37" s="53"/>
      <c r="FNC37" s="53"/>
      <c r="FND37" s="53"/>
      <c r="FNE37" s="53"/>
      <c r="FNF37" s="53"/>
      <c r="FNG37" s="53"/>
      <c r="FNH37" s="53"/>
      <c r="FNI37" s="53"/>
      <c r="FNJ37" s="53"/>
      <c r="FNK37" s="53"/>
      <c r="FNL37" s="53"/>
      <c r="FNM37" s="53"/>
      <c r="FNN37" s="53"/>
      <c r="FNO37" s="53"/>
      <c r="FNP37" s="53"/>
      <c r="FNQ37" s="53"/>
      <c r="FNR37" s="53"/>
      <c r="FNS37" s="53"/>
      <c r="FNT37" s="53"/>
      <c r="FNU37" s="53"/>
      <c r="FNV37" s="53"/>
      <c r="FNW37" s="53"/>
      <c r="FNX37" s="53"/>
      <c r="FNY37" s="53"/>
      <c r="FNZ37" s="53"/>
      <c r="FOA37" s="53"/>
      <c r="FOB37" s="53"/>
      <c r="FOC37" s="53"/>
      <c r="FOD37" s="53"/>
      <c r="FOE37" s="53"/>
      <c r="FOF37" s="53"/>
      <c r="FOG37" s="53"/>
      <c r="FOH37" s="53"/>
      <c r="FOI37" s="53"/>
      <c r="FOJ37" s="53"/>
      <c r="FOK37" s="53"/>
      <c r="FOL37" s="53"/>
      <c r="FOM37" s="53"/>
      <c r="FON37" s="53"/>
      <c r="FOO37" s="53"/>
      <c r="FOP37" s="53"/>
      <c r="FOQ37" s="53"/>
      <c r="FOR37" s="53"/>
      <c r="FOS37" s="53"/>
      <c r="FOT37" s="53"/>
      <c r="FOU37" s="53"/>
      <c r="FOV37" s="53"/>
      <c r="FOW37" s="53"/>
      <c r="FOX37" s="53"/>
      <c r="FOY37" s="53"/>
      <c r="FOZ37" s="53"/>
      <c r="FPA37" s="53"/>
      <c r="FPB37" s="53"/>
      <c r="FPC37" s="53"/>
      <c r="FPD37" s="53"/>
      <c r="FPE37" s="53"/>
      <c r="FPF37" s="53"/>
      <c r="FPG37" s="53"/>
      <c r="FPH37" s="53"/>
      <c r="FPI37" s="53"/>
      <c r="FPJ37" s="53"/>
      <c r="FPK37" s="53"/>
      <c r="FPL37" s="53"/>
      <c r="FPM37" s="53"/>
      <c r="FPN37" s="53"/>
      <c r="FPO37" s="53"/>
      <c r="FPP37" s="53"/>
      <c r="FPQ37" s="53"/>
      <c r="FPR37" s="53"/>
      <c r="FPS37" s="53"/>
      <c r="FPT37" s="53"/>
      <c r="FPU37" s="53"/>
      <c r="FPV37" s="53"/>
      <c r="FPW37" s="53"/>
      <c r="FPX37" s="53"/>
      <c r="FPY37" s="53"/>
      <c r="FPZ37" s="53"/>
      <c r="FQA37" s="53"/>
      <c r="FQB37" s="53"/>
      <c r="FQC37" s="53"/>
      <c r="FQD37" s="53"/>
      <c r="FQE37" s="53"/>
      <c r="FQF37" s="53"/>
      <c r="FQG37" s="53"/>
      <c r="FQH37" s="53"/>
      <c r="FQI37" s="53"/>
      <c r="FQJ37" s="53"/>
      <c r="FQK37" s="53"/>
      <c r="FQL37" s="53"/>
      <c r="FQM37" s="53"/>
      <c r="FQN37" s="53"/>
      <c r="FQO37" s="53"/>
      <c r="FQP37" s="53"/>
      <c r="FQQ37" s="53"/>
      <c r="FQR37" s="53"/>
      <c r="FQS37" s="53"/>
      <c r="FQT37" s="53"/>
      <c r="FQU37" s="53"/>
      <c r="FQV37" s="53"/>
      <c r="FQW37" s="53"/>
      <c r="FQX37" s="53"/>
      <c r="FQY37" s="53"/>
      <c r="FQZ37" s="53"/>
      <c r="FRA37" s="53"/>
      <c r="FRB37" s="53"/>
      <c r="FRC37" s="53"/>
      <c r="FRD37" s="53"/>
      <c r="FRE37" s="53"/>
      <c r="FRF37" s="53"/>
      <c r="FRG37" s="53"/>
      <c r="FRH37" s="53"/>
      <c r="FRI37" s="53"/>
      <c r="FRJ37" s="53"/>
      <c r="FRK37" s="53"/>
      <c r="FRL37" s="53"/>
      <c r="FRM37" s="53"/>
      <c r="FRN37" s="53"/>
      <c r="FRO37" s="53"/>
      <c r="FRP37" s="53"/>
      <c r="FRQ37" s="53"/>
      <c r="FRR37" s="53"/>
      <c r="FRS37" s="53"/>
      <c r="FRT37" s="53"/>
      <c r="FRU37" s="53"/>
      <c r="FRV37" s="53"/>
      <c r="FRW37" s="53"/>
      <c r="FRX37" s="53"/>
      <c r="FRY37" s="53"/>
      <c r="FRZ37" s="53"/>
      <c r="FSA37" s="53"/>
      <c r="FSB37" s="53"/>
      <c r="FSC37" s="53"/>
      <c r="FSD37" s="53"/>
      <c r="FSE37" s="53"/>
      <c r="FSF37" s="53"/>
      <c r="FSG37" s="53"/>
      <c r="FSH37" s="53"/>
      <c r="FSI37" s="53"/>
      <c r="FSJ37" s="53"/>
      <c r="FSK37" s="53"/>
      <c r="FSL37" s="53"/>
      <c r="FSM37" s="53"/>
      <c r="FSN37" s="53"/>
      <c r="FSO37" s="53"/>
      <c r="FSP37" s="53"/>
      <c r="FSQ37" s="53"/>
      <c r="FSR37" s="53"/>
      <c r="FSS37" s="53"/>
      <c r="FST37" s="53"/>
      <c r="FSU37" s="53"/>
      <c r="FSV37" s="53"/>
      <c r="FSW37" s="53"/>
      <c r="FSX37" s="53"/>
      <c r="FSY37" s="53"/>
      <c r="FSZ37" s="53"/>
      <c r="FTA37" s="53"/>
      <c r="FTB37" s="53"/>
      <c r="FTC37" s="53"/>
      <c r="FTD37" s="53"/>
      <c r="FTE37" s="53"/>
      <c r="FTF37" s="53"/>
      <c r="FTG37" s="53"/>
      <c r="FTH37" s="53"/>
      <c r="FTI37" s="53"/>
      <c r="FTJ37" s="53"/>
      <c r="FTK37" s="53"/>
      <c r="FTL37" s="53"/>
      <c r="FTM37" s="53"/>
      <c r="FTN37" s="53"/>
      <c r="FTO37" s="53"/>
      <c r="FTP37" s="53"/>
      <c r="FTQ37" s="53"/>
      <c r="FTR37" s="53"/>
      <c r="FTS37" s="53"/>
      <c r="FTT37" s="53"/>
      <c r="FTU37" s="53"/>
      <c r="FTV37" s="53"/>
      <c r="FTW37" s="53"/>
      <c r="FTX37" s="53"/>
      <c r="FTY37" s="53"/>
      <c r="FTZ37" s="53"/>
      <c r="FUA37" s="53"/>
      <c r="FUB37" s="53"/>
      <c r="FUC37" s="53"/>
      <c r="FUD37" s="53"/>
      <c r="FUE37" s="53"/>
      <c r="FUF37" s="53"/>
      <c r="FUG37" s="53"/>
      <c r="FUH37" s="53"/>
      <c r="FUI37" s="53"/>
      <c r="FUJ37" s="53"/>
      <c r="FUK37" s="53"/>
      <c r="FUL37" s="53"/>
      <c r="FUM37" s="53"/>
      <c r="FUN37" s="53"/>
      <c r="FUO37" s="53"/>
      <c r="FUP37" s="53"/>
      <c r="FUQ37" s="53"/>
      <c r="FUR37" s="53"/>
      <c r="FUS37" s="53"/>
      <c r="FUT37" s="53"/>
      <c r="FUU37" s="53"/>
      <c r="FUV37" s="53"/>
      <c r="FUW37" s="53"/>
      <c r="FUX37" s="53"/>
      <c r="FUY37" s="53"/>
      <c r="FUZ37" s="53"/>
      <c r="FVA37" s="53"/>
      <c r="FVB37" s="53"/>
      <c r="FVC37" s="53"/>
      <c r="FVD37" s="53"/>
      <c r="FVE37" s="53"/>
      <c r="FVF37" s="53"/>
      <c r="FVG37" s="53"/>
      <c r="FVH37" s="53"/>
      <c r="FVI37" s="53"/>
      <c r="FVJ37" s="53"/>
      <c r="FVK37" s="53"/>
      <c r="FVL37" s="53"/>
      <c r="FVM37" s="53"/>
      <c r="FVN37" s="53"/>
      <c r="FVO37" s="53"/>
      <c r="FVP37" s="53"/>
      <c r="FVQ37" s="53"/>
      <c r="FVR37" s="53"/>
      <c r="FVS37" s="53"/>
      <c r="FVT37" s="53"/>
      <c r="FVU37" s="53"/>
      <c r="FVV37" s="53"/>
      <c r="FVW37" s="53"/>
      <c r="FVX37" s="53"/>
      <c r="FVY37" s="53"/>
      <c r="FVZ37" s="53"/>
      <c r="FWA37" s="53"/>
      <c r="FWB37" s="53"/>
      <c r="FWC37" s="53"/>
      <c r="FWD37" s="53"/>
      <c r="FWE37" s="53"/>
      <c r="FWF37" s="53"/>
      <c r="FWG37" s="53"/>
      <c r="FWH37" s="53"/>
      <c r="FWI37" s="53"/>
      <c r="FWJ37" s="53"/>
      <c r="FWK37" s="53"/>
      <c r="FWL37" s="53"/>
      <c r="FWM37" s="53"/>
      <c r="FWN37" s="53"/>
      <c r="FWO37" s="53"/>
      <c r="FWP37" s="53"/>
      <c r="FWQ37" s="53"/>
      <c r="FWR37" s="53"/>
      <c r="FWS37" s="53"/>
      <c r="FWT37" s="53"/>
      <c r="FWU37" s="53"/>
      <c r="FWV37" s="53"/>
      <c r="FWW37" s="53"/>
      <c r="FWX37" s="53"/>
      <c r="FWY37" s="53"/>
      <c r="FWZ37" s="53"/>
      <c r="FXA37" s="53"/>
      <c r="FXB37" s="53"/>
      <c r="FXC37" s="53"/>
      <c r="FXD37" s="53"/>
      <c r="FXE37" s="53"/>
      <c r="FXF37" s="53"/>
      <c r="FXG37" s="53"/>
      <c r="FXH37" s="53"/>
      <c r="FXI37" s="53"/>
      <c r="FXJ37" s="53"/>
      <c r="FXK37" s="53"/>
      <c r="FXL37" s="53"/>
      <c r="FXM37" s="53"/>
      <c r="FXN37" s="53"/>
      <c r="FXO37" s="53"/>
      <c r="FXP37" s="53"/>
      <c r="FXQ37" s="53"/>
      <c r="FXR37" s="53"/>
      <c r="FXS37" s="53"/>
      <c r="FXT37" s="53"/>
      <c r="FXU37" s="53"/>
      <c r="FXV37" s="53"/>
      <c r="FXW37" s="53"/>
      <c r="FXX37" s="53"/>
      <c r="FXY37" s="53"/>
      <c r="FXZ37" s="53"/>
      <c r="FYA37" s="53"/>
      <c r="FYB37" s="53"/>
      <c r="FYC37" s="53"/>
      <c r="FYD37" s="53"/>
      <c r="FYE37" s="53"/>
      <c r="FYF37" s="53"/>
      <c r="FYG37" s="53"/>
      <c r="FYH37" s="53"/>
      <c r="FYI37" s="53"/>
      <c r="FYJ37" s="53"/>
      <c r="FYK37" s="53"/>
      <c r="FYL37" s="53"/>
      <c r="FYM37" s="53"/>
      <c r="FYN37" s="53"/>
      <c r="FYO37" s="53"/>
      <c r="FYP37" s="53"/>
      <c r="FYQ37" s="53"/>
      <c r="FYR37" s="53"/>
      <c r="FYS37" s="53"/>
      <c r="FYT37" s="53"/>
      <c r="FYU37" s="53"/>
      <c r="FYV37" s="53"/>
      <c r="FYW37" s="53"/>
      <c r="FYX37" s="53"/>
      <c r="FYY37" s="53"/>
      <c r="FYZ37" s="53"/>
      <c r="FZA37" s="53"/>
      <c r="FZB37" s="53"/>
      <c r="FZC37" s="53"/>
      <c r="FZD37" s="53"/>
      <c r="FZE37" s="53"/>
      <c r="FZF37" s="53"/>
      <c r="FZG37" s="53"/>
      <c r="FZH37" s="53"/>
      <c r="FZI37" s="53"/>
      <c r="FZJ37" s="53"/>
      <c r="FZK37" s="53"/>
      <c r="FZL37" s="53"/>
      <c r="FZM37" s="53"/>
      <c r="FZN37" s="53"/>
      <c r="FZO37" s="53"/>
      <c r="FZP37" s="53"/>
      <c r="FZQ37" s="53"/>
      <c r="FZR37" s="53"/>
      <c r="FZS37" s="53"/>
      <c r="FZT37" s="53"/>
      <c r="FZU37" s="53"/>
      <c r="FZV37" s="53"/>
      <c r="FZW37" s="53"/>
      <c r="FZX37" s="53"/>
      <c r="FZY37" s="53"/>
      <c r="FZZ37" s="53"/>
      <c r="GAA37" s="53"/>
      <c r="GAB37" s="53"/>
      <c r="GAC37" s="53"/>
      <c r="GAD37" s="53"/>
      <c r="GAE37" s="53"/>
      <c r="GAF37" s="53"/>
      <c r="GAG37" s="53"/>
      <c r="GAH37" s="53"/>
      <c r="GAI37" s="53"/>
      <c r="GAJ37" s="53"/>
      <c r="GAK37" s="53"/>
      <c r="GAL37" s="53"/>
      <c r="GAM37" s="53"/>
      <c r="GAN37" s="53"/>
      <c r="GAO37" s="53"/>
      <c r="GAP37" s="53"/>
      <c r="GAQ37" s="53"/>
      <c r="GAR37" s="53"/>
      <c r="GAS37" s="53"/>
      <c r="GAT37" s="53"/>
      <c r="GAU37" s="53"/>
      <c r="GAV37" s="53"/>
      <c r="GAW37" s="53"/>
      <c r="GAX37" s="53"/>
      <c r="GAY37" s="53"/>
      <c r="GAZ37" s="53"/>
      <c r="GBA37" s="53"/>
      <c r="GBB37" s="53"/>
      <c r="GBC37" s="53"/>
      <c r="GBD37" s="53"/>
      <c r="GBE37" s="53"/>
      <c r="GBF37" s="53"/>
      <c r="GBG37" s="53"/>
      <c r="GBH37" s="53"/>
      <c r="GBI37" s="53"/>
      <c r="GBJ37" s="53"/>
      <c r="GBK37" s="53"/>
      <c r="GBL37" s="53"/>
      <c r="GBM37" s="53"/>
      <c r="GBN37" s="53"/>
      <c r="GBO37" s="53"/>
      <c r="GBP37" s="53"/>
      <c r="GBQ37" s="53"/>
      <c r="GBR37" s="53"/>
      <c r="GBS37" s="53"/>
      <c r="GBT37" s="53"/>
      <c r="GBU37" s="53"/>
      <c r="GBV37" s="53"/>
      <c r="GBW37" s="53"/>
      <c r="GBX37" s="53"/>
      <c r="GBY37" s="53"/>
      <c r="GBZ37" s="53"/>
      <c r="GCA37" s="53"/>
      <c r="GCB37" s="53"/>
      <c r="GCC37" s="53"/>
      <c r="GCD37" s="53"/>
      <c r="GCE37" s="53"/>
      <c r="GCF37" s="53"/>
      <c r="GCG37" s="53"/>
      <c r="GCH37" s="53"/>
      <c r="GCI37" s="53"/>
      <c r="GCJ37" s="53"/>
      <c r="GCK37" s="53"/>
      <c r="GCL37" s="53"/>
      <c r="GCM37" s="53"/>
      <c r="GCN37" s="53"/>
      <c r="GCO37" s="53"/>
      <c r="GCP37" s="53"/>
      <c r="GCQ37" s="53"/>
      <c r="GCR37" s="53"/>
      <c r="GCS37" s="53"/>
      <c r="GCT37" s="53"/>
      <c r="GCU37" s="53"/>
      <c r="GCV37" s="53"/>
      <c r="GCW37" s="53"/>
      <c r="GCX37" s="53"/>
      <c r="GCY37" s="53"/>
      <c r="GCZ37" s="53"/>
      <c r="GDA37" s="53"/>
      <c r="GDB37" s="53"/>
      <c r="GDC37" s="53"/>
      <c r="GDD37" s="53"/>
      <c r="GDE37" s="53"/>
      <c r="GDF37" s="53"/>
      <c r="GDG37" s="53"/>
      <c r="GDH37" s="53"/>
      <c r="GDI37" s="53"/>
      <c r="GDJ37" s="53"/>
      <c r="GDK37" s="53"/>
      <c r="GDL37" s="53"/>
      <c r="GDM37" s="53"/>
      <c r="GDN37" s="53"/>
      <c r="GDO37" s="53"/>
      <c r="GDP37" s="53"/>
      <c r="GDQ37" s="53"/>
      <c r="GDR37" s="53"/>
      <c r="GDS37" s="53"/>
      <c r="GDT37" s="53"/>
      <c r="GDU37" s="53"/>
      <c r="GDV37" s="53"/>
      <c r="GDW37" s="53"/>
      <c r="GDX37" s="53"/>
      <c r="GDY37" s="53"/>
      <c r="GDZ37" s="53"/>
      <c r="GEA37" s="53"/>
      <c r="GEB37" s="53"/>
      <c r="GEC37" s="53"/>
      <c r="GED37" s="53"/>
      <c r="GEE37" s="53"/>
      <c r="GEF37" s="53"/>
      <c r="GEG37" s="53"/>
      <c r="GEH37" s="53"/>
      <c r="GEI37" s="53"/>
      <c r="GEJ37" s="53"/>
      <c r="GEK37" s="53"/>
      <c r="GEL37" s="53"/>
      <c r="GEM37" s="53"/>
      <c r="GEN37" s="53"/>
      <c r="GEO37" s="53"/>
      <c r="GEP37" s="53"/>
      <c r="GEQ37" s="53"/>
      <c r="GER37" s="53"/>
      <c r="GES37" s="53"/>
      <c r="GET37" s="53"/>
      <c r="GEU37" s="53"/>
      <c r="GEV37" s="53"/>
      <c r="GEW37" s="53"/>
      <c r="GEX37" s="53"/>
      <c r="GEY37" s="53"/>
      <c r="GEZ37" s="53"/>
      <c r="GFA37" s="53"/>
      <c r="GFB37" s="53"/>
      <c r="GFC37" s="53"/>
      <c r="GFD37" s="53"/>
      <c r="GFE37" s="53"/>
      <c r="GFF37" s="53"/>
      <c r="GFG37" s="53"/>
      <c r="GFH37" s="53"/>
      <c r="GFI37" s="53"/>
      <c r="GFJ37" s="53"/>
      <c r="GFK37" s="53"/>
      <c r="GFL37" s="53"/>
      <c r="GFM37" s="53"/>
      <c r="GFN37" s="53"/>
      <c r="GFO37" s="53"/>
      <c r="GFP37" s="53"/>
      <c r="GFQ37" s="53"/>
      <c r="GFR37" s="53"/>
      <c r="GFS37" s="53"/>
      <c r="GFT37" s="53"/>
      <c r="GFU37" s="53"/>
      <c r="GFV37" s="53"/>
      <c r="GFW37" s="53"/>
      <c r="GFX37" s="53"/>
      <c r="GFY37" s="53"/>
      <c r="GFZ37" s="53"/>
      <c r="GGA37" s="53"/>
      <c r="GGB37" s="53"/>
      <c r="GGC37" s="53"/>
      <c r="GGD37" s="53"/>
      <c r="GGE37" s="53"/>
      <c r="GGF37" s="53"/>
      <c r="GGG37" s="53"/>
      <c r="GGH37" s="53"/>
      <c r="GGI37" s="53"/>
      <c r="GGJ37" s="53"/>
      <c r="GGK37" s="53"/>
      <c r="GGL37" s="53"/>
      <c r="GGM37" s="53"/>
      <c r="GGN37" s="53"/>
      <c r="GGO37" s="53"/>
      <c r="GGP37" s="53"/>
      <c r="GGQ37" s="53"/>
      <c r="GGR37" s="53"/>
      <c r="GGS37" s="53"/>
      <c r="GGT37" s="53"/>
      <c r="GGU37" s="53"/>
      <c r="GGV37" s="53"/>
      <c r="GGW37" s="53"/>
      <c r="GGX37" s="53"/>
      <c r="GGY37" s="53"/>
      <c r="GGZ37" s="53"/>
      <c r="GHA37" s="53"/>
      <c r="GHB37" s="53"/>
      <c r="GHC37" s="53"/>
      <c r="GHD37" s="53"/>
      <c r="GHE37" s="53"/>
      <c r="GHF37" s="53"/>
      <c r="GHG37" s="53"/>
      <c r="GHH37" s="53"/>
      <c r="GHI37" s="53"/>
      <c r="GHJ37" s="53"/>
      <c r="GHK37" s="53"/>
      <c r="GHL37" s="53"/>
      <c r="GHM37" s="53"/>
      <c r="GHN37" s="53"/>
      <c r="GHO37" s="53"/>
      <c r="GHP37" s="53"/>
      <c r="GHQ37" s="53"/>
      <c r="GHR37" s="53"/>
      <c r="GHS37" s="53"/>
      <c r="GHT37" s="53"/>
      <c r="GHU37" s="53"/>
      <c r="GHV37" s="53"/>
      <c r="GHW37" s="53"/>
      <c r="GHX37" s="53"/>
      <c r="GHY37" s="53"/>
      <c r="GHZ37" s="53"/>
      <c r="GIA37" s="53"/>
      <c r="GIB37" s="53"/>
      <c r="GIC37" s="53"/>
      <c r="GID37" s="53"/>
      <c r="GIE37" s="53"/>
      <c r="GIF37" s="53"/>
      <c r="GIG37" s="53"/>
      <c r="GIH37" s="53"/>
      <c r="GII37" s="53"/>
      <c r="GIJ37" s="53"/>
      <c r="GIK37" s="53"/>
      <c r="GIL37" s="53"/>
      <c r="GIM37" s="53"/>
      <c r="GIN37" s="53"/>
      <c r="GIO37" s="53"/>
      <c r="GIP37" s="53"/>
      <c r="GIQ37" s="53"/>
      <c r="GIR37" s="53"/>
      <c r="GIS37" s="53"/>
      <c r="GIT37" s="53"/>
      <c r="GIU37" s="53"/>
      <c r="GIV37" s="53"/>
      <c r="GIW37" s="53"/>
      <c r="GIX37" s="53"/>
      <c r="GIY37" s="53"/>
      <c r="GIZ37" s="53"/>
      <c r="GJA37" s="53"/>
      <c r="GJB37" s="53"/>
      <c r="GJC37" s="53"/>
      <c r="GJD37" s="53"/>
      <c r="GJE37" s="53"/>
      <c r="GJF37" s="53"/>
      <c r="GJG37" s="53"/>
      <c r="GJH37" s="53"/>
      <c r="GJI37" s="53"/>
      <c r="GJJ37" s="53"/>
      <c r="GJK37" s="53"/>
      <c r="GJL37" s="53"/>
      <c r="GJM37" s="53"/>
      <c r="GJN37" s="53"/>
      <c r="GJO37" s="53"/>
      <c r="GJP37" s="53"/>
      <c r="GJQ37" s="53"/>
      <c r="GJR37" s="53"/>
      <c r="GJS37" s="53"/>
      <c r="GJT37" s="53"/>
      <c r="GJU37" s="53"/>
      <c r="GJV37" s="53"/>
      <c r="GJW37" s="53"/>
      <c r="GJX37" s="53"/>
      <c r="GJY37" s="53"/>
      <c r="GJZ37" s="53"/>
      <c r="GKA37" s="53"/>
      <c r="GKB37" s="53"/>
      <c r="GKC37" s="53"/>
      <c r="GKD37" s="53"/>
      <c r="GKE37" s="53"/>
      <c r="GKF37" s="53"/>
      <c r="GKG37" s="53"/>
      <c r="GKH37" s="53"/>
      <c r="GKI37" s="53"/>
      <c r="GKJ37" s="53"/>
      <c r="GKK37" s="53"/>
      <c r="GKL37" s="53"/>
      <c r="GKM37" s="53"/>
      <c r="GKN37" s="53"/>
      <c r="GKO37" s="53"/>
      <c r="GKP37" s="53"/>
      <c r="GKQ37" s="53"/>
      <c r="GKR37" s="53"/>
      <c r="GKS37" s="53"/>
      <c r="GKT37" s="53"/>
      <c r="GKU37" s="53"/>
      <c r="GKV37" s="53"/>
      <c r="GKW37" s="53"/>
      <c r="GKX37" s="53"/>
      <c r="GKY37" s="53"/>
      <c r="GKZ37" s="53"/>
      <c r="GLA37" s="53"/>
      <c r="GLB37" s="53"/>
      <c r="GLC37" s="53"/>
      <c r="GLD37" s="53"/>
      <c r="GLE37" s="53"/>
      <c r="GLF37" s="53"/>
      <c r="GLG37" s="53"/>
      <c r="GLH37" s="53"/>
      <c r="GLI37" s="53"/>
      <c r="GLJ37" s="53"/>
      <c r="GLK37" s="53"/>
      <c r="GLL37" s="53"/>
      <c r="GLM37" s="53"/>
      <c r="GLN37" s="53"/>
      <c r="GLO37" s="53"/>
      <c r="GLP37" s="53"/>
      <c r="GLQ37" s="53"/>
      <c r="GLR37" s="53"/>
      <c r="GLS37" s="53"/>
      <c r="GLT37" s="53"/>
      <c r="GLU37" s="53"/>
      <c r="GLV37" s="53"/>
      <c r="GLW37" s="53"/>
      <c r="GLX37" s="53"/>
      <c r="GLY37" s="53"/>
      <c r="GLZ37" s="53"/>
      <c r="GMA37" s="53"/>
      <c r="GMB37" s="53"/>
      <c r="GMC37" s="53"/>
      <c r="GMD37" s="53"/>
      <c r="GME37" s="53"/>
      <c r="GMF37" s="53"/>
      <c r="GMG37" s="53"/>
      <c r="GMH37" s="53"/>
      <c r="GMI37" s="53"/>
      <c r="GMJ37" s="53"/>
      <c r="GMK37" s="53"/>
      <c r="GML37" s="53"/>
      <c r="GMM37" s="53"/>
      <c r="GMN37" s="53"/>
      <c r="GMO37" s="53"/>
      <c r="GMP37" s="53"/>
      <c r="GMQ37" s="53"/>
      <c r="GMR37" s="53"/>
      <c r="GMS37" s="53"/>
      <c r="GMT37" s="53"/>
      <c r="GMU37" s="53"/>
      <c r="GMV37" s="53"/>
      <c r="GMW37" s="53"/>
      <c r="GMX37" s="53"/>
      <c r="GMY37" s="53"/>
      <c r="GMZ37" s="53"/>
      <c r="GNA37" s="53"/>
      <c r="GNB37" s="53"/>
      <c r="GNC37" s="53"/>
      <c r="GND37" s="53"/>
      <c r="GNE37" s="53"/>
      <c r="GNF37" s="53"/>
      <c r="GNG37" s="53"/>
      <c r="GNH37" s="53"/>
      <c r="GNI37" s="53"/>
      <c r="GNJ37" s="53"/>
      <c r="GNK37" s="53"/>
      <c r="GNL37" s="53"/>
      <c r="GNM37" s="53"/>
      <c r="GNN37" s="53"/>
      <c r="GNO37" s="53"/>
      <c r="GNP37" s="53"/>
      <c r="GNQ37" s="53"/>
      <c r="GNR37" s="53"/>
      <c r="GNS37" s="53"/>
      <c r="GNT37" s="53"/>
      <c r="GNU37" s="53"/>
      <c r="GNV37" s="53"/>
      <c r="GNW37" s="53"/>
      <c r="GNX37" s="53"/>
      <c r="GNY37" s="53"/>
      <c r="GNZ37" s="53"/>
      <c r="GOA37" s="53"/>
      <c r="GOB37" s="53"/>
      <c r="GOC37" s="53"/>
      <c r="GOD37" s="53"/>
      <c r="GOE37" s="53"/>
      <c r="GOF37" s="53"/>
      <c r="GOG37" s="53"/>
      <c r="GOH37" s="53"/>
      <c r="GOI37" s="53"/>
      <c r="GOJ37" s="53"/>
      <c r="GOK37" s="53"/>
      <c r="GOL37" s="53"/>
      <c r="GOM37" s="53"/>
      <c r="GON37" s="53"/>
      <c r="GOO37" s="53"/>
      <c r="GOP37" s="53"/>
      <c r="GOQ37" s="53"/>
      <c r="GOR37" s="53"/>
      <c r="GOS37" s="53"/>
      <c r="GOT37" s="53"/>
      <c r="GOU37" s="53"/>
      <c r="GOV37" s="53"/>
      <c r="GOW37" s="53"/>
      <c r="GOX37" s="53"/>
      <c r="GOY37" s="53"/>
      <c r="GOZ37" s="53"/>
      <c r="GPA37" s="53"/>
      <c r="GPB37" s="53"/>
      <c r="GPC37" s="53"/>
      <c r="GPD37" s="53"/>
      <c r="GPE37" s="53"/>
      <c r="GPF37" s="53"/>
      <c r="GPG37" s="53"/>
      <c r="GPH37" s="53"/>
      <c r="GPI37" s="53"/>
      <c r="GPJ37" s="53"/>
      <c r="GPK37" s="53"/>
      <c r="GPL37" s="53"/>
      <c r="GPM37" s="53"/>
      <c r="GPN37" s="53"/>
      <c r="GPO37" s="53"/>
      <c r="GPP37" s="53"/>
      <c r="GPQ37" s="53"/>
      <c r="GPR37" s="53"/>
      <c r="GPS37" s="53"/>
      <c r="GPT37" s="53"/>
      <c r="GPU37" s="53"/>
      <c r="GPV37" s="53"/>
      <c r="GPW37" s="53"/>
      <c r="GPX37" s="53"/>
      <c r="GPY37" s="53"/>
      <c r="GPZ37" s="53"/>
      <c r="GQA37" s="53"/>
      <c r="GQB37" s="53"/>
      <c r="GQC37" s="53"/>
      <c r="GQD37" s="53"/>
      <c r="GQE37" s="53"/>
      <c r="GQF37" s="53"/>
      <c r="GQG37" s="53"/>
      <c r="GQH37" s="53"/>
      <c r="GQI37" s="53"/>
      <c r="GQJ37" s="53"/>
      <c r="GQK37" s="53"/>
      <c r="GQL37" s="53"/>
      <c r="GQM37" s="53"/>
      <c r="GQN37" s="53"/>
      <c r="GQO37" s="53"/>
      <c r="GQP37" s="53"/>
      <c r="GQQ37" s="53"/>
      <c r="GQR37" s="53"/>
      <c r="GQS37" s="53"/>
      <c r="GQT37" s="53"/>
      <c r="GQU37" s="53"/>
      <c r="GQV37" s="53"/>
      <c r="GQW37" s="53"/>
      <c r="GQX37" s="53"/>
      <c r="GQY37" s="53"/>
      <c r="GQZ37" s="53"/>
      <c r="GRA37" s="53"/>
      <c r="GRB37" s="53"/>
      <c r="GRC37" s="53"/>
      <c r="GRD37" s="53"/>
      <c r="GRE37" s="53"/>
      <c r="GRF37" s="53"/>
      <c r="GRG37" s="53"/>
      <c r="GRH37" s="53"/>
      <c r="GRI37" s="53"/>
      <c r="GRJ37" s="53"/>
      <c r="GRK37" s="53"/>
      <c r="GRL37" s="53"/>
      <c r="GRM37" s="53"/>
      <c r="GRN37" s="53"/>
      <c r="GRO37" s="53"/>
      <c r="GRP37" s="53"/>
      <c r="GRQ37" s="53"/>
      <c r="GRR37" s="53"/>
      <c r="GRS37" s="53"/>
      <c r="GRT37" s="53"/>
      <c r="GRU37" s="53"/>
      <c r="GRV37" s="53"/>
      <c r="GRW37" s="53"/>
      <c r="GRX37" s="53"/>
      <c r="GRY37" s="53"/>
      <c r="GRZ37" s="53"/>
      <c r="GSA37" s="53"/>
      <c r="GSB37" s="53"/>
      <c r="GSC37" s="53"/>
      <c r="GSD37" s="53"/>
      <c r="GSE37" s="53"/>
      <c r="GSF37" s="53"/>
      <c r="GSG37" s="53"/>
      <c r="GSH37" s="53"/>
      <c r="GSI37" s="53"/>
      <c r="GSJ37" s="53"/>
      <c r="GSK37" s="53"/>
      <c r="GSL37" s="53"/>
      <c r="GSM37" s="53"/>
      <c r="GSN37" s="53"/>
      <c r="GSO37" s="53"/>
      <c r="GSP37" s="53"/>
      <c r="GSQ37" s="53"/>
      <c r="GSR37" s="53"/>
      <c r="GSS37" s="53"/>
      <c r="GST37" s="53"/>
      <c r="GSU37" s="53"/>
      <c r="GSV37" s="53"/>
      <c r="GSW37" s="53"/>
      <c r="GSX37" s="53"/>
      <c r="GSY37" s="53"/>
      <c r="GSZ37" s="53"/>
      <c r="GTA37" s="53"/>
      <c r="GTB37" s="53"/>
      <c r="GTC37" s="53"/>
      <c r="GTD37" s="53"/>
      <c r="GTE37" s="53"/>
      <c r="GTF37" s="53"/>
      <c r="GTG37" s="53"/>
      <c r="GTH37" s="53"/>
      <c r="GTI37" s="53"/>
      <c r="GTJ37" s="53"/>
      <c r="GTK37" s="53"/>
      <c r="GTL37" s="53"/>
      <c r="GTM37" s="53"/>
      <c r="GTN37" s="53"/>
      <c r="GTO37" s="53"/>
      <c r="GTP37" s="53"/>
      <c r="GTQ37" s="53"/>
      <c r="GTR37" s="53"/>
      <c r="GTS37" s="53"/>
      <c r="GTT37" s="53"/>
      <c r="GTU37" s="53"/>
      <c r="GTV37" s="53"/>
      <c r="GTW37" s="53"/>
      <c r="GTX37" s="53"/>
      <c r="GTY37" s="53"/>
      <c r="GTZ37" s="53"/>
      <c r="GUA37" s="53"/>
      <c r="GUB37" s="53"/>
      <c r="GUC37" s="53"/>
      <c r="GUD37" s="53"/>
      <c r="GUE37" s="53"/>
      <c r="GUF37" s="53"/>
      <c r="GUG37" s="53"/>
      <c r="GUH37" s="53"/>
      <c r="GUI37" s="53"/>
      <c r="GUJ37" s="53"/>
      <c r="GUK37" s="53"/>
      <c r="GUL37" s="53"/>
      <c r="GUM37" s="53"/>
      <c r="GUN37" s="53"/>
      <c r="GUO37" s="53"/>
      <c r="GUP37" s="53"/>
      <c r="GUQ37" s="53"/>
      <c r="GUR37" s="53"/>
      <c r="GUS37" s="53"/>
      <c r="GUT37" s="53"/>
      <c r="GUU37" s="53"/>
      <c r="GUV37" s="53"/>
      <c r="GUW37" s="53"/>
      <c r="GUX37" s="53"/>
      <c r="GUY37" s="53"/>
      <c r="GUZ37" s="53"/>
      <c r="GVA37" s="53"/>
      <c r="GVB37" s="53"/>
      <c r="GVC37" s="53"/>
      <c r="GVD37" s="53"/>
      <c r="GVE37" s="53"/>
      <c r="GVF37" s="53"/>
      <c r="GVG37" s="53"/>
      <c r="GVH37" s="53"/>
      <c r="GVI37" s="53"/>
      <c r="GVJ37" s="53"/>
      <c r="GVK37" s="53"/>
      <c r="GVL37" s="53"/>
      <c r="GVM37" s="53"/>
      <c r="GVN37" s="53"/>
      <c r="GVO37" s="53"/>
      <c r="GVP37" s="53"/>
      <c r="GVQ37" s="53"/>
      <c r="GVR37" s="53"/>
      <c r="GVS37" s="53"/>
      <c r="GVT37" s="53"/>
      <c r="GVU37" s="53"/>
      <c r="GVV37" s="53"/>
      <c r="GVW37" s="53"/>
      <c r="GVX37" s="53"/>
      <c r="GVY37" s="53"/>
      <c r="GVZ37" s="53"/>
      <c r="GWA37" s="53"/>
      <c r="GWB37" s="53"/>
      <c r="GWC37" s="53"/>
      <c r="GWD37" s="53"/>
      <c r="GWE37" s="53"/>
      <c r="GWF37" s="53"/>
      <c r="GWG37" s="53"/>
      <c r="GWH37" s="53"/>
      <c r="GWI37" s="53"/>
      <c r="GWJ37" s="53"/>
      <c r="GWK37" s="53"/>
      <c r="GWL37" s="53"/>
      <c r="GWM37" s="53"/>
      <c r="GWN37" s="53"/>
      <c r="GWO37" s="53"/>
      <c r="GWP37" s="53"/>
      <c r="GWQ37" s="53"/>
      <c r="GWR37" s="53"/>
      <c r="GWS37" s="53"/>
      <c r="GWT37" s="53"/>
      <c r="GWU37" s="53"/>
      <c r="GWV37" s="53"/>
      <c r="GWW37" s="53"/>
      <c r="GWX37" s="53"/>
      <c r="GWY37" s="53"/>
      <c r="GWZ37" s="53"/>
      <c r="GXA37" s="53"/>
      <c r="GXB37" s="53"/>
      <c r="GXC37" s="53"/>
      <c r="GXD37" s="53"/>
      <c r="GXE37" s="53"/>
      <c r="GXF37" s="53"/>
      <c r="GXG37" s="53"/>
      <c r="GXH37" s="53"/>
      <c r="GXI37" s="53"/>
      <c r="GXJ37" s="53"/>
      <c r="GXK37" s="53"/>
      <c r="GXL37" s="53"/>
      <c r="GXM37" s="53"/>
      <c r="GXN37" s="53"/>
      <c r="GXO37" s="53"/>
      <c r="GXP37" s="53"/>
      <c r="GXQ37" s="53"/>
      <c r="GXR37" s="53"/>
      <c r="GXS37" s="53"/>
      <c r="GXT37" s="53"/>
      <c r="GXU37" s="53"/>
      <c r="GXV37" s="53"/>
      <c r="GXW37" s="53"/>
      <c r="GXX37" s="53"/>
      <c r="GXY37" s="53"/>
      <c r="GXZ37" s="53"/>
      <c r="GYA37" s="53"/>
      <c r="GYB37" s="53"/>
      <c r="GYC37" s="53"/>
      <c r="GYD37" s="53"/>
      <c r="GYE37" s="53"/>
      <c r="GYF37" s="53"/>
      <c r="GYG37" s="53"/>
      <c r="GYH37" s="53"/>
      <c r="GYI37" s="53"/>
      <c r="GYJ37" s="53"/>
      <c r="GYK37" s="53"/>
      <c r="GYL37" s="53"/>
      <c r="GYM37" s="53"/>
      <c r="GYN37" s="53"/>
      <c r="GYO37" s="53"/>
      <c r="GYP37" s="53"/>
      <c r="GYQ37" s="53"/>
      <c r="GYR37" s="53"/>
      <c r="GYS37" s="53"/>
      <c r="GYT37" s="53"/>
      <c r="GYU37" s="53"/>
      <c r="GYV37" s="53"/>
      <c r="GYW37" s="53"/>
      <c r="GYX37" s="53"/>
      <c r="GYY37" s="53"/>
      <c r="GYZ37" s="53"/>
      <c r="GZA37" s="53"/>
      <c r="GZB37" s="53"/>
      <c r="GZC37" s="53"/>
      <c r="GZD37" s="53"/>
      <c r="GZE37" s="53"/>
      <c r="GZF37" s="53"/>
      <c r="GZG37" s="53"/>
      <c r="GZH37" s="53"/>
      <c r="GZI37" s="53"/>
      <c r="GZJ37" s="53"/>
      <c r="GZK37" s="53"/>
      <c r="GZL37" s="53"/>
      <c r="GZM37" s="53"/>
      <c r="GZN37" s="53"/>
      <c r="GZO37" s="53"/>
      <c r="GZP37" s="53"/>
      <c r="GZQ37" s="53"/>
      <c r="GZR37" s="53"/>
      <c r="GZS37" s="53"/>
      <c r="GZT37" s="53"/>
      <c r="GZU37" s="53"/>
      <c r="GZV37" s="53"/>
      <c r="GZW37" s="53"/>
      <c r="GZX37" s="53"/>
      <c r="GZY37" s="53"/>
      <c r="GZZ37" s="53"/>
      <c r="HAA37" s="53"/>
      <c r="HAB37" s="53"/>
      <c r="HAC37" s="53"/>
      <c r="HAD37" s="53"/>
      <c r="HAE37" s="53"/>
      <c r="HAF37" s="53"/>
      <c r="HAG37" s="53"/>
      <c r="HAH37" s="53"/>
      <c r="HAI37" s="53"/>
      <c r="HAJ37" s="53"/>
      <c r="HAK37" s="53"/>
      <c r="HAL37" s="53"/>
      <c r="HAM37" s="53"/>
      <c r="HAN37" s="53"/>
      <c r="HAO37" s="53"/>
      <c r="HAP37" s="53"/>
      <c r="HAQ37" s="53"/>
      <c r="HAR37" s="53"/>
      <c r="HAS37" s="53"/>
      <c r="HAT37" s="53"/>
      <c r="HAU37" s="53"/>
      <c r="HAV37" s="53"/>
      <c r="HAW37" s="53"/>
      <c r="HAX37" s="53"/>
      <c r="HAY37" s="53"/>
      <c r="HAZ37" s="53"/>
      <c r="HBA37" s="53"/>
      <c r="HBB37" s="53"/>
      <c r="HBC37" s="53"/>
      <c r="HBD37" s="53"/>
      <c r="HBE37" s="53"/>
      <c r="HBF37" s="53"/>
      <c r="HBG37" s="53"/>
      <c r="HBH37" s="53"/>
      <c r="HBI37" s="53"/>
      <c r="HBJ37" s="53"/>
      <c r="HBK37" s="53"/>
      <c r="HBL37" s="53"/>
      <c r="HBM37" s="53"/>
      <c r="HBN37" s="53"/>
      <c r="HBO37" s="53"/>
      <c r="HBP37" s="53"/>
      <c r="HBQ37" s="53"/>
      <c r="HBR37" s="53"/>
      <c r="HBS37" s="53"/>
      <c r="HBT37" s="53"/>
      <c r="HBU37" s="53"/>
      <c r="HBV37" s="53"/>
      <c r="HBW37" s="53"/>
      <c r="HBX37" s="53"/>
      <c r="HBY37" s="53"/>
      <c r="HBZ37" s="53"/>
      <c r="HCA37" s="53"/>
      <c r="HCB37" s="53"/>
      <c r="HCC37" s="53"/>
      <c r="HCD37" s="53"/>
      <c r="HCE37" s="53"/>
      <c r="HCF37" s="53"/>
      <c r="HCG37" s="53"/>
      <c r="HCH37" s="53"/>
      <c r="HCI37" s="53"/>
      <c r="HCJ37" s="53"/>
      <c r="HCK37" s="53"/>
      <c r="HCL37" s="53"/>
      <c r="HCM37" s="53"/>
      <c r="HCN37" s="53"/>
      <c r="HCO37" s="53"/>
      <c r="HCP37" s="53"/>
      <c r="HCQ37" s="53"/>
      <c r="HCR37" s="53"/>
      <c r="HCS37" s="53"/>
      <c r="HCT37" s="53"/>
      <c r="HCU37" s="53"/>
      <c r="HCV37" s="53"/>
      <c r="HCW37" s="53"/>
      <c r="HCX37" s="53"/>
      <c r="HCY37" s="53"/>
      <c r="HCZ37" s="53"/>
      <c r="HDA37" s="53"/>
      <c r="HDB37" s="53"/>
      <c r="HDC37" s="53"/>
      <c r="HDD37" s="53"/>
      <c r="HDE37" s="53"/>
      <c r="HDF37" s="53"/>
      <c r="HDG37" s="53"/>
      <c r="HDH37" s="53"/>
      <c r="HDI37" s="53"/>
      <c r="HDJ37" s="53"/>
      <c r="HDK37" s="53"/>
      <c r="HDL37" s="53"/>
      <c r="HDM37" s="53"/>
      <c r="HDN37" s="53"/>
      <c r="HDO37" s="53"/>
      <c r="HDP37" s="53"/>
      <c r="HDQ37" s="53"/>
      <c r="HDR37" s="53"/>
      <c r="HDS37" s="53"/>
      <c r="HDT37" s="53"/>
      <c r="HDU37" s="53"/>
      <c r="HDV37" s="53"/>
      <c r="HDW37" s="53"/>
      <c r="HDX37" s="53"/>
      <c r="HDY37" s="53"/>
      <c r="HDZ37" s="53"/>
      <c r="HEA37" s="53"/>
      <c r="HEB37" s="53"/>
      <c r="HEC37" s="53"/>
      <c r="HED37" s="53"/>
      <c r="HEE37" s="53"/>
      <c r="HEF37" s="53"/>
      <c r="HEG37" s="53"/>
      <c r="HEH37" s="53"/>
      <c r="HEI37" s="53"/>
      <c r="HEJ37" s="53"/>
      <c r="HEK37" s="53"/>
      <c r="HEL37" s="53"/>
      <c r="HEM37" s="53"/>
      <c r="HEN37" s="53"/>
      <c r="HEO37" s="53"/>
      <c r="HEP37" s="53"/>
      <c r="HEQ37" s="53"/>
      <c r="HER37" s="53"/>
      <c r="HES37" s="53"/>
      <c r="HET37" s="53"/>
      <c r="HEU37" s="53"/>
      <c r="HEV37" s="53"/>
      <c r="HEW37" s="53"/>
      <c r="HEX37" s="53"/>
      <c r="HEY37" s="53"/>
      <c r="HEZ37" s="53"/>
      <c r="HFA37" s="53"/>
      <c r="HFB37" s="53"/>
      <c r="HFC37" s="53"/>
      <c r="HFD37" s="53"/>
      <c r="HFE37" s="53"/>
      <c r="HFF37" s="53"/>
      <c r="HFG37" s="53"/>
      <c r="HFH37" s="53"/>
      <c r="HFI37" s="53"/>
      <c r="HFJ37" s="53"/>
      <c r="HFK37" s="53"/>
      <c r="HFL37" s="53"/>
      <c r="HFM37" s="53"/>
      <c r="HFN37" s="53"/>
      <c r="HFO37" s="53"/>
      <c r="HFP37" s="53"/>
      <c r="HFQ37" s="53"/>
      <c r="HFR37" s="53"/>
      <c r="HFS37" s="53"/>
      <c r="HFT37" s="53"/>
      <c r="HFU37" s="53"/>
      <c r="HFV37" s="53"/>
      <c r="HFW37" s="53"/>
      <c r="HFX37" s="53"/>
      <c r="HFY37" s="53"/>
      <c r="HFZ37" s="53"/>
      <c r="HGA37" s="53"/>
      <c r="HGB37" s="53"/>
      <c r="HGC37" s="53"/>
      <c r="HGD37" s="53"/>
      <c r="HGE37" s="53"/>
      <c r="HGF37" s="53"/>
      <c r="HGG37" s="53"/>
      <c r="HGH37" s="53"/>
      <c r="HGI37" s="53"/>
      <c r="HGJ37" s="53"/>
      <c r="HGK37" s="53"/>
      <c r="HGL37" s="53"/>
      <c r="HGM37" s="53"/>
      <c r="HGN37" s="53"/>
      <c r="HGO37" s="53"/>
      <c r="HGP37" s="53"/>
      <c r="HGQ37" s="53"/>
      <c r="HGR37" s="53"/>
      <c r="HGS37" s="53"/>
      <c r="HGT37" s="53"/>
      <c r="HGU37" s="53"/>
      <c r="HGV37" s="53"/>
      <c r="HGW37" s="53"/>
      <c r="HGX37" s="53"/>
      <c r="HGY37" s="53"/>
      <c r="HGZ37" s="53"/>
      <c r="HHA37" s="53"/>
      <c r="HHB37" s="53"/>
      <c r="HHC37" s="53"/>
      <c r="HHD37" s="53"/>
      <c r="HHE37" s="53"/>
      <c r="HHF37" s="53"/>
      <c r="HHG37" s="53"/>
      <c r="HHH37" s="53"/>
      <c r="HHI37" s="53"/>
      <c r="HHJ37" s="53"/>
      <c r="HHK37" s="53"/>
      <c r="HHL37" s="53"/>
      <c r="HHM37" s="53"/>
      <c r="HHN37" s="53"/>
      <c r="HHO37" s="53"/>
      <c r="HHP37" s="53"/>
      <c r="HHQ37" s="53"/>
      <c r="HHR37" s="53"/>
      <c r="HHS37" s="53"/>
      <c r="HHT37" s="53"/>
      <c r="HHU37" s="53"/>
      <c r="HHV37" s="53"/>
      <c r="HHW37" s="53"/>
      <c r="HHX37" s="53"/>
      <c r="HHY37" s="53"/>
      <c r="HHZ37" s="53"/>
      <c r="HIA37" s="53"/>
      <c r="HIB37" s="53"/>
      <c r="HIC37" s="53"/>
      <c r="HID37" s="53"/>
      <c r="HIE37" s="53"/>
      <c r="HIF37" s="53"/>
      <c r="HIG37" s="53"/>
      <c r="HIH37" s="53"/>
      <c r="HII37" s="53"/>
      <c r="HIJ37" s="53"/>
      <c r="HIK37" s="53"/>
      <c r="HIL37" s="53"/>
      <c r="HIM37" s="53"/>
      <c r="HIN37" s="53"/>
      <c r="HIO37" s="53"/>
      <c r="HIP37" s="53"/>
      <c r="HIQ37" s="53"/>
      <c r="HIR37" s="53"/>
      <c r="HIS37" s="53"/>
      <c r="HIT37" s="53"/>
      <c r="HIU37" s="53"/>
      <c r="HIV37" s="53"/>
      <c r="HIW37" s="53"/>
      <c r="HIX37" s="53"/>
      <c r="HIY37" s="53"/>
      <c r="HIZ37" s="53"/>
      <c r="HJA37" s="53"/>
      <c r="HJB37" s="53"/>
      <c r="HJC37" s="53"/>
      <c r="HJD37" s="53"/>
      <c r="HJE37" s="53"/>
      <c r="HJF37" s="53"/>
      <c r="HJG37" s="53"/>
      <c r="HJH37" s="53"/>
      <c r="HJI37" s="53"/>
      <c r="HJJ37" s="53"/>
      <c r="HJK37" s="53"/>
      <c r="HJL37" s="53"/>
      <c r="HJM37" s="53"/>
      <c r="HJN37" s="53"/>
      <c r="HJO37" s="53"/>
      <c r="HJP37" s="53"/>
      <c r="HJQ37" s="53"/>
      <c r="HJR37" s="53"/>
      <c r="HJS37" s="53"/>
      <c r="HJT37" s="53"/>
      <c r="HJU37" s="53"/>
      <c r="HJV37" s="53"/>
      <c r="HJW37" s="53"/>
      <c r="HJX37" s="53"/>
      <c r="HJY37" s="53"/>
      <c r="HJZ37" s="53"/>
      <c r="HKA37" s="53"/>
      <c r="HKB37" s="53"/>
      <c r="HKC37" s="53"/>
      <c r="HKD37" s="53"/>
      <c r="HKE37" s="53"/>
      <c r="HKF37" s="53"/>
      <c r="HKG37" s="53"/>
      <c r="HKH37" s="53"/>
      <c r="HKI37" s="53"/>
      <c r="HKJ37" s="53"/>
      <c r="HKK37" s="53"/>
      <c r="HKL37" s="53"/>
      <c r="HKM37" s="53"/>
      <c r="HKN37" s="53"/>
      <c r="HKO37" s="53"/>
      <c r="HKP37" s="53"/>
      <c r="HKQ37" s="53"/>
      <c r="HKR37" s="53"/>
      <c r="HKS37" s="53"/>
      <c r="HKT37" s="53"/>
      <c r="HKU37" s="53"/>
      <c r="HKV37" s="53"/>
      <c r="HKW37" s="53"/>
      <c r="HKX37" s="53"/>
      <c r="HKY37" s="53"/>
      <c r="HKZ37" s="53"/>
      <c r="HLA37" s="53"/>
      <c r="HLB37" s="53"/>
      <c r="HLC37" s="53"/>
      <c r="HLD37" s="53"/>
      <c r="HLE37" s="53"/>
      <c r="HLF37" s="53"/>
      <c r="HLG37" s="53"/>
      <c r="HLH37" s="53"/>
      <c r="HLI37" s="53"/>
      <c r="HLJ37" s="53"/>
      <c r="HLK37" s="53"/>
      <c r="HLL37" s="53"/>
      <c r="HLM37" s="53"/>
      <c r="HLN37" s="53"/>
      <c r="HLO37" s="53"/>
      <c r="HLP37" s="53"/>
      <c r="HLQ37" s="53"/>
      <c r="HLR37" s="53"/>
      <c r="HLS37" s="53"/>
      <c r="HLT37" s="53"/>
      <c r="HLU37" s="53"/>
      <c r="HLV37" s="53"/>
      <c r="HLW37" s="53"/>
      <c r="HLX37" s="53"/>
      <c r="HLY37" s="53"/>
      <c r="HLZ37" s="53"/>
      <c r="HMA37" s="53"/>
      <c r="HMB37" s="53"/>
      <c r="HMC37" s="53"/>
      <c r="HMD37" s="53"/>
      <c r="HME37" s="53"/>
      <c r="HMF37" s="53"/>
      <c r="HMG37" s="53"/>
      <c r="HMH37" s="53"/>
      <c r="HMI37" s="53"/>
      <c r="HMJ37" s="53"/>
      <c r="HMK37" s="53"/>
      <c r="HML37" s="53"/>
      <c r="HMM37" s="53"/>
      <c r="HMN37" s="53"/>
      <c r="HMO37" s="53"/>
      <c r="HMP37" s="53"/>
      <c r="HMQ37" s="53"/>
      <c r="HMR37" s="53"/>
      <c r="HMS37" s="53"/>
      <c r="HMT37" s="53"/>
      <c r="HMU37" s="53"/>
      <c r="HMV37" s="53"/>
      <c r="HMW37" s="53"/>
      <c r="HMX37" s="53"/>
      <c r="HMY37" s="53"/>
      <c r="HMZ37" s="53"/>
      <c r="HNA37" s="53"/>
      <c r="HNB37" s="53"/>
      <c r="HNC37" s="53"/>
      <c r="HND37" s="53"/>
      <c r="HNE37" s="53"/>
      <c r="HNF37" s="53"/>
      <c r="HNG37" s="53"/>
      <c r="HNH37" s="53"/>
      <c r="HNI37" s="53"/>
      <c r="HNJ37" s="53"/>
      <c r="HNK37" s="53"/>
      <c r="HNL37" s="53"/>
      <c r="HNM37" s="53"/>
      <c r="HNN37" s="53"/>
      <c r="HNO37" s="53"/>
      <c r="HNP37" s="53"/>
      <c r="HNQ37" s="53"/>
      <c r="HNR37" s="53"/>
      <c r="HNS37" s="53"/>
      <c r="HNT37" s="53"/>
      <c r="HNU37" s="53"/>
      <c r="HNV37" s="53"/>
      <c r="HNW37" s="53"/>
      <c r="HNX37" s="53"/>
      <c r="HNY37" s="53"/>
      <c r="HNZ37" s="53"/>
      <c r="HOA37" s="53"/>
      <c r="HOB37" s="53"/>
      <c r="HOC37" s="53"/>
      <c r="HOD37" s="53"/>
      <c r="HOE37" s="53"/>
      <c r="HOF37" s="53"/>
      <c r="HOG37" s="53"/>
      <c r="HOH37" s="53"/>
      <c r="HOI37" s="53"/>
      <c r="HOJ37" s="53"/>
      <c r="HOK37" s="53"/>
      <c r="HOL37" s="53"/>
      <c r="HOM37" s="53"/>
      <c r="HON37" s="53"/>
      <c r="HOO37" s="53"/>
      <c r="HOP37" s="53"/>
      <c r="HOQ37" s="53"/>
      <c r="HOR37" s="53"/>
      <c r="HOS37" s="53"/>
      <c r="HOT37" s="53"/>
      <c r="HOU37" s="53"/>
      <c r="HOV37" s="53"/>
      <c r="HOW37" s="53"/>
      <c r="HOX37" s="53"/>
      <c r="HOY37" s="53"/>
      <c r="HOZ37" s="53"/>
      <c r="HPA37" s="53"/>
      <c r="HPB37" s="53"/>
      <c r="HPC37" s="53"/>
      <c r="HPD37" s="53"/>
      <c r="HPE37" s="53"/>
      <c r="HPF37" s="53"/>
      <c r="HPG37" s="53"/>
      <c r="HPH37" s="53"/>
      <c r="HPI37" s="53"/>
      <c r="HPJ37" s="53"/>
      <c r="HPK37" s="53"/>
      <c r="HPL37" s="53"/>
      <c r="HPM37" s="53"/>
      <c r="HPN37" s="53"/>
      <c r="HPO37" s="53"/>
      <c r="HPP37" s="53"/>
      <c r="HPQ37" s="53"/>
      <c r="HPR37" s="53"/>
      <c r="HPS37" s="53"/>
      <c r="HPT37" s="53"/>
      <c r="HPU37" s="53"/>
      <c r="HPV37" s="53"/>
      <c r="HPW37" s="53"/>
      <c r="HPX37" s="53"/>
      <c r="HPY37" s="53"/>
      <c r="HPZ37" s="53"/>
      <c r="HQA37" s="53"/>
      <c r="HQB37" s="53"/>
      <c r="HQC37" s="53"/>
      <c r="HQD37" s="53"/>
      <c r="HQE37" s="53"/>
      <c r="HQF37" s="53"/>
      <c r="HQG37" s="53"/>
      <c r="HQH37" s="53"/>
      <c r="HQI37" s="53"/>
      <c r="HQJ37" s="53"/>
      <c r="HQK37" s="53"/>
      <c r="HQL37" s="53"/>
      <c r="HQM37" s="53"/>
      <c r="HQN37" s="53"/>
      <c r="HQO37" s="53"/>
      <c r="HQP37" s="53"/>
      <c r="HQQ37" s="53"/>
      <c r="HQR37" s="53"/>
      <c r="HQS37" s="53"/>
      <c r="HQT37" s="53"/>
      <c r="HQU37" s="53"/>
      <c r="HQV37" s="53"/>
      <c r="HQW37" s="53"/>
      <c r="HQX37" s="53"/>
      <c r="HQY37" s="53"/>
      <c r="HQZ37" s="53"/>
      <c r="HRA37" s="53"/>
      <c r="HRB37" s="53"/>
      <c r="HRC37" s="53"/>
      <c r="HRD37" s="53"/>
      <c r="HRE37" s="53"/>
      <c r="HRF37" s="53"/>
      <c r="HRG37" s="53"/>
      <c r="HRH37" s="53"/>
      <c r="HRI37" s="53"/>
      <c r="HRJ37" s="53"/>
      <c r="HRK37" s="53"/>
      <c r="HRL37" s="53"/>
      <c r="HRM37" s="53"/>
      <c r="HRN37" s="53"/>
      <c r="HRO37" s="53"/>
      <c r="HRP37" s="53"/>
      <c r="HRQ37" s="53"/>
      <c r="HRR37" s="53"/>
      <c r="HRS37" s="53"/>
      <c r="HRT37" s="53"/>
      <c r="HRU37" s="53"/>
      <c r="HRV37" s="53"/>
      <c r="HRW37" s="53"/>
      <c r="HRX37" s="53"/>
      <c r="HRY37" s="53"/>
      <c r="HRZ37" s="53"/>
      <c r="HSA37" s="53"/>
      <c r="HSB37" s="53"/>
      <c r="HSC37" s="53"/>
      <c r="HSD37" s="53"/>
      <c r="HSE37" s="53"/>
      <c r="HSF37" s="53"/>
      <c r="HSG37" s="53"/>
      <c r="HSH37" s="53"/>
      <c r="HSI37" s="53"/>
      <c r="HSJ37" s="53"/>
      <c r="HSK37" s="53"/>
      <c r="HSL37" s="53"/>
      <c r="HSM37" s="53"/>
      <c r="HSN37" s="53"/>
      <c r="HSO37" s="53"/>
      <c r="HSP37" s="53"/>
      <c r="HSQ37" s="53"/>
      <c r="HSR37" s="53"/>
      <c r="HSS37" s="53"/>
      <c r="HST37" s="53"/>
      <c r="HSU37" s="53"/>
      <c r="HSV37" s="53"/>
      <c r="HSW37" s="53"/>
      <c r="HSX37" s="53"/>
      <c r="HSY37" s="53"/>
      <c r="HSZ37" s="53"/>
      <c r="HTA37" s="53"/>
      <c r="HTB37" s="53"/>
      <c r="HTC37" s="53"/>
      <c r="HTD37" s="53"/>
      <c r="HTE37" s="53"/>
      <c r="HTF37" s="53"/>
      <c r="HTG37" s="53"/>
      <c r="HTH37" s="53"/>
      <c r="HTI37" s="53"/>
      <c r="HTJ37" s="53"/>
      <c r="HTK37" s="53"/>
      <c r="HTL37" s="53"/>
      <c r="HTM37" s="53"/>
      <c r="HTN37" s="53"/>
      <c r="HTO37" s="53"/>
      <c r="HTP37" s="53"/>
      <c r="HTQ37" s="53"/>
      <c r="HTR37" s="53"/>
      <c r="HTS37" s="53"/>
      <c r="HTT37" s="53"/>
      <c r="HTU37" s="53"/>
      <c r="HTV37" s="53"/>
      <c r="HTW37" s="53"/>
      <c r="HTX37" s="53"/>
      <c r="HTY37" s="53"/>
      <c r="HTZ37" s="53"/>
      <c r="HUA37" s="53"/>
      <c r="HUB37" s="53"/>
      <c r="HUC37" s="53"/>
      <c r="HUD37" s="53"/>
      <c r="HUE37" s="53"/>
      <c r="HUF37" s="53"/>
      <c r="HUG37" s="53"/>
      <c r="HUH37" s="53"/>
      <c r="HUI37" s="53"/>
      <c r="HUJ37" s="53"/>
      <c r="HUK37" s="53"/>
      <c r="HUL37" s="53"/>
      <c r="HUM37" s="53"/>
      <c r="HUN37" s="53"/>
      <c r="HUO37" s="53"/>
      <c r="HUP37" s="53"/>
      <c r="HUQ37" s="53"/>
      <c r="HUR37" s="53"/>
      <c r="HUS37" s="53"/>
      <c r="HUT37" s="53"/>
      <c r="HUU37" s="53"/>
      <c r="HUV37" s="53"/>
      <c r="HUW37" s="53"/>
      <c r="HUX37" s="53"/>
      <c r="HUY37" s="53"/>
      <c r="HUZ37" s="53"/>
      <c r="HVA37" s="53"/>
      <c r="HVB37" s="53"/>
      <c r="HVC37" s="53"/>
      <c r="HVD37" s="53"/>
      <c r="HVE37" s="53"/>
      <c r="HVF37" s="53"/>
      <c r="HVG37" s="53"/>
      <c r="HVH37" s="53"/>
      <c r="HVI37" s="53"/>
      <c r="HVJ37" s="53"/>
      <c r="HVK37" s="53"/>
      <c r="HVL37" s="53"/>
      <c r="HVM37" s="53"/>
      <c r="HVN37" s="53"/>
      <c r="HVO37" s="53"/>
      <c r="HVP37" s="53"/>
      <c r="HVQ37" s="53"/>
      <c r="HVR37" s="53"/>
      <c r="HVS37" s="53"/>
      <c r="HVT37" s="53"/>
      <c r="HVU37" s="53"/>
      <c r="HVV37" s="53"/>
      <c r="HVW37" s="53"/>
      <c r="HVX37" s="53"/>
      <c r="HVY37" s="53"/>
      <c r="HVZ37" s="53"/>
      <c r="HWA37" s="53"/>
      <c r="HWB37" s="53"/>
      <c r="HWC37" s="53"/>
      <c r="HWD37" s="53"/>
      <c r="HWE37" s="53"/>
      <c r="HWF37" s="53"/>
      <c r="HWG37" s="53"/>
      <c r="HWH37" s="53"/>
      <c r="HWI37" s="53"/>
      <c r="HWJ37" s="53"/>
      <c r="HWK37" s="53"/>
      <c r="HWL37" s="53"/>
      <c r="HWM37" s="53"/>
      <c r="HWN37" s="53"/>
      <c r="HWO37" s="53"/>
      <c r="HWP37" s="53"/>
      <c r="HWQ37" s="53"/>
      <c r="HWR37" s="53"/>
      <c r="HWS37" s="53"/>
      <c r="HWT37" s="53"/>
      <c r="HWU37" s="53"/>
      <c r="HWV37" s="53"/>
      <c r="HWW37" s="53"/>
      <c r="HWX37" s="53"/>
      <c r="HWY37" s="53"/>
      <c r="HWZ37" s="53"/>
      <c r="HXA37" s="53"/>
      <c r="HXB37" s="53"/>
      <c r="HXC37" s="53"/>
      <c r="HXD37" s="53"/>
      <c r="HXE37" s="53"/>
      <c r="HXF37" s="53"/>
      <c r="HXG37" s="53"/>
      <c r="HXH37" s="53"/>
      <c r="HXI37" s="53"/>
      <c r="HXJ37" s="53"/>
      <c r="HXK37" s="53"/>
      <c r="HXL37" s="53"/>
      <c r="HXM37" s="53"/>
      <c r="HXN37" s="53"/>
      <c r="HXO37" s="53"/>
      <c r="HXP37" s="53"/>
      <c r="HXQ37" s="53"/>
      <c r="HXR37" s="53"/>
      <c r="HXS37" s="53"/>
      <c r="HXT37" s="53"/>
      <c r="HXU37" s="53"/>
      <c r="HXV37" s="53"/>
      <c r="HXW37" s="53"/>
      <c r="HXX37" s="53"/>
      <c r="HXY37" s="53"/>
      <c r="HXZ37" s="53"/>
      <c r="HYA37" s="53"/>
      <c r="HYB37" s="53"/>
      <c r="HYC37" s="53"/>
      <c r="HYD37" s="53"/>
      <c r="HYE37" s="53"/>
      <c r="HYF37" s="53"/>
      <c r="HYG37" s="53"/>
      <c r="HYH37" s="53"/>
      <c r="HYI37" s="53"/>
      <c r="HYJ37" s="53"/>
      <c r="HYK37" s="53"/>
      <c r="HYL37" s="53"/>
      <c r="HYM37" s="53"/>
      <c r="HYN37" s="53"/>
      <c r="HYO37" s="53"/>
      <c r="HYP37" s="53"/>
      <c r="HYQ37" s="53"/>
      <c r="HYR37" s="53"/>
      <c r="HYS37" s="53"/>
      <c r="HYT37" s="53"/>
      <c r="HYU37" s="53"/>
      <c r="HYV37" s="53"/>
      <c r="HYW37" s="53"/>
      <c r="HYX37" s="53"/>
      <c r="HYY37" s="53"/>
      <c r="HYZ37" s="53"/>
      <c r="HZA37" s="53"/>
      <c r="HZB37" s="53"/>
      <c r="HZC37" s="53"/>
      <c r="HZD37" s="53"/>
      <c r="HZE37" s="53"/>
      <c r="HZF37" s="53"/>
      <c r="HZG37" s="53"/>
      <c r="HZH37" s="53"/>
      <c r="HZI37" s="53"/>
      <c r="HZJ37" s="53"/>
      <c r="HZK37" s="53"/>
      <c r="HZL37" s="53"/>
      <c r="HZM37" s="53"/>
      <c r="HZN37" s="53"/>
      <c r="HZO37" s="53"/>
      <c r="HZP37" s="53"/>
      <c r="HZQ37" s="53"/>
      <c r="HZR37" s="53"/>
      <c r="HZS37" s="53"/>
      <c r="HZT37" s="53"/>
      <c r="HZU37" s="53"/>
      <c r="HZV37" s="53"/>
      <c r="HZW37" s="53"/>
      <c r="HZX37" s="53"/>
      <c r="HZY37" s="53"/>
      <c r="HZZ37" s="53"/>
      <c r="IAA37" s="53"/>
      <c r="IAB37" s="53"/>
      <c r="IAC37" s="53"/>
      <c r="IAD37" s="53"/>
      <c r="IAE37" s="53"/>
      <c r="IAF37" s="53"/>
      <c r="IAG37" s="53"/>
      <c r="IAH37" s="53"/>
      <c r="IAI37" s="53"/>
      <c r="IAJ37" s="53"/>
      <c r="IAK37" s="53"/>
      <c r="IAL37" s="53"/>
      <c r="IAM37" s="53"/>
      <c r="IAN37" s="53"/>
      <c r="IAO37" s="53"/>
      <c r="IAP37" s="53"/>
      <c r="IAQ37" s="53"/>
      <c r="IAR37" s="53"/>
      <c r="IAS37" s="53"/>
      <c r="IAT37" s="53"/>
      <c r="IAU37" s="53"/>
      <c r="IAV37" s="53"/>
      <c r="IAW37" s="53"/>
      <c r="IAX37" s="53"/>
      <c r="IAY37" s="53"/>
      <c r="IAZ37" s="53"/>
      <c r="IBA37" s="53"/>
      <c r="IBB37" s="53"/>
      <c r="IBC37" s="53"/>
      <c r="IBD37" s="53"/>
      <c r="IBE37" s="53"/>
      <c r="IBF37" s="53"/>
      <c r="IBG37" s="53"/>
      <c r="IBH37" s="53"/>
      <c r="IBI37" s="53"/>
      <c r="IBJ37" s="53"/>
      <c r="IBK37" s="53"/>
      <c r="IBL37" s="53"/>
      <c r="IBM37" s="53"/>
      <c r="IBN37" s="53"/>
      <c r="IBO37" s="53"/>
      <c r="IBP37" s="53"/>
      <c r="IBQ37" s="53"/>
      <c r="IBR37" s="53"/>
      <c r="IBS37" s="53"/>
      <c r="IBT37" s="53"/>
      <c r="IBU37" s="53"/>
      <c r="IBV37" s="53"/>
      <c r="IBW37" s="53"/>
      <c r="IBX37" s="53"/>
      <c r="IBY37" s="53"/>
      <c r="IBZ37" s="53"/>
      <c r="ICA37" s="53"/>
      <c r="ICB37" s="53"/>
      <c r="ICC37" s="53"/>
      <c r="ICD37" s="53"/>
      <c r="ICE37" s="53"/>
      <c r="ICF37" s="53"/>
      <c r="ICG37" s="53"/>
      <c r="ICH37" s="53"/>
      <c r="ICI37" s="53"/>
      <c r="ICJ37" s="53"/>
      <c r="ICK37" s="53"/>
      <c r="ICL37" s="53"/>
      <c r="ICM37" s="53"/>
      <c r="ICN37" s="53"/>
      <c r="ICO37" s="53"/>
      <c r="ICP37" s="53"/>
      <c r="ICQ37" s="53"/>
      <c r="ICR37" s="53"/>
      <c r="ICS37" s="53"/>
      <c r="ICT37" s="53"/>
      <c r="ICU37" s="53"/>
      <c r="ICV37" s="53"/>
      <c r="ICW37" s="53"/>
      <c r="ICX37" s="53"/>
      <c r="ICY37" s="53"/>
      <c r="ICZ37" s="53"/>
      <c r="IDA37" s="53"/>
      <c r="IDB37" s="53"/>
      <c r="IDC37" s="53"/>
      <c r="IDD37" s="53"/>
      <c r="IDE37" s="53"/>
      <c r="IDF37" s="53"/>
      <c r="IDG37" s="53"/>
      <c r="IDH37" s="53"/>
      <c r="IDI37" s="53"/>
      <c r="IDJ37" s="53"/>
      <c r="IDK37" s="53"/>
      <c r="IDL37" s="53"/>
      <c r="IDM37" s="53"/>
      <c r="IDN37" s="53"/>
      <c r="IDO37" s="53"/>
      <c r="IDP37" s="53"/>
      <c r="IDQ37" s="53"/>
      <c r="IDR37" s="53"/>
      <c r="IDS37" s="53"/>
      <c r="IDT37" s="53"/>
      <c r="IDU37" s="53"/>
      <c r="IDV37" s="53"/>
      <c r="IDW37" s="53"/>
      <c r="IDX37" s="53"/>
      <c r="IDY37" s="53"/>
      <c r="IDZ37" s="53"/>
      <c r="IEA37" s="53"/>
      <c r="IEB37" s="53"/>
      <c r="IEC37" s="53"/>
      <c r="IED37" s="53"/>
      <c r="IEE37" s="53"/>
      <c r="IEF37" s="53"/>
      <c r="IEG37" s="53"/>
      <c r="IEH37" s="53"/>
      <c r="IEI37" s="53"/>
      <c r="IEJ37" s="53"/>
      <c r="IEK37" s="53"/>
      <c r="IEL37" s="53"/>
      <c r="IEM37" s="53"/>
      <c r="IEN37" s="53"/>
      <c r="IEO37" s="53"/>
      <c r="IEP37" s="53"/>
      <c r="IEQ37" s="53"/>
      <c r="IER37" s="53"/>
      <c r="IES37" s="53"/>
      <c r="IET37" s="53"/>
      <c r="IEU37" s="53"/>
      <c r="IEV37" s="53"/>
      <c r="IEW37" s="53"/>
      <c r="IEX37" s="53"/>
      <c r="IEY37" s="53"/>
      <c r="IEZ37" s="53"/>
      <c r="IFA37" s="53"/>
      <c r="IFB37" s="53"/>
      <c r="IFC37" s="53"/>
      <c r="IFD37" s="53"/>
      <c r="IFE37" s="53"/>
      <c r="IFF37" s="53"/>
      <c r="IFG37" s="53"/>
      <c r="IFH37" s="53"/>
      <c r="IFI37" s="53"/>
      <c r="IFJ37" s="53"/>
      <c r="IFK37" s="53"/>
      <c r="IFL37" s="53"/>
      <c r="IFM37" s="53"/>
      <c r="IFN37" s="53"/>
      <c r="IFO37" s="53"/>
      <c r="IFP37" s="53"/>
      <c r="IFQ37" s="53"/>
      <c r="IFR37" s="53"/>
      <c r="IFS37" s="53"/>
      <c r="IFT37" s="53"/>
      <c r="IFU37" s="53"/>
      <c r="IFV37" s="53"/>
      <c r="IFW37" s="53"/>
      <c r="IFX37" s="53"/>
      <c r="IFY37" s="53"/>
      <c r="IFZ37" s="53"/>
      <c r="IGA37" s="53"/>
      <c r="IGB37" s="53"/>
      <c r="IGC37" s="53"/>
      <c r="IGD37" s="53"/>
      <c r="IGE37" s="53"/>
      <c r="IGF37" s="53"/>
      <c r="IGG37" s="53"/>
      <c r="IGH37" s="53"/>
      <c r="IGI37" s="53"/>
      <c r="IGJ37" s="53"/>
      <c r="IGK37" s="53"/>
      <c r="IGL37" s="53"/>
      <c r="IGM37" s="53"/>
      <c r="IGN37" s="53"/>
      <c r="IGO37" s="53"/>
      <c r="IGP37" s="53"/>
      <c r="IGQ37" s="53"/>
      <c r="IGR37" s="53"/>
      <c r="IGS37" s="53"/>
      <c r="IGT37" s="53"/>
      <c r="IGU37" s="53"/>
      <c r="IGV37" s="53"/>
      <c r="IGW37" s="53"/>
      <c r="IGX37" s="53"/>
      <c r="IGY37" s="53"/>
      <c r="IGZ37" s="53"/>
      <c r="IHA37" s="53"/>
      <c r="IHB37" s="53"/>
      <c r="IHC37" s="53"/>
      <c r="IHD37" s="53"/>
      <c r="IHE37" s="53"/>
      <c r="IHF37" s="53"/>
      <c r="IHG37" s="53"/>
      <c r="IHH37" s="53"/>
      <c r="IHI37" s="53"/>
      <c r="IHJ37" s="53"/>
      <c r="IHK37" s="53"/>
      <c r="IHL37" s="53"/>
      <c r="IHM37" s="53"/>
      <c r="IHN37" s="53"/>
      <c r="IHO37" s="53"/>
      <c r="IHP37" s="53"/>
      <c r="IHQ37" s="53"/>
      <c r="IHR37" s="53"/>
      <c r="IHS37" s="53"/>
      <c r="IHT37" s="53"/>
      <c r="IHU37" s="53"/>
      <c r="IHV37" s="53"/>
      <c r="IHW37" s="53"/>
      <c r="IHX37" s="53"/>
      <c r="IHY37" s="53"/>
      <c r="IHZ37" s="53"/>
      <c r="IIA37" s="53"/>
      <c r="IIB37" s="53"/>
      <c r="IIC37" s="53"/>
      <c r="IID37" s="53"/>
      <c r="IIE37" s="53"/>
      <c r="IIF37" s="53"/>
      <c r="IIG37" s="53"/>
      <c r="IIH37" s="53"/>
      <c r="III37" s="53"/>
      <c r="IIJ37" s="53"/>
      <c r="IIK37" s="53"/>
      <c r="IIL37" s="53"/>
      <c r="IIM37" s="53"/>
      <c r="IIN37" s="53"/>
      <c r="IIO37" s="53"/>
      <c r="IIP37" s="53"/>
      <c r="IIQ37" s="53"/>
      <c r="IIR37" s="53"/>
      <c r="IIS37" s="53"/>
      <c r="IIT37" s="53"/>
      <c r="IIU37" s="53"/>
      <c r="IIV37" s="53"/>
      <c r="IIW37" s="53"/>
      <c r="IIX37" s="53"/>
      <c r="IIY37" s="53"/>
      <c r="IIZ37" s="53"/>
      <c r="IJA37" s="53"/>
      <c r="IJB37" s="53"/>
      <c r="IJC37" s="53"/>
      <c r="IJD37" s="53"/>
      <c r="IJE37" s="53"/>
      <c r="IJF37" s="53"/>
      <c r="IJG37" s="53"/>
      <c r="IJH37" s="53"/>
      <c r="IJI37" s="53"/>
      <c r="IJJ37" s="53"/>
      <c r="IJK37" s="53"/>
      <c r="IJL37" s="53"/>
      <c r="IJM37" s="53"/>
      <c r="IJN37" s="53"/>
      <c r="IJO37" s="53"/>
      <c r="IJP37" s="53"/>
      <c r="IJQ37" s="53"/>
      <c r="IJR37" s="53"/>
      <c r="IJS37" s="53"/>
      <c r="IJT37" s="53"/>
      <c r="IJU37" s="53"/>
      <c r="IJV37" s="53"/>
      <c r="IJW37" s="53"/>
      <c r="IJX37" s="53"/>
      <c r="IJY37" s="53"/>
      <c r="IJZ37" s="53"/>
      <c r="IKA37" s="53"/>
      <c r="IKB37" s="53"/>
      <c r="IKC37" s="53"/>
      <c r="IKD37" s="53"/>
      <c r="IKE37" s="53"/>
      <c r="IKF37" s="53"/>
      <c r="IKG37" s="53"/>
      <c r="IKH37" s="53"/>
      <c r="IKI37" s="53"/>
      <c r="IKJ37" s="53"/>
      <c r="IKK37" s="53"/>
      <c r="IKL37" s="53"/>
      <c r="IKM37" s="53"/>
      <c r="IKN37" s="53"/>
      <c r="IKO37" s="53"/>
      <c r="IKP37" s="53"/>
      <c r="IKQ37" s="53"/>
      <c r="IKR37" s="53"/>
      <c r="IKS37" s="53"/>
      <c r="IKT37" s="53"/>
      <c r="IKU37" s="53"/>
      <c r="IKV37" s="53"/>
      <c r="IKW37" s="53"/>
      <c r="IKX37" s="53"/>
      <c r="IKY37" s="53"/>
      <c r="IKZ37" s="53"/>
      <c r="ILA37" s="53"/>
      <c r="ILB37" s="53"/>
      <c r="ILC37" s="53"/>
      <c r="ILD37" s="53"/>
      <c r="ILE37" s="53"/>
      <c r="ILF37" s="53"/>
      <c r="ILG37" s="53"/>
      <c r="ILH37" s="53"/>
      <c r="ILI37" s="53"/>
      <c r="ILJ37" s="53"/>
      <c r="ILK37" s="53"/>
      <c r="ILL37" s="53"/>
      <c r="ILM37" s="53"/>
      <c r="ILN37" s="53"/>
      <c r="ILO37" s="53"/>
      <c r="ILP37" s="53"/>
      <c r="ILQ37" s="53"/>
      <c r="ILR37" s="53"/>
      <c r="ILS37" s="53"/>
      <c r="ILT37" s="53"/>
      <c r="ILU37" s="53"/>
      <c r="ILV37" s="53"/>
      <c r="ILW37" s="53"/>
      <c r="ILX37" s="53"/>
      <c r="ILY37" s="53"/>
      <c r="ILZ37" s="53"/>
      <c r="IMA37" s="53"/>
      <c r="IMB37" s="53"/>
      <c r="IMC37" s="53"/>
      <c r="IMD37" s="53"/>
      <c r="IME37" s="53"/>
      <c r="IMF37" s="53"/>
      <c r="IMG37" s="53"/>
      <c r="IMH37" s="53"/>
      <c r="IMI37" s="53"/>
      <c r="IMJ37" s="53"/>
      <c r="IMK37" s="53"/>
      <c r="IML37" s="53"/>
      <c r="IMM37" s="53"/>
      <c r="IMN37" s="53"/>
      <c r="IMO37" s="53"/>
      <c r="IMP37" s="53"/>
      <c r="IMQ37" s="53"/>
      <c r="IMR37" s="53"/>
      <c r="IMS37" s="53"/>
      <c r="IMT37" s="53"/>
      <c r="IMU37" s="53"/>
      <c r="IMV37" s="53"/>
      <c r="IMW37" s="53"/>
      <c r="IMX37" s="53"/>
      <c r="IMY37" s="53"/>
      <c r="IMZ37" s="53"/>
      <c r="INA37" s="53"/>
      <c r="INB37" s="53"/>
      <c r="INC37" s="53"/>
      <c r="IND37" s="53"/>
      <c r="INE37" s="53"/>
      <c r="INF37" s="53"/>
      <c r="ING37" s="53"/>
      <c r="INH37" s="53"/>
      <c r="INI37" s="53"/>
      <c r="INJ37" s="53"/>
      <c r="INK37" s="53"/>
      <c r="INL37" s="53"/>
      <c r="INM37" s="53"/>
      <c r="INN37" s="53"/>
      <c r="INO37" s="53"/>
      <c r="INP37" s="53"/>
      <c r="INQ37" s="53"/>
      <c r="INR37" s="53"/>
      <c r="INS37" s="53"/>
      <c r="INT37" s="53"/>
      <c r="INU37" s="53"/>
      <c r="INV37" s="53"/>
      <c r="INW37" s="53"/>
      <c r="INX37" s="53"/>
      <c r="INY37" s="53"/>
      <c r="INZ37" s="53"/>
      <c r="IOA37" s="53"/>
      <c r="IOB37" s="53"/>
      <c r="IOC37" s="53"/>
      <c r="IOD37" s="53"/>
      <c r="IOE37" s="53"/>
      <c r="IOF37" s="53"/>
      <c r="IOG37" s="53"/>
      <c r="IOH37" s="53"/>
      <c r="IOI37" s="53"/>
      <c r="IOJ37" s="53"/>
      <c r="IOK37" s="53"/>
      <c r="IOL37" s="53"/>
      <c r="IOM37" s="53"/>
      <c r="ION37" s="53"/>
      <c r="IOO37" s="53"/>
      <c r="IOP37" s="53"/>
      <c r="IOQ37" s="53"/>
      <c r="IOR37" s="53"/>
      <c r="IOS37" s="53"/>
      <c r="IOT37" s="53"/>
      <c r="IOU37" s="53"/>
      <c r="IOV37" s="53"/>
      <c r="IOW37" s="53"/>
      <c r="IOX37" s="53"/>
      <c r="IOY37" s="53"/>
      <c r="IOZ37" s="53"/>
      <c r="IPA37" s="53"/>
      <c r="IPB37" s="53"/>
      <c r="IPC37" s="53"/>
      <c r="IPD37" s="53"/>
      <c r="IPE37" s="53"/>
      <c r="IPF37" s="53"/>
      <c r="IPG37" s="53"/>
      <c r="IPH37" s="53"/>
      <c r="IPI37" s="53"/>
      <c r="IPJ37" s="53"/>
      <c r="IPK37" s="53"/>
      <c r="IPL37" s="53"/>
      <c r="IPM37" s="53"/>
      <c r="IPN37" s="53"/>
      <c r="IPO37" s="53"/>
      <c r="IPP37" s="53"/>
      <c r="IPQ37" s="53"/>
      <c r="IPR37" s="53"/>
      <c r="IPS37" s="53"/>
      <c r="IPT37" s="53"/>
      <c r="IPU37" s="53"/>
      <c r="IPV37" s="53"/>
      <c r="IPW37" s="53"/>
      <c r="IPX37" s="53"/>
      <c r="IPY37" s="53"/>
      <c r="IPZ37" s="53"/>
      <c r="IQA37" s="53"/>
      <c r="IQB37" s="53"/>
      <c r="IQC37" s="53"/>
      <c r="IQD37" s="53"/>
      <c r="IQE37" s="53"/>
      <c r="IQF37" s="53"/>
      <c r="IQG37" s="53"/>
      <c r="IQH37" s="53"/>
      <c r="IQI37" s="53"/>
      <c r="IQJ37" s="53"/>
      <c r="IQK37" s="53"/>
      <c r="IQL37" s="53"/>
      <c r="IQM37" s="53"/>
      <c r="IQN37" s="53"/>
      <c r="IQO37" s="53"/>
      <c r="IQP37" s="53"/>
      <c r="IQQ37" s="53"/>
      <c r="IQR37" s="53"/>
      <c r="IQS37" s="53"/>
      <c r="IQT37" s="53"/>
      <c r="IQU37" s="53"/>
      <c r="IQV37" s="53"/>
      <c r="IQW37" s="53"/>
      <c r="IQX37" s="53"/>
      <c r="IQY37" s="53"/>
      <c r="IQZ37" s="53"/>
      <c r="IRA37" s="53"/>
      <c r="IRB37" s="53"/>
      <c r="IRC37" s="53"/>
      <c r="IRD37" s="53"/>
      <c r="IRE37" s="53"/>
      <c r="IRF37" s="53"/>
      <c r="IRG37" s="53"/>
      <c r="IRH37" s="53"/>
      <c r="IRI37" s="53"/>
      <c r="IRJ37" s="53"/>
      <c r="IRK37" s="53"/>
      <c r="IRL37" s="53"/>
      <c r="IRM37" s="53"/>
      <c r="IRN37" s="53"/>
      <c r="IRO37" s="53"/>
      <c r="IRP37" s="53"/>
      <c r="IRQ37" s="53"/>
      <c r="IRR37" s="53"/>
      <c r="IRS37" s="53"/>
      <c r="IRT37" s="53"/>
      <c r="IRU37" s="53"/>
      <c r="IRV37" s="53"/>
      <c r="IRW37" s="53"/>
      <c r="IRX37" s="53"/>
      <c r="IRY37" s="53"/>
      <c r="IRZ37" s="53"/>
      <c r="ISA37" s="53"/>
      <c r="ISB37" s="53"/>
      <c r="ISC37" s="53"/>
      <c r="ISD37" s="53"/>
      <c r="ISE37" s="53"/>
      <c r="ISF37" s="53"/>
      <c r="ISG37" s="53"/>
      <c r="ISH37" s="53"/>
      <c r="ISI37" s="53"/>
      <c r="ISJ37" s="53"/>
      <c r="ISK37" s="53"/>
      <c r="ISL37" s="53"/>
      <c r="ISM37" s="53"/>
      <c r="ISN37" s="53"/>
      <c r="ISO37" s="53"/>
      <c r="ISP37" s="53"/>
      <c r="ISQ37" s="53"/>
      <c r="ISR37" s="53"/>
      <c r="ISS37" s="53"/>
      <c r="IST37" s="53"/>
      <c r="ISU37" s="53"/>
      <c r="ISV37" s="53"/>
      <c r="ISW37" s="53"/>
      <c r="ISX37" s="53"/>
      <c r="ISY37" s="53"/>
      <c r="ISZ37" s="53"/>
      <c r="ITA37" s="53"/>
      <c r="ITB37" s="53"/>
      <c r="ITC37" s="53"/>
      <c r="ITD37" s="53"/>
      <c r="ITE37" s="53"/>
      <c r="ITF37" s="53"/>
      <c r="ITG37" s="53"/>
      <c r="ITH37" s="53"/>
      <c r="ITI37" s="53"/>
      <c r="ITJ37" s="53"/>
      <c r="ITK37" s="53"/>
      <c r="ITL37" s="53"/>
      <c r="ITM37" s="53"/>
      <c r="ITN37" s="53"/>
      <c r="ITO37" s="53"/>
      <c r="ITP37" s="53"/>
      <c r="ITQ37" s="53"/>
      <c r="ITR37" s="53"/>
      <c r="ITS37" s="53"/>
      <c r="ITT37" s="53"/>
      <c r="ITU37" s="53"/>
      <c r="ITV37" s="53"/>
      <c r="ITW37" s="53"/>
      <c r="ITX37" s="53"/>
      <c r="ITY37" s="53"/>
      <c r="ITZ37" s="53"/>
      <c r="IUA37" s="53"/>
      <c r="IUB37" s="53"/>
      <c r="IUC37" s="53"/>
      <c r="IUD37" s="53"/>
      <c r="IUE37" s="53"/>
      <c r="IUF37" s="53"/>
      <c r="IUG37" s="53"/>
      <c r="IUH37" s="53"/>
      <c r="IUI37" s="53"/>
      <c r="IUJ37" s="53"/>
      <c r="IUK37" s="53"/>
      <c r="IUL37" s="53"/>
      <c r="IUM37" s="53"/>
      <c r="IUN37" s="53"/>
      <c r="IUO37" s="53"/>
      <c r="IUP37" s="53"/>
      <c r="IUQ37" s="53"/>
      <c r="IUR37" s="53"/>
      <c r="IUS37" s="53"/>
      <c r="IUT37" s="53"/>
      <c r="IUU37" s="53"/>
      <c r="IUV37" s="53"/>
      <c r="IUW37" s="53"/>
      <c r="IUX37" s="53"/>
      <c r="IUY37" s="53"/>
      <c r="IUZ37" s="53"/>
      <c r="IVA37" s="53"/>
      <c r="IVB37" s="53"/>
      <c r="IVC37" s="53"/>
      <c r="IVD37" s="53"/>
      <c r="IVE37" s="53"/>
      <c r="IVF37" s="53"/>
      <c r="IVG37" s="53"/>
      <c r="IVH37" s="53"/>
      <c r="IVI37" s="53"/>
      <c r="IVJ37" s="53"/>
      <c r="IVK37" s="53"/>
      <c r="IVL37" s="53"/>
      <c r="IVM37" s="53"/>
      <c r="IVN37" s="53"/>
      <c r="IVO37" s="53"/>
      <c r="IVP37" s="53"/>
      <c r="IVQ37" s="53"/>
      <c r="IVR37" s="53"/>
      <c r="IVS37" s="53"/>
      <c r="IVT37" s="53"/>
      <c r="IVU37" s="53"/>
      <c r="IVV37" s="53"/>
      <c r="IVW37" s="53"/>
      <c r="IVX37" s="53"/>
      <c r="IVY37" s="53"/>
      <c r="IVZ37" s="53"/>
      <c r="IWA37" s="53"/>
      <c r="IWB37" s="53"/>
      <c r="IWC37" s="53"/>
      <c r="IWD37" s="53"/>
      <c r="IWE37" s="53"/>
      <c r="IWF37" s="53"/>
      <c r="IWG37" s="53"/>
      <c r="IWH37" s="53"/>
      <c r="IWI37" s="53"/>
      <c r="IWJ37" s="53"/>
      <c r="IWK37" s="53"/>
      <c r="IWL37" s="53"/>
      <c r="IWM37" s="53"/>
      <c r="IWN37" s="53"/>
      <c r="IWO37" s="53"/>
      <c r="IWP37" s="53"/>
      <c r="IWQ37" s="53"/>
      <c r="IWR37" s="53"/>
      <c r="IWS37" s="53"/>
      <c r="IWT37" s="53"/>
      <c r="IWU37" s="53"/>
      <c r="IWV37" s="53"/>
      <c r="IWW37" s="53"/>
      <c r="IWX37" s="53"/>
      <c r="IWY37" s="53"/>
      <c r="IWZ37" s="53"/>
      <c r="IXA37" s="53"/>
      <c r="IXB37" s="53"/>
      <c r="IXC37" s="53"/>
      <c r="IXD37" s="53"/>
      <c r="IXE37" s="53"/>
      <c r="IXF37" s="53"/>
      <c r="IXG37" s="53"/>
      <c r="IXH37" s="53"/>
      <c r="IXI37" s="53"/>
      <c r="IXJ37" s="53"/>
      <c r="IXK37" s="53"/>
      <c r="IXL37" s="53"/>
      <c r="IXM37" s="53"/>
      <c r="IXN37" s="53"/>
      <c r="IXO37" s="53"/>
      <c r="IXP37" s="53"/>
      <c r="IXQ37" s="53"/>
      <c r="IXR37" s="53"/>
      <c r="IXS37" s="53"/>
      <c r="IXT37" s="53"/>
      <c r="IXU37" s="53"/>
      <c r="IXV37" s="53"/>
      <c r="IXW37" s="53"/>
      <c r="IXX37" s="53"/>
      <c r="IXY37" s="53"/>
      <c r="IXZ37" s="53"/>
      <c r="IYA37" s="53"/>
      <c r="IYB37" s="53"/>
      <c r="IYC37" s="53"/>
      <c r="IYD37" s="53"/>
      <c r="IYE37" s="53"/>
      <c r="IYF37" s="53"/>
      <c r="IYG37" s="53"/>
      <c r="IYH37" s="53"/>
      <c r="IYI37" s="53"/>
      <c r="IYJ37" s="53"/>
      <c r="IYK37" s="53"/>
      <c r="IYL37" s="53"/>
      <c r="IYM37" s="53"/>
      <c r="IYN37" s="53"/>
      <c r="IYO37" s="53"/>
      <c r="IYP37" s="53"/>
      <c r="IYQ37" s="53"/>
      <c r="IYR37" s="53"/>
      <c r="IYS37" s="53"/>
      <c r="IYT37" s="53"/>
      <c r="IYU37" s="53"/>
      <c r="IYV37" s="53"/>
      <c r="IYW37" s="53"/>
      <c r="IYX37" s="53"/>
      <c r="IYY37" s="53"/>
      <c r="IYZ37" s="53"/>
      <c r="IZA37" s="53"/>
      <c r="IZB37" s="53"/>
      <c r="IZC37" s="53"/>
      <c r="IZD37" s="53"/>
      <c r="IZE37" s="53"/>
      <c r="IZF37" s="53"/>
      <c r="IZG37" s="53"/>
      <c r="IZH37" s="53"/>
      <c r="IZI37" s="53"/>
      <c r="IZJ37" s="53"/>
      <c r="IZK37" s="53"/>
      <c r="IZL37" s="53"/>
      <c r="IZM37" s="53"/>
      <c r="IZN37" s="53"/>
      <c r="IZO37" s="53"/>
      <c r="IZP37" s="53"/>
      <c r="IZQ37" s="53"/>
      <c r="IZR37" s="53"/>
      <c r="IZS37" s="53"/>
      <c r="IZT37" s="53"/>
      <c r="IZU37" s="53"/>
      <c r="IZV37" s="53"/>
      <c r="IZW37" s="53"/>
      <c r="IZX37" s="53"/>
      <c r="IZY37" s="53"/>
      <c r="IZZ37" s="53"/>
      <c r="JAA37" s="53"/>
      <c r="JAB37" s="53"/>
      <c r="JAC37" s="53"/>
      <c r="JAD37" s="53"/>
      <c r="JAE37" s="53"/>
      <c r="JAF37" s="53"/>
      <c r="JAG37" s="53"/>
      <c r="JAH37" s="53"/>
      <c r="JAI37" s="53"/>
      <c r="JAJ37" s="53"/>
      <c r="JAK37" s="53"/>
      <c r="JAL37" s="53"/>
      <c r="JAM37" s="53"/>
      <c r="JAN37" s="53"/>
      <c r="JAO37" s="53"/>
      <c r="JAP37" s="53"/>
      <c r="JAQ37" s="53"/>
      <c r="JAR37" s="53"/>
      <c r="JAS37" s="53"/>
      <c r="JAT37" s="53"/>
      <c r="JAU37" s="53"/>
      <c r="JAV37" s="53"/>
      <c r="JAW37" s="53"/>
      <c r="JAX37" s="53"/>
      <c r="JAY37" s="53"/>
      <c r="JAZ37" s="53"/>
      <c r="JBA37" s="53"/>
      <c r="JBB37" s="53"/>
      <c r="JBC37" s="53"/>
      <c r="JBD37" s="53"/>
      <c r="JBE37" s="53"/>
      <c r="JBF37" s="53"/>
      <c r="JBG37" s="53"/>
      <c r="JBH37" s="53"/>
      <c r="JBI37" s="53"/>
      <c r="JBJ37" s="53"/>
      <c r="JBK37" s="53"/>
      <c r="JBL37" s="53"/>
      <c r="JBM37" s="53"/>
      <c r="JBN37" s="53"/>
      <c r="JBO37" s="53"/>
      <c r="JBP37" s="53"/>
      <c r="JBQ37" s="53"/>
      <c r="JBR37" s="53"/>
      <c r="JBS37" s="53"/>
      <c r="JBT37" s="53"/>
      <c r="JBU37" s="53"/>
      <c r="JBV37" s="53"/>
      <c r="JBW37" s="53"/>
      <c r="JBX37" s="53"/>
      <c r="JBY37" s="53"/>
      <c r="JBZ37" s="53"/>
      <c r="JCA37" s="53"/>
      <c r="JCB37" s="53"/>
      <c r="JCC37" s="53"/>
      <c r="JCD37" s="53"/>
      <c r="JCE37" s="53"/>
      <c r="JCF37" s="53"/>
      <c r="JCG37" s="53"/>
      <c r="JCH37" s="53"/>
      <c r="JCI37" s="53"/>
      <c r="JCJ37" s="53"/>
      <c r="JCK37" s="53"/>
      <c r="JCL37" s="53"/>
      <c r="JCM37" s="53"/>
      <c r="JCN37" s="53"/>
      <c r="JCO37" s="53"/>
      <c r="JCP37" s="53"/>
      <c r="JCQ37" s="53"/>
      <c r="JCR37" s="53"/>
      <c r="JCS37" s="53"/>
      <c r="JCT37" s="53"/>
      <c r="JCU37" s="53"/>
      <c r="JCV37" s="53"/>
      <c r="JCW37" s="53"/>
      <c r="JCX37" s="53"/>
      <c r="JCY37" s="53"/>
      <c r="JCZ37" s="53"/>
      <c r="JDA37" s="53"/>
      <c r="JDB37" s="53"/>
      <c r="JDC37" s="53"/>
      <c r="JDD37" s="53"/>
      <c r="JDE37" s="53"/>
      <c r="JDF37" s="53"/>
      <c r="JDG37" s="53"/>
      <c r="JDH37" s="53"/>
      <c r="JDI37" s="53"/>
      <c r="JDJ37" s="53"/>
      <c r="JDK37" s="53"/>
      <c r="JDL37" s="53"/>
      <c r="JDM37" s="53"/>
      <c r="JDN37" s="53"/>
      <c r="JDO37" s="53"/>
      <c r="JDP37" s="53"/>
      <c r="JDQ37" s="53"/>
      <c r="JDR37" s="53"/>
      <c r="JDS37" s="53"/>
      <c r="JDT37" s="53"/>
      <c r="JDU37" s="53"/>
      <c r="JDV37" s="53"/>
      <c r="JDW37" s="53"/>
      <c r="JDX37" s="53"/>
      <c r="JDY37" s="53"/>
      <c r="JDZ37" s="53"/>
      <c r="JEA37" s="53"/>
      <c r="JEB37" s="53"/>
      <c r="JEC37" s="53"/>
      <c r="JED37" s="53"/>
      <c r="JEE37" s="53"/>
      <c r="JEF37" s="53"/>
      <c r="JEG37" s="53"/>
      <c r="JEH37" s="53"/>
      <c r="JEI37" s="53"/>
      <c r="JEJ37" s="53"/>
      <c r="JEK37" s="53"/>
      <c r="JEL37" s="53"/>
      <c r="JEM37" s="53"/>
      <c r="JEN37" s="53"/>
      <c r="JEO37" s="53"/>
      <c r="JEP37" s="53"/>
      <c r="JEQ37" s="53"/>
      <c r="JER37" s="53"/>
      <c r="JES37" s="53"/>
      <c r="JET37" s="53"/>
      <c r="JEU37" s="53"/>
      <c r="JEV37" s="53"/>
      <c r="JEW37" s="53"/>
      <c r="JEX37" s="53"/>
      <c r="JEY37" s="53"/>
      <c r="JEZ37" s="53"/>
      <c r="JFA37" s="53"/>
      <c r="JFB37" s="53"/>
      <c r="JFC37" s="53"/>
      <c r="JFD37" s="53"/>
      <c r="JFE37" s="53"/>
      <c r="JFF37" s="53"/>
      <c r="JFG37" s="53"/>
      <c r="JFH37" s="53"/>
      <c r="JFI37" s="53"/>
      <c r="JFJ37" s="53"/>
      <c r="JFK37" s="53"/>
      <c r="JFL37" s="53"/>
      <c r="JFM37" s="53"/>
      <c r="JFN37" s="53"/>
      <c r="JFO37" s="53"/>
      <c r="JFP37" s="53"/>
      <c r="JFQ37" s="53"/>
      <c r="JFR37" s="53"/>
      <c r="JFS37" s="53"/>
      <c r="JFT37" s="53"/>
      <c r="JFU37" s="53"/>
      <c r="JFV37" s="53"/>
      <c r="JFW37" s="53"/>
      <c r="JFX37" s="53"/>
      <c r="JFY37" s="53"/>
      <c r="JFZ37" s="53"/>
      <c r="JGA37" s="53"/>
      <c r="JGB37" s="53"/>
      <c r="JGC37" s="53"/>
      <c r="JGD37" s="53"/>
      <c r="JGE37" s="53"/>
      <c r="JGF37" s="53"/>
      <c r="JGG37" s="53"/>
      <c r="JGH37" s="53"/>
      <c r="JGI37" s="53"/>
      <c r="JGJ37" s="53"/>
      <c r="JGK37" s="53"/>
      <c r="JGL37" s="53"/>
      <c r="JGM37" s="53"/>
      <c r="JGN37" s="53"/>
      <c r="JGO37" s="53"/>
      <c r="JGP37" s="53"/>
      <c r="JGQ37" s="53"/>
      <c r="JGR37" s="53"/>
      <c r="JGS37" s="53"/>
      <c r="JGT37" s="53"/>
      <c r="JGU37" s="53"/>
      <c r="JGV37" s="53"/>
      <c r="JGW37" s="53"/>
      <c r="JGX37" s="53"/>
      <c r="JGY37" s="53"/>
      <c r="JGZ37" s="53"/>
      <c r="JHA37" s="53"/>
      <c r="JHB37" s="53"/>
      <c r="JHC37" s="53"/>
      <c r="JHD37" s="53"/>
      <c r="JHE37" s="53"/>
      <c r="JHF37" s="53"/>
      <c r="JHG37" s="53"/>
      <c r="JHH37" s="53"/>
      <c r="JHI37" s="53"/>
      <c r="JHJ37" s="53"/>
      <c r="JHK37" s="53"/>
      <c r="JHL37" s="53"/>
      <c r="JHM37" s="53"/>
      <c r="JHN37" s="53"/>
      <c r="JHO37" s="53"/>
      <c r="JHP37" s="53"/>
      <c r="JHQ37" s="53"/>
      <c r="JHR37" s="53"/>
      <c r="JHS37" s="53"/>
      <c r="JHT37" s="53"/>
      <c r="JHU37" s="53"/>
      <c r="JHV37" s="53"/>
      <c r="JHW37" s="53"/>
      <c r="JHX37" s="53"/>
      <c r="JHY37" s="53"/>
      <c r="JHZ37" s="53"/>
      <c r="JIA37" s="53"/>
      <c r="JIB37" s="53"/>
      <c r="JIC37" s="53"/>
      <c r="JID37" s="53"/>
      <c r="JIE37" s="53"/>
      <c r="JIF37" s="53"/>
      <c r="JIG37" s="53"/>
      <c r="JIH37" s="53"/>
      <c r="JII37" s="53"/>
      <c r="JIJ37" s="53"/>
      <c r="JIK37" s="53"/>
      <c r="JIL37" s="53"/>
      <c r="JIM37" s="53"/>
      <c r="JIN37" s="53"/>
      <c r="JIO37" s="53"/>
      <c r="JIP37" s="53"/>
      <c r="JIQ37" s="53"/>
      <c r="JIR37" s="53"/>
      <c r="JIS37" s="53"/>
      <c r="JIT37" s="53"/>
      <c r="JIU37" s="53"/>
      <c r="JIV37" s="53"/>
      <c r="JIW37" s="53"/>
      <c r="JIX37" s="53"/>
      <c r="JIY37" s="53"/>
      <c r="JIZ37" s="53"/>
      <c r="JJA37" s="53"/>
      <c r="JJB37" s="53"/>
      <c r="JJC37" s="53"/>
      <c r="JJD37" s="53"/>
      <c r="JJE37" s="53"/>
      <c r="JJF37" s="53"/>
      <c r="JJG37" s="53"/>
      <c r="JJH37" s="53"/>
      <c r="JJI37" s="53"/>
      <c r="JJJ37" s="53"/>
      <c r="JJK37" s="53"/>
      <c r="JJL37" s="53"/>
      <c r="JJM37" s="53"/>
      <c r="JJN37" s="53"/>
      <c r="JJO37" s="53"/>
      <c r="JJP37" s="53"/>
      <c r="JJQ37" s="53"/>
      <c r="JJR37" s="53"/>
      <c r="JJS37" s="53"/>
      <c r="JJT37" s="53"/>
      <c r="JJU37" s="53"/>
      <c r="JJV37" s="53"/>
      <c r="JJW37" s="53"/>
      <c r="JJX37" s="53"/>
      <c r="JJY37" s="53"/>
      <c r="JJZ37" s="53"/>
      <c r="JKA37" s="53"/>
      <c r="JKB37" s="53"/>
      <c r="JKC37" s="53"/>
      <c r="JKD37" s="53"/>
      <c r="JKE37" s="53"/>
      <c r="JKF37" s="53"/>
      <c r="JKG37" s="53"/>
      <c r="JKH37" s="53"/>
      <c r="JKI37" s="53"/>
      <c r="JKJ37" s="53"/>
      <c r="JKK37" s="53"/>
      <c r="JKL37" s="53"/>
      <c r="JKM37" s="53"/>
      <c r="JKN37" s="53"/>
      <c r="JKO37" s="53"/>
      <c r="JKP37" s="53"/>
      <c r="JKQ37" s="53"/>
      <c r="JKR37" s="53"/>
      <c r="JKS37" s="53"/>
      <c r="JKT37" s="53"/>
      <c r="JKU37" s="53"/>
      <c r="JKV37" s="53"/>
      <c r="JKW37" s="53"/>
      <c r="JKX37" s="53"/>
      <c r="JKY37" s="53"/>
      <c r="JKZ37" s="53"/>
      <c r="JLA37" s="53"/>
      <c r="JLB37" s="53"/>
      <c r="JLC37" s="53"/>
      <c r="JLD37" s="53"/>
      <c r="JLE37" s="53"/>
      <c r="JLF37" s="53"/>
      <c r="JLG37" s="53"/>
      <c r="JLH37" s="53"/>
      <c r="JLI37" s="53"/>
      <c r="JLJ37" s="53"/>
      <c r="JLK37" s="53"/>
      <c r="JLL37" s="53"/>
      <c r="JLM37" s="53"/>
      <c r="JLN37" s="53"/>
      <c r="JLO37" s="53"/>
      <c r="JLP37" s="53"/>
      <c r="JLQ37" s="53"/>
      <c r="JLR37" s="53"/>
      <c r="JLS37" s="53"/>
      <c r="JLT37" s="53"/>
      <c r="JLU37" s="53"/>
      <c r="JLV37" s="53"/>
      <c r="JLW37" s="53"/>
      <c r="JLX37" s="53"/>
      <c r="JLY37" s="53"/>
      <c r="JLZ37" s="53"/>
      <c r="JMA37" s="53"/>
      <c r="JMB37" s="53"/>
      <c r="JMC37" s="53"/>
      <c r="JMD37" s="53"/>
      <c r="JME37" s="53"/>
      <c r="JMF37" s="53"/>
      <c r="JMG37" s="53"/>
      <c r="JMH37" s="53"/>
      <c r="JMI37" s="53"/>
      <c r="JMJ37" s="53"/>
      <c r="JMK37" s="53"/>
      <c r="JML37" s="53"/>
      <c r="JMM37" s="53"/>
      <c r="JMN37" s="53"/>
      <c r="JMO37" s="53"/>
      <c r="JMP37" s="53"/>
      <c r="JMQ37" s="53"/>
      <c r="JMR37" s="53"/>
      <c r="JMS37" s="53"/>
      <c r="JMT37" s="53"/>
      <c r="JMU37" s="53"/>
      <c r="JMV37" s="53"/>
      <c r="JMW37" s="53"/>
      <c r="JMX37" s="53"/>
      <c r="JMY37" s="53"/>
      <c r="JMZ37" s="53"/>
      <c r="JNA37" s="53"/>
      <c r="JNB37" s="53"/>
      <c r="JNC37" s="53"/>
      <c r="JND37" s="53"/>
      <c r="JNE37" s="53"/>
      <c r="JNF37" s="53"/>
      <c r="JNG37" s="53"/>
      <c r="JNH37" s="53"/>
      <c r="JNI37" s="53"/>
      <c r="JNJ37" s="53"/>
      <c r="JNK37" s="53"/>
      <c r="JNL37" s="53"/>
      <c r="JNM37" s="53"/>
      <c r="JNN37" s="53"/>
      <c r="JNO37" s="53"/>
      <c r="JNP37" s="53"/>
      <c r="JNQ37" s="53"/>
      <c r="JNR37" s="53"/>
      <c r="JNS37" s="53"/>
      <c r="JNT37" s="53"/>
      <c r="JNU37" s="53"/>
      <c r="JNV37" s="53"/>
      <c r="JNW37" s="53"/>
      <c r="JNX37" s="53"/>
      <c r="JNY37" s="53"/>
      <c r="JNZ37" s="53"/>
      <c r="JOA37" s="53"/>
      <c r="JOB37" s="53"/>
      <c r="JOC37" s="53"/>
      <c r="JOD37" s="53"/>
      <c r="JOE37" s="53"/>
      <c r="JOF37" s="53"/>
      <c r="JOG37" s="53"/>
      <c r="JOH37" s="53"/>
      <c r="JOI37" s="53"/>
      <c r="JOJ37" s="53"/>
      <c r="JOK37" s="53"/>
      <c r="JOL37" s="53"/>
      <c r="JOM37" s="53"/>
      <c r="JON37" s="53"/>
      <c r="JOO37" s="53"/>
      <c r="JOP37" s="53"/>
      <c r="JOQ37" s="53"/>
      <c r="JOR37" s="53"/>
      <c r="JOS37" s="53"/>
      <c r="JOT37" s="53"/>
      <c r="JOU37" s="53"/>
      <c r="JOV37" s="53"/>
      <c r="JOW37" s="53"/>
      <c r="JOX37" s="53"/>
      <c r="JOY37" s="53"/>
      <c r="JOZ37" s="53"/>
      <c r="JPA37" s="53"/>
      <c r="JPB37" s="53"/>
      <c r="JPC37" s="53"/>
      <c r="JPD37" s="53"/>
      <c r="JPE37" s="53"/>
      <c r="JPF37" s="53"/>
      <c r="JPG37" s="53"/>
      <c r="JPH37" s="53"/>
      <c r="JPI37" s="53"/>
      <c r="JPJ37" s="53"/>
      <c r="JPK37" s="53"/>
      <c r="JPL37" s="53"/>
      <c r="JPM37" s="53"/>
      <c r="JPN37" s="53"/>
      <c r="JPO37" s="53"/>
      <c r="JPP37" s="53"/>
      <c r="JPQ37" s="53"/>
      <c r="JPR37" s="53"/>
      <c r="JPS37" s="53"/>
      <c r="JPT37" s="53"/>
      <c r="JPU37" s="53"/>
      <c r="JPV37" s="53"/>
      <c r="JPW37" s="53"/>
      <c r="JPX37" s="53"/>
      <c r="JPY37" s="53"/>
      <c r="JPZ37" s="53"/>
      <c r="JQA37" s="53"/>
      <c r="JQB37" s="53"/>
      <c r="JQC37" s="53"/>
      <c r="JQD37" s="53"/>
      <c r="JQE37" s="53"/>
      <c r="JQF37" s="53"/>
      <c r="JQG37" s="53"/>
      <c r="JQH37" s="53"/>
      <c r="JQI37" s="53"/>
      <c r="JQJ37" s="53"/>
      <c r="JQK37" s="53"/>
      <c r="JQL37" s="53"/>
      <c r="JQM37" s="53"/>
      <c r="JQN37" s="53"/>
      <c r="JQO37" s="53"/>
      <c r="JQP37" s="53"/>
      <c r="JQQ37" s="53"/>
      <c r="JQR37" s="53"/>
      <c r="JQS37" s="53"/>
      <c r="JQT37" s="53"/>
      <c r="JQU37" s="53"/>
      <c r="JQV37" s="53"/>
      <c r="JQW37" s="53"/>
      <c r="JQX37" s="53"/>
      <c r="JQY37" s="53"/>
      <c r="JQZ37" s="53"/>
      <c r="JRA37" s="53"/>
      <c r="JRB37" s="53"/>
      <c r="JRC37" s="53"/>
      <c r="JRD37" s="53"/>
      <c r="JRE37" s="53"/>
      <c r="JRF37" s="53"/>
      <c r="JRG37" s="53"/>
      <c r="JRH37" s="53"/>
      <c r="JRI37" s="53"/>
      <c r="JRJ37" s="53"/>
      <c r="JRK37" s="53"/>
      <c r="JRL37" s="53"/>
      <c r="JRM37" s="53"/>
      <c r="JRN37" s="53"/>
      <c r="JRO37" s="53"/>
      <c r="JRP37" s="53"/>
      <c r="JRQ37" s="53"/>
      <c r="JRR37" s="53"/>
      <c r="JRS37" s="53"/>
      <c r="JRT37" s="53"/>
      <c r="JRU37" s="53"/>
      <c r="JRV37" s="53"/>
      <c r="JRW37" s="53"/>
      <c r="JRX37" s="53"/>
      <c r="JRY37" s="53"/>
      <c r="JRZ37" s="53"/>
      <c r="JSA37" s="53"/>
      <c r="JSB37" s="53"/>
      <c r="JSC37" s="53"/>
      <c r="JSD37" s="53"/>
      <c r="JSE37" s="53"/>
      <c r="JSF37" s="53"/>
      <c r="JSG37" s="53"/>
      <c r="JSH37" s="53"/>
      <c r="JSI37" s="53"/>
      <c r="JSJ37" s="53"/>
      <c r="JSK37" s="53"/>
      <c r="JSL37" s="53"/>
      <c r="JSM37" s="53"/>
      <c r="JSN37" s="53"/>
      <c r="JSO37" s="53"/>
      <c r="JSP37" s="53"/>
      <c r="JSQ37" s="53"/>
      <c r="JSR37" s="53"/>
      <c r="JSS37" s="53"/>
      <c r="JST37" s="53"/>
      <c r="JSU37" s="53"/>
      <c r="JSV37" s="53"/>
      <c r="JSW37" s="53"/>
      <c r="JSX37" s="53"/>
      <c r="JSY37" s="53"/>
      <c r="JSZ37" s="53"/>
      <c r="JTA37" s="53"/>
      <c r="JTB37" s="53"/>
      <c r="JTC37" s="53"/>
      <c r="JTD37" s="53"/>
      <c r="JTE37" s="53"/>
      <c r="JTF37" s="53"/>
      <c r="JTG37" s="53"/>
      <c r="JTH37" s="53"/>
      <c r="JTI37" s="53"/>
      <c r="JTJ37" s="53"/>
      <c r="JTK37" s="53"/>
      <c r="JTL37" s="53"/>
      <c r="JTM37" s="53"/>
      <c r="JTN37" s="53"/>
      <c r="JTO37" s="53"/>
      <c r="JTP37" s="53"/>
      <c r="JTQ37" s="53"/>
      <c r="JTR37" s="53"/>
      <c r="JTS37" s="53"/>
      <c r="JTT37" s="53"/>
      <c r="JTU37" s="53"/>
      <c r="JTV37" s="53"/>
      <c r="JTW37" s="53"/>
      <c r="JTX37" s="53"/>
      <c r="JTY37" s="53"/>
      <c r="JTZ37" s="53"/>
      <c r="JUA37" s="53"/>
      <c r="JUB37" s="53"/>
      <c r="JUC37" s="53"/>
      <c r="JUD37" s="53"/>
      <c r="JUE37" s="53"/>
      <c r="JUF37" s="53"/>
      <c r="JUG37" s="53"/>
      <c r="JUH37" s="53"/>
      <c r="JUI37" s="53"/>
      <c r="JUJ37" s="53"/>
      <c r="JUK37" s="53"/>
      <c r="JUL37" s="53"/>
      <c r="JUM37" s="53"/>
      <c r="JUN37" s="53"/>
      <c r="JUO37" s="53"/>
      <c r="JUP37" s="53"/>
      <c r="JUQ37" s="53"/>
      <c r="JUR37" s="53"/>
      <c r="JUS37" s="53"/>
      <c r="JUT37" s="53"/>
      <c r="JUU37" s="53"/>
      <c r="JUV37" s="53"/>
      <c r="JUW37" s="53"/>
      <c r="JUX37" s="53"/>
      <c r="JUY37" s="53"/>
      <c r="JUZ37" s="53"/>
      <c r="JVA37" s="53"/>
      <c r="JVB37" s="53"/>
      <c r="JVC37" s="53"/>
      <c r="JVD37" s="53"/>
      <c r="JVE37" s="53"/>
      <c r="JVF37" s="53"/>
      <c r="JVG37" s="53"/>
      <c r="JVH37" s="53"/>
      <c r="JVI37" s="53"/>
      <c r="JVJ37" s="53"/>
      <c r="JVK37" s="53"/>
      <c r="JVL37" s="53"/>
      <c r="JVM37" s="53"/>
      <c r="JVN37" s="53"/>
      <c r="JVO37" s="53"/>
      <c r="JVP37" s="53"/>
      <c r="JVQ37" s="53"/>
      <c r="JVR37" s="53"/>
      <c r="JVS37" s="53"/>
      <c r="JVT37" s="53"/>
      <c r="JVU37" s="53"/>
      <c r="JVV37" s="53"/>
      <c r="JVW37" s="53"/>
      <c r="JVX37" s="53"/>
      <c r="JVY37" s="53"/>
      <c r="JVZ37" s="53"/>
      <c r="JWA37" s="53"/>
      <c r="JWB37" s="53"/>
      <c r="JWC37" s="53"/>
      <c r="JWD37" s="53"/>
      <c r="JWE37" s="53"/>
      <c r="JWF37" s="53"/>
      <c r="JWG37" s="53"/>
      <c r="JWH37" s="53"/>
      <c r="JWI37" s="53"/>
      <c r="JWJ37" s="53"/>
      <c r="JWK37" s="53"/>
      <c r="JWL37" s="53"/>
      <c r="JWM37" s="53"/>
      <c r="JWN37" s="53"/>
      <c r="JWO37" s="53"/>
      <c r="JWP37" s="53"/>
      <c r="JWQ37" s="53"/>
      <c r="JWR37" s="53"/>
      <c r="JWS37" s="53"/>
      <c r="JWT37" s="53"/>
      <c r="JWU37" s="53"/>
      <c r="JWV37" s="53"/>
      <c r="JWW37" s="53"/>
      <c r="JWX37" s="53"/>
      <c r="JWY37" s="53"/>
      <c r="JWZ37" s="53"/>
      <c r="JXA37" s="53"/>
      <c r="JXB37" s="53"/>
      <c r="JXC37" s="53"/>
      <c r="JXD37" s="53"/>
      <c r="JXE37" s="53"/>
      <c r="JXF37" s="53"/>
      <c r="JXG37" s="53"/>
      <c r="JXH37" s="53"/>
      <c r="JXI37" s="53"/>
      <c r="JXJ37" s="53"/>
      <c r="JXK37" s="53"/>
      <c r="JXL37" s="53"/>
      <c r="JXM37" s="53"/>
      <c r="JXN37" s="53"/>
      <c r="JXO37" s="53"/>
      <c r="JXP37" s="53"/>
      <c r="JXQ37" s="53"/>
      <c r="JXR37" s="53"/>
      <c r="JXS37" s="53"/>
      <c r="JXT37" s="53"/>
      <c r="JXU37" s="53"/>
      <c r="JXV37" s="53"/>
      <c r="JXW37" s="53"/>
      <c r="JXX37" s="53"/>
      <c r="JXY37" s="53"/>
      <c r="JXZ37" s="53"/>
      <c r="JYA37" s="53"/>
      <c r="JYB37" s="53"/>
      <c r="JYC37" s="53"/>
      <c r="JYD37" s="53"/>
      <c r="JYE37" s="53"/>
      <c r="JYF37" s="53"/>
      <c r="JYG37" s="53"/>
      <c r="JYH37" s="53"/>
      <c r="JYI37" s="53"/>
      <c r="JYJ37" s="53"/>
      <c r="JYK37" s="53"/>
      <c r="JYL37" s="53"/>
      <c r="JYM37" s="53"/>
      <c r="JYN37" s="53"/>
      <c r="JYO37" s="53"/>
      <c r="JYP37" s="53"/>
      <c r="JYQ37" s="53"/>
      <c r="JYR37" s="53"/>
      <c r="JYS37" s="53"/>
      <c r="JYT37" s="53"/>
      <c r="JYU37" s="53"/>
      <c r="JYV37" s="53"/>
      <c r="JYW37" s="53"/>
      <c r="JYX37" s="53"/>
      <c r="JYY37" s="53"/>
      <c r="JYZ37" s="53"/>
      <c r="JZA37" s="53"/>
      <c r="JZB37" s="53"/>
      <c r="JZC37" s="53"/>
      <c r="JZD37" s="53"/>
      <c r="JZE37" s="53"/>
      <c r="JZF37" s="53"/>
      <c r="JZG37" s="53"/>
      <c r="JZH37" s="53"/>
      <c r="JZI37" s="53"/>
      <c r="JZJ37" s="53"/>
      <c r="JZK37" s="53"/>
      <c r="JZL37" s="53"/>
      <c r="JZM37" s="53"/>
      <c r="JZN37" s="53"/>
      <c r="JZO37" s="53"/>
      <c r="JZP37" s="53"/>
      <c r="JZQ37" s="53"/>
      <c r="JZR37" s="53"/>
      <c r="JZS37" s="53"/>
      <c r="JZT37" s="53"/>
      <c r="JZU37" s="53"/>
      <c r="JZV37" s="53"/>
      <c r="JZW37" s="53"/>
      <c r="JZX37" s="53"/>
      <c r="JZY37" s="53"/>
      <c r="JZZ37" s="53"/>
      <c r="KAA37" s="53"/>
      <c r="KAB37" s="53"/>
      <c r="KAC37" s="53"/>
      <c r="KAD37" s="53"/>
      <c r="KAE37" s="53"/>
      <c r="KAF37" s="53"/>
      <c r="KAG37" s="53"/>
      <c r="KAH37" s="53"/>
      <c r="KAI37" s="53"/>
      <c r="KAJ37" s="53"/>
      <c r="KAK37" s="53"/>
      <c r="KAL37" s="53"/>
      <c r="KAM37" s="53"/>
      <c r="KAN37" s="53"/>
      <c r="KAO37" s="53"/>
      <c r="KAP37" s="53"/>
      <c r="KAQ37" s="53"/>
      <c r="KAR37" s="53"/>
      <c r="KAS37" s="53"/>
      <c r="KAT37" s="53"/>
      <c r="KAU37" s="53"/>
      <c r="KAV37" s="53"/>
      <c r="KAW37" s="53"/>
      <c r="KAX37" s="53"/>
      <c r="KAY37" s="53"/>
      <c r="KAZ37" s="53"/>
      <c r="KBA37" s="53"/>
      <c r="KBB37" s="53"/>
      <c r="KBC37" s="53"/>
      <c r="KBD37" s="53"/>
      <c r="KBE37" s="53"/>
      <c r="KBF37" s="53"/>
      <c r="KBG37" s="53"/>
      <c r="KBH37" s="53"/>
      <c r="KBI37" s="53"/>
      <c r="KBJ37" s="53"/>
      <c r="KBK37" s="53"/>
      <c r="KBL37" s="53"/>
      <c r="KBM37" s="53"/>
      <c r="KBN37" s="53"/>
      <c r="KBO37" s="53"/>
      <c r="KBP37" s="53"/>
      <c r="KBQ37" s="53"/>
      <c r="KBR37" s="53"/>
      <c r="KBS37" s="53"/>
      <c r="KBT37" s="53"/>
      <c r="KBU37" s="53"/>
      <c r="KBV37" s="53"/>
      <c r="KBW37" s="53"/>
      <c r="KBX37" s="53"/>
      <c r="KBY37" s="53"/>
      <c r="KBZ37" s="53"/>
      <c r="KCA37" s="53"/>
      <c r="KCB37" s="53"/>
      <c r="KCC37" s="53"/>
      <c r="KCD37" s="53"/>
      <c r="KCE37" s="53"/>
      <c r="KCF37" s="53"/>
      <c r="KCG37" s="53"/>
      <c r="KCH37" s="53"/>
      <c r="KCI37" s="53"/>
      <c r="KCJ37" s="53"/>
      <c r="KCK37" s="53"/>
      <c r="KCL37" s="53"/>
      <c r="KCM37" s="53"/>
      <c r="KCN37" s="53"/>
      <c r="KCO37" s="53"/>
      <c r="KCP37" s="53"/>
      <c r="KCQ37" s="53"/>
      <c r="KCR37" s="53"/>
      <c r="KCS37" s="53"/>
      <c r="KCT37" s="53"/>
      <c r="KCU37" s="53"/>
      <c r="KCV37" s="53"/>
      <c r="KCW37" s="53"/>
      <c r="KCX37" s="53"/>
      <c r="KCY37" s="53"/>
      <c r="KCZ37" s="53"/>
      <c r="KDA37" s="53"/>
      <c r="KDB37" s="53"/>
      <c r="KDC37" s="53"/>
      <c r="KDD37" s="53"/>
      <c r="KDE37" s="53"/>
      <c r="KDF37" s="53"/>
      <c r="KDG37" s="53"/>
      <c r="KDH37" s="53"/>
      <c r="KDI37" s="53"/>
      <c r="KDJ37" s="53"/>
      <c r="KDK37" s="53"/>
      <c r="KDL37" s="53"/>
      <c r="KDM37" s="53"/>
      <c r="KDN37" s="53"/>
      <c r="KDO37" s="53"/>
      <c r="KDP37" s="53"/>
      <c r="KDQ37" s="53"/>
      <c r="KDR37" s="53"/>
      <c r="KDS37" s="53"/>
      <c r="KDT37" s="53"/>
      <c r="KDU37" s="53"/>
      <c r="KDV37" s="53"/>
      <c r="KDW37" s="53"/>
      <c r="KDX37" s="53"/>
      <c r="KDY37" s="53"/>
      <c r="KDZ37" s="53"/>
      <c r="KEA37" s="53"/>
      <c r="KEB37" s="53"/>
      <c r="KEC37" s="53"/>
      <c r="KED37" s="53"/>
      <c r="KEE37" s="53"/>
      <c r="KEF37" s="53"/>
      <c r="KEG37" s="53"/>
      <c r="KEH37" s="53"/>
      <c r="KEI37" s="53"/>
      <c r="KEJ37" s="53"/>
      <c r="KEK37" s="53"/>
      <c r="KEL37" s="53"/>
      <c r="KEM37" s="53"/>
      <c r="KEN37" s="53"/>
      <c r="KEO37" s="53"/>
      <c r="KEP37" s="53"/>
      <c r="KEQ37" s="53"/>
      <c r="KER37" s="53"/>
      <c r="KES37" s="53"/>
      <c r="KET37" s="53"/>
      <c r="KEU37" s="53"/>
      <c r="KEV37" s="53"/>
      <c r="KEW37" s="53"/>
      <c r="KEX37" s="53"/>
      <c r="KEY37" s="53"/>
      <c r="KEZ37" s="53"/>
      <c r="KFA37" s="53"/>
      <c r="KFB37" s="53"/>
      <c r="KFC37" s="53"/>
      <c r="KFD37" s="53"/>
      <c r="KFE37" s="53"/>
      <c r="KFF37" s="53"/>
      <c r="KFG37" s="53"/>
      <c r="KFH37" s="53"/>
      <c r="KFI37" s="53"/>
      <c r="KFJ37" s="53"/>
      <c r="KFK37" s="53"/>
      <c r="KFL37" s="53"/>
      <c r="KFM37" s="53"/>
      <c r="KFN37" s="53"/>
      <c r="KFO37" s="53"/>
      <c r="KFP37" s="53"/>
      <c r="KFQ37" s="53"/>
      <c r="KFR37" s="53"/>
      <c r="KFS37" s="53"/>
      <c r="KFT37" s="53"/>
      <c r="KFU37" s="53"/>
      <c r="KFV37" s="53"/>
      <c r="KFW37" s="53"/>
      <c r="KFX37" s="53"/>
      <c r="KFY37" s="53"/>
      <c r="KFZ37" s="53"/>
      <c r="KGA37" s="53"/>
      <c r="KGB37" s="53"/>
      <c r="KGC37" s="53"/>
      <c r="KGD37" s="53"/>
      <c r="KGE37" s="53"/>
      <c r="KGF37" s="53"/>
      <c r="KGG37" s="53"/>
      <c r="KGH37" s="53"/>
      <c r="KGI37" s="53"/>
      <c r="KGJ37" s="53"/>
      <c r="KGK37" s="53"/>
      <c r="KGL37" s="53"/>
      <c r="KGM37" s="53"/>
      <c r="KGN37" s="53"/>
      <c r="KGO37" s="53"/>
      <c r="KGP37" s="53"/>
      <c r="KGQ37" s="53"/>
      <c r="KGR37" s="53"/>
      <c r="KGS37" s="53"/>
      <c r="KGT37" s="53"/>
      <c r="KGU37" s="53"/>
      <c r="KGV37" s="53"/>
      <c r="KGW37" s="53"/>
      <c r="KGX37" s="53"/>
      <c r="KGY37" s="53"/>
      <c r="KGZ37" s="53"/>
      <c r="KHA37" s="53"/>
      <c r="KHB37" s="53"/>
      <c r="KHC37" s="53"/>
      <c r="KHD37" s="53"/>
      <c r="KHE37" s="53"/>
      <c r="KHF37" s="53"/>
      <c r="KHG37" s="53"/>
      <c r="KHH37" s="53"/>
      <c r="KHI37" s="53"/>
      <c r="KHJ37" s="53"/>
      <c r="KHK37" s="53"/>
      <c r="KHL37" s="53"/>
      <c r="KHM37" s="53"/>
      <c r="KHN37" s="53"/>
      <c r="KHO37" s="53"/>
      <c r="KHP37" s="53"/>
      <c r="KHQ37" s="53"/>
      <c r="KHR37" s="53"/>
      <c r="KHS37" s="53"/>
      <c r="KHT37" s="53"/>
      <c r="KHU37" s="53"/>
      <c r="KHV37" s="53"/>
      <c r="KHW37" s="53"/>
      <c r="KHX37" s="53"/>
      <c r="KHY37" s="53"/>
      <c r="KHZ37" s="53"/>
      <c r="KIA37" s="53"/>
      <c r="KIB37" s="53"/>
      <c r="KIC37" s="53"/>
      <c r="KID37" s="53"/>
      <c r="KIE37" s="53"/>
      <c r="KIF37" s="53"/>
      <c r="KIG37" s="53"/>
      <c r="KIH37" s="53"/>
      <c r="KII37" s="53"/>
      <c r="KIJ37" s="53"/>
      <c r="KIK37" s="53"/>
      <c r="KIL37" s="53"/>
      <c r="KIM37" s="53"/>
      <c r="KIN37" s="53"/>
      <c r="KIO37" s="53"/>
      <c r="KIP37" s="53"/>
      <c r="KIQ37" s="53"/>
      <c r="KIR37" s="53"/>
      <c r="KIS37" s="53"/>
      <c r="KIT37" s="53"/>
      <c r="KIU37" s="53"/>
      <c r="KIV37" s="53"/>
      <c r="KIW37" s="53"/>
      <c r="KIX37" s="53"/>
      <c r="KIY37" s="53"/>
      <c r="KIZ37" s="53"/>
      <c r="KJA37" s="53"/>
      <c r="KJB37" s="53"/>
      <c r="KJC37" s="53"/>
      <c r="KJD37" s="53"/>
      <c r="KJE37" s="53"/>
      <c r="KJF37" s="53"/>
      <c r="KJG37" s="53"/>
      <c r="KJH37" s="53"/>
      <c r="KJI37" s="53"/>
      <c r="KJJ37" s="53"/>
      <c r="KJK37" s="53"/>
      <c r="KJL37" s="53"/>
      <c r="KJM37" s="53"/>
      <c r="KJN37" s="53"/>
      <c r="KJO37" s="53"/>
      <c r="KJP37" s="53"/>
      <c r="KJQ37" s="53"/>
      <c r="KJR37" s="53"/>
      <c r="KJS37" s="53"/>
      <c r="KJT37" s="53"/>
      <c r="KJU37" s="53"/>
      <c r="KJV37" s="53"/>
      <c r="KJW37" s="53"/>
      <c r="KJX37" s="53"/>
      <c r="KJY37" s="53"/>
      <c r="KJZ37" s="53"/>
      <c r="KKA37" s="53"/>
      <c r="KKB37" s="53"/>
      <c r="KKC37" s="53"/>
      <c r="KKD37" s="53"/>
      <c r="KKE37" s="53"/>
      <c r="KKF37" s="53"/>
      <c r="KKG37" s="53"/>
      <c r="KKH37" s="53"/>
      <c r="KKI37" s="53"/>
      <c r="KKJ37" s="53"/>
      <c r="KKK37" s="53"/>
      <c r="KKL37" s="53"/>
      <c r="KKM37" s="53"/>
      <c r="KKN37" s="53"/>
      <c r="KKO37" s="53"/>
      <c r="KKP37" s="53"/>
      <c r="KKQ37" s="53"/>
      <c r="KKR37" s="53"/>
      <c r="KKS37" s="53"/>
      <c r="KKT37" s="53"/>
      <c r="KKU37" s="53"/>
      <c r="KKV37" s="53"/>
      <c r="KKW37" s="53"/>
      <c r="KKX37" s="53"/>
      <c r="KKY37" s="53"/>
      <c r="KKZ37" s="53"/>
      <c r="KLA37" s="53"/>
      <c r="KLB37" s="53"/>
      <c r="KLC37" s="53"/>
      <c r="KLD37" s="53"/>
      <c r="KLE37" s="53"/>
      <c r="KLF37" s="53"/>
      <c r="KLG37" s="53"/>
      <c r="KLH37" s="53"/>
      <c r="KLI37" s="53"/>
      <c r="KLJ37" s="53"/>
      <c r="KLK37" s="53"/>
      <c r="KLL37" s="53"/>
      <c r="KLM37" s="53"/>
      <c r="KLN37" s="53"/>
      <c r="KLO37" s="53"/>
      <c r="KLP37" s="53"/>
      <c r="KLQ37" s="53"/>
      <c r="KLR37" s="53"/>
      <c r="KLS37" s="53"/>
      <c r="KLT37" s="53"/>
      <c r="KLU37" s="53"/>
      <c r="KLV37" s="53"/>
      <c r="KLW37" s="53"/>
      <c r="KLX37" s="53"/>
      <c r="KLY37" s="53"/>
      <c r="KLZ37" s="53"/>
      <c r="KMA37" s="53"/>
      <c r="KMB37" s="53"/>
      <c r="KMC37" s="53"/>
      <c r="KMD37" s="53"/>
      <c r="KME37" s="53"/>
      <c r="KMF37" s="53"/>
      <c r="KMG37" s="53"/>
      <c r="KMH37" s="53"/>
      <c r="KMI37" s="53"/>
      <c r="KMJ37" s="53"/>
      <c r="KMK37" s="53"/>
      <c r="KML37" s="53"/>
      <c r="KMM37" s="53"/>
      <c r="KMN37" s="53"/>
      <c r="KMO37" s="53"/>
      <c r="KMP37" s="53"/>
      <c r="KMQ37" s="53"/>
      <c r="KMR37" s="53"/>
      <c r="KMS37" s="53"/>
      <c r="KMT37" s="53"/>
      <c r="KMU37" s="53"/>
      <c r="KMV37" s="53"/>
      <c r="KMW37" s="53"/>
      <c r="KMX37" s="53"/>
      <c r="KMY37" s="53"/>
      <c r="KMZ37" s="53"/>
      <c r="KNA37" s="53"/>
      <c r="KNB37" s="53"/>
      <c r="KNC37" s="53"/>
      <c r="KND37" s="53"/>
      <c r="KNE37" s="53"/>
      <c r="KNF37" s="53"/>
      <c r="KNG37" s="53"/>
      <c r="KNH37" s="53"/>
      <c r="KNI37" s="53"/>
      <c r="KNJ37" s="53"/>
      <c r="KNK37" s="53"/>
      <c r="KNL37" s="53"/>
      <c r="KNM37" s="53"/>
      <c r="KNN37" s="53"/>
      <c r="KNO37" s="53"/>
      <c r="KNP37" s="53"/>
      <c r="KNQ37" s="53"/>
      <c r="KNR37" s="53"/>
      <c r="KNS37" s="53"/>
      <c r="KNT37" s="53"/>
      <c r="KNU37" s="53"/>
      <c r="KNV37" s="53"/>
      <c r="KNW37" s="53"/>
      <c r="KNX37" s="53"/>
      <c r="KNY37" s="53"/>
      <c r="KNZ37" s="53"/>
      <c r="KOA37" s="53"/>
      <c r="KOB37" s="53"/>
      <c r="KOC37" s="53"/>
      <c r="KOD37" s="53"/>
      <c r="KOE37" s="53"/>
      <c r="KOF37" s="53"/>
      <c r="KOG37" s="53"/>
      <c r="KOH37" s="53"/>
      <c r="KOI37" s="53"/>
      <c r="KOJ37" s="53"/>
      <c r="KOK37" s="53"/>
      <c r="KOL37" s="53"/>
      <c r="KOM37" s="53"/>
      <c r="KON37" s="53"/>
      <c r="KOO37" s="53"/>
      <c r="KOP37" s="53"/>
      <c r="KOQ37" s="53"/>
      <c r="KOR37" s="53"/>
      <c r="KOS37" s="53"/>
      <c r="KOT37" s="53"/>
      <c r="KOU37" s="53"/>
      <c r="KOV37" s="53"/>
      <c r="KOW37" s="53"/>
      <c r="KOX37" s="53"/>
      <c r="KOY37" s="53"/>
      <c r="KOZ37" s="53"/>
      <c r="KPA37" s="53"/>
      <c r="KPB37" s="53"/>
      <c r="KPC37" s="53"/>
      <c r="KPD37" s="53"/>
      <c r="KPE37" s="53"/>
      <c r="KPF37" s="53"/>
      <c r="KPG37" s="53"/>
      <c r="KPH37" s="53"/>
      <c r="KPI37" s="53"/>
      <c r="KPJ37" s="53"/>
      <c r="KPK37" s="53"/>
      <c r="KPL37" s="53"/>
      <c r="KPM37" s="53"/>
      <c r="KPN37" s="53"/>
      <c r="KPO37" s="53"/>
      <c r="KPP37" s="53"/>
      <c r="KPQ37" s="53"/>
      <c r="KPR37" s="53"/>
      <c r="KPS37" s="53"/>
      <c r="KPT37" s="53"/>
      <c r="KPU37" s="53"/>
      <c r="KPV37" s="53"/>
      <c r="KPW37" s="53"/>
      <c r="KPX37" s="53"/>
      <c r="KPY37" s="53"/>
      <c r="KPZ37" s="53"/>
      <c r="KQA37" s="53"/>
      <c r="KQB37" s="53"/>
      <c r="KQC37" s="53"/>
      <c r="KQD37" s="53"/>
      <c r="KQE37" s="53"/>
      <c r="KQF37" s="53"/>
      <c r="KQG37" s="53"/>
      <c r="KQH37" s="53"/>
      <c r="KQI37" s="53"/>
      <c r="KQJ37" s="53"/>
      <c r="KQK37" s="53"/>
      <c r="KQL37" s="53"/>
      <c r="KQM37" s="53"/>
      <c r="KQN37" s="53"/>
      <c r="KQO37" s="53"/>
      <c r="KQP37" s="53"/>
      <c r="KQQ37" s="53"/>
      <c r="KQR37" s="53"/>
      <c r="KQS37" s="53"/>
      <c r="KQT37" s="53"/>
      <c r="KQU37" s="53"/>
      <c r="KQV37" s="53"/>
      <c r="KQW37" s="53"/>
      <c r="KQX37" s="53"/>
      <c r="KQY37" s="53"/>
      <c r="KQZ37" s="53"/>
      <c r="KRA37" s="53"/>
      <c r="KRB37" s="53"/>
      <c r="KRC37" s="53"/>
      <c r="KRD37" s="53"/>
      <c r="KRE37" s="53"/>
      <c r="KRF37" s="53"/>
      <c r="KRG37" s="53"/>
      <c r="KRH37" s="53"/>
      <c r="KRI37" s="53"/>
      <c r="KRJ37" s="53"/>
      <c r="KRK37" s="53"/>
      <c r="KRL37" s="53"/>
      <c r="KRM37" s="53"/>
      <c r="KRN37" s="53"/>
      <c r="KRO37" s="53"/>
      <c r="KRP37" s="53"/>
      <c r="KRQ37" s="53"/>
      <c r="KRR37" s="53"/>
      <c r="KRS37" s="53"/>
      <c r="KRT37" s="53"/>
      <c r="KRU37" s="53"/>
      <c r="KRV37" s="53"/>
      <c r="KRW37" s="53"/>
      <c r="KRX37" s="53"/>
      <c r="KRY37" s="53"/>
      <c r="KRZ37" s="53"/>
      <c r="KSA37" s="53"/>
      <c r="KSB37" s="53"/>
      <c r="KSC37" s="53"/>
      <c r="KSD37" s="53"/>
      <c r="KSE37" s="53"/>
      <c r="KSF37" s="53"/>
      <c r="KSG37" s="53"/>
      <c r="KSH37" s="53"/>
      <c r="KSI37" s="53"/>
      <c r="KSJ37" s="53"/>
      <c r="KSK37" s="53"/>
      <c r="KSL37" s="53"/>
      <c r="KSM37" s="53"/>
      <c r="KSN37" s="53"/>
      <c r="KSO37" s="53"/>
      <c r="KSP37" s="53"/>
      <c r="KSQ37" s="53"/>
      <c r="KSR37" s="53"/>
      <c r="KSS37" s="53"/>
      <c r="KST37" s="53"/>
      <c r="KSU37" s="53"/>
      <c r="KSV37" s="53"/>
      <c r="KSW37" s="53"/>
      <c r="KSX37" s="53"/>
      <c r="KSY37" s="53"/>
      <c r="KSZ37" s="53"/>
      <c r="KTA37" s="53"/>
      <c r="KTB37" s="53"/>
      <c r="KTC37" s="53"/>
      <c r="KTD37" s="53"/>
      <c r="KTE37" s="53"/>
      <c r="KTF37" s="53"/>
      <c r="KTG37" s="53"/>
      <c r="KTH37" s="53"/>
      <c r="KTI37" s="53"/>
      <c r="KTJ37" s="53"/>
      <c r="KTK37" s="53"/>
      <c r="KTL37" s="53"/>
      <c r="KTM37" s="53"/>
      <c r="KTN37" s="53"/>
      <c r="KTO37" s="53"/>
      <c r="KTP37" s="53"/>
      <c r="KTQ37" s="53"/>
      <c r="KTR37" s="53"/>
      <c r="KTS37" s="53"/>
      <c r="KTT37" s="53"/>
      <c r="KTU37" s="53"/>
      <c r="KTV37" s="53"/>
      <c r="KTW37" s="53"/>
      <c r="KTX37" s="53"/>
      <c r="KTY37" s="53"/>
      <c r="KTZ37" s="53"/>
      <c r="KUA37" s="53"/>
      <c r="KUB37" s="53"/>
      <c r="KUC37" s="53"/>
      <c r="KUD37" s="53"/>
      <c r="KUE37" s="53"/>
      <c r="KUF37" s="53"/>
      <c r="KUG37" s="53"/>
      <c r="KUH37" s="53"/>
      <c r="KUI37" s="53"/>
      <c r="KUJ37" s="53"/>
      <c r="KUK37" s="53"/>
      <c r="KUL37" s="53"/>
      <c r="KUM37" s="53"/>
      <c r="KUN37" s="53"/>
      <c r="KUO37" s="53"/>
      <c r="KUP37" s="53"/>
      <c r="KUQ37" s="53"/>
      <c r="KUR37" s="53"/>
      <c r="KUS37" s="53"/>
      <c r="KUT37" s="53"/>
      <c r="KUU37" s="53"/>
      <c r="KUV37" s="53"/>
      <c r="KUW37" s="53"/>
      <c r="KUX37" s="53"/>
      <c r="KUY37" s="53"/>
      <c r="KUZ37" s="53"/>
      <c r="KVA37" s="53"/>
      <c r="KVB37" s="53"/>
      <c r="KVC37" s="53"/>
      <c r="KVD37" s="53"/>
      <c r="KVE37" s="53"/>
      <c r="KVF37" s="53"/>
      <c r="KVG37" s="53"/>
      <c r="KVH37" s="53"/>
      <c r="KVI37" s="53"/>
      <c r="KVJ37" s="53"/>
      <c r="KVK37" s="53"/>
      <c r="KVL37" s="53"/>
      <c r="KVM37" s="53"/>
      <c r="KVN37" s="53"/>
      <c r="KVO37" s="53"/>
      <c r="KVP37" s="53"/>
      <c r="KVQ37" s="53"/>
      <c r="KVR37" s="53"/>
      <c r="KVS37" s="53"/>
      <c r="KVT37" s="53"/>
      <c r="KVU37" s="53"/>
      <c r="KVV37" s="53"/>
      <c r="KVW37" s="53"/>
      <c r="KVX37" s="53"/>
      <c r="KVY37" s="53"/>
      <c r="KVZ37" s="53"/>
      <c r="KWA37" s="53"/>
      <c r="KWB37" s="53"/>
      <c r="KWC37" s="53"/>
      <c r="KWD37" s="53"/>
      <c r="KWE37" s="53"/>
      <c r="KWF37" s="53"/>
      <c r="KWG37" s="53"/>
      <c r="KWH37" s="53"/>
      <c r="KWI37" s="53"/>
      <c r="KWJ37" s="53"/>
      <c r="KWK37" s="53"/>
      <c r="KWL37" s="53"/>
      <c r="KWM37" s="53"/>
      <c r="KWN37" s="53"/>
      <c r="KWO37" s="53"/>
      <c r="KWP37" s="53"/>
      <c r="KWQ37" s="53"/>
      <c r="KWR37" s="53"/>
      <c r="KWS37" s="53"/>
      <c r="KWT37" s="53"/>
      <c r="KWU37" s="53"/>
      <c r="KWV37" s="53"/>
      <c r="KWW37" s="53"/>
      <c r="KWX37" s="53"/>
      <c r="KWY37" s="53"/>
      <c r="KWZ37" s="53"/>
      <c r="KXA37" s="53"/>
      <c r="KXB37" s="53"/>
      <c r="KXC37" s="53"/>
      <c r="KXD37" s="53"/>
      <c r="KXE37" s="53"/>
      <c r="KXF37" s="53"/>
      <c r="KXG37" s="53"/>
      <c r="KXH37" s="53"/>
      <c r="KXI37" s="53"/>
      <c r="KXJ37" s="53"/>
      <c r="KXK37" s="53"/>
      <c r="KXL37" s="53"/>
      <c r="KXM37" s="53"/>
      <c r="KXN37" s="53"/>
      <c r="KXO37" s="53"/>
      <c r="KXP37" s="53"/>
      <c r="KXQ37" s="53"/>
      <c r="KXR37" s="53"/>
      <c r="KXS37" s="53"/>
      <c r="KXT37" s="53"/>
      <c r="KXU37" s="53"/>
      <c r="KXV37" s="53"/>
      <c r="KXW37" s="53"/>
      <c r="KXX37" s="53"/>
      <c r="KXY37" s="53"/>
      <c r="KXZ37" s="53"/>
      <c r="KYA37" s="53"/>
      <c r="KYB37" s="53"/>
      <c r="KYC37" s="53"/>
      <c r="KYD37" s="53"/>
      <c r="KYE37" s="53"/>
      <c r="KYF37" s="53"/>
      <c r="KYG37" s="53"/>
      <c r="KYH37" s="53"/>
      <c r="KYI37" s="53"/>
      <c r="KYJ37" s="53"/>
      <c r="KYK37" s="53"/>
      <c r="KYL37" s="53"/>
      <c r="KYM37" s="53"/>
      <c r="KYN37" s="53"/>
      <c r="KYO37" s="53"/>
      <c r="KYP37" s="53"/>
      <c r="KYQ37" s="53"/>
      <c r="KYR37" s="53"/>
      <c r="KYS37" s="53"/>
      <c r="KYT37" s="53"/>
      <c r="KYU37" s="53"/>
      <c r="KYV37" s="53"/>
      <c r="KYW37" s="53"/>
      <c r="KYX37" s="53"/>
      <c r="KYY37" s="53"/>
      <c r="KYZ37" s="53"/>
      <c r="KZA37" s="53"/>
      <c r="KZB37" s="53"/>
      <c r="KZC37" s="53"/>
      <c r="KZD37" s="53"/>
      <c r="KZE37" s="53"/>
      <c r="KZF37" s="53"/>
      <c r="KZG37" s="53"/>
      <c r="KZH37" s="53"/>
      <c r="KZI37" s="53"/>
      <c r="KZJ37" s="53"/>
      <c r="KZK37" s="53"/>
      <c r="KZL37" s="53"/>
      <c r="KZM37" s="53"/>
      <c r="KZN37" s="53"/>
      <c r="KZO37" s="53"/>
      <c r="KZP37" s="53"/>
      <c r="KZQ37" s="53"/>
      <c r="KZR37" s="53"/>
      <c r="KZS37" s="53"/>
      <c r="KZT37" s="53"/>
      <c r="KZU37" s="53"/>
      <c r="KZV37" s="53"/>
      <c r="KZW37" s="53"/>
      <c r="KZX37" s="53"/>
      <c r="KZY37" s="53"/>
      <c r="KZZ37" s="53"/>
      <c r="LAA37" s="53"/>
      <c r="LAB37" s="53"/>
      <c r="LAC37" s="53"/>
      <c r="LAD37" s="53"/>
      <c r="LAE37" s="53"/>
      <c r="LAF37" s="53"/>
      <c r="LAG37" s="53"/>
      <c r="LAH37" s="53"/>
      <c r="LAI37" s="53"/>
      <c r="LAJ37" s="53"/>
      <c r="LAK37" s="53"/>
      <c r="LAL37" s="53"/>
      <c r="LAM37" s="53"/>
      <c r="LAN37" s="53"/>
      <c r="LAO37" s="53"/>
      <c r="LAP37" s="53"/>
      <c r="LAQ37" s="53"/>
      <c r="LAR37" s="53"/>
      <c r="LAS37" s="53"/>
      <c r="LAT37" s="53"/>
      <c r="LAU37" s="53"/>
      <c r="LAV37" s="53"/>
      <c r="LAW37" s="53"/>
      <c r="LAX37" s="53"/>
      <c r="LAY37" s="53"/>
      <c r="LAZ37" s="53"/>
      <c r="LBA37" s="53"/>
      <c r="LBB37" s="53"/>
      <c r="LBC37" s="53"/>
      <c r="LBD37" s="53"/>
      <c r="LBE37" s="53"/>
      <c r="LBF37" s="53"/>
      <c r="LBG37" s="53"/>
      <c r="LBH37" s="53"/>
      <c r="LBI37" s="53"/>
      <c r="LBJ37" s="53"/>
      <c r="LBK37" s="53"/>
      <c r="LBL37" s="53"/>
      <c r="LBM37" s="53"/>
      <c r="LBN37" s="53"/>
      <c r="LBO37" s="53"/>
      <c r="LBP37" s="53"/>
      <c r="LBQ37" s="53"/>
      <c r="LBR37" s="53"/>
      <c r="LBS37" s="53"/>
      <c r="LBT37" s="53"/>
      <c r="LBU37" s="53"/>
      <c r="LBV37" s="53"/>
      <c r="LBW37" s="53"/>
      <c r="LBX37" s="53"/>
      <c r="LBY37" s="53"/>
      <c r="LBZ37" s="53"/>
      <c r="LCA37" s="53"/>
      <c r="LCB37" s="53"/>
      <c r="LCC37" s="53"/>
      <c r="LCD37" s="53"/>
      <c r="LCE37" s="53"/>
      <c r="LCF37" s="53"/>
      <c r="LCG37" s="53"/>
      <c r="LCH37" s="53"/>
      <c r="LCI37" s="53"/>
      <c r="LCJ37" s="53"/>
      <c r="LCK37" s="53"/>
      <c r="LCL37" s="53"/>
      <c r="LCM37" s="53"/>
      <c r="LCN37" s="53"/>
      <c r="LCO37" s="53"/>
      <c r="LCP37" s="53"/>
      <c r="LCQ37" s="53"/>
      <c r="LCR37" s="53"/>
      <c r="LCS37" s="53"/>
      <c r="LCT37" s="53"/>
      <c r="LCU37" s="53"/>
      <c r="LCV37" s="53"/>
      <c r="LCW37" s="53"/>
      <c r="LCX37" s="53"/>
      <c r="LCY37" s="53"/>
      <c r="LCZ37" s="53"/>
      <c r="LDA37" s="53"/>
      <c r="LDB37" s="53"/>
      <c r="LDC37" s="53"/>
      <c r="LDD37" s="53"/>
      <c r="LDE37" s="53"/>
      <c r="LDF37" s="53"/>
      <c r="LDG37" s="53"/>
      <c r="LDH37" s="53"/>
      <c r="LDI37" s="53"/>
      <c r="LDJ37" s="53"/>
      <c r="LDK37" s="53"/>
      <c r="LDL37" s="53"/>
      <c r="LDM37" s="53"/>
      <c r="LDN37" s="53"/>
      <c r="LDO37" s="53"/>
      <c r="LDP37" s="53"/>
      <c r="LDQ37" s="53"/>
      <c r="LDR37" s="53"/>
      <c r="LDS37" s="53"/>
      <c r="LDT37" s="53"/>
      <c r="LDU37" s="53"/>
      <c r="LDV37" s="53"/>
      <c r="LDW37" s="53"/>
      <c r="LDX37" s="53"/>
      <c r="LDY37" s="53"/>
      <c r="LDZ37" s="53"/>
      <c r="LEA37" s="53"/>
      <c r="LEB37" s="53"/>
      <c r="LEC37" s="53"/>
      <c r="LED37" s="53"/>
      <c r="LEE37" s="53"/>
      <c r="LEF37" s="53"/>
      <c r="LEG37" s="53"/>
      <c r="LEH37" s="53"/>
      <c r="LEI37" s="53"/>
      <c r="LEJ37" s="53"/>
      <c r="LEK37" s="53"/>
      <c r="LEL37" s="53"/>
      <c r="LEM37" s="53"/>
      <c r="LEN37" s="53"/>
      <c r="LEO37" s="53"/>
      <c r="LEP37" s="53"/>
      <c r="LEQ37" s="53"/>
      <c r="LER37" s="53"/>
      <c r="LES37" s="53"/>
      <c r="LET37" s="53"/>
      <c r="LEU37" s="53"/>
      <c r="LEV37" s="53"/>
      <c r="LEW37" s="53"/>
      <c r="LEX37" s="53"/>
      <c r="LEY37" s="53"/>
      <c r="LEZ37" s="53"/>
      <c r="LFA37" s="53"/>
      <c r="LFB37" s="53"/>
      <c r="LFC37" s="53"/>
      <c r="LFD37" s="53"/>
      <c r="LFE37" s="53"/>
      <c r="LFF37" s="53"/>
      <c r="LFG37" s="53"/>
      <c r="LFH37" s="53"/>
      <c r="LFI37" s="53"/>
      <c r="LFJ37" s="53"/>
      <c r="LFK37" s="53"/>
      <c r="LFL37" s="53"/>
      <c r="LFM37" s="53"/>
      <c r="LFN37" s="53"/>
      <c r="LFO37" s="53"/>
      <c r="LFP37" s="53"/>
      <c r="LFQ37" s="53"/>
      <c r="LFR37" s="53"/>
      <c r="LFS37" s="53"/>
      <c r="LFT37" s="53"/>
      <c r="LFU37" s="53"/>
      <c r="LFV37" s="53"/>
      <c r="LFW37" s="53"/>
      <c r="LFX37" s="53"/>
      <c r="LFY37" s="53"/>
      <c r="LFZ37" s="53"/>
      <c r="LGA37" s="53"/>
      <c r="LGB37" s="53"/>
      <c r="LGC37" s="53"/>
      <c r="LGD37" s="53"/>
      <c r="LGE37" s="53"/>
      <c r="LGF37" s="53"/>
      <c r="LGG37" s="53"/>
      <c r="LGH37" s="53"/>
      <c r="LGI37" s="53"/>
      <c r="LGJ37" s="53"/>
      <c r="LGK37" s="53"/>
      <c r="LGL37" s="53"/>
      <c r="LGM37" s="53"/>
      <c r="LGN37" s="53"/>
      <c r="LGO37" s="53"/>
      <c r="LGP37" s="53"/>
      <c r="LGQ37" s="53"/>
      <c r="LGR37" s="53"/>
      <c r="LGS37" s="53"/>
      <c r="LGT37" s="53"/>
      <c r="LGU37" s="53"/>
      <c r="LGV37" s="53"/>
      <c r="LGW37" s="53"/>
      <c r="LGX37" s="53"/>
      <c r="LGY37" s="53"/>
      <c r="LGZ37" s="53"/>
      <c r="LHA37" s="53"/>
      <c r="LHB37" s="53"/>
      <c r="LHC37" s="53"/>
      <c r="LHD37" s="53"/>
      <c r="LHE37" s="53"/>
      <c r="LHF37" s="53"/>
      <c r="LHG37" s="53"/>
      <c r="LHH37" s="53"/>
      <c r="LHI37" s="53"/>
      <c r="LHJ37" s="53"/>
      <c r="LHK37" s="53"/>
      <c r="LHL37" s="53"/>
      <c r="LHM37" s="53"/>
      <c r="LHN37" s="53"/>
      <c r="LHO37" s="53"/>
      <c r="LHP37" s="53"/>
      <c r="LHQ37" s="53"/>
      <c r="LHR37" s="53"/>
      <c r="LHS37" s="53"/>
      <c r="LHT37" s="53"/>
      <c r="LHU37" s="53"/>
      <c r="LHV37" s="53"/>
      <c r="LHW37" s="53"/>
      <c r="LHX37" s="53"/>
      <c r="LHY37" s="53"/>
      <c r="LHZ37" s="53"/>
      <c r="LIA37" s="53"/>
      <c r="LIB37" s="53"/>
      <c r="LIC37" s="53"/>
      <c r="LID37" s="53"/>
      <c r="LIE37" s="53"/>
      <c r="LIF37" s="53"/>
      <c r="LIG37" s="53"/>
      <c r="LIH37" s="53"/>
      <c r="LII37" s="53"/>
      <c r="LIJ37" s="53"/>
      <c r="LIK37" s="53"/>
      <c r="LIL37" s="53"/>
      <c r="LIM37" s="53"/>
      <c r="LIN37" s="53"/>
      <c r="LIO37" s="53"/>
      <c r="LIP37" s="53"/>
      <c r="LIQ37" s="53"/>
      <c r="LIR37" s="53"/>
      <c r="LIS37" s="53"/>
      <c r="LIT37" s="53"/>
      <c r="LIU37" s="53"/>
      <c r="LIV37" s="53"/>
      <c r="LIW37" s="53"/>
      <c r="LIX37" s="53"/>
      <c r="LIY37" s="53"/>
      <c r="LIZ37" s="53"/>
      <c r="LJA37" s="53"/>
      <c r="LJB37" s="53"/>
      <c r="LJC37" s="53"/>
      <c r="LJD37" s="53"/>
      <c r="LJE37" s="53"/>
      <c r="LJF37" s="53"/>
      <c r="LJG37" s="53"/>
      <c r="LJH37" s="53"/>
      <c r="LJI37" s="53"/>
      <c r="LJJ37" s="53"/>
      <c r="LJK37" s="53"/>
      <c r="LJL37" s="53"/>
      <c r="LJM37" s="53"/>
      <c r="LJN37" s="53"/>
      <c r="LJO37" s="53"/>
      <c r="LJP37" s="53"/>
      <c r="LJQ37" s="53"/>
      <c r="LJR37" s="53"/>
      <c r="LJS37" s="53"/>
      <c r="LJT37" s="53"/>
      <c r="LJU37" s="53"/>
      <c r="LJV37" s="53"/>
      <c r="LJW37" s="53"/>
      <c r="LJX37" s="53"/>
      <c r="LJY37" s="53"/>
      <c r="LJZ37" s="53"/>
      <c r="LKA37" s="53"/>
      <c r="LKB37" s="53"/>
      <c r="LKC37" s="53"/>
      <c r="LKD37" s="53"/>
      <c r="LKE37" s="53"/>
      <c r="LKF37" s="53"/>
      <c r="LKG37" s="53"/>
      <c r="LKH37" s="53"/>
      <c r="LKI37" s="53"/>
      <c r="LKJ37" s="53"/>
      <c r="LKK37" s="53"/>
      <c r="LKL37" s="53"/>
      <c r="LKM37" s="53"/>
      <c r="LKN37" s="53"/>
      <c r="LKO37" s="53"/>
      <c r="LKP37" s="53"/>
      <c r="LKQ37" s="53"/>
      <c r="LKR37" s="53"/>
      <c r="LKS37" s="53"/>
      <c r="LKT37" s="53"/>
      <c r="LKU37" s="53"/>
      <c r="LKV37" s="53"/>
      <c r="LKW37" s="53"/>
      <c r="LKX37" s="53"/>
      <c r="LKY37" s="53"/>
      <c r="LKZ37" s="53"/>
      <c r="LLA37" s="53"/>
      <c r="LLB37" s="53"/>
      <c r="LLC37" s="53"/>
      <c r="LLD37" s="53"/>
      <c r="LLE37" s="53"/>
      <c r="LLF37" s="53"/>
      <c r="LLG37" s="53"/>
      <c r="LLH37" s="53"/>
      <c r="LLI37" s="53"/>
      <c r="LLJ37" s="53"/>
      <c r="LLK37" s="53"/>
      <c r="LLL37" s="53"/>
      <c r="LLM37" s="53"/>
      <c r="LLN37" s="53"/>
      <c r="LLO37" s="53"/>
      <c r="LLP37" s="53"/>
      <c r="LLQ37" s="53"/>
      <c r="LLR37" s="53"/>
      <c r="LLS37" s="53"/>
      <c r="LLT37" s="53"/>
      <c r="LLU37" s="53"/>
      <c r="LLV37" s="53"/>
      <c r="LLW37" s="53"/>
      <c r="LLX37" s="53"/>
      <c r="LLY37" s="53"/>
      <c r="LLZ37" s="53"/>
      <c r="LMA37" s="53"/>
      <c r="LMB37" s="53"/>
      <c r="LMC37" s="53"/>
      <c r="LMD37" s="53"/>
      <c r="LME37" s="53"/>
      <c r="LMF37" s="53"/>
      <c r="LMG37" s="53"/>
      <c r="LMH37" s="53"/>
      <c r="LMI37" s="53"/>
      <c r="LMJ37" s="53"/>
      <c r="LMK37" s="53"/>
      <c r="LML37" s="53"/>
      <c r="LMM37" s="53"/>
      <c r="LMN37" s="53"/>
      <c r="LMO37" s="53"/>
      <c r="LMP37" s="53"/>
      <c r="LMQ37" s="53"/>
      <c r="LMR37" s="53"/>
      <c r="LMS37" s="53"/>
      <c r="LMT37" s="53"/>
      <c r="LMU37" s="53"/>
      <c r="LMV37" s="53"/>
      <c r="LMW37" s="53"/>
      <c r="LMX37" s="53"/>
      <c r="LMY37" s="53"/>
      <c r="LMZ37" s="53"/>
      <c r="LNA37" s="53"/>
      <c r="LNB37" s="53"/>
      <c r="LNC37" s="53"/>
      <c r="LND37" s="53"/>
      <c r="LNE37" s="53"/>
      <c r="LNF37" s="53"/>
      <c r="LNG37" s="53"/>
      <c r="LNH37" s="53"/>
      <c r="LNI37" s="53"/>
      <c r="LNJ37" s="53"/>
      <c r="LNK37" s="53"/>
      <c r="LNL37" s="53"/>
      <c r="LNM37" s="53"/>
      <c r="LNN37" s="53"/>
      <c r="LNO37" s="53"/>
      <c r="LNP37" s="53"/>
      <c r="LNQ37" s="53"/>
      <c r="LNR37" s="53"/>
      <c r="LNS37" s="53"/>
      <c r="LNT37" s="53"/>
      <c r="LNU37" s="53"/>
      <c r="LNV37" s="53"/>
      <c r="LNW37" s="53"/>
      <c r="LNX37" s="53"/>
      <c r="LNY37" s="53"/>
      <c r="LNZ37" s="53"/>
      <c r="LOA37" s="53"/>
      <c r="LOB37" s="53"/>
      <c r="LOC37" s="53"/>
      <c r="LOD37" s="53"/>
      <c r="LOE37" s="53"/>
      <c r="LOF37" s="53"/>
      <c r="LOG37" s="53"/>
      <c r="LOH37" s="53"/>
      <c r="LOI37" s="53"/>
      <c r="LOJ37" s="53"/>
      <c r="LOK37" s="53"/>
      <c r="LOL37" s="53"/>
      <c r="LOM37" s="53"/>
      <c r="LON37" s="53"/>
      <c r="LOO37" s="53"/>
      <c r="LOP37" s="53"/>
      <c r="LOQ37" s="53"/>
      <c r="LOR37" s="53"/>
      <c r="LOS37" s="53"/>
      <c r="LOT37" s="53"/>
      <c r="LOU37" s="53"/>
      <c r="LOV37" s="53"/>
      <c r="LOW37" s="53"/>
      <c r="LOX37" s="53"/>
      <c r="LOY37" s="53"/>
      <c r="LOZ37" s="53"/>
      <c r="LPA37" s="53"/>
      <c r="LPB37" s="53"/>
      <c r="LPC37" s="53"/>
      <c r="LPD37" s="53"/>
      <c r="LPE37" s="53"/>
      <c r="LPF37" s="53"/>
      <c r="LPG37" s="53"/>
      <c r="LPH37" s="53"/>
      <c r="LPI37" s="53"/>
      <c r="LPJ37" s="53"/>
      <c r="LPK37" s="53"/>
      <c r="LPL37" s="53"/>
      <c r="LPM37" s="53"/>
      <c r="LPN37" s="53"/>
      <c r="LPO37" s="53"/>
      <c r="LPP37" s="53"/>
      <c r="LPQ37" s="53"/>
      <c r="LPR37" s="53"/>
      <c r="LPS37" s="53"/>
      <c r="LPT37" s="53"/>
      <c r="LPU37" s="53"/>
      <c r="LPV37" s="53"/>
      <c r="LPW37" s="53"/>
      <c r="LPX37" s="53"/>
      <c r="LPY37" s="53"/>
      <c r="LPZ37" s="53"/>
      <c r="LQA37" s="53"/>
      <c r="LQB37" s="53"/>
      <c r="LQC37" s="53"/>
      <c r="LQD37" s="53"/>
      <c r="LQE37" s="53"/>
      <c r="LQF37" s="53"/>
      <c r="LQG37" s="53"/>
      <c r="LQH37" s="53"/>
      <c r="LQI37" s="53"/>
      <c r="LQJ37" s="53"/>
      <c r="LQK37" s="53"/>
      <c r="LQL37" s="53"/>
      <c r="LQM37" s="53"/>
      <c r="LQN37" s="53"/>
      <c r="LQO37" s="53"/>
      <c r="LQP37" s="53"/>
      <c r="LQQ37" s="53"/>
      <c r="LQR37" s="53"/>
      <c r="LQS37" s="53"/>
      <c r="LQT37" s="53"/>
      <c r="LQU37" s="53"/>
      <c r="LQV37" s="53"/>
      <c r="LQW37" s="53"/>
      <c r="LQX37" s="53"/>
      <c r="LQY37" s="53"/>
      <c r="LQZ37" s="53"/>
      <c r="LRA37" s="53"/>
      <c r="LRB37" s="53"/>
      <c r="LRC37" s="53"/>
      <c r="LRD37" s="53"/>
      <c r="LRE37" s="53"/>
      <c r="LRF37" s="53"/>
      <c r="LRG37" s="53"/>
      <c r="LRH37" s="53"/>
      <c r="LRI37" s="53"/>
      <c r="LRJ37" s="53"/>
      <c r="LRK37" s="53"/>
      <c r="LRL37" s="53"/>
      <c r="LRM37" s="53"/>
      <c r="LRN37" s="53"/>
      <c r="LRO37" s="53"/>
      <c r="LRP37" s="53"/>
      <c r="LRQ37" s="53"/>
      <c r="LRR37" s="53"/>
      <c r="LRS37" s="53"/>
      <c r="LRT37" s="53"/>
      <c r="LRU37" s="53"/>
      <c r="LRV37" s="53"/>
      <c r="LRW37" s="53"/>
      <c r="LRX37" s="53"/>
      <c r="LRY37" s="53"/>
      <c r="LRZ37" s="53"/>
      <c r="LSA37" s="53"/>
      <c r="LSB37" s="53"/>
      <c r="LSC37" s="53"/>
      <c r="LSD37" s="53"/>
      <c r="LSE37" s="53"/>
      <c r="LSF37" s="53"/>
      <c r="LSG37" s="53"/>
      <c r="LSH37" s="53"/>
      <c r="LSI37" s="53"/>
      <c r="LSJ37" s="53"/>
      <c r="LSK37" s="53"/>
      <c r="LSL37" s="53"/>
      <c r="LSM37" s="53"/>
      <c r="LSN37" s="53"/>
      <c r="LSO37" s="53"/>
      <c r="LSP37" s="53"/>
      <c r="LSQ37" s="53"/>
      <c r="LSR37" s="53"/>
      <c r="LSS37" s="53"/>
      <c r="LST37" s="53"/>
      <c r="LSU37" s="53"/>
      <c r="LSV37" s="53"/>
      <c r="LSW37" s="53"/>
      <c r="LSX37" s="53"/>
      <c r="LSY37" s="53"/>
      <c r="LSZ37" s="53"/>
      <c r="LTA37" s="53"/>
      <c r="LTB37" s="53"/>
      <c r="LTC37" s="53"/>
      <c r="LTD37" s="53"/>
      <c r="LTE37" s="53"/>
      <c r="LTF37" s="53"/>
      <c r="LTG37" s="53"/>
      <c r="LTH37" s="53"/>
      <c r="LTI37" s="53"/>
      <c r="LTJ37" s="53"/>
      <c r="LTK37" s="53"/>
      <c r="LTL37" s="53"/>
      <c r="LTM37" s="53"/>
      <c r="LTN37" s="53"/>
      <c r="LTO37" s="53"/>
      <c r="LTP37" s="53"/>
      <c r="LTQ37" s="53"/>
      <c r="LTR37" s="53"/>
      <c r="LTS37" s="53"/>
      <c r="LTT37" s="53"/>
      <c r="LTU37" s="53"/>
      <c r="LTV37" s="53"/>
      <c r="LTW37" s="53"/>
      <c r="LTX37" s="53"/>
      <c r="LTY37" s="53"/>
      <c r="LTZ37" s="53"/>
      <c r="LUA37" s="53"/>
      <c r="LUB37" s="53"/>
      <c r="LUC37" s="53"/>
      <c r="LUD37" s="53"/>
      <c r="LUE37" s="53"/>
      <c r="LUF37" s="53"/>
      <c r="LUG37" s="53"/>
      <c r="LUH37" s="53"/>
      <c r="LUI37" s="53"/>
      <c r="LUJ37" s="53"/>
      <c r="LUK37" s="53"/>
      <c r="LUL37" s="53"/>
      <c r="LUM37" s="53"/>
      <c r="LUN37" s="53"/>
      <c r="LUO37" s="53"/>
      <c r="LUP37" s="53"/>
      <c r="LUQ37" s="53"/>
      <c r="LUR37" s="53"/>
      <c r="LUS37" s="53"/>
      <c r="LUT37" s="53"/>
      <c r="LUU37" s="53"/>
      <c r="LUV37" s="53"/>
      <c r="LUW37" s="53"/>
      <c r="LUX37" s="53"/>
      <c r="LUY37" s="53"/>
      <c r="LUZ37" s="53"/>
      <c r="LVA37" s="53"/>
      <c r="LVB37" s="53"/>
      <c r="LVC37" s="53"/>
      <c r="LVD37" s="53"/>
      <c r="LVE37" s="53"/>
      <c r="LVF37" s="53"/>
      <c r="LVG37" s="53"/>
      <c r="LVH37" s="53"/>
      <c r="LVI37" s="53"/>
      <c r="LVJ37" s="53"/>
      <c r="LVK37" s="53"/>
      <c r="LVL37" s="53"/>
      <c r="LVM37" s="53"/>
      <c r="LVN37" s="53"/>
      <c r="LVO37" s="53"/>
      <c r="LVP37" s="53"/>
      <c r="LVQ37" s="53"/>
      <c r="LVR37" s="53"/>
      <c r="LVS37" s="53"/>
      <c r="LVT37" s="53"/>
      <c r="LVU37" s="53"/>
      <c r="LVV37" s="53"/>
      <c r="LVW37" s="53"/>
      <c r="LVX37" s="53"/>
      <c r="LVY37" s="53"/>
      <c r="LVZ37" s="53"/>
      <c r="LWA37" s="53"/>
      <c r="LWB37" s="53"/>
      <c r="LWC37" s="53"/>
      <c r="LWD37" s="53"/>
      <c r="LWE37" s="53"/>
      <c r="LWF37" s="53"/>
      <c r="LWG37" s="53"/>
      <c r="LWH37" s="53"/>
      <c r="LWI37" s="53"/>
      <c r="LWJ37" s="53"/>
      <c r="LWK37" s="53"/>
      <c r="LWL37" s="53"/>
      <c r="LWM37" s="53"/>
      <c r="LWN37" s="53"/>
      <c r="LWO37" s="53"/>
      <c r="LWP37" s="53"/>
      <c r="LWQ37" s="53"/>
      <c r="LWR37" s="53"/>
      <c r="LWS37" s="53"/>
      <c r="LWT37" s="53"/>
      <c r="LWU37" s="53"/>
      <c r="LWV37" s="53"/>
      <c r="LWW37" s="53"/>
      <c r="LWX37" s="53"/>
      <c r="LWY37" s="53"/>
      <c r="LWZ37" s="53"/>
      <c r="LXA37" s="53"/>
      <c r="LXB37" s="53"/>
      <c r="LXC37" s="53"/>
      <c r="LXD37" s="53"/>
      <c r="LXE37" s="53"/>
      <c r="LXF37" s="53"/>
      <c r="LXG37" s="53"/>
      <c r="LXH37" s="53"/>
      <c r="LXI37" s="53"/>
      <c r="LXJ37" s="53"/>
      <c r="LXK37" s="53"/>
      <c r="LXL37" s="53"/>
      <c r="LXM37" s="53"/>
      <c r="LXN37" s="53"/>
      <c r="LXO37" s="53"/>
      <c r="LXP37" s="53"/>
      <c r="LXQ37" s="53"/>
      <c r="LXR37" s="53"/>
      <c r="LXS37" s="53"/>
      <c r="LXT37" s="53"/>
      <c r="LXU37" s="53"/>
      <c r="LXV37" s="53"/>
      <c r="LXW37" s="53"/>
      <c r="LXX37" s="53"/>
      <c r="LXY37" s="53"/>
      <c r="LXZ37" s="53"/>
      <c r="LYA37" s="53"/>
      <c r="LYB37" s="53"/>
      <c r="LYC37" s="53"/>
      <c r="LYD37" s="53"/>
      <c r="LYE37" s="53"/>
      <c r="LYF37" s="53"/>
      <c r="LYG37" s="53"/>
      <c r="LYH37" s="53"/>
      <c r="LYI37" s="53"/>
      <c r="LYJ37" s="53"/>
      <c r="LYK37" s="53"/>
      <c r="LYL37" s="53"/>
      <c r="LYM37" s="53"/>
      <c r="LYN37" s="53"/>
      <c r="LYO37" s="53"/>
      <c r="LYP37" s="53"/>
      <c r="LYQ37" s="53"/>
      <c r="LYR37" s="53"/>
      <c r="LYS37" s="53"/>
      <c r="LYT37" s="53"/>
      <c r="LYU37" s="53"/>
      <c r="LYV37" s="53"/>
      <c r="LYW37" s="53"/>
      <c r="LYX37" s="53"/>
      <c r="LYY37" s="53"/>
      <c r="LYZ37" s="53"/>
      <c r="LZA37" s="53"/>
      <c r="LZB37" s="53"/>
      <c r="LZC37" s="53"/>
      <c r="LZD37" s="53"/>
      <c r="LZE37" s="53"/>
      <c r="LZF37" s="53"/>
      <c r="LZG37" s="53"/>
      <c r="LZH37" s="53"/>
      <c r="LZI37" s="53"/>
      <c r="LZJ37" s="53"/>
      <c r="LZK37" s="53"/>
      <c r="LZL37" s="53"/>
      <c r="LZM37" s="53"/>
      <c r="LZN37" s="53"/>
      <c r="LZO37" s="53"/>
      <c r="LZP37" s="53"/>
      <c r="LZQ37" s="53"/>
      <c r="LZR37" s="53"/>
      <c r="LZS37" s="53"/>
      <c r="LZT37" s="53"/>
      <c r="LZU37" s="53"/>
      <c r="LZV37" s="53"/>
      <c r="LZW37" s="53"/>
      <c r="LZX37" s="53"/>
      <c r="LZY37" s="53"/>
      <c r="LZZ37" s="53"/>
      <c r="MAA37" s="53"/>
      <c r="MAB37" s="53"/>
      <c r="MAC37" s="53"/>
      <c r="MAD37" s="53"/>
      <c r="MAE37" s="53"/>
      <c r="MAF37" s="53"/>
      <c r="MAG37" s="53"/>
      <c r="MAH37" s="53"/>
      <c r="MAI37" s="53"/>
      <c r="MAJ37" s="53"/>
      <c r="MAK37" s="53"/>
      <c r="MAL37" s="53"/>
      <c r="MAM37" s="53"/>
      <c r="MAN37" s="53"/>
      <c r="MAO37" s="53"/>
      <c r="MAP37" s="53"/>
      <c r="MAQ37" s="53"/>
      <c r="MAR37" s="53"/>
      <c r="MAS37" s="53"/>
      <c r="MAT37" s="53"/>
      <c r="MAU37" s="53"/>
      <c r="MAV37" s="53"/>
      <c r="MAW37" s="53"/>
      <c r="MAX37" s="53"/>
      <c r="MAY37" s="53"/>
      <c r="MAZ37" s="53"/>
      <c r="MBA37" s="53"/>
      <c r="MBB37" s="53"/>
      <c r="MBC37" s="53"/>
      <c r="MBD37" s="53"/>
      <c r="MBE37" s="53"/>
      <c r="MBF37" s="53"/>
      <c r="MBG37" s="53"/>
      <c r="MBH37" s="53"/>
      <c r="MBI37" s="53"/>
      <c r="MBJ37" s="53"/>
      <c r="MBK37" s="53"/>
      <c r="MBL37" s="53"/>
      <c r="MBM37" s="53"/>
      <c r="MBN37" s="53"/>
      <c r="MBO37" s="53"/>
      <c r="MBP37" s="53"/>
      <c r="MBQ37" s="53"/>
      <c r="MBR37" s="53"/>
      <c r="MBS37" s="53"/>
      <c r="MBT37" s="53"/>
      <c r="MBU37" s="53"/>
      <c r="MBV37" s="53"/>
      <c r="MBW37" s="53"/>
      <c r="MBX37" s="53"/>
      <c r="MBY37" s="53"/>
      <c r="MBZ37" s="53"/>
      <c r="MCA37" s="53"/>
      <c r="MCB37" s="53"/>
      <c r="MCC37" s="53"/>
      <c r="MCD37" s="53"/>
      <c r="MCE37" s="53"/>
      <c r="MCF37" s="53"/>
      <c r="MCG37" s="53"/>
      <c r="MCH37" s="53"/>
      <c r="MCI37" s="53"/>
      <c r="MCJ37" s="53"/>
      <c r="MCK37" s="53"/>
      <c r="MCL37" s="53"/>
      <c r="MCM37" s="53"/>
      <c r="MCN37" s="53"/>
      <c r="MCO37" s="53"/>
      <c r="MCP37" s="53"/>
      <c r="MCQ37" s="53"/>
      <c r="MCR37" s="53"/>
      <c r="MCS37" s="53"/>
      <c r="MCT37" s="53"/>
      <c r="MCU37" s="53"/>
      <c r="MCV37" s="53"/>
      <c r="MCW37" s="53"/>
      <c r="MCX37" s="53"/>
      <c r="MCY37" s="53"/>
      <c r="MCZ37" s="53"/>
      <c r="MDA37" s="53"/>
      <c r="MDB37" s="53"/>
      <c r="MDC37" s="53"/>
      <c r="MDD37" s="53"/>
      <c r="MDE37" s="53"/>
      <c r="MDF37" s="53"/>
      <c r="MDG37" s="53"/>
      <c r="MDH37" s="53"/>
      <c r="MDI37" s="53"/>
      <c r="MDJ37" s="53"/>
      <c r="MDK37" s="53"/>
      <c r="MDL37" s="53"/>
      <c r="MDM37" s="53"/>
      <c r="MDN37" s="53"/>
      <c r="MDO37" s="53"/>
      <c r="MDP37" s="53"/>
      <c r="MDQ37" s="53"/>
      <c r="MDR37" s="53"/>
      <c r="MDS37" s="53"/>
      <c r="MDT37" s="53"/>
      <c r="MDU37" s="53"/>
      <c r="MDV37" s="53"/>
      <c r="MDW37" s="53"/>
      <c r="MDX37" s="53"/>
      <c r="MDY37" s="53"/>
      <c r="MDZ37" s="53"/>
      <c r="MEA37" s="53"/>
      <c r="MEB37" s="53"/>
      <c r="MEC37" s="53"/>
      <c r="MED37" s="53"/>
      <c r="MEE37" s="53"/>
      <c r="MEF37" s="53"/>
      <c r="MEG37" s="53"/>
      <c r="MEH37" s="53"/>
      <c r="MEI37" s="53"/>
      <c r="MEJ37" s="53"/>
      <c r="MEK37" s="53"/>
      <c r="MEL37" s="53"/>
      <c r="MEM37" s="53"/>
      <c r="MEN37" s="53"/>
      <c r="MEO37" s="53"/>
      <c r="MEP37" s="53"/>
      <c r="MEQ37" s="53"/>
      <c r="MER37" s="53"/>
      <c r="MES37" s="53"/>
      <c r="MET37" s="53"/>
      <c r="MEU37" s="53"/>
      <c r="MEV37" s="53"/>
      <c r="MEW37" s="53"/>
      <c r="MEX37" s="53"/>
      <c r="MEY37" s="53"/>
      <c r="MEZ37" s="53"/>
      <c r="MFA37" s="53"/>
      <c r="MFB37" s="53"/>
      <c r="MFC37" s="53"/>
      <c r="MFD37" s="53"/>
      <c r="MFE37" s="53"/>
      <c r="MFF37" s="53"/>
      <c r="MFG37" s="53"/>
      <c r="MFH37" s="53"/>
      <c r="MFI37" s="53"/>
      <c r="MFJ37" s="53"/>
      <c r="MFK37" s="53"/>
      <c r="MFL37" s="53"/>
      <c r="MFM37" s="53"/>
      <c r="MFN37" s="53"/>
      <c r="MFO37" s="53"/>
      <c r="MFP37" s="53"/>
      <c r="MFQ37" s="53"/>
      <c r="MFR37" s="53"/>
      <c r="MFS37" s="53"/>
      <c r="MFT37" s="53"/>
      <c r="MFU37" s="53"/>
      <c r="MFV37" s="53"/>
      <c r="MFW37" s="53"/>
      <c r="MFX37" s="53"/>
      <c r="MFY37" s="53"/>
      <c r="MFZ37" s="53"/>
      <c r="MGA37" s="53"/>
      <c r="MGB37" s="53"/>
      <c r="MGC37" s="53"/>
      <c r="MGD37" s="53"/>
      <c r="MGE37" s="53"/>
      <c r="MGF37" s="53"/>
      <c r="MGG37" s="53"/>
      <c r="MGH37" s="53"/>
      <c r="MGI37" s="53"/>
      <c r="MGJ37" s="53"/>
      <c r="MGK37" s="53"/>
      <c r="MGL37" s="53"/>
      <c r="MGM37" s="53"/>
      <c r="MGN37" s="53"/>
      <c r="MGO37" s="53"/>
      <c r="MGP37" s="53"/>
      <c r="MGQ37" s="53"/>
      <c r="MGR37" s="53"/>
      <c r="MGS37" s="53"/>
      <c r="MGT37" s="53"/>
      <c r="MGU37" s="53"/>
      <c r="MGV37" s="53"/>
      <c r="MGW37" s="53"/>
      <c r="MGX37" s="53"/>
      <c r="MGY37" s="53"/>
      <c r="MGZ37" s="53"/>
      <c r="MHA37" s="53"/>
      <c r="MHB37" s="53"/>
      <c r="MHC37" s="53"/>
      <c r="MHD37" s="53"/>
      <c r="MHE37" s="53"/>
      <c r="MHF37" s="53"/>
      <c r="MHG37" s="53"/>
      <c r="MHH37" s="53"/>
      <c r="MHI37" s="53"/>
      <c r="MHJ37" s="53"/>
      <c r="MHK37" s="53"/>
      <c r="MHL37" s="53"/>
      <c r="MHM37" s="53"/>
      <c r="MHN37" s="53"/>
      <c r="MHO37" s="53"/>
      <c r="MHP37" s="53"/>
      <c r="MHQ37" s="53"/>
      <c r="MHR37" s="53"/>
      <c r="MHS37" s="53"/>
      <c r="MHT37" s="53"/>
      <c r="MHU37" s="53"/>
      <c r="MHV37" s="53"/>
      <c r="MHW37" s="53"/>
      <c r="MHX37" s="53"/>
      <c r="MHY37" s="53"/>
      <c r="MHZ37" s="53"/>
      <c r="MIA37" s="53"/>
      <c r="MIB37" s="53"/>
      <c r="MIC37" s="53"/>
      <c r="MID37" s="53"/>
      <c r="MIE37" s="53"/>
      <c r="MIF37" s="53"/>
      <c r="MIG37" s="53"/>
      <c r="MIH37" s="53"/>
      <c r="MII37" s="53"/>
      <c r="MIJ37" s="53"/>
      <c r="MIK37" s="53"/>
      <c r="MIL37" s="53"/>
      <c r="MIM37" s="53"/>
      <c r="MIN37" s="53"/>
      <c r="MIO37" s="53"/>
      <c r="MIP37" s="53"/>
      <c r="MIQ37" s="53"/>
      <c r="MIR37" s="53"/>
      <c r="MIS37" s="53"/>
      <c r="MIT37" s="53"/>
      <c r="MIU37" s="53"/>
      <c r="MIV37" s="53"/>
      <c r="MIW37" s="53"/>
      <c r="MIX37" s="53"/>
      <c r="MIY37" s="53"/>
      <c r="MIZ37" s="53"/>
      <c r="MJA37" s="53"/>
      <c r="MJB37" s="53"/>
      <c r="MJC37" s="53"/>
      <c r="MJD37" s="53"/>
      <c r="MJE37" s="53"/>
      <c r="MJF37" s="53"/>
      <c r="MJG37" s="53"/>
      <c r="MJH37" s="53"/>
      <c r="MJI37" s="53"/>
      <c r="MJJ37" s="53"/>
      <c r="MJK37" s="53"/>
      <c r="MJL37" s="53"/>
      <c r="MJM37" s="53"/>
      <c r="MJN37" s="53"/>
      <c r="MJO37" s="53"/>
      <c r="MJP37" s="53"/>
      <c r="MJQ37" s="53"/>
      <c r="MJR37" s="53"/>
      <c r="MJS37" s="53"/>
      <c r="MJT37" s="53"/>
      <c r="MJU37" s="53"/>
      <c r="MJV37" s="53"/>
      <c r="MJW37" s="53"/>
      <c r="MJX37" s="53"/>
      <c r="MJY37" s="53"/>
      <c r="MJZ37" s="53"/>
      <c r="MKA37" s="53"/>
      <c r="MKB37" s="53"/>
      <c r="MKC37" s="53"/>
      <c r="MKD37" s="53"/>
      <c r="MKE37" s="53"/>
      <c r="MKF37" s="53"/>
      <c r="MKG37" s="53"/>
      <c r="MKH37" s="53"/>
      <c r="MKI37" s="53"/>
      <c r="MKJ37" s="53"/>
      <c r="MKK37" s="53"/>
      <c r="MKL37" s="53"/>
      <c r="MKM37" s="53"/>
      <c r="MKN37" s="53"/>
      <c r="MKO37" s="53"/>
      <c r="MKP37" s="53"/>
      <c r="MKQ37" s="53"/>
      <c r="MKR37" s="53"/>
      <c r="MKS37" s="53"/>
      <c r="MKT37" s="53"/>
      <c r="MKU37" s="53"/>
      <c r="MKV37" s="53"/>
      <c r="MKW37" s="53"/>
      <c r="MKX37" s="53"/>
      <c r="MKY37" s="53"/>
      <c r="MKZ37" s="53"/>
      <c r="MLA37" s="53"/>
      <c r="MLB37" s="53"/>
      <c r="MLC37" s="53"/>
      <c r="MLD37" s="53"/>
      <c r="MLE37" s="53"/>
      <c r="MLF37" s="53"/>
      <c r="MLG37" s="53"/>
      <c r="MLH37" s="53"/>
      <c r="MLI37" s="53"/>
      <c r="MLJ37" s="53"/>
      <c r="MLK37" s="53"/>
      <c r="MLL37" s="53"/>
      <c r="MLM37" s="53"/>
      <c r="MLN37" s="53"/>
      <c r="MLO37" s="53"/>
      <c r="MLP37" s="53"/>
      <c r="MLQ37" s="53"/>
      <c r="MLR37" s="53"/>
      <c r="MLS37" s="53"/>
      <c r="MLT37" s="53"/>
      <c r="MLU37" s="53"/>
      <c r="MLV37" s="53"/>
      <c r="MLW37" s="53"/>
      <c r="MLX37" s="53"/>
      <c r="MLY37" s="53"/>
      <c r="MLZ37" s="53"/>
      <c r="MMA37" s="53"/>
      <c r="MMB37" s="53"/>
      <c r="MMC37" s="53"/>
      <c r="MMD37" s="53"/>
      <c r="MME37" s="53"/>
      <c r="MMF37" s="53"/>
      <c r="MMG37" s="53"/>
      <c r="MMH37" s="53"/>
      <c r="MMI37" s="53"/>
      <c r="MMJ37" s="53"/>
      <c r="MMK37" s="53"/>
      <c r="MML37" s="53"/>
      <c r="MMM37" s="53"/>
      <c r="MMN37" s="53"/>
      <c r="MMO37" s="53"/>
      <c r="MMP37" s="53"/>
      <c r="MMQ37" s="53"/>
      <c r="MMR37" s="53"/>
      <c r="MMS37" s="53"/>
      <c r="MMT37" s="53"/>
      <c r="MMU37" s="53"/>
      <c r="MMV37" s="53"/>
      <c r="MMW37" s="53"/>
      <c r="MMX37" s="53"/>
      <c r="MMY37" s="53"/>
      <c r="MMZ37" s="53"/>
      <c r="MNA37" s="53"/>
      <c r="MNB37" s="53"/>
      <c r="MNC37" s="53"/>
      <c r="MND37" s="53"/>
      <c r="MNE37" s="53"/>
      <c r="MNF37" s="53"/>
      <c r="MNG37" s="53"/>
      <c r="MNH37" s="53"/>
      <c r="MNI37" s="53"/>
      <c r="MNJ37" s="53"/>
      <c r="MNK37" s="53"/>
      <c r="MNL37" s="53"/>
      <c r="MNM37" s="53"/>
      <c r="MNN37" s="53"/>
      <c r="MNO37" s="53"/>
      <c r="MNP37" s="53"/>
      <c r="MNQ37" s="53"/>
      <c r="MNR37" s="53"/>
      <c r="MNS37" s="53"/>
      <c r="MNT37" s="53"/>
      <c r="MNU37" s="53"/>
      <c r="MNV37" s="53"/>
      <c r="MNW37" s="53"/>
      <c r="MNX37" s="53"/>
      <c r="MNY37" s="53"/>
      <c r="MNZ37" s="53"/>
      <c r="MOA37" s="53"/>
      <c r="MOB37" s="53"/>
      <c r="MOC37" s="53"/>
      <c r="MOD37" s="53"/>
      <c r="MOE37" s="53"/>
      <c r="MOF37" s="53"/>
      <c r="MOG37" s="53"/>
      <c r="MOH37" s="53"/>
      <c r="MOI37" s="53"/>
      <c r="MOJ37" s="53"/>
      <c r="MOK37" s="53"/>
      <c r="MOL37" s="53"/>
      <c r="MOM37" s="53"/>
      <c r="MON37" s="53"/>
      <c r="MOO37" s="53"/>
      <c r="MOP37" s="53"/>
      <c r="MOQ37" s="53"/>
      <c r="MOR37" s="53"/>
      <c r="MOS37" s="53"/>
      <c r="MOT37" s="53"/>
      <c r="MOU37" s="53"/>
      <c r="MOV37" s="53"/>
      <c r="MOW37" s="53"/>
      <c r="MOX37" s="53"/>
      <c r="MOY37" s="53"/>
      <c r="MOZ37" s="53"/>
      <c r="MPA37" s="53"/>
      <c r="MPB37" s="53"/>
      <c r="MPC37" s="53"/>
      <c r="MPD37" s="53"/>
      <c r="MPE37" s="53"/>
      <c r="MPF37" s="53"/>
      <c r="MPG37" s="53"/>
      <c r="MPH37" s="53"/>
      <c r="MPI37" s="53"/>
      <c r="MPJ37" s="53"/>
      <c r="MPK37" s="53"/>
      <c r="MPL37" s="53"/>
      <c r="MPM37" s="53"/>
      <c r="MPN37" s="53"/>
      <c r="MPO37" s="53"/>
      <c r="MPP37" s="53"/>
      <c r="MPQ37" s="53"/>
      <c r="MPR37" s="53"/>
      <c r="MPS37" s="53"/>
      <c r="MPT37" s="53"/>
      <c r="MPU37" s="53"/>
      <c r="MPV37" s="53"/>
      <c r="MPW37" s="53"/>
      <c r="MPX37" s="53"/>
      <c r="MPY37" s="53"/>
      <c r="MPZ37" s="53"/>
      <c r="MQA37" s="53"/>
      <c r="MQB37" s="53"/>
      <c r="MQC37" s="53"/>
      <c r="MQD37" s="53"/>
      <c r="MQE37" s="53"/>
      <c r="MQF37" s="53"/>
      <c r="MQG37" s="53"/>
      <c r="MQH37" s="53"/>
      <c r="MQI37" s="53"/>
      <c r="MQJ37" s="53"/>
      <c r="MQK37" s="53"/>
      <c r="MQL37" s="53"/>
      <c r="MQM37" s="53"/>
      <c r="MQN37" s="53"/>
      <c r="MQO37" s="53"/>
      <c r="MQP37" s="53"/>
      <c r="MQQ37" s="53"/>
      <c r="MQR37" s="53"/>
      <c r="MQS37" s="53"/>
      <c r="MQT37" s="53"/>
      <c r="MQU37" s="53"/>
      <c r="MQV37" s="53"/>
      <c r="MQW37" s="53"/>
      <c r="MQX37" s="53"/>
      <c r="MQY37" s="53"/>
      <c r="MQZ37" s="53"/>
      <c r="MRA37" s="53"/>
      <c r="MRB37" s="53"/>
      <c r="MRC37" s="53"/>
      <c r="MRD37" s="53"/>
      <c r="MRE37" s="53"/>
      <c r="MRF37" s="53"/>
      <c r="MRG37" s="53"/>
      <c r="MRH37" s="53"/>
      <c r="MRI37" s="53"/>
      <c r="MRJ37" s="53"/>
      <c r="MRK37" s="53"/>
      <c r="MRL37" s="53"/>
      <c r="MRM37" s="53"/>
      <c r="MRN37" s="53"/>
      <c r="MRO37" s="53"/>
      <c r="MRP37" s="53"/>
      <c r="MRQ37" s="53"/>
      <c r="MRR37" s="53"/>
      <c r="MRS37" s="53"/>
      <c r="MRT37" s="53"/>
      <c r="MRU37" s="53"/>
      <c r="MRV37" s="53"/>
      <c r="MRW37" s="53"/>
      <c r="MRX37" s="53"/>
      <c r="MRY37" s="53"/>
      <c r="MRZ37" s="53"/>
      <c r="MSA37" s="53"/>
      <c r="MSB37" s="53"/>
      <c r="MSC37" s="53"/>
      <c r="MSD37" s="53"/>
      <c r="MSE37" s="53"/>
      <c r="MSF37" s="53"/>
      <c r="MSG37" s="53"/>
      <c r="MSH37" s="53"/>
      <c r="MSI37" s="53"/>
      <c r="MSJ37" s="53"/>
      <c r="MSK37" s="53"/>
      <c r="MSL37" s="53"/>
      <c r="MSM37" s="53"/>
      <c r="MSN37" s="53"/>
      <c r="MSO37" s="53"/>
      <c r="MSP37" s="53"/>
      <c r="MSQ37" s="53"/>
      <c r="MSR37" s="53"/>
      <c r="MSS37" s="53"/>
      <c r="MST37" s="53"/>
      <c r="MSU37" s="53"/>
      <c r="MSV37" s="53"/>
      <c r="MSW37" s="53"/>
      <c r="MSX37" s="53"/>
      <c r="MSY37" s="53"/>
      <c r="MSZ37" s="53"/>
      <c r="MTA37" s="53"/>
      <c r="MTB37" s="53"/>
      <c r="MTC37" s="53"/>
      <c r="MTD37" s="53"/>
      <c r="MTE37" s="53"/>
      <c r="MTF37" s="53"/>
      <c r="MTG37" s="53"/>
      <c r="MTH37" s="53"/>
      <c r="MTI37" s="53"/>
      <c r="MTJ37" s="53"/>
      <c r="MTK37" s="53"/>
      <c r="MTL37" s="53"/>
      <c r="MTM37" s="53"/>
      <c r="MTN37" s="53"/>
      <c r="MTO37" s="53"/>
      <c r="MTP37" s="53"/>
      <c r="MTQ37" s="53"/>
      <c r="MTR37" s="53"/>
      <c r="MTS37" s="53"/>
      <c r="MTT37" s="53"/>
      <c r="MTU37" s="53"/>
      <c r="MTV37" s="53"/>
      <c r="MTW37" s="53"/>
      <c r="MTX37" s="53"/>
      <c r="MTY37" s="53"/>
      <c r="MTZ37" s="53"/>
      <c r="MUA37" s="53"/>
      <c r="MUB37" s="53"/>
      <c r="MUC37" s="53"/>
      <c r="MUD37" s="53"/>
      <c r="MUE37" s="53"/>
      <c r="MUF37" s="53"/>
      <c r="MUG37" s="53"/>
      <c r="MUH37" s="53"/>
      <c r="MUI37" s="53"/>
      <c r="MUJ37" s="53"/>
      <c r="MUK37" s="53"/>
      <c r="MUL37" s="53"/>
      <c r="MUM37" s="53"/>
      <c r="MUN37" s="53"/>
      <c r="MUO37" s="53"/>
      <c r="MUP37" s="53"/>
      <c r="MUQ37" s="53"/>
      <c r="MUR37" s="53"/>
      <c r="MUS37" s="53"/>
      <c r="MUT37" s="53"/>
      <c r="MUU37" s="53"/>
      <c r="MUV37" s="53"/>
      <c r="MUW37" s="53"/>
      <c r="MUX37" s="53"/>
      <c r="MUY37" s="53"/>
      <c r="MUZ37" s="53"/>
      <c r="MVA37" s="53"/>
      <c r="MVB37" s="53"/>
      <c r="MVC37" s="53"/>
      <c r="MVD37" s="53"/>
      <c r="MVE37" s="53"/>
      <c r="MVF37" s="53"/>
      <c r="MVG37" s="53"/>
      <c r="MVH37" s="53"/>
      <c r="MVI37" s="53"/>
      <c r="MVJ37" s="53"/>
      <c r="MVK37" s="53"/>
      <c r="MVL37" s="53"/>
      <c r="MVM37" s="53"/>
      <c r="MVN37" s="53"/>
      <c r="MVO37" s="53"/>
      <c r="MVP37" s="53"/>
      <c r="MVQ37" s="53"/>
      <c r="MVR37" s="53"/>
      <c r="MVS37" s="53"/>
      <c r="MVT37" s="53"/>
      <c r="MVU37" s="53"/>
      <c r="MVV37" s="53"/>
      <c r="MVW37" s="53"/>
      <c r="MVX37" s="53"/>
      <c r="MVY37" s="53"/>
      <c r="MVZ37" s="53"/>
      <c r="MWA37" s="53"/>
      <c r="MWB37" s="53"/>
      <c r="MWC37" s="53"/>
      <c r="MWD37" s="53"/>
      <c r="MWE37" s="53"/>
      <c r="MWF37" s="53"/>
      <c r="MWG37" s="53"/>
      <c r="MWH37" s="53"/>
      <c r="MWI37" s="53"/>
      <c r="MWJ37" s="53"/>
      <c r="MWK37" s="53"/>
      <c r="MWL37" s="53"/>
      <c r="MWM37" s="53"/>
      <c r="MWN37" s="53"/>
      <c r="MWO37" s="53"/>
      <c r="MWP37" s="53"/>
      <c r="MWQ37" s="53"/>
      <c r="MWR37" s="53"/>
      <c r="MWS37" s="53"/>
      <c r="MWT37" s="53"/>
      <c r="MWU37" s="53"/>
      <c r="MWV37" s="53"/>
      <c r="MWW37" s="53"/>
      <c r="MWX37" s="53"/>
      <c r="MWY37" s="53"/>
      <c r="MWZ37" s="53"/>
      <c r="MXA37" s="53"/>
      <c r="MXB37" s="53"/>
      <c r="MXC37" s="53"/>
      <c r="MXD37" s="53"/>
      <c r="MXE37" s="53"/>
      <c r="MXF37" s="53"/>
      <c r="MXG37" s="53"/>
      <c r="MXH37" s="53"/>
      <c r="MXI37" s="53"/>
      <c r="MXJ37" s="53"/>
      <c r="MXK37" s="53"/>
      <c r="MXL37" s="53"/>
      <c r="MXM37" s="53"/>
      <c r="MXN37" s="53"/>
      <c r="MXO37" s="53"/>
      <c r="MXP37" s="53"/>
      <c r="MXQ37" s="53"/>
      <c r="MXR37" s="53"/>
      <c r="MXS37" s="53"/>
      <c r="MXT37" s="53"/>
      <c r="MXU37" s="53"/>
      <c r="MXV37" s="53"/>
      <c r="MXW37" s="53"/>
      <c r="MXX37" s="53"/>
      <c r="MXY37" s="53"/>
      <c r="MXZ37" s="53"/>
      <c r="MYA37" s="53"/>
      <c r="MYB37" s="53"/>
      <c r="MYC37" s="53"/>
      <c r="MYD37" s="53"/>
      <c r="MYE37" s="53"/>
      <c r="MYF37" s="53"/>
      <c r="MYG37" s="53"/>
      <c r="MYH37" s="53"/>
      <c r="MYI37" s="53"/>
      <c r="MYJ37" s="53"/>
      <c r="MYK37" s="53"/>
      <c r="MYL37" s="53"/>
      <c r="MYM37" s="53"/>
      <c r="MYN37" s="53"/>
      <c r="MYO37" s="53"/>
      <c r="MYP37" s="53"/>
      <c r="MYQ37" s="53"/>
      <c r="MYR37" s="53"/>
      <c r="MYS37" s="53"/>
      <c r="MYT37" s="53"/>
      <c r="MYU37" s="53"/>
      <c r="MYV37" s="53"/>
      <c r="MYW37" s="53"/>
      <c r="MYX37" s="53"/>
      <c r="MYY37" s="53"/>
      <c r="MYZ37" s="53"/>
      <c r="MZA37" s="53"/>
      <c r="MZB37" s="53"/>
      <c r="MZC37" s="53"/>
      <c r="MZD37" s="53"/>
      <c r="MZE37" s="53"/>
      <c r="MZF37" s="53"/>
      <c r="MZG37" s="53"/>
      <c r="MZH37" s="53"/>
      <c r="MZI37" s="53"/>
      <c r="MZJ37" s="53"/>
      <c r="MZK37" s="53"/>
      <c r="MZL37" s="53"/>
      <c r="MZM37" s="53"/>
      <c r="MZN37" s="53"/>
      <c r="MZO37" s="53"/>
      <c r="MZP37" s="53"/>
      <c r="MZQ37" s="53"/>
      <c r="MZR37" s="53"/>
      <c r="MZS37" s="53"/>
      <c r="MZT37" s="53"/>
      <c r="MZU37" s="53"/>
      <c r="MZV37" s="53"/>
      <c r="MZW37" s="53"/>
      <c r="MZX37" s="53"/>
      <c r="MZY37" s="53"/>
      <c r="MZZ37" s="53"/>
      <c r="NAA37" s="53"/>
      <c r="NAB37" s="53"/>
      <c r="NAC37" s="53"/>
      <c r="NAD37" s="53"/>
      <c r="NAE37" s="53"/>
      <c r="NAF37" s="53"/>
      <c r="NAG37" s="53"/>
      <c r="NAH37" s="53"/>
      <c r="NAI37" s="53"/>
      <c r="NAJ37" s="53"/>
      <c r="NAK37" s="53"/>
      <c r="NAL37" s="53"/>
      <c r="NAM37" s="53"/>
      <c r="NAN37" s="53"/>
      <c r="NAO37" s="53"/>
      <c r="NAP37" s="53"/>
      <c r="NAQ37" s="53"/>
      <c r="NAR37" s="53"/>
      <c r="NAS37" s="53"/>
      <c r="NAT37" s="53"/>
      <c r="NAU37" s="53"/>
      <c r="NAV37" s="53"/>
      <c r="NAW37" s="53"/>
      <c r="NAX37" s="53"/>
      <c r="NAY37" s="53"/>
      <c r="NAZ37" s="53"/>
      <c r="NBA37" s="53"/>
      <c r="NBB37" s="53"/>
      <c r="NBC37" s="53"/>
      <c r="NBD37" s="53"/>
      <c r="NBE37" s="53"/>
      <c r="NBF37" s="53"/>
      <c r="NBG37" s="53"/>
      <c r="NBH37" s="53"/>
      <c r="NBI37" s="53"/>
      <c r="NBJ37" s="53"/>
      <c r="NBK37" s="53"/>
      <c r="NBL37" s="53"/>
      <c r="NBM37" s="53"/>
      <c r="NBN37" s="53"/>
      <c r="NBO37" s="53"/>
      <c r="NBP37" s="53"/>
      <c r="NBQ37" s="53"/>
      <c r="NBR37" s="53"/>
      <c r="NBS37" s="53"/>
      <c r="NBT37" s="53"/>
      <c r="NBU37" s="53"/>
      <c r="NBV37" s="53"/>
      <c r="NBW37" s="53"/>
      <c r="NBX37" s="53"/>
      <c r="NBY37" s="53"/>
      <c r="NBZ37" s="53"/>
      <c r="NCA37" s="53"/>
      <c r="NCB37" s="53"/>
      <c r="NCC37" s="53"/>
      <c r="NCD37" s="53"/>
      <c r="NCE37" s="53"/>
      <c r="NCF37" s="53"/>
      <c r="NCG37" s="53"/>
      <c r="NCH37" s="53"/>
      <c r="NCI37" s="53"/>
      <c r="NCJ37" s="53"/>
      <c r="NCK37" s="53"/>
      <c r="NCL37" s="53"/>
      <c r="NCM37" s="53"/>
      <c r="NCN37" s="53"/>
      <c r="NCO37" s="53"/>
      <c r="NCP37" s="53"/>
      <c r="NCQ37" s="53"/>
      <c r="NCR37" s="53"/>
      <c r="NCS37" s="53"/>
      <c r="NCT37" s="53"/>
      <c r="NCU37" s="53"/>
      <c r="NCV37" s="53"/>
      <c r="NCW37" s="53"/>
      <c r="NCX37" s="53"/>
      <c r="NCY37" s="53"/>
      <c r="NCZ37" s="53"/>
      <c r="NDA37" s="53"/>
      <c r="NDB37" s="53"/>
      <c r="NDC37" s="53"/>
      <c r="NDD37" s="53"/>
      <c r="NDE37" s="53"/>
      <c r="NDF37" s="53"/>
      <c r="NDG37" s="53"/>
      <c r="NDH37" s="53"/>
      <c r="NDI37" s="53"/>
      <c r="NDJ37" s="53"/>
      <c r="NDK37" s="53"/>
      <c r="NDL37" s="53"/>
      <c r="NDM37" s="53"/>
      <c r="NDN37" s="53"/>
      <c r="NDO37" s="53"/>
      <c r="NDP37" s="53"/>
      <c r="NDQ37" s="53"/>
      <c r="NDR37" s="53"/>
      <c r="NDS37" s="53"/>
      <c r="NDT37" s="53"/>
      <c r="NDU37" s="53"/>
      <c r="NDV37" s="53"/>
      <c r="NDW37" s="53"/>
      <c r="NDX37" s="53"/>
      <c r="NDY37" s="53"/>
      <c r="NDZ37" s="53"/>
      <c r="NEA37" s="53"/>
      <c r="NEB37" s="53"/>
      <c r="NEC37" s="53"/>
      <c r="NED37" s="53"/>
      <c r="NEE37" s="53"/>
      <c r="NEF37" s="53"/>
      <c r="NEG37" s="53"/>
      <c r="NEH37" s="53"/>
      <c r="NEI37" s="53"/>
      <c r="NEJ37" s="53"/>
      <c r="NEK37" s="53"/>
      <c r="NEL37" s="53"/>
      <c r="NEM37" s="53"/>
      <c r="NEN37" s="53"/>
      <c r="NEO37" s="53"/>
      <c r="NEP37" s="53"/>
      <c r="NEQ37" s="53"/>
      <c r="NER37" s="53"/>
      <c r="NES37" s="53"/>
      <c r="NET37" s="53"/>
      <c r="NEU37" s="53"/>
      <c r="NEV37" s="53"/>
      <c r="NEW37" s="53"/>
      <c r="NEX37" s="53"/>
      <c r="NEY37" s="53"/>
      <c r="NEZ37" s="53"/>
      <c r="NFA37" s="53"/>
      <c r="NFB37" s="53"/>
      <c r="NFC37" s="53"/>
      <c r="NFD37" s="53"/>
      <c r="NFE37" s="53"/>
      <c r="NFF37" s="53"/>
      <c r="NFG37" s="53"/>
      <c r="NFH37" s="53"/>
      <c r="NFI37" s="53"/>
      <c r="NFJ37" s="53"/>
      <c r="NFK37" s="53"/>
      <c r="NFL37" s="53"/>
      <c r="NFM37" s="53"/>
      <c r="NFN37" s="53"/>
      <c r="NFO37" s="53"/>
      <c r="NFP37" s="53"/>
      <c r="NFQ37" s="53"/>
      <c r="NFR37" s="53"/>
      <c r="NFS37" s="53"/>
      <c r="NFT37" s="53"/>
      <c r="NFU37" s="53"/>
      <c r="NFV37" s="53"/>
      <c r="NFW37" s="53"/>
      <c r="NFX37" s="53"/>
      <c r="NFY37" s="53"/>
      <c r="NFZ37" s="53"/>
      <c r="NGA37" s="53"/>
      <c r="NGB37" s="53"/>
      <c r="NGC37" s="53"/>
      <c r="NGD37" s="53"/>
      <c r="NGE37" s="53"/>
      <c r="NGF37" s="53"/>
      <c r="NGG37" s="53"/>
      <c r="NGH37" s="53"/>
      <c r="NGI37" s="53"/>
      <c r="NGJ37" s="53"/>
      <c r="NGK37" s="53"/>
      <c r="NGL37" s="53"/>
      <c r="NGM37" s="53"/>
      <c r="NGN37" s="53"/>
      <c r="NGO37" s="53"/>
      <c r="NGP37" s="53"/>
      <c r="NGQ37" s="53"/>
      <c r="NGR37" s="53"/>
      <c r="NGS37" s="53"/>
      <c r="NGT37" s="53"/>
      <c r="NGU37" s="53"/>
      <c r="NGV37" s="53"/>
      <c r="NGW37" s="53"/>
      <c r="NGX37" s="53"/>
      <c r="NGY37" s="53"/>
      <c r="NGZ37" s="53"/>
      <c r="NHA37" s="53"/>
      <c r="NHB37" s="53"/>
      <c r="NHC37" s="53"/>
      <c r="NHD37" s="53"/>
      <c r="NHE37" s="53"/>
      <c r="NHF37" s="53"/>
      <c r="NHG37" s="53"/>
      <c r="NHH37" s="53"/>
      <c r="NHI37" s="53"/>
      <c r="NHJ37" s="53"/>
      <c r="NHK37" s="53"/>
      <c r="NHL37" s="53"/>
      <c r="NHM37" s="53"/>
      <c r="NHN37" s="53"/>
      <c r="NHO37" s="53"/>
      <c r="NHP37" s="53"/>
      <c r="NHQ37" s="53"/>
      <c r="NHR37" s="53"/>
      <c r="NHS37" s="53"/>
      <c r="NHT37" s="53"/>
      <c r="NHU37" s="53"/>
      <c r="NHV37" s="53"/>
      <c r="NHW37" s="53"/>
      <c r="NHX37" s="53"/>
      <c r="NHY37" s="53"/>
      <c r="NHZ37" s="53"/>
      <c r="NIA37" s="53"/>
      <c r="NIB37" s="53"/>
      <c r="NIC37" s="53"/>
      <c r="NID37" s="53"/>
      <c r="NIE37" s="53"/>
      <c r="NIF37" s="53"/>
      <c r="NIG37" s="53"/>
      <c r="NIH37" s="53"/>
      <c r="NII37" s="53"/>
      <c r="NIJ37" s="53"/>
      <c r="NIK37" s="53"/>
      <c r="NIL37" s="53"/>
      <c r="NIM37" s="53"/>
      <c r="NIN37" s="53"/>
      <c r="NIO37" s="53"/>
      <c r="NIP37" s="53"/>
      <c r="NIQ37" s="53"/>
      <c r="NIR37" s="53"/>
      <c r="NIS37" s="53"/>
      <c r="NIT37" s="53"/>
      <c r="NIU37" s="53"/>
      <c r="NIV37" s="53"/>
      <c r="NIW37" s="53"/>
      <c r="NIX37" s="53"/>
      <c r="NIY37" s="53"/>
      <c r="NIZ37" s="53"/>
      <c r="NJA37" s="53"/>
      <c r="NJB37" s="53"/>
      <c r="NJC37" s="53"/>
      <c r="NJD37" s="53"/>
      <c r="NJE37" s="53"/>
      <c r="NJF37" s="53"/>
      <c r="NJG37" s="53"/>
      <c r="NJH37" s="53"/>
      <c r="NJI37" s="53"/>
      <c r="NJJ37" s="53"/>
      <c r="NJK37" s="53"/>
      <c r="NJL37" s="53"/>
      <c r="NJM37" s="53"/>
      <c r="NJN37" s="53"/>
      <c r="NJO37" s="53"/>
      <c r="NJP37" s="53"/>
      <c r="NJQ37" s="53"/>
      <c r="NJR37" s="53"/>
      <c r="NJS37" s="53"/>
      <c r="NJT37" s="53"/>
      <c r="NJU37" s="53"/>
      <c r="NJV37" s="53"/>
      <c r="NJW37" s="53"/>
      <c r="NJX37" s="53"/>
      <c r="NJY37" s="53"/>
      <c r="NJZ37" s="53"/>
      <c r="NKA37" s="53"/>
      <c r="NKB37" s="53"/>
      <c r="NKC37" s="53"/>
      <c r="NKD37" s="53"/>
      <c r="NKE37" s="53"/>
      <c r="NKF37" s="53"/>
      <c r="NKG37" s="53"/>
      <c r="NKH37" s="53"/>
      <c r="NKI37" s="53"/>
      <c r="NKJ37" s="53"/>
      <c r="NKK37" s="53"/>
      <c r="NKL37" s="53"/>
      <c r="NKM37" s="53"/>
      <c r="NKN37" s="53"/>
      <c r="NKO37" s="53"/>
      <c r="NKP37" s="53"/>
      <c r="NKQ37" s="53"/>
      <c r="NKR37" s="53"/>
      <c r="NKS37" s="53"/>
      <c r="NKT37" s="53"/>
      <c r="NKU37" s="53"/>
      <c r="NKV37" s="53"/>
      <c r="NKW37" s="53"/>
      <c r="NKX37" s="53"/>
      <c r="NKY37" s="53"/>
      <c r="NKZ37" s="53"/>
      <c r="NLA37" s="53"/>
      <c r="NLB37" s="53"/>
      <c r="NLC37" s="53"/>
      <c r="NLD37" s="53"/>
      <c r="NLE37" s="53"/>
      <c r="NLF37" s="53"/>
      <c r="NLG37" s="53"/>
      <c r="NLH37" s="53"/>
      <c r="NLI37" s="53"/>
      <c r="NLJ37" s="53"/>
      <c r="NLK37" s="53"/>
      <c r="NLL37" s="53"/>
      <c r="NLM37" s="53"/>
      <c r="NLN37" s="53"/>
      <c r="NLO37" s="53"/>
      <c r="NLP37" s="53"/>
      <c r="NLQ37" s="53"/>
      <c r="NLR37" s="53"/>
      <c r="NLS37" s="53"/>
      <c r="NLT37" s="53"/>
      <c r="NLU37" s="53"/>
      <c r="NLV37" s="53"/>
      <c r="NLW37" s="53"/>
      <c r="NLX37" s="53"/>
      <c r="NLY37" s="53"/>
      <c r="NLZ37" s="53"/>
      <c r="NMA37" s="53"/>
      <c r="NMB37" s="53"/>
      <c r="NMC37" s="53"/>
      <c r="NMD37" s="53"/>
      <c r="NME37" s="53"/>
      <c r="NMF37" s="53"/>
      <c r="NMG37" s="53"/>
      <c r="NMH37" s="53"/>
      <c r="NMI37" s="53"/>
      <c r="NMJ37" s="53"/>
      <c r="NMK37" s="53"/>
      <c r="NML37" s="53"/>
      <c r="NMM37" s="53"/>
      <c r="NMN37" s="53"/>
      <c r="NMO37" s="53"/>
      <c r="NMP37" s="53"/>
      <c r="NMQ37" s="53"/>
      <c r="NMR37" s="53"/>
      <c r="NMS37" s="53"/>
      <c r="NMT37" s="53"/>
      <c r="NMU37" s="53"/>
      <c r="NMV37" s="53"/>
      <c r="NMW37" s="53"/>
      <c r="NMX37" s="53"/>
      <c r="NMY37" s="53"/>
      <c r="NMZ37" s="53"/>
      <c r="NNA37" s="53"/>
      <c r="NNB37" s="53"/>
      <c r="NNC37" s="53"/>
      <c r="NND37" s="53"/>
      <c r="NNE37" s="53"/>
      <c r="NNF37" s="53"/>
      <c r="NNG37" s="53"/>
      <c r="NNH37" s="53"/>
      <c r="NNI37" s="53"/>
      <c r="NNJ37" s="53"/>
      <c r="NNK37" s="53"/>
      <c r="NNL37" s="53"/>
      <c r="NNM37" s="53"/>
      <c r="NNN37" s="53"/>
      <c r="NNO37" s="53"/>
      <c r="NNP37" s="53"/>
      <c r="NNQ37" s="53"/>
      <c r="NNR37" s="53"/>
      <c r="NNS37" s="53"/>
      <c r="NNT37" s="53"/>
      <c r="NNU37" s="53"/>
      <c r="NNV37" s="53"/>
      <c r="NNW37" s="53"/>
      <c r="NNX37" s="53"/>
      <c r="NNY37" s="53"/>
      <c r="NNZ37" s="53"/>
      <c r="NOA37" s="53"/>
      <c r="NOB37" s="53"/>
      <c r="NOC37" s="53"/>
      <c r="NOD37" s="53"/>
      <c r="NOE37" s="53"/>
      <c r="NOF37" s="53"/>
      <c r="NOG37" s="53"/>
      <c r="NOH37" s="53"/>
      <c r="NOI37" s="53"/>
      <c r="NOJ37" s="53"/>
      <c r="NOK37" s="53"/>
      <c r="NOL37" s="53"/>
      <c r="NOM37" s="53"/>
      <c r="NON37" s="53"/>
      <c r="NOO37" s="53"/>
      <c r="NOP37" s="53"/>
      <c r="NOQ37" s="53"/>
      <c r="NOR37" s="53"/>
      <c r="NOS37" s="53"/>
      <c r="NOT37" s="53"/>
      <c r="NOU37" s="53"/>
      <c r="NOV37" s="53"/>
      <c r="NOW37" s="53"/>
      <c r="NOX37" s="53"/>
      <c r="NOY37" s="53"/>
      <c r="NOZ37" s="53"/>
      <c r="NPA37" s="53"/>
      <c r="NPB37" s="53"/>
      <c r="NPC37" s="53"/>
      <c r="NPD37" s="53"/>
      <c r="NPE37" s="53"/>
      <c r="NPF37" s="53"/>
      <c r="NPG37" s="53"/>
      <c r="NPH37" s="53"/>
      <c r="NPI37" s="53"/>
      <c r="NPJ37" s="53"/>
      <c r="NPK37" s="53"/>
      <c r="NPL37" s="53"/>
      <c r="NPM37" s="53"/>
      <c r="NPN37" s="53"/>
      <c r="NPO37" s="53"/>
      <c r="NPP37" s="53"/>
      <c r="NPQ37" s="53"/>
      <c r="NPR37" s="53"/>
      <c r="NPS37" s="53"/>
      <c r="NPT37" s="53"/>
      <c r="NPU37" s="53"/>
      <c r="NPV37" s="53"/>
      <c r="NPW37" s="53"/>
      <c r="NPX37" s="53"/>
      <c r="NPY37" s="53"/>
      <c r="NPZ37" s="53"/>
      <c r="NQA37" s="53"/>
      <c r="NQB37" s="53"/>
      <c r="NQC37" s="53"/>
      <c r="NQD37" s="53"/>
      <c r="NQE37" s="53"/>
      <c r="NQF37" s="53"/>
      <c r="NQG37" s="53"/>
      <c r="NQH37" s="53"/>
      <c r="NQI37" s="53"/>
      <c r="NQJ37" s="53"/>
      <c r="NQK37" s="53"/>
      <c r="NQL37" s="53"/>
      <c r="NQM37" s="53"/>
      <c r="NQN37" s="53"/>
      <c r="NQO37" s="53"/>
      <c r="NQP37" s="53"/>
      <c r="NQQ37" s="53"/>
      <c r="NQR37" s="53"/>
      <c r="NQS37" s="53"/>
      <c r="NQT37" s="53"/>
      <c r="NQU37" s="53"/>
      <c r="NQV37" s="53"/>
      <c r="NQW37" s="53"/>
      <c r="NQX37" s="53"/>
      <c r="NQY37" s="53"/>
      <c r="NQZ37" s="53"/>
      <c r="NRA37" s="53"/>
      <c r="NRB37" s="53"/>
      <c r="NRC37" s="53"/>
      <c r="NRD37" s="53"/>
      <c r="NRE37" s="53"/>
      <c r="NRF37" s="53"/>
      <c r="NRG37" s="53"/>
      <c r="NRH37" s="53"/>
      <c r="NRI37" s="53"/>
      <c r="NRJ37" s="53"/>
      <c r="NRK37" s="53"/>
      <c r="NRL37" s="53"/>
      <c r="NRM37" s="53"/>
      <c r="NRN37" s="53"/>
      <c r="NRO37" s="53"/>
      <c r="NRP37" s="53"/>
      <c r="NRQ37" s="53"/>
      <c r="NRR37" s="53"/>
      <c r="NRS37" s="53"/>
      <c r="NRT37" s="53"/>
      <c r="NRU37" s="53"/>
      <c r="NRV37" s="53"/>
      <c r="NRW37" s="53"/>
      <c r="NRX37" s="53"/>
      <c r="NRY37" s="53"/>
      <c r="NRZ37" s="53"/>
      <c r="NSA37" s="53"/>
      <c r="NSB37" s="53"/>
      <c r="NSC37" s="53"/>
      <c r="NSD37" s="53"/>
      <c r="NSE37" s="53"/>
      <c r="NSF37" s="53"/>
      <c r="NSG37" s="53"/>
      <c r="NSH37" s="53"/>
      <c r="NSI37" s="53"/>
      <c r="NSJ37" s="53"/>
      <c r="NSK37" s="53"/>
      <c r="NSL37" s="53"/>
      <c r="NSM37" s="53"/>
      <c r="NSN37" s="53"/>
      <c r="NSO37" s="53"/>
      <c r="NSP37" s="53"/>
      <c r="NSQ37" s="53"/>
      <c r="NSR37" s="53"/>
      <c r="NSS37" s="53"/>
      <c r="NST37" s="53"/>
      <c r="NSU37" s="53"/>
      <c r="NSV37" s="53"/>
      <c r="NSW37" s="53"/>
      <c r="NSX37" s="53"/>
      <c r="NSY37" s="53"/>
      <c r="NSZ37" s="53"/>
      <c r="NTA37" s="53"/>
      <c r="NTB37" s="53"/>
      <c r="NTC37" s="53"/>
      <c r="NTD37" s="53"/>
      <c r="NTE37" s="53"/>
      <c r="NTF37" s="53"/>
      <c r="NTG37" s="53"/>
      <c r="NTH37" s="53"/>
      <c r="NTI37" s="53"/>
      <c r="NTJ37" s="53"/>
      <c r="NTK37" s="53"/>
      <c r="NTL37" s="53"/>
      <c r="NTM37" s="53"/>
      <c r="NTN37" s="53"/>
      <c r="NTO37" s="53"/>
      <c r="NTP37" s="53"/>
      <c r="NTQ37" s="53"/>
      <c r="NTR37" s="53"/>
      <c r="NTS37" s="53"/>
      <c r="NTT37" s="53"/>
      <c r="NTU37" s="53"/>
      <c r="NTV37" s="53"/>
      <c r="NTW37" s="53"/>
      <c r="NTX37" s="53"/>
      <c r="NTY37" s="53"/>
      <c r="NTZ37" s="53"/>
      <c r="NUA37" s="53"/>
      <c r="NUB37" s="53"/>
      <c r="NUC37" s="53"/>
      <c r="NUD37" s="53"/>
      <c r="NUE37" s="53"/>
      <c r="NUF37" s="53"/>
      <c r="NUG37" s="53"/>
      <c r="NUH37" s="53"/>
      <c r="NUI37" s="53"/>
      <c r="NUJ37" s="53"/>
      <c r="NUK37" s="53"/>
      <c r="NUL37" s="53"/>
      <c r="NUM37" s="53"/>
      <c r="NUN37" s="53"/>
      <c r="NUO37" s="53"/>
      <c r="NUP37" s="53"/>
      <c r="NUQ37" s="53"/>
      <c r="NUR37" s="53"/>
      <c r="NUS37" s="53"/>
      <c r="NUT37" s="53"/>
      <c r="NUU37" s="53"/>
      <c r="NUV37" s="53"/>
      <c r="NUW37" s="53"/>
      <c r="NUX37" s="53"/>
      <c r="NUY37" s="53"/>
      <c r="NUZ37" s="53"/>
      <c r="NVA37" s="53"/>
      <c r="NVB37" s="53"/>
      <c r="NVC37" s="53"/>
      <c r="NVD37" s="53"/>
      <c r="NVE37" s="53"/>
      <c r="NVF37" s="53"/>
      <c r="NVG37" s="53"/>
      <c r="NVH37" s="53"/>
      <c r="NVI37" s="53"/>
      <c r="NVJ37" s="53"/>
      <c r="NVK37" s="53"/>
      <c r="NVL37" s="53"/>
      <c r="NVM37" s="53"/>
      <c r="NVN37" s="53"/>
      <c r="NVO37" s="53"/>
      <c r="NVP37" s="53"/>
      <c r="NVQ37" s="53"/>
      <c r="NVR37" s="53"/>
      <c r="NVS37" s="53"/>
      <c r="NVT37" s="53"/>
      <c r="NVU37" s="53"/>
      <c r="NVV37" s="53"/>
      <c r="NVW37" s="53"/>
      <c r="NVX37" s="53"/>
      <c r="NVY37" s="53"/>
      <c r="NVZ37" s="53"/>
      <c r="NWA37" s="53"/>
      <c r="NWB37" s="53"/>
      <c r="NWC37" s="53"/>
      <c r="NWD37" s="53"/>
      <c r="NWE37" s="53"/>
      <c r="NWF37" s="53"/>
      <c r="NWG37" s="53"/>
      <c r="NWH37" s="53"/>
      <c r="NWI37" s="53"/>
      <c r="NWJ37" s="53"/>
      <c r="NWK37" s="53"/>
      <c r="NWL37" s="53"/>
      <c r="NWM37" s="53"/>
      <c r="NWN37" s="53"/>
      <c r="NWO37" s="53"/>
      <c r="NWP37" s="53"/>
      <c r="NWQ37" s="53"/>
      <c r="NWR37" s="53"/>
      <c r="NWS37" s="53"/>
      <c r="NWT37" s="53"/>
      <c r="NWU37" s="53"/>
      <c r="NWV37" s="53"/>
      <c r="NWW37" s="53"/>
      <c r="NWX37" s="53"/>
      <c r="NWY37" s="53"/>
      <c r="NWZ37" s="53"/>
      <c r="NXA37" s="53"/>
      <c r="NXB37" s="53"/>
      <c r="NXC37" s="53"/>
      <c r="NXD37" s="53"/>
      <c r="NXE37" s="53"/>
      <c r="NXF37" s="53"/>
      <c r="NXG37" s="53"/>
      <c r="NXH37" s="53"/>
      <c r="NXI37" s="53"/>
      <c r="NXJ37" s="53"/>
      <c r="NXK37" s="53"/>
      <c r="NXL37" s="53"/>
      <c r="NXM37" s="53"/>
      <c r="NXN37" s="53"/>
      <c r="NXO37" s="53"/>
      <c r="NXP37" s="53"/>
      <c r="NXQ37" s="53"/>
      <c r="NXR37" s="53"/>
      <c r="NXS37" s="53"/>
      <c r="NXT37" s="53"/>
      <c r="NXU37" s="53"/>
      <c r="NXV37" s="53"/>
      <c r="NXW37" s="53"/>
      <c r="NXX37" s="53"/>
      <c r="NXY37" s="53"/>
      <c r="NXZ37" s="53"/>
      <c r="NYA37" s="53"/>
      <c r="NYB37" s="53"/>
      <c r="NYC37" s="53"/>
      <c r="NYD37" s="53"/>
      <c r="NYE37" s="53"/>
      <c r="NYF37" s="53"/>
      <c r="NYG37" s="53"/>
      <c r="NYH37" s="53"/>
      <c r="NYI37" s="53"/>
      <c r="NYJ37" s="53"/>
      <c r="NYK37" s="53"/>
      <c r="NYL37" s="53"/>
      <c r="NYM37" s="53"/>
      <c r="NYN37" s="53"/>
      <c r="NYO37" s="53"/>
      <c r="NYP37" s="53"/>
      <c r="NYQ37" s="53"/>
      <c r="NYR37" s="53"/>
      <c r="NYS37" s="53"/>
      <c r="NYT37" s="53"/>
      <c r="NYU37" s="53"/>
      <c r="NYV37" s="53"/>
      <c r="NYW37" s="53"/>
      <c r="NYX37" s="53"/>
      <c r="NYY37" s="53"/>
      <c r="NYZ37" s="53"/>
      <c r="NZA37" s="53"/>
      <c r="NZB37" s="53"/>
      <c r="NZC37" s="53"/>
      <c r="NZD37" s="53"/>
      <c r="NZE37" s="53"/>
      <c r="NZF37" s="53"/>
      <c r="NZG37" s="53"/>
      <c r="NZH37" s="53"/>
      <c r="NZI37" s="53"/>
      <c r="NZJ37" s="53"/>
      <c r="NZK37" s="53"/>
      <c r="NZL37" s="53"/>
      <c r="NZM37" s="53"/>
      <c r="NZN37" s="53"/>
      <c r="NZO37" s="53"/>
      <c r="NZP37" s="53"/>
      <c r="NZQ37" s="53"/>
      <c r="NZR37" s="53"/>
      <c r="NZS37" s="53"/>
      <c r="NZT37" s="53"/>
      <c r="NZU37" s="53"/>
      <c r="NZV37" s="53"/>
      <c r="NZW37" s="53"/>
      <c r="NZX37" s="53"/>
      <c r="NZY37" s="53"/>
      <c r="NZZ37" s="53"/>
      <c r="OAA37" s="53"/>
      <c r="OAB37" s="53"/>
      <c r="OAC37" s="53"/>
      <c r="OAD37" s="53"/>
      <c r="OAE37" s="53"/>
      <c r="OAF37" s="53"/>
      <c r="OAG37" s="53"/>
      <c r="OAH37" s="53"/>
      <c r="OAI37" s="53"/>
      <c r="OAJ37" s="53"/>
      <c r="OAK37" s="53"/>
      <c r="OAL37" s="53"/>
      <c r="OAM37" s="53"/>
      <c r="OAN37" s="53"/>
      <c r="OAO37" s="53"/>
      <c r="OAP37" s="53"/>
      <c r="OAQ37" s="53"/>
      <c r="OAR37" s="53"/>
      <c r="OAS37" s="53"/>
      <c r="OAT37" s="53"/>
      <c r="OAU37" s="53"/>
      <c r="OAV37" s="53"/>
      <c r="OAW37" s="53"/>
      <c r="OAX37" s="53"/>
      <c r="OAY37" s="53"/>
      <c r="OAZ37" s="53"/>
      <c r="OBA37" s="53"/>
      <c r="OBB37" s="53"/>
      <c r="OBC37" s="53"/>
      <c r="OBD37" s="53"/>
      <c r="OBE37" s="53"/>
      <c r="OBF37" s="53"/>
      <c r="OBG37" s="53"/>
      <c r="OBH37" s="53"/>
      <c r="OBI37" s="53"/>
      <c r="OBJ37" s="53"/>
      <c r="OBK37" s="53"/>
      <c r="OBL37" s="53"/>
      <c r="OBM37" s="53"/>
      <c r="OBN37" s="53"/>
      <c r="OBO37" s="53"/>
      <c r="OBP37" s="53"/>
      <c r="OBQ37" s="53"/>
      <c r="OBR37" s="53"/>
      <c r="OBS37" s="53"/>
      <c r="OBT37" s="53"/>
      <c r="OBU37" s="53"/>
      <c r="OBV37" s="53"/>
      <c r="OBW37" s="53"/>
      <c r="OBX37" s="53"/>
      <c r="OBY37" s="53"/>
      <c r="OBZ37" s="53"/>
      <c r="OCA37" s="53"/>
      <c r="OCB37" s="53"/>
      <c r="OCC37" s="53"/>
      <c r="OCD37" s="53"/>
      <c r="OCE37" s="53"/>
      <c r="OCF37" s="53"/>
      <c r="OCG37" s="53"/>
      <c r="OCH37" s="53"/>
      <c r="OCI37" s="53"/>
      <c r="OCJ37" s="53"/>
      <c r="OCK37" s="53"/>
      <c r="OCL37" s="53"/>
      <c r="OCM37" s="53"/>
      <c r="OCN37" s="53"/>
      <c r="OCO37" s="53"/>
      <c r="OCP37" s="53"/>
      <c r="OCQ37" s="53"/>
      <c r="OCR37" s="53"/>
      <c r="OCS37" s="53"/>
      <c r="OCT37" s="53"/>
      <c r="OCU37" s="53"/>
      <c r="OCV37" s="53"/>
      <c r="OCW37" s="53"/>
      <c r="OCX37" s="53"/>
      <c r="OCY37" s="53"/>
      <c r="OCZ37" s="53"/>
      <c r="ODA37" s="53"/>
      <c r="ODB37" s="53"/>
      <c r="ODC37" s="53"/>
      <c r="ODD37" s="53"/>
      <c r="ODE37" s="53"/>
      <c r="ODF37" s="53"/>
      <c r="ODG37" s="53"/>
      <c r="ODH37" s="53"/>
      <c r="ODI37" s="53"/>
      <c r="ODJ37" s="53"/>
      <c r="ODK37" s="53"/>
      <c r="ODL37" s="53"/>
      <c r="ODM37" s="53"/>
      <c r="ODN37" s="53"/>
      <c r="ODO37" s="53"/>
      <c r="ODP37" s="53"/>
      <c r="ODQ37" s="53"/>
      <c r="ODR37" s="53"/>
      <c r="ODS37" s="53"/>
      <c r="ODT37" s="53"/>
      <c r="ODU37" s="53"/>
      <c r="ODV37" s="53"/>
      <c r="ODW37" s="53"/>
      <c r="ODX37" s="53"/>
      <c r="ODY37" s="53"/>
      <c r="ODZ37" s="53"/>
      <c r="OEA37" s="53"/>
      <c r="OEB37" s="53"/>
      <c r="OEC37" s="53"/>
      <c r="OED37" s="53"/>
      <c r="OEE37" s="53"/>
      <c r="OEF37" s="53"/>
      <c r="OEG37" s="53"/>
      <c r="OEH37" s="53"/>
      <c r="OEI37" s="53"/>
      <c r="OEJ37" s="53"/>
      <c r="OEK37" s="53"/>
      <c r="OEL37" s="53"/>
      <c r="OEM37" s="53"/>
      <c r="OEN37" s="53"/>
      <c r="OEO37" s="53"/>
      <c r="OEP37" s="53"/>
      <c r="OEQ37" s="53"/>
      <c r="OER37" s="53"/>
      <c r="OES37" s="53"/>
      <c r="OET37" s="53"/>
      <c r="OEU37" s="53"/>
      <c r="OEV37" s="53"/>
      <c r="OEW37" s="53"/>
      <c r="OEX37" s="53"/>
      <c r="OEY37" s="53"/>
      <c r="OEZ37" s="53"/>
      <c r="OFA37" s="53"/>
      <c r="OFB37" s="53"/>
      <c r="OFC37" s="53"/>
      <c r="OFD37" s="53"/>
      <c r="OFE37" s="53"/>
      <c r="OFF37" s="53"/>
      <c r="OFG37" s="53"/>
      <c r="OFH37" s="53"/>
      <c r="OFI37" s="53"/>
      <c r="OFJ37" s="53"/>
      <c r="OFK37" s="53"/>
      <c r="OFL37" s="53"/>
      <c r="OFM37" s="53"/>
      <c r="OFN37" s="53"/>
      <c r="OFO37" s="53"/>
      <c r="OFP37" s="53"/>
      <c r="OFQ37" s="53"/>
      <c r="OFR37" s="53"/>
      <c r="OFS37" s="53"/>
      <c r="OFT37" s="53"/>
      <c r="OFU37" s="53"/>
      <c r="OFV37" s="53"/>
      <c r="OFW37" s="53"/>
      <c r="OFX37" s="53"/>
      <c r="OFY37" s="53"/>
      <c r="OFZ37" s="53"/>
      <c r="OGA37" s="53"/>
      <c r="OGB37" s="53"/>
      <c r="OGC37" s="53"/>
      <c r="OGD37" s="53"/>
      <c r="OGE37" s="53"/>
      <c r="OGF37" s="53"/>
      <c r="OGG37" s="53"/>
      <c r="OGH37" s="53"/>
      <c r="OGI37" s="53"/>
      <c r="OGJ37" s="53"/>
      <c r="OGK37" s="53"/>
      <c r="OGL37" s="53"/>
      <c r="OGM37" s="53"/>
      <c r="OGN37" s="53"/>
      <c r="OGO37" s="53"/>
      <c r="OGP37" s="53"/>
      <c r="OGQ37" s="53"/>
      <c r="OGR37" s="53"/>
      <c r="OGS37" s="53"/>
      <c r="OGT37" s="53"/>
      <c r="OGU37" s="53"/>
      <c r="OGV37" s="53"/>
      <c r="OGW37" s="53"/>
      <c r="OGX37" s="53"/>
      <c r="OGY37" s="53"/>
      <c r="OGZ37" s="53"/>
      <c r="OHA37" s="53"/>
      <c r="OHB37" s="53"/>
      <c r="OHC37" s="53"/>
      <c r="OHD37" s="53"/>
      <c r="OHE37" s="53"/>
      <c r="OHF37" s="53"/>
      <c r="OHG37" s="53"/>
      <c r="OHH37" s="53"/>
      <c r="OHI37" s="53"/>
      <c r="OHJ37" s="53"/>
      <c r="OHK37" s="53"/>
      <c r="OHL37" s="53"/>
      <c r="OHM37" s="53"/>
      <c r="OHN37" s="53"/>
      <c r="OHO37" s="53"/>
      <c r="OHP37" s="53"/>
      <c r="OHQ37" s="53"/>
      <c r="OHR37" s="53"/>
      <c r="OHS37" s="53"/>
      <c r="OHT37" s="53"/>
      <c r="OHU37" s="53"/>
      <c r="OHV37" s="53"/>
      <c r="OHW37" s="53"/>
      <c r="OHX37" s="53"/>
      <c r="OHY37" s="53"/>
      <c r="OHZ37" s="53"/>
      <c r="OIA37" s="53"/>
      <c r="OIB37" s="53"/>
      <c r="OIC37" s="53"/>
      <c r="OID37" s="53"/>
      <c r="OIE37" s="53"/>
      <c r="OIF37" s="53"/>
      <c r="OIG37" s="53"/>
      <c r="OIH37" s="53"/>
      <c r="OII37" s="53"/>
      <c r="OIJ37" s="53"/>
      <c r="OIK37" s="53"/>
      <c r="OIL37" s="53"/>
      <c r="OIM37" s="53"/>
      <c r="OIN37" s="53"/>
      <c r="OIO37" s="53"/>
      <c r="OIP37" s="53"/>
      <c r="OIQ37" s="53"/>
      <c r="OIR37" s="53"/>
      <c r="OIS37" s="53"/>
      <c r="OIT37" s="53"/>
      <c r="OIU37" s="53"/>
      <c r="OIV37" s="53"/>
      <c r="OIW37" s="53"/>
      <c r="OIX37" s="53"/>
      <c r="OIY37" s="53"/>
      <c r="OIZ37" s="53"/>
      <c r="OJA37" s="53"/>
      <c r="OJB37" s="53"/>
      <c r="OJC37" s="53"/>
      <c r="OJD37" s="53"/>
      <c r="OJE37" s="53"/>
      <c r="OJF37" s="53"/>
      <c r="OJG37" s="53"/>
      <c r="OJH37" s="53"/>
      <c r="OJI37" s="53"/>
      <c r="OJJ37" s="53"/>
      <c r="OJK37" s="53"/>
      <c r="OJL37" s="53"/>
      <c r="OJM37" s="53"/>
      <c r="OJN37" s="53"/>
      <c r="OJO37" s="53"/>
      <c r="OJP37" s="53"/>
      <c r="OJQ37" s="53"/>
      <c r="OJR37" s="53"/>
      <c r="OJS37" s="53"/>
      <c r="OJT37" s="53"/>
      <c r="OJU37" s="53"/>
      <c r="OJV37" s="53"/>
      <c r="OJW37" s="53"/>
      <c r="OJX37" s="53"/>
      <c r="OJY37" s="53"/>
      <c r="OJZ37" s="53"/>
      <c r="OKA37" s="53"/>
      <c r="OKB37" s="53"/>
      <c r="OKC37" s="53"/>
      <c r="OKD37" s="53"/>
      <c r="OKE37" s="53"/>
      <c r="OKF37" s="53"/>
      <c r="OKG37" s="53"/>
      <c r="OKH37" s="53"/>
      <c r="OKI37" s="53"/>
      <c r="OKJ37" s="53"/>
      <c r="OKK37" s="53"/>
      <c r="OKL37" s="53"/>
      <c r="OKM37" s="53"/>
      <c r="OKN37" s="53"/>
      <c r="OKO37" s="53"/>
      <c r="OKP37" s="53"/>
      <c r="OKQ37" s="53"/>
      <c r="OKR37" s="53"/>
      <c r="OKS37" s="53"/>
      <c r="OKT37" s="53"/>
      <c r="OKU37" s="53"/>
      <c r="OKV37" s="53"/>
      <c r="OKW37" s="53"/>
      <c r="OKX37" s="53"/>
      <c r="OKY37" s="53"/>
      <c r="OKZ37" s="53"/>
      <c r="OLA37" s="53"/>
      <c r="OLB37" s="53"/>
      <c r="OLC37" s="53"/>
      <c r="OLD37" s="53"/>
      <c r="OLE37" s="53"/>
      <c r="OLF37" s="53"/>
      <c r="OLG37" s="53"/>
      <c r="OLH37" s="53"/>
      <c r="OLI37" s="53"/>
      <c r="OLJ37" s="53"/>
      <c r="OLK37" s="53"/>
      <c r="OLL37" s="53"/>
      <c r="OLM37" s="53"/>
      <c r="OLN37" s="53"/>
      <c r="OLO37" s="53"/>
      <c r="OLP37" s="53"/>
      <c r="OLQ37" s="53"/>
      <c r="OLR37" s="53"/>
      <c r="OLS37" s="53"/>
      <c r="OLT37" s="53"/>
      <c r="OLU37" s="53"/>
      <c r="OLV37" s="53"/>
      <c r="OLW37" s="53"/>
      <c r="OLX37" s="53"/>
      <c r="OLY37" s="53"/>
      <c r="OLZ37" s="53"/>
      <c r="OMA37" s="53"/>
      <c r="OMB37" s="53"/>
      <c r="OMC37" s="53"/>
      <c r="OMD37" s="53"/>
      <c r="OME37" s="53"/>
      <c r="OMF37" s="53"/>
      <c r="OMG37" s="53"/>
      <c r="OMH37" s="53"/>
      <c r="OMI37" s="53"/>
      <c r="OMJ37" s="53"/>
      <c r="OMK37" s="53"/>
      <c r="OML37" s="53"/>
      <c r="OMM37" s="53"/>
      <c r="OMN37" s="53"/>
      <c r="OMO37" s="53"/>
      <c r="OMP37" s="53"/>
      <c r="OMQ37" s="53"/>
      <c r="OMR37" s="53"/>
      <c r="OMS37" s="53"/>
      <c r="OMT37" s="53"/>
      <c r="OMU37" s="53"/>
      <c r="OMV37" s="53"/>
      <c r="OMW37" s="53"/>
      <c r="OMX37" s="53"/>
      <c r="OMY37" s="53"/>
      <c r="OMZ37" s="53"/>
      <c r="ONA37" s="53"/>
      <c r="ONB37" s="53"/>
      <c r="ONC37" s="53"/>
      <c r="OND37" s="53"/>
      <c r="ONE37" s="53"/>
      <c r="ONF37" s="53"/>
      <c r="ONG37" s="53"/>
      <c r="ONH37" s="53"/>
      <c r="ONI37" s="53"/>
      <c r="ONJ37" s="53"/>
      <c r="ONK37" s="53"/>
      <c r="ONL37" s="53"/>
      <c r="ONM37" s="53"/>
      <c r="ONN37" s="53"/>
      <c r="ONO37" s="53"/>
      <c r="ONP37" s="53"/>
      <c r="ONQ37" s="53"/>
      <c r="ONR37" s="53"/>
      <c r="ONS37" s="53"/>
      <c r="ONT37" s="53"/>
      <c r="ONU37" s="53"/>
      <c r="ONV37" s="53"/>
      <c r="ONW37" s="53"/>
      <c r="ONX37" s="53"/>
      <c r="ONY37" s="53"/>
      <c r="ONZ37" s="53"/>
      <c r="OOA37" s="53"/>
      <c r="OOB37" s="53"/>
      <c r="OOC37" s="53"/>
      <c r="OOD37" s="53"/>
      <c r="OOE37" s="53"/>
      <c r="OOF37" s="53"/>
      <c r="OOG37" s="53"/>
      <c r="OOH37" s="53"/>
      <c r="OOI37" s="53"/>
      <c r="OOJ37" s="53"/>
      <c r="OOK37" s="53"/>
      <c r="OOL37" s="53"/>
      <c r="OOM37" s="53"/>
      <c r="OON37" s="53"/>
      <c r="OOO37" s="53"/>
      <c r="OOP37" s="53"/>
      <c r="OOQ37" s="53"/>
      <c r="OOR37" s="53"/>
      <c r="OOS37" s="53"/>
      <c r="OOT37" s="53"/>
      <c r="OOU37" s="53"/>
      <c r="OOV37" s="53"/>
      <c r="OOW37" s="53"/>
      <c r="OOX37" s="53"/>
      <c r="OOY37" s="53"/>
      <c r="OOZ37" s="53"/>
      <c r="OPA37" s="53"/>
      <c r="OPB37" s="53"/>
      <c r="OPC37" s="53"/>
      <c r="OPD37" s="53"/>
      <c r="OPE37" s="53"/>
      <c r="OPF37" s="53"/>
      <c r="OPG37" s="53"/>
      <c r="OPH37" s="53"/>
      <c r="OPI37" s="53"/>
      <c r="OPJ37" s="53"/>
      <c r="OPK37" s="53"/>
      <c r="OPL37" s="53"/>
      <c r="OPM37" s="53"/>
      <c r="OPN37" s="53"/>
      <c r="OPO37" s="53"/>
      <c r="OPP37" s="53"/>
      <c r="OPQ37" s="53"/>
      <c r="OPR37" s="53"/>
      <c r="OPS37" s="53"/>
      <c r="OPT37" s="53"/>
      <c r="OPU37" s="53"/>
      <c r="OPV37" s="53"/>
      <c r="OPW37" s="53"/>
      <c r="OPX37" s="53"/>
      <c r="OPY37" s="53"/>
      <c r="OPZ37" s="53"/>
      <c r="OQA37" s="53"/>
      <c r="OQB37" s="53"/>
      <c r="OQC37" s="53"/>
      <c r="OQD37" s="53"/>
      <c r="OQE37" s="53"/>
      <c r="OQF37" s="53"/>
      <c r="OQG37" s="53"/>
      <c r="OQH37" s="53"/>
      <c r="OQI37" s="53"/>
      <c r="OQJ37" s="53"/>
      <c r="OQK37" s="53"/>
      <c r="OQL37" s="53"/>
      <c r="OQM37" s="53"/>
      <c r="OQN37" s="53"/>
      <c r="OQO37" s="53"/>
      <c r="OQP37" s="53"/>
      <c r="OQQ37" s="53"/>
      <c r="OQR37" s="53"/>
      <c r="OQS37" s="53"/>
      <c r="OQT37" s="53"/>
      <c r="OQU37" s="53"/>
      <c r="OQV37" s="53"/>
      <c r="OQW37" s="53"/>
      <c r="OQX37" s="53"/>
      <c r="OQY37" s="53"/>
      <c r="OQZ37" s="53"/>
      <c r="ORA37" s="53"/>
      <c r="ORB37" s="53"/>
      <c r="ORC37" s="53"/>
      <c r="ORD37" s="53"/>
      <c r="ORE37" s="53"/>
      <c r="ORF37" s="53"/>
      <c r="ORG37" s="53"/>
      <c r="ORH37" s="53"/>
      <c r="ORI37" s="53"/>
      <c r="ORJ37" s="53"/>
      <c r="ORK37" s="53"/>
      <c r="ORL37" s="53"/>
      <c r="ORM37" s="53"/>
      <c r="ORN37" s="53"/>
      <c r="ORO37" s="53"/>
      <c r="ORP37" s="53"/>
      <c r="ORQ37" s="53"/>
      <c r="ORR37" s="53"/>
      <c r="ORS37" s="53"/>
      <c r="ORT37" s="53"/>
      <c r="ORU37" s="53"/>
      <c r="ORV37" s="53"/>
      <c r="ORW37" s="53"/>
      <c r="ORX37" s="53"/>
      <c r="ORY37" s="53"/>
      <c r="ORZ37" s="53"/>
      <c r="OSA37" s="53"/>
      <c r="OSB37" s="53"/>
      <c r="OSC37" s="53"/>
      <c r="OSD37" s="53"/>
      <c r="OSE37" s="53"/>
      <c r="OSF37" s="53"/>
      <c r="OSG37" s="53"/>
      <c r="OSH37" s="53"/>
      <c r="OSI37" s="53"/>
      <c r="OSJ37" s="53"/>
      <c r="OSK37" s="53"/>
      <c r="OSL37" s="53"/>
      <c r="OSM37" s="53"/>
      <c r="OSN37" s="53"/>
      <c r="OSO37" s="53"/>
      <c r="OSP37" s="53"/>
      <c r="OSQ37" s="53"/>
      <c r="OSR37" s="53"/>
      <c r="OSS37" s="53"/>
      <c r="OST37" s="53"/>
      <c r="OSU37" s="53"/>
      <c r="OSV37" s="53"/>
      <c r="OSW37" s="53"/>
      <c r="OSX37" s="53"/>
      <c r="OSY37" s="53"/>
      <c r="OSZ37" s="53"/>
      <c r="OTA37" s="53"/>
      <c r="OTB37" s="53"/>
      <c r="OTC37" s="53"/>
      <c r="OTD37" s="53"/>
      <c r="OTE37" s="53"/>
      <c r="OTF37" s="53"/>
      <c r="OTG37" s="53"/>
      <c r="OTH37" s="53"/>
      <c r="OTI37" s="53"/>
      <c r="OTJ37" s="53"/>
      <c r="OTK37" s="53"/>
      <c r="OTL37" s="53"/>
      <c r="OTM37" s="53"/>
      <c r="OTN37" s="53"/>
      <c r="OTO37" s="53"/>
      <c r="OTP37" s="53"/>
      <c r="OTQ37" s="53"/>
      <c r="OTR37" s="53"/>
      <c r="OTS37" s="53"/>
      <c r="OTT37" s="53"/>
      <c r="OTU37" s="53"/>
      <c r="OTV37" s="53"/>
      <c r="OTW37" s="53"/>
      <c r="OTX37" s="53"/>
      <c r="OTY37" s="53"/>
      <c r="OTZ37" s="53"/>
      <c r="OUA37" s="53"/>
      <c r="OUB37" s="53"/>
      <c r="OUC37" s="53"/>
      <c r="OUD37" s="53"/>
      <c r="OUE37" s="53"/>
      <c r="OUF37" s="53"/>
      <c r="OUG37" s="53"/>
      <c r="OUH37" s="53"/>
      <c r="OUI37" s="53"/>
      <c r="OUJ37" s="53"/>
      <c r="OUK37" s="53"/>
      <c r="OUL37" s="53"/>
      <c r="OUM37" s="53"/>
      <c r="OUN37" s="53"/>
      <c r="OUO37" s="53"/>
      <c r="OUP37" s="53"/>
      <c r="OUQ37" s="53"/>
      <c r="OUR37" s="53"/>
      <c r="OUS37" s="53"/>
      <c r="OUT37" s="53"/>
      <c r="OUU37" s="53"/>
      <c r="OUV37" s="53"/>
      <c r="OUW37" s="53"/>
      <c r="OUX37" s="53"/>
      <c r="OUY37" s="53"/>
      <c r="OUZ37" s="53"/>
      <c r="OVA37" s="53"/>
      <c r="OVB37" s="53"/>
      <c r="OVC37" s="53"/>
      <c r="OVD37" s="53"/>
      <c r="OVE37" s="53"/>
      <c r="OVF37" s="53"/>
      <c r="OVG37" s="53"/>
      <c r="OVH37" s="53"/>
      <c r="OVI37" s="53"/>
      <c r="OVJ37" s="53"/>
      <c r="OVK37" s="53"/>
      <c r="OVL37" s="53"/>
      <c r="OVM37" s="53"/>
      <c r="OVN37" s="53"/>
      <c r="OVO37" s="53"/>
      <c r="OVP37" s="53"/>
      <c r="OVQ37" s="53"/>
      <c r="OVR37" s="53"/>
      <c r="OVS37" s="53"/>
      <c r="OVT37" s="53"/>
      <c r="OVU37" s="53"/>
      <c r="OVV37" s="53"/>
      <c r="OVW37" s="53"/>
      <c r="OVX37" s="53"/>
      <c r="OVY37" s="53"/>
      <c r="OVZ37" s="53"/>
      <c r="OWA37" s="53"/>
      <c r="OWB37" s="53"/>
      <c r="OWC37" s="53"/>
      <c r="OWD37" s="53"/>
      <c r="OWE37" s="53"/>
      <c r="OWF37" s="53"/>
      <c r="OWG37" s="53"/>
      <c r="OWH37" s="53"/>
      <c r="OWI37" s="53"/>
      <c r="OWJ37" s="53"/>
      <c r="OWK37" s="53"/>
      <c r="OWL37" s="53"/>
      <c r="OWM37" s="53"/>
      <c r="OWN37" s="53"/>
      <c r="OWO37" s="53"/>
      <c r="OWP37" s="53"/>
      <c r="OWQ37" s="53"/>
      <c r="OWR37" s="53"/>
      <c r="OWS37" s="53"/>
      <c r="OWT37" s="53"/>
      <c r="OWU37" s="53"/>
      <c r="OWV37" s="53"/>
      <c r="OWW37" s="53"/>
      <c r="OWX37" s="53"/>
      <c r="OWY37" s="53"/>
      <c r="OWZ37" s="53"/>
      <c r="OXA37" s="53"/>
      <c r="OXB37" s="53"/>
      <c r="OXC37" s="53"/>
      <c r="OXD37" s="53"/>
      <c r="OXE37" s="53"/>
      <c r="OXF37" s="53"/>
      <c r="OXG37" s="53"/>
      <c r="OXH37" s="53"/>
      <c r="OXI37" s="53"/>
      <c r="OXJ37" s="53"/>
      <c r="OXK37" s="53"/>
      <c r="OXL37" s="53"/>
      <c r="OXM37" s="53"/>
      <c r="OXN37" s="53"/>
      <c r="OXO37" s="53"/>
      <c r="OXP37" s="53"/>
      <c r="OXQ37" s="53"/>
      <c r="OXR37" s="53"/>
      <c r="OXS37" s="53"/>
      <c r="OXT37" s="53"/>
      <c r="OXU37" s="53"/>
      <c r="OXV37" s="53"/>
      <c r="OXW37" s="53"/>
      <c r="OXX37" s="53"/>
      <c r="OXY37" s="53"/>
      <c r="OXZ37" s="53"/>
      <c r="OYA37" s="53"/>
      <c r="OYB37" s="53"/>
      <c r="OYC37" s="53"/>
      <c r="OYD37" s="53"/>
      <c r="OYE37" s="53"/>
      <c r="OYF37" s="53"/>
      <c r="OYG37" s="53"/>
      <c r="OYH37" s="53"/>
      <c r="OYI37" s="53"/>
      <c r="OYJ37" s="53"/>
      <c r="OYK37" s="53"/>
      <c r="OYL37" s="53"/>
      <c r="OYM37" s="53"/>
      <c r="OYN37" s="53"/>
      <c r="OYO37" s="53"/>
      <c r="OYP37" s="53"/>
      <c r="OYQ37" s="53"/>
      <c r="OYR37" s="53"/>
      <c r="OYS37" s="53"/>
      <c r="OYT37" s="53"/>
      <c r="OYU37" s="53"/>
      <c r="OYV37" s="53"/>
      <c r="OYW37" s="53"/>
      <c r="OYX37" s="53"/>
      <c r="OYY37" s="53"/>
      <c r="OYZ37" s="53"/>
      <c r="OZA37" s="53"/>
      <c r="OZB37" s="53"/>
      <c r="OZC37" s="53"/>
      <c r="OZD37" s="53"/>
      <c r="OZE37" s="53"/>
      <c r="OZF37" s="53"/>
      <c r="OZG37" s="53"/>
      <c r="OZH37" s="53"/>
      <c r="OZI37" s="53"/>
      <c r="OZJ37" s="53"/>
      <c r="OZK37" s="53"/>
      <c r="OZL37" s="53"/>
      <c r="OZM37" s="53"/>
      <c r="OZN37" s="53"/>
      <c r="OZO37" s="53"/>
      <c r="OZP37" s="53"/>
      <c r="OZQ37" s="53"/>
      <c r="OZR37" s="53"/>
      <c r="OZS37" s="53"/>
      <c r="OZT37" s="53"/>
      <c r="OZU37" s="53"/>
      <c r="OZV37" s="53"/>
      <c r="OZW37" s="53"/>
      <c r="OZX37" s="53"/>
      <c r="OZY37" s="53"/>
      <c r="OZZ37" s="53"/>
      <c r="PAA37" s="53"/>
      <c r="PAB37" s="53"/>
      <c r="PAC37" s="53"/>
      <c r="PAD37" s="53"/>
      <c r="PAE37" s="53"/>
      <c r="PAF37" s="53"/>
      <c r="PAG37" s="53"/>
      <c r="PAH37" s="53"/>
      <c r="PAI37" s="53"/>
      <c r="PAJ37" s="53"/>
      <c r="PAK37" s="53"/>
      <c r="PAL37" s="53"/>
      <c r="PAM37" s="53"/>
      <c r="PAN37" s="53"/>
      <c r="PAO37" s="53"/>
      <c r="PAP37" s="53"/>
      <c r="PAQ37" s="53"/>
      <c r="PAR37" s="53"/>
      <c r="PAS37" s="53"/>
      <c r="PAT37" s="53"/>
      <c r="PAU37" s="53"/>
      <c r="PAV37" s="53"/>
      <c r="PAW37" s="53"/>
      <c r="PAX37" s="53"/>
      <c r="PAY37" s="53"/>
      <c r="PAZ37" s="53"/>
      <c r="PBA37" s="53"/>
      <c r="PBB37" s="53"/>
      <c r="PBC37" s="53"/>
      <c r="PBD37" s="53"/>
      <c r="PBE37" s="53"/>
      <c r="PBF37" s="53"/>
      <c r="PBG37" s="53"/>
      <c r="PBH37" s="53"/>
      <c r="PBI37" s="53"/>
      <c r="PBJ37" s="53"/>
      <c r="PBK37" s="53"/>
      <c r="PBL37" s="53"/>
      <c r="PBM37" s="53"/>
      <c r="PBN37" s="53"/>
      <c r="PBO37" s="53"/>
      <c r="PBP37" s="53"/>
      <c r="PBQ37" s="53"/>
      <c r="PBR37" s="53"/>
      <c r="PBS37" s="53"/>
      <c r="PBT37" s="53"/>
      <c r="PBU37" s="53"/>
      <c r="PBV37" s="53"/>
      <c r="PBW37" s="53"/>
      <c r="PBX37" s="53"/>
      <c r="PBY37" s="53"/>
      <c r="PBZ37" s="53"/>
      <c r="PCA37" s="53"/>
      <c r="PCB37" s="53"/>
      <c r="PCC37" s="53"/>
      <c r="PCD37" s="53"/>
      <c r="PCE37" s="53"/>
      <c r="PCF37" s="53"/>
      <c r="PCG37" s="53"/>
      <c r="PCH37" s="53"/>
      <c r="PCI37" s="53"/>
      <c r="PCJ37" s="53"/>
      <c r="PCK37" s="53"/>
      <c r="PCL37" s="53"/>
      <c r="PCM37" s="53"/>
      <c r="PCN37" s="53"/>
      <c r="PCO37" s="53"/>
      <c r="PCP37" s="53"/>
      <c r="PCQ37" s="53"/>
      <c r="PCR37" s="53"/>
      <c r="PCS37" s="53"/>
      <c r="PCT37" s="53"/>
      <c r="PCU37" s="53"/>
      <c r="PCV37" s="53"/>
      <c r="PCW37" s="53"/>
      <c r="PCX37" s="53"/>
      <c r="PCY37" s="53"/>
      <c r="PCZ37" s="53"/>
      <c r="PDA37" s="53"/>
      <c r="PDB37" s="53"/>
      <c r="PDC37" s="53"/>
      <c r="PDD37" s="53"/>
      <c r="PDE37" s="53"/>
      <c r="PDF37" s="53"/>
      <c r="PDG37" s="53"/>
      <c r="PDH37" s="53"/>
      <c r="PDI37" s="53"/>
      <c r="PDJ37" s="53"/>
      <c r="PDK37" s="53"/>
      <c r="PDL37" s="53"/>
      <c r="PDM37" s="53"/>
      <c r="PDN37" s="53"/>
      <c r="PDO37" s="53"/>
      <c r="PDP37" s="53"/>
      <c r="PDQ37" s="53"/>
      <c r="PDR37" s="53"/>
      <c r="PDS37" s="53"/>
      <c r="PDT37" s="53"/>
      <c r="PDU37" s="53"/>
      <c r="PDV37" s="53"/>
      <c r="PDW37" s="53"/>
      <c r="PDX37" s="53"/>
      <c r="PDY37" s="53"/>
      <c r="PDZ37" s="53"/>
      <c r="PEA37" s="53"/>
      <c r="PEB37" s="53"/>
      <c r="PEC37" s="53"/>
      <c r="PED37" s="53"/>
      <c r="PEE37" s="53"/>
      <c r="PEF37" s="53"/>
      <c r="PEG37" s="53"/>
      <c r="PEH37" s="53"/>
      <c r="PEI37" s="53"/>
      <c r="PEJ37" s="53"/>
      <c r="PEK37" s="53"/>
      <c r="PEL37" s="53"/>
      <c r="PEM37" s="53"/>
      <c r="PEN37" s="53"/>
      <c r="PEO37" s="53"/>
      <c r="PEP37" s="53"/>
      <c r="PEQ37" s="53"/>
      <c r="PER37" s="53"/>
      <c r="PES37" s="53"/>
      <c r="PET37" s="53"/>
      <c r="PEU37" s="53"/>
      <c r="PEV37" s="53"/>
      <c r="PEW37" s="53"/>
      <c r="PEX37" s="53"/>
      <c r="PEY37" s="53"/>
      <c r="PEZ37" s="53"/>
      <c r="PFA37" s="53"/>
      <c r="PFB37" s="53"/>
      <c r="PFC37" s="53"/>
      <c r="PFD37" s="53"/>
      <c r="PFE37" s="53"/>
      <c r="PFF37" s="53"/>
      <c r="PFG37" s="53"/>
      <c r="PFH37" s="53"/>
      <c r="PFI37" s="53"/>
      <c r="PFJ37" s="53"/>
      <c r="PFK37" s="53"/>
      <c r="PFL37" s="53"/>
      <c r="PFM37" s="53"/>
      <c r="PFN37" s="53"/>
      <c r="PFO37" s="53"/>
      <c r="PFP37" s="53"/>
      <c r="PFQ37" s="53"/>
      <c r="PFR37" s="53"/>
      <c r="PFS37" s="53"/>
      <c r="PFT37" s="53"/>
      <c r="PFU37" s="53"/>
      <c r="PFV37" s="53"/>
      <c r="PFW37" s="53"/>
      <c r="PFX37" s="53"/>
      <c r="PFY37" s="53"/>
      <c r="PFZ37" s="53"/>
      <c r="PGA37" s="53"/>
      <c r="PGB37" s="53"/>
      <c r="PGC37" s="53"/>
      <c r="PGD37" s="53"/>
      <c r="PGE37" s="53"/>
      <c r="PGF37" s="53"/>
      <c r="PGG37" s="53"/>
      <c r="PGH37" s="53"/>
      <c r="PGI37" s="53"/>
      <c r="PGJ37" s="53"/>
      <c r="PGK37" s="53"/>
      <c r="PGL37" s="53"/>
      <c r="PGM37" s="53"/>
      <c r="PGN37" s="53"/>
      <c r="PGO37" s="53"/>
      <c r="PGP37" s="53"/>
      <c r="PGQ37" s="53"/>
      <c r="PGR37" s="53"/>
      <c r="PGS37" s="53"/>
      <c r="PGT37" s="53"/>
      <c r="PGU37" s="53"/>
      <c r="PGV37" s="53"/>
      <c r="PGW37" s="53"/>
      <c r="PGX37" s="53"/>
      <c r="PGY37" s="53"/>
      <c r="PGZ37" s="53"/>
      <c r="PHA37" s="53"/>
      <c r="PHB37" s="53"/>
      <c r="PHC37" s="53"/>
      <c r="PHD37" s="53"/>
      <c r="PHE37" s="53"/>
      <c r="PHF37" s="53"/>
      <c r="PHG37" s="53"/>
      <c r="PHH37" s="53"/>
      <c r="PHI37" s="53"/>
      <c r="PHJ37" s="53"/>
      <c r="PHK37" s="53"/>
      <c r="PHL37" s="53"/>
      <c r="PHM37" s="53"/>
      <c r="PHN37" s="53"/>
      <c r="PHO37" s="53"/>
      <c r="PHP37" s="53"/>
      <c r="PHQ37" s="53"/>
      <c r="PHR37" s="53"/>
      <c r="PHS37" s="53"/>
      <c r="PHT37" s="53"/>
      <c r="PHU37" s="53"/>
      <c r="PHV37" s="53"/>
      <c r="PHW37" s="53"/>
      <c r="PHX37" s="53"/>
      <c r="PHY37" s="53"/>
      <c r="PHZ37" s="53"/>
      <c r="PIA37" s="53"/>
      <c r="PIB37" s="53"/>
      <c r="PIC37" s="53"/>
      <c r="PID37" s="53"/>
      <c r="PIE37" s="53"/>
      <c r="PIF37" s="53"/>
      <c r="PIG37" s="53"/>
      <c r="PIH37" s="53"/>
      <c r="PII37" s="53"/>
      <c r="PIJ37" s="53"/>
      <c r="PIK37" s="53"/>
      <c r="PIL37" s="53"/>
      <c r="PIM37" s="53"/>
      <c r="PIN37" s="53"/>
      <c r="PIO37" s="53"/>
      <c r="PIP37" s="53"/>
      <c r="PIQ37" s="53"/>
      <c r="PIR37" s="53"/>
      <c r="PIS37" s="53"/>
      <c r="PIT37" s="53"/>
      <c r="PIU37" s="53"/>
      <c r="PIV37" s="53"/>
      <c r="PIW37" s="53"/>
      <c r="PIX37" s="53"/>
      <c r="PIY37" s="53"/>
      <c r="PIZ37" s="53"/>
      <c r="PJA37" s="53"/>
      <c r="PJB37" s="53"/>
      <c r="PJC37" s="53"/>
      <c r="PJD37" s="53"/>
      <c r="PJE37" s="53"/>
      <c r="PJF37" s="53"/>
      <c r="PJG37" s="53"/>
      <c r="PJH37" s="53"/>
      <c r="PJI37" s="53"/>
      <c r="PJJ37" s="53"/>
      <c r="PJK37" s="53"/>
      <c r="PJL37" s="53"/>
      <c r="PJM37" s="53"/>
      <c r="PJN37" s="53"/>
      <c r="PJO37" s="53"/>
      <c r="PJP37" s="53"/>
      <c r="PJQ37" s="53"/>
      <c r="PJR37" s="53"/>
      <c r="PJS37" s="53"/>
      <c r="PJT37" s="53"/>
      <c r="PJU37" s="53"/>
      <c r="PJV37" s="53"/>
      <c r="PJW37" s="53"/>
      <c r="PJX37" s="53"/>
      <c r="PJY37" s="53"/>
      <c r="PJZ37" s="53"/>
      <c r="PKA37" s="53"/>
      <c r="PKB37" s="53"/>
      <c r="PKC37" s="53"/>
      <c r="PKD37" s="53"/>
      <c r="PKE37" s="53"/>
      <c r="PKF37" s="53"/>
      <c r="PKG37" s="53"/>
      <c r="PKH37" s="53"/>
      <c r="PKI37" s="53"/>
      <c r="PKJ37" s="53"/>
      <c r="PKK37" s="53"/>
      <c r="PKL37" s="53"/>
      <c r="PKM37" s="53"/>
      <c r="PKN37" s="53"/>
      <c r="PKO37" s="53"/>
      <c r="PKP37" s="53"/>
      <c r="PKQ37" s="53"/>
      <c r="PKR37" s="53"/>
      <c r="PKS37" s="53"/>
      <c r="PKT37" s="53"/>
      <c r="PKU37" s="53"/>
      <c r="PKV37" s="53"/>
      <c r="PKW37" s="53"/>
      <c r="PKX37" s="53"/>
      <c r="PKY37" s="53"/>
      <c r="PKZ37" s="53"/>
      <c r="PLA37" s="53"/>
      <c r="PLB37" s="53"/>
      <c r="PLC37" s="53"/>
      <c r="PLD37" s="53"/>
      <c r="PLE37" s="53"/>
      <c r="PLF37" s="53"/>
      <c r="PLG37" s="53"/>
      <c r="PLH37" s="53"/>
      <c r="PLI37" s="53"/>
      <c r="PLJ37" s="53"/>
      <c r="PLK37" s="53"/>
      <c r="PLL37" s="53"/>
      <c r="PLM37" s="53"/>
      <c r="PLN37" s="53"/>
      <c r="PLO37" s="53"/>
      <c r="PLP37" s="53"/>
      <c r="PLQ37" s="53"/>
      <c r="PLR37" s="53"/>
      <c r="PLS37" s="53"/>
      <c r="PLT37" s="53"/>
      <c r="PLU37" s="53"/>
      <c r="PLV37" s="53"/>
      <c r="PLW37" s="53"/>
      <c r="PLX37" s="53"/>
      <c r="PLY37" s="53"/>
      <c r="PLZ37" s="53"/>
      <c r="PMA37" s="53"/>
      <c r="PMB37" s="53"/>
      <c r="PMC37" s="53"/>
      <c r="PMD37" s="53"/>
      <c r="PME37" s="53"/>
      <c r="PMF37" s="53"/>
      <c r="PMG37" s="53"/>
      <c r="PMH37" s="53"/>
      <c r="PMI37" s="53"/>
      <c r="PMJ37" s="53"/>
      <c r="PMK37" s="53"/>
      <c r="PML37" s="53"/>
      <c r="PMM37" s="53"/>
      <c r="PMN37" s="53"/>
      <c r="PMO37" s="53"/>
      <c r="PMP37" s="53"/>
      <c r="PMQ37" s="53"/>
      <c r="PMR37" s="53"/>
      <c r="PMS37" s="53"/>
      <c r="PMT37" s="53"/>
      <c r="PMU37" s="53"/>
      <c r="PMV37" s="53"/>
      <c r="PMW37" s="53"/>
      <c r="PMX37" s="53"/>
      <c r="PMY37" s="53"/>
      <c r="PMZ37" s="53"/>
      <c r="PNA37" s="53"/>
      <c r="PNB37" s="53"/>
      <c r="PNC37" s="53"/>
      <c r="PND37" s="53"/>
      <c r="PNE37" s="53"/>
      <c r="PNF37" s="53"/>
      <c r="PNG37" s="53"/>
      <c r="PNH37" s="53"/>
      <c r="PNI37" s="53"/>
      <c r="PNJ37" s="53"/>
      <c r="PNK37" s="53"/>
      <c r="PNL37" s="53"/>
      <c r="PNM37" s="53"/>
      <c r="PNN37" s="53"/>
      <c r="PNO37" s="53"/>
      <c r="PNP37" s="53"/>
      <c r="PNQ37" s="53"/>
      <c r="PNR37" s="53"/>
      <c r="PNS37" s="53"/>
      <c r="PNT37" s="53"/>
      <c r="PNU37" s="53"/>
      <c r="PNV37" s="53"/>
      <c r="PNW37" s="53"/>
      <c r="PNX37" s="53"/>
      <c r="PNY37" s="53"/>
      <c r="PNZ37" s="53"/>
      <c r="POA37" s="53"/>
      <c r="POB37" s="53"/>
      <c r="POC37" s="53"/>
      <c r="POD37" s="53"/>
      <c r="POE37" s="53"/>
      <c r="POF37" s="53"/>
      <c r="POG37" s="53"/>
      <c r="POH37" s="53"/>
      <c r="POI37" s="53"/>
      <c r="POJ37" s="53"/>
      <c r="POK37" s="53"/>
      <c r="POL37" s="53"/>
      <c r="POM37" s="53"/>
      <c r="PON37" s="53"/>
      <c r="POO37" s="53"/>
      <c r="POP37" s="53"/>
      <c r="POQ37" s="53"/>
      <c r="POR37" s="53"/>
      <c r="POS37" s="53"/>
      <c r="POT37" s="53"/>
      <c r="POU37" s="53"/>
      <c r="POV37" s="53"/>
      <c r="POW37" s="53"/>
      <c r="POX37" s="53"/>
      <c r="POY37" s="53"/>
      <c r="POZ37" s="53"/>
      <c r="PPA37" s="53"/>
      <c r="PPB37" s="53"/>
      <c r="PPC37" s="53"/>
      <c r="PPD37" s="53"/>
      <c r="PPE37" s="53"/>
      <c r="PPF37" s="53"/>
      <c r="PPG37" s="53"/>
      <c r="PPH37" s="53"/>
      <c r="PPI37" s="53"/>
      <c r="PPJ37" s="53"/>
      <c r="PPK37" s="53"/>
      <c r="PPL37" s="53"/>
      <c r="PPM37" s="53"/>
      <c r="PPN37" s="53"/>
      <c r="PPO37" s="53"/>
      <c r="PPP37" s="53"/>
      <c r="PPQ37" s="53"/>
      <c r="PPR37" s="53"/>
      <c r="PPS37" s="53"/>
      <c r="PPT37" s="53"/>
      <c r="PPU37" s="53"/>
      <c r="PPV37" s="53"/>
      <c r="PPW37" s="53"/>
      <c r="PPX37" s="53"/>
      <c r="PPY37" s="53"/>
      <c r="PPZ37" s="53"/>
      <c r="PQA37" s="53"/>
      <c r="PQB37" s="53"/>
      <c r="PQC37" s="53"/>
      <c r="PQD37" s="53"/>
      <c r="PQE37" s="53"/>
      <c r="PQF37" s="53"/>
      <c r="PQG37" s="53"/>
      <c r="PQH37" s="53"/>
      <c r="PQI37" s="53"/>
      <c r="PQJ37" s="53"/>
      <c r="PQK37" s="53"/>
      <c r="PQL37" s="53"/>
      <c r="PQM37" s="53"/>
      <c r="PQN37" s="53"/>
      <c r="PQO37" s="53"/>
      <c r="PQP37" s="53"/>
      <c r="PQQ37" s="53"/>
      <c r="PQR37" s="53"/>
      <c r="PQS37" s="53"/>
      <c r="PQT37" s="53"/>
      <c r="PQU37" s="53"/>
      <c r="PQV37" s="53"/>
      <c r="PQW37" s="53"/>
      <c r="PQX37" s="53"/>
      <c r="PQY37" s="53"/>
      <c r="PQZ37" s="53"/>
      <c r="PRA37" s="53"/>
      <c r="PRB37" s="53"/>
      <c r="PRC37" s="53"/>
      <c r="PRD37" s="53"/>
      <c r="PRE37" s="53"/>
      <c r="PRF37" s="53"/>
      <c r="PRG37" s="53"/>
      <c r="PRH37" s="53"/>
      <c r="PRI37" s="53"/>
      <c r="PRJ37" s="53"/>
      <c r="PRK37" s="53"/>
      <c r="PRL37" s="53"/>
      <c r="PRM37" s="53"/>
      <c r="PRN37" s="53"/>
      <c r="PRO37" s="53"/>
      <c r="PRP37" s="53"/>
      <c r="PRQ37" s="53"/>
      <c r="PRR37" s="53"/>
      <c r="PRS37" s="53"/>
      <c r="PRT37" s="53"/>
      <c r="PRU37" s="53"/>
      <c r="PRV37" s="53"/>
      <c r="PRW37" s="53"/>
      <c r="PRX37" s="53"/>
      <c r="PRY37" s="53"/>
      <c r="PRZ37" s="53"/>
      <c r="PSA37" s="53"/>
      <c r="PSB37" s="53"/>
      <c r="PSC37" s="53"/>
      <c r="PSD37" s="53"/>
      <c r="PSE37" s="53"/>
      <c r="PSF37" s="53"/>
      <c r="PSG37" s="53"/>
      <c r="PSH37" s="53"/>
      <c r="PSI37" s="53"/>
      <c r="PSJ37" s="53"/>
      <c r="PSK37" s="53"/>
      <c r="PSL37" s="53"/>
      <c r="PSM37" s="53"/>
      <c r="PSN37" s="53"/>
      <c r="PSO37" s="53"/>
      <c r="PSP37" s="53"/>
      <c r="PSQ37" s="53"/>
      <c r="PSR37" s="53"/>
      <c r="PSS37" s="53"/>
      <c r="PST37" s="53"/>
      <c r="PSU37" s="53"/>
      <c r="PSV37" s="53"/>
      <c r="PSW37" s="53"/>
      <c r="PSX37" s="53"/>
      <c r="PSY37" s="53"/>
      <c r="PSZ37" s="53"/>
      <c r="PTA37" s="53"/>
      <c r="PTB37" s="53"/>
      <c r="PTC37" s="53"/>
      <c r="PTD37" s="53"/>
      <c r="PTE37" s="53"/>
      <c r="PTF37" s="53"/>
      <c r="PTG37" s="53"/>
      <c r="PTH37" s="53"/>
      <c r="PTI37" s="53"/>
      <c r="PTJ37" s="53"/>
      <c r="PTK37" s="53"/>
      <c r="PTL37" s="53"/>
      <c r="PTM37" s="53"/>
      <c r="PTN37" s="53"/>
      <c r="PTO37" s="53"/>
      <c r="PTP37" s="53"/>
      <c r="PTQ37" s="53"/>
      <c r="PTR37" s="53"/>
      <c r="PTS37" s="53"/>
      <c r="PTT37" s="53"/>
      <c r="PTU37" s="53"/>
      <c r="PTV37" s="53"/>
      <c r="PTW37" s="53"/>
      <c r="PTX37" s="53"/>
      <c r="PTY37" s="53"/>
      <c r="PTZ37" s="53"/>
      <c r="PUA37" s="53"/>
      <c r="PUB37" s="53"/>
      <c r="PUC37" s="53"/>
      <c r="PUD37" s="53"/>
      <c r="PUE37" s="53"/>
      <c r="PUF37" s="53"/>
      <c r="PUG37" s="53"/>
      <c r="PUH37" s="53"/>
      <c r="PUI37" s="53"/>
      <c r="PUJ37" s="53"/>
      <c r="PUK37" s="53"/>
      <c r="PUL37" s="53"/>
      <c r="PUM37" s="53"/>
      <c r="PUN37" s="53"/>
      <c r="PUO37" s="53"/>
      <c r="PUP37" s="53"/>
      <c r="PUQ37" s="53"/>
      <c r="PUR37" s="53"/>
      <c r="PUS37" s="53"/>
      <c r="PUT37" s="53"/>
      <c r="PUU37" s="53"/>
      <c r="PUV37" s="53"/>
      <c r="PUW37" s="53"/>
      <c r="PUX37" s="53"/>
      <c r="PUY37" s="53"/>
      <c r="PUZ37" s="53"/>
      <c r="PVA37" s="53"/>
      <c r="PVB37" s="53"/>
      <c r="PVC37" s="53"/>
      <c r="PVD37" s="53"/>
      <c r="PVE37" s="53"/>
      <c r="PVF37" s="53"/>
      <c r="PVG37" s="53"/>
      <c r="PVH37" s="53"/>
      <c r="PVI37" s="53"/>
      <c r="PVJ37" s="53"/>
      <c r="PVK37" s="53"/>
      <c r="PVL37" s="53"/>
      <c r="PVM37" s="53"/>
      <c r="PVN37" s="53"/>
      <c r="PVO37" s="53"/>
      <c r="PVP37" s="53"/>
      <c r="PVQ37" s="53"/>
      <c r="PVR37" s="53"/>
      <c r="PVS37" s="53"/>
      <c r="PVT37" s="53"/>
      <c r="PVU37" s="53"/>
      <c r="PVV37" s="53"/>
      <c r="PVW37" s="53"/>
      <c r="PVX37" s="53"/>
      <c r="PVY37" s="53"/>
      <c r="PVZ37" s="53"/>
      <c r="PWA37" s="53"/>
      <c r="PWB37" s="53"/>
      <c r="PWC37" s="53"/>
      <c r="PWD37" s="53"/>
      <c r="PWE37" s="53"/>
      <c r="PWF37" s="53"/>
      <c r="PWG37" s="53"/>
      <c r="PWH37" s="53"/>
      <c r="PWI37" s="53"/>
      <c r="PWJ37" s="53"/>
      <c r="PWK37" s="53"/>
      <c r="PWL37" s="53"/>
      <c r="PWM37" s="53"/>
      <c r="PWN37" s="53"/>
      <c r="PWO37" s="53"/>
      <c r="PWP37" s="53"/>
      <c r="PWQ37" s="53"/>
      <c r="PWR37" s="53"/>
      <c r="PWS37" s="53"/>
      <c r="PWT37" s="53"/>
      <c r="PWU37" s="53"/>
      <c r="PWV37" s="53"/>
      <c r="PWW37" s="53"/>
      <c r="PWX37" s="53"/>
      <c r="PWY37" s="53"/>
      <c r="PWZ37" s="53"/>
      <c r="PXA37" s="53"/>
      <c r="PXB37" s="53"/>
      <c r="PXC37" s="53"/>
      <c r="PXD37" s="53"/>
      <c r="PXE37" s="53"/>
      <c r="PXF37" s="53"/>
      <c r="PXG37" s="53"/>
      <c r="PXH37" s="53"/>
      <c r="PXI37" s="53"/>
      <c r="PXJ37" s="53"/>
      <c r="PXK37" s="53"/>
      <c r="PXL37" s="53"/>
      <c r="PXM37" s="53"/>
      <c r="PXN37" s="53"/>
      <c r="PXO37" s="53"/>
      <c r="PXP37" s="53"/>
      <c r="PXQ37" s="53"/>
      <c r="PXR37" s="53"/>
      <c r="PXS37" s="53"/>
      <c r="PXT37" s="53"/>
      <c r="PXU37" s="53"/>
      <c r="PXV37" s="53"/>
      <c r="PXW37" s="53"/>
      <c r="PXX37" s="53"/>
      <c r="PXY37" s="53"/>
      <c r="PXZ37" s="53"/>
      <c r="PYA37" s="53"/>
      <c r="PYB37" s="53"/>
      <c r="PYC37" s="53"/>
      <c r="PYD37" s="53"/>
      <c r="PYE37" s="53"/>
      <c r="PYF37" s="53"/>
      <c r="PYG37" s="53"/>
      <c r="PYH37" s="53"/>
      <c r="PYI37" s="53"/>
      <c r="PYJ37" s="53"/>
      <c r="PYK37" s="53"/>
      <c r="PYL37" s="53"/>
      <c r="PYM37" s="53"/>
      <c r="PYN37" s="53"/>
      <c r="PYO37" s="53"/>
      <c r="PYP37" s="53"/>
      <c r="PYQ37" s="53"/>
      <c r="PYR37" s="53"/>
      <c r="PYS37" s="53"/>
      <c r="PYT37" s="53"/>
      <c r="PYU37" s="53"/>
      <c r="PYV37" s="53"/>
      <c r="PYW37" s="53"/>
      <c r="PYX37" s="53"/>
      <c r="PYY37" s="53"/>
      <c r="PYZ37" s="53"/>
      <c r="PZA37" s="53"/>
      <c r="PZB37" s="53"/>
      <c r="PZC37" s="53"/>
      <c r="PZD37" s="53"/>
      <c r="PZE37" s="53"/>
      <c r="PZF37" s="53"/>
      <c r="PZG37" s="53"/>
      <c r="PZH37" s="53"/>
      <c r="PZI37" s="53"/>
      <c r="PZJ37" s="53"/>
      <c r="PZK37" s="53"/>
      <c r="PZL37" s="53"/>
      <c r="PZM37" s="53"/>
      <c r="PZN37" s="53"/>
      <c r="PZO37" s="53"/>
      <c r="PZP37" s="53"/>
      <c r="PZQ37" s="53"/>
      <c r="PZR37" s="53"/>
      <c r="PZS37" s="53"/>
      <c r="PZT37" s="53"/>
      <c r="PZU37" s="53"/>
      <c r="PZV37" s="53"/>
      <c r="PZW37" s="53"/>
      <c r="PZX37" s="53"/>
      <c r="PZY37" s="53"/>
      <c r="PZZ37" s="53"/>
      <c r="QAA37" s="53"/>
      <c r="QAB37" s="53"/>
      <c r="QAC37" s="53"/>
      <c r="QAD37" s="53"/>
      <c r="QAE37" s="53"/>
      <c r="QAF37" s="53"/>
      <c r="QAG37" s="53"/>
      <c r="QAH37" s="53"/>
      <c r="QAI37" s="53"/>
      <c r="QAJ37" s="53"/>
      <c r="QAK37" s="53"/>
      <c r="QAL37" s="53"/>
      <c r="QAM37" s="53"/>
      <c r="QAN37" s="53"/>
      <c r="QAO37" s="53"/>
      <c r="QAP37" s="53"/>
      <c r="QAQ37" s="53"/>
      <c r="QAR37" s="53"/>
      <c r="QAS37" s="53"/>
      <c r="QAT37" s="53"/>
      <c r="QAU37" s="53"/>
      <c r="QAV37" s="53"/>
      <c r="QAW37" s="53"/>
      <c r="QAX37" s="53"/>
      <c r="QAY37" s="53"/>
      <c r="QAZ37" s="53"/>
      <c r="QBA37" s="53"/>
      <c r="QBB37" s="53"/>
      <c r="QBC37" s="53"/>
      <c r="QBD37" s="53"/>
      <c r="QBE37" s="53"/>
      <c r="QBF37" s="53"/>
      <c r="QBG37" s="53"/>
      <c r="QBH37" s="53"/>
      <c r="QBI37" s="53"/>
      <c r="QBJ37" s="53"/>
      <c r="QBK37" s="53"/>
      <c r="QBL37" s="53"/>
      <c r="QBM37" s="53"/>
      <c r="QBN37" s="53"/>
      <c r="QBO37" s="53"/>
      <c r="QBP37" s="53"/>
      <c r="QBQ37" s="53"/>
      <c r="QBR37" s="53"/>
      <c r="QBS37" s="53"/>
      <c r="QBT37" s="53"/>
      <c r="QBU37" s="53"/>
      <c r="QBV37" s="53"/>
      <c r="QBW37" s="53"/>
      <c r="QBX37" s="53"/>
      <c r="QBY37" s="53"/>
      <c r="QBZ37" s="53"/>
      <c r="QCA37" s="53"/>
      <c r="QCB37" s="53"/>
      <c r="QCC37" s="53"/>
      <c r="QCD37" s="53"/>
      <c r="QCE37" s="53"/>
      <c r="QCF37" s="53"/>
      <c r="QCG37" s="53"/>
      <c r="QCH37" s="53"/>
      <c r="QCI37" s="53"/>
      <c r="QCJ37" s="53"/>
      <c r="QCK37" s="53"/>
      <c r="QCL37" s="53"/>
      <c r="QCM37" s="53"/>
      <c r="QCN37" s="53"/>
      <c r="QCO37" s="53"/>
      <c r="QCP37" s="53"/>
      <c r="QCQ37" s="53"/>
      <c r="QCR37" s="53"/>
      <c r="QCS37" s="53"/>
      <c r="QCT37" s="53"/>
      <c r="QCU37" s="53"/>
      <c r="QCV37" s="53"/>
      <c r="QCW37" s="53"/>
      <c r="QCX37" s="53"/>
      <c r="QCY37" s="53"/>
      <c r="QCZ37" s="53"/>
      <c r="QDA37" s="53"/>
      <c r="QDB37" s="53"/>
      <c r="QDC37" s="53"/>
      <c r="QDD37" s="53"/>
      <c r="QDE37" s="53"/>
      <c r="QDF37" s="53"/>
      <c r="QDG37" s="53"/>
      <c r="QDH37" s="53"/>
      <c r="QDI37" s="53"/>
      <c r="QDJ37" s="53"/>
      <c r="QDK37" s="53"/>
      <c r="QDL37" s="53"/>
      <c r="QDM37" s="53"/>
      <c r="QDN37" s="53"/>
      <c r="QDO37" s="53"/>
      <c r="QDP37" s="53"/>
      <c r="QDQ37" s="53"/>
      <c r="QDR37" s="53"/>
      <c r="QDS37" s="53"/>
      <c r="QDT37" s="53"/>
      <c r="QDU37" s="53"/>
      <c r="QDV37" s="53"/>
      <c r="QDW37" s="53"/>
      <c r="QDX37" s="53"/>
      <c r="QDY37" s="53"/>
      <c r="QDZ37" s="53"/>
      <c r="QEA37" s="53"/>
      <c r="QEB37" s="53"/>
      <c r="QEC37" s="53"/>
      <c r="QED37" s="53"/>
      <c r="QEE37" s="53"/>
      <c r="QEF37" s="53"/>
      <c r="QEG37" s="53"/>
      <c r="QEH37" s="53"/>
      <c r="QEI37" s="53"/>
      <c r="QEJ37" s="53"/>
      <c r="QEK37" s="53"/>
      <c r="QEL37" s="53"/>
      <c r="QEM37" s="53"/>
      <c r="QEN37" s="53"/>
      <c r="QEO37" s="53"/>
      <c r="QEP37" s="53"/>
      <c r="QEQ37" s="53"/>
      <c r="QER37" s="53"/>
      <c r="QES37" s="53"/>
      <c r="QET37" s="53"/>
      <c r="QEU37" s="53"/>
      <c r="QEV37" s="53"/>
      <c r="QEW37" s="53"/>
      <c r="QEX37" s="53"/>
      <c r="QEY37" s="53"/>
      <c r="QEZ37" s="53"/>
      <c r="QFA37" s="53"/>
      <c r="QFB37" s="53"/>
      <c r="QFC37" s="53"/>
      <c r="QFD37" s="53"/>
      <c r="QFE37" s="53"/>
      <c r="QFF37" s="53"/>
      <c r="QFG37" s="53"/>
      <c r="QFH37" s="53"/>
      <c r="QFI37" s="53"/>
      <c r="QFJ37" s="53"/>
      <c r="QFK37" s="53"/>
      <c r="QFL37" s="53"/>
      <c r="QFM37" s="53"/>
      <c r="QFN37" s="53"/>
      <c r="QFO37" s="53"/>
      <c r="QFP37" s="53"/>
      <c r="QFQ37" s="53"/>
      <c r="QFR37" s="53"/>
      <c r="QFS37" s="53"/>
      <c r="QFT37" s="53"/>
      <c r="QFU37" s="53"/>
      <c r="QFV37" s="53"/>
      <c r="QFW37" s="53"/>
      <c r="QFX37" s="53"/>
      <c r="QFY37" s="53"/>
      <c r="QFZ37" s="53"/>
      <c r="QGA37" s="53"/>
      <c r="QGB37" s="53"/>
      <c r="QGC37" s="53"/>
      <c r="QGD37" s="53"/>
      <c r="QGE37" s="53"/>
      <c r="QGF37" s="53"/>
      <c r="QGG37" s="53"/>
      <c r="QGH37" s="53"/>
      <c r="QGI37" s="53"/>
      <c r="QGJ37" s="53"/>
      <c r="QGK37" s="53"/>
      <c r="QGL37" s="53"/>
      <c r="QGM37" s="53"/>
      <c r="QGN37" s="53"/>
      <c r="QGO37" s="53"/>
      <c r="QGP37" s="53"/>
      <c r="QGQ37" s="53"/>
      <c r="QGR37" s="53"/>
      <c r="QGS37" s="53"/>
      <c r="QGT37" s="53"/>
      <c r="QGU37" s="53"/>
      <c r="QGV37" s="53"/>
      <c r="QGW37" s="53"/>
      <c r="QGX37" s="53"/>
      <c r="QGY37" s="53"/>
      <c r="QGZ37" s="53"/>
      <c r="QHA37" s="53"/>
      <c r="QHB37" s="53"/>
      <c r="QHC37" s="53"/>
      <c r="QHD37" s="53"/>
      <c r="QHE37" s="53"/>
      <c r="QHF37" s="53"/>
      <c r="QHG37" s="53"/>
      <c r="QHH37" s="53"/>
      <c r="QHI37" s="53"/>
      <c r="QHJ37" s="53"/>
      <c r="QHK37" s="53"/>
      <c r="QHL37" s="53"/>
      <c r="QHM37" s="53"/>
      <c r="QHN37" s="53"/>
      <c r="QHO37" s="53"/>
      <c r="QHP37" s="53"/>
      <c r="QHQ37" s="53"/>
      <c r="QHR37" s="53"/>
      <c r="QHS37" s="53"/>
      <c r="QHT37" s="53"/>
      <c r="QHU37" s="53"/>
      <c r="QHV37" s="53"/>
      <c r="QHW37" s="53"/>
      <c r="QHX37" s="53"/>
      <c r="QHY37" s="53"/>
      <c r="QHZ37" s="53"/>
      <c r="QIA37" s="53"/>
      <c r="QIB37" s="53"/>
      <c r="QIC37" s="53"/>
      <c r="QID37" s="53"/>
      <c r="QIE37" s="53"/>
      <c r="QIF37" s="53"/>
      <c r="QIG37" s="53"/>
      <c r="QIH37" s="53"/>
      <c r="QII37" s="53"/>
      <c r="QIJ37" s="53"/>
      <c r="QIK37" s="53"/>
      <c r="QIL37" s="53"/>
      <c r="QIM37" s="53"/>
      <c r="QIN37" s="53"/>
      <c r="QIO37" s="53"/>
      <c r="QIP37" s="53"/>
      <c r="QIQ37" s="53"/>
      <c r="QIR37" s="53"/>
      <c r="QIS37" s="53"/>
      <c r="QIT37" s="53"/>
      <c r="QIU37" s="53"/>
      <c r="QIV37" s="53"/>
      <c r="QIW37" s="53"/>
      <c r="QIX37" s="53"/>
      <c r="QIY37" s="53"/>
      <c r="QIZ37" s="53"/>
      <c r="QJA37" s="53"/>
      <c r="QJB37" s="53"/>
      <c r="QJC37" s="53"/>
      <c r="QJD37" s="53"/>
      <c r="QJE37" s="53"/>
      <c r="QJF37" s="53"/>
      <c r="QJG37" s="53"/>
      <c r="QJH37" s="53"/>
      <c r="QJI37" s="53"/>
      <c r="QJJ37" s="53"/>
      <c r="QJK37" s="53"/>
      <c r="QJL37" s="53"/>
      <c r="QJM37" s="53"/>
      <c r="QJN37" s="53"/>
      <c r="QJO37" s="53"/>
      <c r="QJP37" s="53"/>
      <c r="QJQ37" s="53"/>
      <c r="QJR37" s="53"/>
      <c r="QJS37" s="53"/>
      <c r="QJT37" s="53"/>
      <c r="QJU37" s="53"/>
      <c r="QJV37" s="53"/>
      <c r="QJW37" s="53"/>
      <c r="QJX37" s="53"/>
      <c r="QJY37" s="53"/>
      <c r="QJZ37" s="53"/>
      <c r="QKA37" s="53"/>
      <c r="QKB37" s="53"/>
      <c r="QKC37" s="53"/>
      <c r="QKD37" s="53"/>
      <c r="QKE37" s="53"/>
      <c r="QKF37" s="53"/>
      <c r="QKG37" s="53"/>
      <c r="QKH37" s="53"/>
      <c r="QKI37" s="53"/>
      <c r="QKJ37" s="53"/>
      <c r="QKK37" s="53"/>
      <c r="QKL37" s="53"/>
      <c r="QKM37" s="53"/>
      <c r="QKN37" s="53"/>
      <c r="QKO37" s="53"/>
      <c r="QKP37" s="53"/>
      <c r="QKQ37" s="53"/>
      <c r="QKR37" s="53"/>
      <c r="QKS37" s="53"/>
      <c r="QKT37" s="53"/>
      <c r="QKU37" s="53"/>
      <c r="QKV37" s="53"/>
      <c r="QKW37" s="53"/>
      <c r="QKX37" s="53"/>
      <c r="QKY37" s="53"/>
      <c r="QKZ37" s="53"/>
      <c r="QLA37" s="53"/>
      <c r="QLB37" s="53"/>
      <c r="QLC37" s="53"/>
      <c r="QLD37" s="53"/>
      <c r="QLE37" s="53"/>
      <c r="QLF37" s="53"/>
      <c r="QLG37" s="53"/>
      <c r="QLH37" s="53"/>
      <c r="QLI37" s="53"/>
      <c r="QLJ37" s="53"/>
      <c r="QLK37" s="53"/>
      <c r="QLL37" s="53"/>
      <c r="QLM37" s="53"/>
      <c r="QLN37" s="53"/>
      <c r="QLO37" s="53"/>
      <c r="QLP37" s="53"/>
      <c r="QLQ37" s="53"/>
      <c r="QLR37" s="53"/>
      <c r="QLS37" s="53"/>
      <c r="QLT37" s="53"/>
      <c r="QLU37" s="53"/>
      <c r="QLV37" s="53"/>
      <c r="QLW37" s="53"/>
      <c r="QLX37" s="53"/>
      <c r="QLY37" s="53"/>
      <c r="QLZ37" s="53"/>
      <c r="QMA37" s="53"/>
      <c r="QMB37" s="53"/>
      <c r="QMC37" s="53"/>
      <c r="QMD37" s="53"/>
      <c r="QME37" s="53"/>
      <c r="QMF37" s="53"/>
      <c r="QMG37" s="53"/>
      <c r="QMH37" s="53"/>
      <c r="QMI37" s="53"/>
      <c r="QMJ37" s="53"/>
      <c r="QMK37" s="53"/>
      <c r="QML37" s="53"/>
      <c r="QMM37" s="53"/>
      <c r="QMN37" s="53"/>
      <c r="QMO37" s="53"/>
      <c r="QMP37" s="53"/>
      <c r="QMQ37" s="53"/>
      <c r="QMR37" s="53"/>
      <c r="QMS37" s="53"/>
      <c r="QMT37" s="53"/>
      <c r="QMU37" s="53"/>
      <c r="QMV37" s="53"/>
      <c r="QMW37" s="53"/>
      <c r="QMX37" s="53"/>
      <c r="QMY37" s="53"/>
      <c r="QMZ37" s="53"/>
      <c r="QNA37" s="53"/>
      <c r="QNB37" s="53"/>
      <c r="QNC37" s="53"/>
      <c r="QND37" s="53"/>
      <c r="QNE37" s="53"/>
      <c r="QNF37" s="53"/>
      <c r="QNG37" s="53"/>
      <c r="QNH37" s="53"/>
      <c r="QNI37" s="53"/>
      <c r="QNJ37" s="53"/>
      <c r="QNK37" s="53"/>
      <c r="QNL37" s="53"/>
      <c r="QNM37" s="53"/>
      <c r="QNN37" s="53"/>
      <c r="QNO37" s="53"/>
      <c r="QNP37" s="53"/>
      <c r="QNQ37" s="53"/>
      <c r="QNR37" s="53"/>
      <c r="QNS37" s="53"/>
      <c r="QNT37" s="53"/>
      <c r="QNU37" s="53"/>
      <c r="QNV37" s="53"/>
      <c r="QNW37" s="53"/>
      <c r="QNX37" s="53"/>
      <c r="QNY37" s="53"/>
      <c r="QNZ37" s="53"/>
      <c r="QOA37" s="53"/>
      <c r="QOB37" s="53"/>
      <c r="QOC37" s="53"/>
      <c r="QOD37" s="53"/>
      <c r="QOE37" s="53"/>
      <c r="QOF37" s="53"/>
      <c r="QOG37" s="53"/>
      <c r="QOH37" s="53"/>
      <c r="QOI37" s="53"/>
      <c r="QOJ37" s="53"/>
      <c r="QOK37" s="53"/>
      <c r="QOL37" s="53"/>
      <c r="QOM37" s="53"/>
      <c r="QON37" s="53"/>
      <c r="QOO37" s="53"/>
      <c r="QOP37" s="53"/>
      <c r="QOQ37" s="53"/>
      <c r="QOR37" s="53"/>
      <c r="QOS37" s="53"/>
      <c r="QOT37" s="53"/>
      <c r="QOU37" s="53"/>
      <c r="QOV37" s="53"/>
      <c r="QOW37" s="53"/>
      <c r="QOX37" s="53"/>
      <c r="QOY37" s="53"/>
      <c r="QOZ37" s="53"/>
      <c r="QPA37" s="53"/>
      <c r="QPB37" s="53"/>
      <c r="QPC37" s="53"/>
      <c r="QPD37" s="53"/>
      <c r="QPE37" s="53"/>
      <c r="QPF37" s="53"/>
      <c r="QPG37" s="53"/>
      <c r="QPH37" s="53"/>
      <c r="QPI37" s="53"/>
      <c r="QPJ37" s="53"/>
      <c r="QPK37" s="53"/>
      <c r="QPL37" s="53"/>
      <c r="QPM37" s="53"/>
      <c r="QPN37" s="53"/>
      <c r="QPO37" s="53"/>
      <c r="QPP37" s="53"/>
      <c r="QPQ37" s="53"/>
      <c r="QPR37" s="53"/>
      <c r="QPS37" s="53"/>
      <c r="QPT37" s="53"/>
      <c r="QPU37" s="53"/>
      <c r="QPV37" s="53"/>
      <c r="QPW37" s="53"/>
      <c r="QPX37" s="53"/>
      <c r="QPY37" s="53"/>
      <c r="QPZ37" s="53"/>
      <c r="QQA37" s="53"/>
      <c r="QQB37" s="53"/>
      <c r="QQC37" s="53"/>
      <c r="QQD37" s="53"/>
      <c r="QQE37" s="53"/>
      <c r="QQF37" s="53"/>
      <c r="QQG37" s="53"/>
      <c r="QQH37" s="53"/>
      <c r="QQI37" s="53"/>
      <c r="QQJ37" s="53"/>
      <c r="QQK37" s="53"/>
      <c r="QQL37" s="53"/>
      <c r="QQM37" s="53"/>
      <c r="QQN37" s="53"/>
      <c r="QQO37" s="53"/>
      <c r="QQP37" s="53"/>
      <c r="QQQ37" s="53"/>
      <c r="QQR37" s="53"/>
      <c r="QQS37" s="53"/>
      <c r="QQT37" s="53"/>
      <c r="QQU37" s="53"/>
      <c r="QQV37" s="53"/>
      <c r="QQW37" s="53"/>
      <c r="QQX37" s="53"/>
      <c r="QQY37" s="53"/>
      <c r="QQZ37" s="53"/>
      <c r="QRA37" s="53"/>
      <c r="QRB37" s="53"/>
      <c r="QRC37" s="53"/>
      <c r="QRD37" s="53"/>
      <c r="QRE37" s="53"/>
      <c r="QRF37" s="53"/>
      <c r="QRG37" s="53"/>
      <c r="QRH37" s="53"/>
      <c r="QRI37" s="53"/>
      <c r="QRJ37" s="53"/>
      <c r="QRK37" s="53"/>
      <c r="QRL37" s="53"/>
      <c r="QRM37" s="53"/>
      <c r="QRN37" s="53"/>
      <c r="QRO37" s="53"/>
      <c r="QRP37" s="53"/>
      <c r="QRQ37" s="53"/>
      <c r="QRR37" s="53"/>
      <c r="QRS37" s="53"/>
      <c r="QRT37" s="53"/>
      <c r="QRU37" s="53"/>
      <c r="QRV37" s="53"/>
      <c r="QRW37" s="53"/>
      <c r="QRX37" s="53"/>
      <c r="QRY37" s="53"/>
      <c r="QRZ37" s="53"/>
      <c r="QSA37" s="53"/>
      <c r="QSB37" s="53"/>
      <c r="QSC37" s="53"/>
      <c r="QSD37" s="53"/>
      <c r="QSE37" s="53"/>
      <c r="QSF37" s="53"/>
      <c r="QSG37" s="53"/>
      <c r="QSH37" s="53"/>
      <c r="QSI37" s="53"/>
      <c r="QSJ37" s="53"/>
      <c r="QSK37" s="53"/>
      <c r="QSL37" s="53"/>
      <c r="QSM37" s="53"/>
      <c r="QSN37" s="53"/>
      <c r="QSO37" s="53"/>
      <c r="QSP37" s="53"/>
      <c r="QSQ37" s="53"/>
      <c r="QSR37" s="53"/>
      <c r="QSS37" s="53"/>
      <c r="QST37" s="53"/>
      <c r="QSU37" s="53"/>
      <c r="QSV37" s="53"/>
      <c r="QSW37" s="53"/>
      <c r="QSX37" s="53"/>
      <c r="QSY37" s="53"/>
      <c r="QSZ37" s="53"/>
      <c r="QTA37" s="53"/>
      <c r="QTB37" s="53"/>
      <c r="QTC37" s="53"/>
      <c r="QTD37" s="53"/>
      <c r="QTE37" s="53"/>
      <c r="QTF37" s="53"/>
      <c r="QTG37" s="53"/>
      <c r="QTH37" s="53"/>
      <c r="QTI37" s="53"/>
      <c r="QTJ37" s="53"/>
      <c r="QTK37" s="53"/>
      <c r="QTL37" s="53"/>
      <c r="QTM37" s="53"/>
      <c r="QTN37" s="53"/>
      <c r="QTO37" s="53"/>
      <c r="QTP37" s="53"/>
      <c r="QTQ37" s="53"/>
      <c r="QTR37" s="53"/>
      <c r="QTS37" s="53"/>
      <c r="QTT37" s="53"/>
      <c r="QTU37" s="53"/>
      <c r="QTV37" s="53"/>
      <c r="QTW37" s="53"/>
      <c r="QTX37" s="53"/>
      <c r="QTY37" s="53"/>
      <c r="QTZ37" s="53"/>
      <c r="QUA37" s="53"/>
      <c r="QUB37" s="53"/>
      <c r="QUC37" s="53"/>
      <c r="QUD37" s="53"/>
      <c r="QUE37" s="53"/>
      <c r="QUF37" s="53"/>
      <c r="QUG37" s="53"/>
      <c r="QUH37" s="53"/>
      <c r="QUI37" s="53"/>
      <c r="QUJ37" s="53"/>
      <c r="QUK37" s="53"/>
      <c r="QUL37" s="53"/>
      <c r="QUM37" s="53"/>
      <c r="QUN37" s="53"/>
      <c r="QUO37" s="53"/>
      <c r="QUP37" s="53"/>
      <c r="QUQ37" s="53"/>
      <c r="QUR37" s="53"/>
      <c r="QUS37" s="53"/>
      <c r="QUT37" s="53"/>
      <c r="QUU37" s="53"/>
      <c r="QUV37" s="53"/>
      <c r="QUW37" s="53"/>
      <c r="QUX37" s="53"/>
      <c r="QUY37" s="53"/>
      <c r="QUZ37" s="53"/>
      <c r="QVA37" s="53"/>
      <c r="QVB37" s="53"/>
      <c r="QVC37" s="53"/>
      <c r="QVD37" s="53"/>
      <c r="QVE37" s="53"/>
      <c r="QVF37" s="53"/>
      <c r="QVG37" s="53"/>
      <c r="QVH37" s="53"/>
      <c r="QVI37" s="53"/>
      <c r="QVJ37" s="53"/>
      <c r="QVK37" s="53"/>
      <c r="QVL37" s="53"/>
      <c r="QVM37" s="53"/>
      <c r="QVN37" s="53"/>
      <c r="QVO37" s="53"/>
      <c r="QVP37" s="53"/>
      <c r="QVQ37" s="53"/>
      <c r="QVR37" s="53"/>
      <c r="QVS37" s="53"/>
      <c r="QVT37" s="53"/>
      <c r="QVU37" s="53"/>
      <c r="QVV37" s="53"/>
      <c r="QVW37" s="53"/>
      <c r="QVX37" s="53"/>
      <c r="QVY37" s="53"/>
      <c r="QVZ37" s="53"/>
      <c r="QWA37" s="53"/>
      <c r="QWB37" s="53"/>
      <c r="QWC37" s="53"/>
      <c r="QWD37" s="53"/>
      <c r="QWE37" s="53"/>
      <c r="QWF37" s="53"/>
      <c r="QWG37" s="53"/>
      <c r="QWH37" s="53"/>
      <c r="QWI37" s="53"/>
      <c r="QWJ37" s="53"/>
      <c r="QWK37" s="53"/>
      <c r="QWL37" s="53"/>
      <c r="QWM37" s="53"/>
      <c r="QWN37" s="53"/>
      <c r="QWO37" s="53"/>
      <c r="QWP37" s="53"/>
      <c r="QWQ37" s="53"/>
      <c r="QWR37" s="53"/>
      <c r="QWS37" s="53"/>
      <c r="QWT37" s="53"/>
      <c r="QWU37" s="53"/>
      <c r="QWV37" s="53"/>
      <c r="QWW37" s="53"/>
      <c r="QWX37" s="53"/>
      <c r="QWY37" s="53"/>
      <c r="QWZ37" s="53"/>
      <c r="QXA37" s="53"/>
      <c r="QXB37" s="53"/>
      <c r="QXC37" s="53"/>
      <c r="QXD37" s="53"/>
      <c r="QXE37" s="53"/>
      <c r="QXF37" s="53"/>
      <c r="QXG37" s="53"/>
      <c r="QXH37" s="53"/>
      <c r="QXI37" s="53"/>
      <c r="QXJ37" s="53"/>
      <c r="QXK37" s="53"/>
      <c r="QXL37" s="53"/>
      <c r="QXM37" s="53"/>
      <c r="QXN37" s="53"/>
      <c r="QXO37" s="53"/>
      <c r="QXP37" s="53"/>
      <c r="QXQ37" s="53"/>
      <c r="QXR37" s="53"/>
      <c r="QXS37" s="53"/>
      <c r="QXT37" s="53"/>
      <c r="QXU37" s="53"/>
      <c r="QXV37" s="53"/>
      <c r="QXW37" s="53"/>
      <c r="QXX37" s="53"/>
      <c r="QXY37" s="53"/>
      <c r="QXZ37" s="53"/>
      <c r="QYA37" s="53"/>
      <c r="QYB37" s="53"/>
      <c r="QYC37" s="53"/>
      <c r="QYD37" s="53"/>
      <c r="QYE37" s="53"/>
      <c r="QYF37" s="53"/>
      <c r="QYG37" s="53"/>
      <c r="QYH37" s="53"/>
      <c r="QYI37" s="53"/>
      <c r="QYJ37" s="53"/>
      <c r="QYK37" s="53"/>
      <c r="QYL37" s="53"/>
      <c r="QYM37" s="53"/>
      <c r="QYN37" s="53"/>
      <c r="QYO37" s="53"/>
      <c r="QYP37" s="53"/>
      <c r="QYQ37" s="53"/>
      <c r="QYR37" s="53"/>
      <c r="QYS37" s="53"/>
      <c r="QYT37" s="53"/>
      <c r="QYU37" s="53"/>
      <c r="QYV37" s="53"/>
      <c r="QYW37" s="53"/>
      <c r="QYX37" s="53"/>
      <c r="QYY37" s="53"/>
      <c r="QYZ37" s="53"/>
      <c r="QZA37" s="53"/>
      <c r="QZB37" s="53"/>
      <c r="QZC37" s="53"/>
      <c r="QZD37" s="53"/>
      <c r="QZE37" s="53"/>
      <c r="QZF37" s="53"/>
      <c r="QZG37" s="53"/>
      <c r="QZH37" s="53"/>
      <c r="QZI37" s="53"/>
      <c r="QZJ37" s="53"/>
      <c r="QZK37" s="53"/>
      <c r="QZL37" s="53"/>
      <c r="QZM37" s="53"/>
      <c r="QZN37" s="53"/>
      <c r="QZO37" s="53"/>
      <c r="QZP37" s="53"/>
      <c r="QZQ37" s="53"/>
      <c r="QZR37" s="53"/>
      <c r="QZS37" s="53"/>
      <c r="QZT37" s="53"/>
      <c r="QZU37" s="53"/>
      <c r="QZV37" s="53"/>
      <c r="QZW37" s="53"/>
      <c r="QZX37" s="53"/>
      <c r="QZY37" s="53"/>
      <c r="QZZ37" s="53"/>
      <c r="RAA37" s="53"/>
      <c r="RAB37" s="53"/>
      <c r="RAC37" s="53"/>
      <c r="RAD37" s="53"/>
      <c r="RAE37" s="53"/>
      <c r="RAF37" s="53"/>
      <c r="RAG37" s="53"/>
      <c r="RAH37" s="53"/>
      <c r="RAI37" s="53"/>
      <c r="RAJ37" s="53"/>
      <c r="RAK37" s="53"/>
      <c r="RAL37" s="53"/>
      <c r="RAM37" s="53"/>
      <c r="RAN37" s="53"/>
      <c r="RAO37" s="53"/>
      <c r="RAP37" s="53"/>
      <c r="RAQ37" s="53"/>
      <c r="RAR37" s="53"/>
      <c r="RAS37" s="53"/>
      <c r="RAT37" s="53"/>
      <c r="RAU37" s="53"/>
      <c r="RAV37" s="53"/>
      <c r="RAW37" s="53"/>
      <c r="RAX37" s="53"/>
      <c r="RAY37" s="53"/>
      <c r="RAZ37" s="53"/>
      <c r="RBA37" s="53"/>
      <c r="RBB37" s="53"/>
      <c r="RBC37" s="53"/>
      <c r="RBD37" s="53"/>
      <c r="RBE37" s="53"/>
      <c r="RBF37" s="53"/>
      <c r="RBG37" s="53"/>
      <c r="RBH37" s="53"/>
      <c r="RBI37" s="53"/>
      <c r="RBJ37" s="53"/>
      <c r="RBK37" s="53"/>
      <c r="RBL37" s="53"/>
      <c r="RBM37" s="53"/>
      <c r="RBN37" s="53"/>
      <c r="RBO37" s="53"/>
      <c r="RBP37" s="53"/>
      <c r="RBQ37" s="53"/>
      <c r="RBR37" s="53"/>
      <c r="RBS37" s="53"/>
      <c r="RBT37" s="53"/>
      <c r="RBU37" s="53"/>
      <c r="RBV37" s="53"/>
      <c r="RBW37" s="53"/>
      <c r="RBX37" s="53"/>
      <c r="RBY37" s="53"/>
      <c r="RBZ37" s="53"/>
      <c r="RCA37" s="53"/>
      <c r="RCB37" s="53"/>
      <c r="RCC37" s="53"/>
      <c r="RCD37" s="53"/>
      <c r="RCE37" s="53"/>
      <c r="RCF37" s="53"/>
      <c r="RCG37" s="53"/>
      <c r="RCH37" s="53"/>
      <c r="RCI37" s="53"/>
      <c r="RCJ37" s="53"/>
      <c r="RCK37" s="53"/>
      <c r="RCL37" s="53"/>
      <c r="RCM37" s="53"/>
      <c r="RCN37" s="53"/>
      <c r="RCO37" s="53"/>
      <c r="RCP37" s="53"/>
      <c r="RCQ37" s="53"/>
      <c r="RCR37" s="53"/>
      <c r="RCS37" s="53"/>
      <c r="RCT37" s="53"/>
      <c r="RCU37" s="53"/>
      <c r="RCV37" s="53"/>
      <c r="RCW37" s="53"/>
      <c r="RCX37" s="53"/>
      <c r="RCY37" s="53"/>
      <c r="RCZ37" s="53"/>
      <c r="RDA37" s="53"/>
      <c r="RDB37" s="53"/>
      <c r="RDC37" s="53"/>
      <c r="RDD37" s="53"/>
      <c r="RDE37" s="53"/>
      <c r="RDF37" s="53"/>
      <c r="RDG37" s="53"/>
      <c r="RDH37" s="53"/>
      <c r="RDI37" s="53"/>
      <c r="RDJ37" s="53"/>
      <c r="RDK37" s="53"/>
      <c r="RDL37" s="53"/>
      <c r="RDM37" s="53"/>
      <c r="RDN37" s="53"/>
      <c r="RDO37" s="53"/>
      <c r="RDP37" s="53"/>
      <c r="RDQ37" s="53"/>
      <c r="RDR37" s="53"/>
      <c r="RDS37" s="53"/>
      <c r="RDT37" s="53"/>
      <c r="RDU37" s="53"/>
      <c r="RDV37" s="53"/>
      <c r="RDW37" s="53"/>
      <c r="RDX37" s="53"/>
      <c r="RDY37" s="53"/>
      <c r="RDZ37" s="53"/>
      <c r="REA37" s="53"/>
      <c r="REB37" s="53"/>
      <c r="REC37" s="53"/>
      <c r="RED37" s="53"/>
      <c r="REE37" s="53"/>
      <c r="REF37" s="53"/>
      <c r="REG37" s="53"/>
      <c r="REH37" s="53"/>
      <c r="REI37" s="53"/>
      <c r="REJ37" s="53"/>
      <c r="REK37" s="53"/>
      <c r="REL37" s="53"/>
      <c r="REM37" s="53"/>
      <c r="REN37" s="53"/>
      <c r="REO37" s="53"/>
      <c r="REP37" s="53"/>
      <c r="REQ37" s="53"/>
      <c r="RER37" s="53"/>
      <c r="RES37" s="53"/>
      <c r="RET37" s="53"/>
      <c r="REU37" s="53"/>
      <c r="REV37" s="53"/>
      <c r="REW37" s="53"/>
      <c r="REX37" s="53"/>
      <c r="REY37" s="53"/>
      <c r="REZ37" s="53"/>
      <c r="RFA37" s="53"/>
      <c r="RFB37" s="53"/>
      <c r="RFC37" s="53"/>
      <c r="RFD37" s="53"/>
      <c r="RFE37" s="53"/>
      <c r="RFF37" s="53"/>
      <c r="RFG37" s="53"/>
      <c r="RFH37" s="53"/>
      <c r="RFI37" s="53"/>
      <c r="RFJ37" s="53"/>
      <c r="RFK37" s="53"/>
      <c r="RFL37" s="53"/>
      <c r="RFM37" s="53"/>
      <c r="RFN37" s="53"/>
      <c r="RFO37" s="53"/>
      <c r="RFP37" s="53"/>
      <c r="RFQ37" s="53"/>
      <c r="RFR37" s="53"/>
      <c r="RFS37" s="53"/>
      <c r="RFT37" s="53"/>
      <c r="RFU37" s="53"/>
      <c r="RFV37" s="53"/>
      <c r="RFW37" s="53"/>
      <c r="RFX37" s="53"/>
      <c r="RFY37" s="53"/>
      <c r="RFZ37" s="53"/>
      <c r="RGA37" s="53"/>
      <c r="RGB37" s="53"/>
      <c r="RGC37" s="53"/>
      <c r="RGD37" s="53"/>
      <c r="RGE37" s="53"/>
      <c r="RGF37" s="53"/>
      <c r="RGG37" s="53"/>
      <c r="RGH37" s="53"/>
      <c r="RGI37" s="53"/>
      <c r="RGJ37" s="53"/>
      <c r="RGK37" s="53"/>
      <c r="RGL37" s="53"/>
      <c r="RGM37" s="53"/>
      <c r="RGN37" s="53"/>
      <c r="RGO37" s="53"/>
      <c r="RGP37" s="53"/>
      <c r="RGQ37" s="53"/>
      <c r="RGR37" s="53"/>
      <c r="RGS37" s="53"/>
      <c r="RGT37" s="53"/>
      <c r="RGU37" s="53"/>
      <c r="RGV37" s="53"/>
      <c r="RGW37" s="53"/>
      <c r="RGX37" s="53"/>
      <c r="RGY37" s="53"/>
      <c r="RGZ37" s="53"/>
      <c r="RHA37" s="53"/>
      <c r="RHB37" s="53"/>
      <c r="RHC37" s="53"/>
      <c r="RHD37" s="53"/>
      <c r="RHE37" s="53"/>
      <c r="RHF37" s="53"/>
      <c r="RHG37" s="53"/>
      <c r="RHH37" s="53"/>
      <c r="RHI37" s="53"/>
      <c r="RHJ37" s="53"/>
      <c r="RHK37" s="53"/>
      <c r="RHL37" s="53"/>
      <c r="RHM37" s="53"/>
      <c r="RHN37" s="53"/>
      <c r="RHO37" s="53"/>
      <c r="RHP37" s="53"/>
      <c r="RHQ37" s="53"/>
      <c r="RHR37" s="53"/>
      <c r="RHS37" s="53"/>
      <c r="RHT37" s="53"/>
      <c r="RHU37" s="53"/>
      <c r="RHV37" s="53"/>
      <c r="RHW37" s="53"/>
      <c r="RHX37" s="53"/>
      <c r="RHY37" s="53"/>
      <c r="RHZ37" s="53"/>
      <c r="RIA37" s="53"/>
      <c r="RIB37" s="53"/>
      <c r="RIC37" s="53"/>
      <c r="RID37" s="53"/>
      <c r="RIE37" s="53"/>
      <c r="RIF37" s="53"/>
      <c r="RIG37" s="53"/>
      <c r="RIH37" s="53"/>
      <c r="RII37" s="53"/>
      <c r="RIJ37" s="53"/>
      <c r="RIK37" s="53"/>
      <c r="RIL37" s="53"/>
      <c r="RIM37" s="53"/>
      <c r="RIN37" s="53"/>
      <c r="RIO37" s="53"/>
      <c r="RIP37" s="53"/>
      <c r="RIQ37" s="53"/>
      <c r="RIR37" s="53"/>
      <c r="RIS37" s="53"/>
      <c r="RIT37" s="53"/>
      <c r="RIU37" s="53"/>
      <c r="RIV37" s="53"/>
      <c r="RIW37" s="53"/>
      <c r="RIX37" s="53"/>
      <c r="RIY37" s="53"/>
      <c r="RIZ37" s="53"/>
      <c r="RJA37" s="53"/>
      <c r="RJB37" s="53"/>
      <c r="RJC37" s="53"/>
      <c r="RJD37" s="53"/>
      <c r="RJE37" s="53"/>
      <c r="RJF37" s="53"/>
      <c r="RJG37" s="53"/>
      <c r="RJH37" s="53"/>
      <c r="RJI37" s="53"/>
      <c r="RJJ37" s="53"/>
      <c r="RJK37" s="53"/>
      <c r="RJL37" s="53"/>
      <c r="RJM37" s="53"/>
      <c r="RJN37" s="53"/>
      <c r="RJO37" s="53"/>
      <c r="RJP37" s="53"/>
      <c r="RJQ37" s="53"/>
      <c r="RJR37" s="53"/>
      <c r="RJS37" s="53"/>
      <c r="RJT37" s="53"/>
      <c r="RJU37" s="53"/>
      <c r="RJV37" s="53"/>
      <c r="RJW37" s="53"/>
      <c r="RJX37" s="53"/>
      <c r="RJY37" s="53"/>
      <c r="RJZ37" s="53"/>
      <c r="RKA37" s="53"/>
      <c r="RKB37" s="53"/>
      <c r="RKC37" s="53"/>
      <c r="RKD37" s="53"/>
      <c r="RKE37" s="53"/>
      <c r="RKF37" s="53"/>
      <c r="RKG37" s="53"/>
      <c r="RKH37" s="53"/>
      <c r="RKI37" s="53"/>
      <c r="RKJ37" s="53"/>
      <c r="RKK37" s="53"/>
      <c r="RKL37" s="53"/>
      <c r="RKM37" s="53"/>
      <c r="RKN37" s="53"/>
      <c r="RKO37" s="53"/>
      <c r="RKP37" s="53"/>
      <c r="RKQ37" s="53"/>
      <c r="RKR37" s="53"/>
      <c r="RKS37" s="53"/>
      <c r="RKT37" s="53"/>
      <c r="RKU37" s="53"/>
      <c r="RKV37" s="53"/>
      <c r="RKW37" s="53"/>
      <c r="RKX37" s="53"/>
      <c r="RKY37" s="53"/>
      <c r="RKZ37" s="53"/>
      <c r="RLA37" s="53"/>
      <c r="RLB37" s="53"/>
      <c r="RLC37" s="53"/>
      <c r="RLD37" s="53"/>
      <c r="RLE37" s="53"/>
      <c r="RLF37" s="53"/>
      <c r="RLG37" s="53"/>
      <c r="RLH37" s="53"/>
      <c r="RLI37" s="53"/>
      <c r="RLJ37" s="53"/>
      <c r="RLK37" s="53"/>
      <c r="RLL37" s="53"/>
      <c r="RLM37" s="53"/>
      <c r="RLN37" s="53"/>
      <c r="RLO37" s="53"/>
      <c r="RLP37" s="53"/>
      <c r="RLQ37" s="53"/>
      <c r="RLR37" s="53"/>
      <c r="RLS37" s="53"/>
      <c r="RLT37" s="53"/>
      <c r="RLU37" s="53"/>
      <c r="RLV37" s="53"/>
      <c r="RLW37" s="53"/>
      <c r="RLX37" s="53"/>
      <c r="RLY37" s="53"/>
      <c r="RLZ37" s="53"/>
      <c r="RMA37" s="53"/>
      <c r="RMB37" s="53"/>
      <c r="RMC37" s="53"/>
      <c r="RMD37" s="53"/>
      <c r="RME37" s="53"/>
      <c r="RMF37" s="53"/>
      <c r="RMG37" s="53"/>
      <c r="RMH37" s="53"/>
      <c r="RMI37" s="53"/>
      <c r="RMJ37" s="53"/>
      <c r="RMK37" s="53"/>
      <c r="RML37" s="53"/>
      <c r="RMM37" s="53"/>
      <c r="RMN37" s="53"/>
      <c r="RMO37" s="53"/>
      <c r="RMP37" s="53"/>
      <c r="RMQ37" s="53"/>
      <c r="RMR37" s="53"/>
      <c r="RMS37" s="53"/>
      <c r="RMT37" s="53"/>
      <c r="RMU37" s="53"/>
      <c r="RMV37" s="53"/>
      <c r="RMW37" s="53"/>
      <c r="RMX37" s="53"/>
      <c r="RMY37" s="53"/>
      <c r="RMZ37" s="53"/>
      <c r="RNA37" s="53"/>
      <c r="RNB37" s="53"/>
      <c r="RNC37" s="53"/>
      <c r="RND37" s="53"/>
      <c r="RNE37" s="53"/>
      <c r="RNF37" s="53"/>
      <c r="RNG37" s="53"/>
      <c r="RNH37" s="53"/>
      <c r="RNI37" s="53"/>
      <c r="RNJ37" s="53"/>
      <c r="RNK37" s="53"/>
      <c r="RNL37" s="53"/>
      <c r="RNM37" s="53"/>
      <c r="RNN37" s="53"/>
      <c r="RNO37" s="53"/>
      <c r="RNP37" s="53"/>
      <c r="RNQ37" s="53"/>
      <c r="RNR37" s="53"/>
      <c r="RNS37" s="53"/>
      <c r="RNT37" s="53"/>
      <c r="RNU37" s="53"/>
      <c r="RNV37" s="53"/>
      <c r="RNW37" s="53"/>
      <c r="RNX37" s="53"/>
      <c r="RNY37" s="53"/>
      <c r="RNZ37" s="53"/>
      <c r="ROA37" s="53"/>
      <c r="ROB37" s="53"/>
      <c r="ROC37" s="53"/>
      <c r="ROD37" s="53"/>
      <c r="ROE37" s="53"/>
      <c r="ROF37" s="53"/>
      <c r="ROG37" s="53"/>
      <c r="ROH37" s="53"/>
      <c r="ROI37" s="53"/>
      <c r="ROJ37" s="53"/>
      <c r="ROK37" s="53"/>
      <c r="ROL37" s="53"/>
      <c r="ROM37" s="53"/>
      <c r="RON37" s="53"/>
      <c r="ROO37" s="53"/>
      <c r="ROP37" s="53"/>
      <c r="ROQ37" s="53"/>
      <c r="ROR37" s="53"/>
      <c r="ROS37" s="53"/>
      <c r="ROT37" s="53"/>
      <c r="ROU37" s="53"/>
      <c r="ROV37" s="53"/>
      <c r="ROW37" s="53"/>
      <c r="ROX37" s="53"/>
      <c r="ROY37" s="53"/>
      <c r="ROZ37" s="53"/>
      <c r="RPA37" s="53"/>
      <c r="RPB37" s="53"/>
      <c r="RPC37" s="53"/>
      <c r="RPD37" s="53"/>
      <c r="RPE37" s="53"/>
      <c r="RPF37" s="53"/>
      <c r="RPG37" s="53"/>
      <c r="RPH37" s="53"/>
      <c r="RPI37" s="53"/>
      <c r="RPJ37" s="53"/>
      <c r="RPK37" s="53"/>
      <c r="RPL37" s="53"/>
      <c r="RPM37" s="53"/>
      <c r="RPN37" s="53"/>
      <c r="RPO37" s="53"/>
      <c r="RPP37" s="53"/>
      <c r="RPQ37" s="53"/>
      <c r="RPR37" s="53"/>
      <c r="RPS37" s="53"/>
      <c r="RPT37" s="53"/>
      <c r="RPU37" s="53"/>
      <c r="RPV37" s="53"/>
      <c r="RPW37" s="53"/>
      <c r="RPX37" s="53"/>
      <c r="RPY37" s="53"/>
      <c r="RPZ37" s="53"/>
      <c r="RQA37" s="53"/>
      <c r="RQB37" s="53"/>
      <c r="RQC37" s="53"/>
      <c r="RQD37" s="53"/>
      <c r="RQE37" s="53"/>
      <c r="RQF37" s="53"/>
      <c r="RQG37" s="53"/>
      <c r="RQH37" s="53"/>
      <c r="RQI37" s="53"/>
      <c r="RQJ37" s="53"/>
      <c r="RQK37" s="53"/>
      <c r="RQL37" s="53"/>
      <c r="RQM37" s="53"/>
      <c r="RQN37" s="53"/>
      <c r="RQO37" s="53"/>
      <c r="RQP37" s="53"/>
      <c r="RQQ37" s="53"/>
      <c r="RQR37" s="53"/>
      <c r="RQS37" s="53"/>
      <c r="RQT37" s="53"/>
      <c r="RQU37" s="53"/>
      <c r="RQV37" s="53"/>
      <c r="RQW37" s="53"/>
      <c r="RQX37" s="53"/>
      <c r="RQY37" s="53"/>
      <c r="RQZ37" s="53"/>
      <c r="RRA37" s="53"/>
      <c r="RRB37" s="53"/>
      <c r="RRC37" s="53"/>
      <c r="RRD37" s="53"/>
      <c r="RRE37" s="53"/>
      <c r="RRF37" s="53"/>
      <c r="RRG37" s="53"/>
      <c r="RRH37" s="53"/>
      <c r="RRI37" s="53"/>
      <c r="RRJ37" s="53"/>
      <c r="RRK37" s="53"/>
      <c r="RRL37" s="53"/>
      <c r="RRM37" s="53"/>
      <c r="RRN37" s="53"/>
      <c r="RRO37" s="53"/>
      <c r="RRP37" s="53"/>
      <c r="RRQ37" s="53"/>
      <c r="RRR37" s="53"/>
      <c r="RRS37" s="53"/>
      <c r="RRT37" s="53"/>
      <c r="RRU37" s="53"/>
      <c r="RRV37" s="53"/>
      <c r="RRW37" s="53"/>
      <c r="RRX37" s="53"/>
      <c r="RRY37" s="53"/>
      <c r="RRZ37" s="53"/>
      <c r="RSA37" s="53"/>
      <c r="RSB37" s="53"/>
      <c r="RSC37" s="53"/>
      <c r="RSD37" s="53"/>
      <c r="RSE37" s="53"/>
      <c r="RSF37" s="53"/>
      <c r="RSG37" s="53"/>
      <c r="RSH37" s="53"/>
      <c r="RSI37" s="53"/>
      <c r="RSJ37" s="53"/>
      <c r="RSK37" s="53"/>
      <c r="RSL37" s="53"/>
      <c r="RSM37" s="53"/>
      <c r="RSN37" s="53"/>
      <c r="RSO37" s="53"/>
      <c r="RSP37" s="53"/>
      <c r="RSQ37" s="53"/>
      <c r="RSR37" s="53"/>
      <c r="RSS37" s="53"/>
      <c r="RST37" s="53"/>
      <c r="RSU37" s="53"/>
      <c r="RSV37" s="53"/>
      <c r="RSW37" s="53"/>
      <c r="RSX37" s="53"/>
      <c r="RSY37" s="53"/>
      <c r="RSZ37" s="53"/>
      <c r="RTA37" s="53"/>
      <c r="RTB37" s="53"/>
      <c r="RTC37" s="53"/>
      <c r="RTD37" s="53"/>
      <c r="RTE37" s="53"/>
      <c r="RTF37" s="53"/>
      <c r="RTG37" s="53"/>
      <c r="RTH37" s="53"/>
      <c r="RTI37" s="53"/>
      <c r="RTJ37" s="53"/>
      <c r="RTK37" s="53"/>
      <c r="RTL37" s="53"/>
      <c r="RTM37" s="53"/>
      <c r="RTN37" s="53"/>
      <c r="RTO37" s="53"/>
      <c r="RTP37" s="53"/>
      <c r="RTQ37" s="53"/>
      <c r="RTR37" s="53"/>
      <c r="RTS37" s="53"/>
      <c r="RTT37" s="53"/>
      <c r="RTU37" s="53"/>
      <c r="RTV37" s="53"/>
      <c r="RTW37" s="53"/>
      <c r="RTX37" s="53"/>
      <c r="RTY37" s="53"/>
      <c r="RTZ37" s="53"/>
      <c r="RUA37" s="53"/>
      <c r="RUB37" s="53"/>
      <c r="RUC37" s="53"/>
      <c r="RUD37" s="53"/>
      <c r="RUE37" s="53"/>
      <c r="RUF37" s="53"/>
      <c r="RUG37" s="53"/>
      <c r="RUH37" s="53"/>
      <c r="RUI37" s="53"/>
      <c r="RUJ37" s="53"/>
      <c r="RUK37" s="53"/>
      <c r="RUL37" s="53"/>
      <c r="RUM37" s="53"/>
      <c r="RUN37" s="53"/>
      <c r="RUO37" s="53"/>
      <c r="RUP37" s="53"/>
      <c r="RUQ37" s="53"/>
      <c r="RUR37" s="53"/>
      <c r="RUS37" s="53"/>
      <c r="RUT37" s="53"/>
      <c r="RUU37" s="53"/>
      <c r="RUV37" s="53"/>
      <c r="RUW37" s="53"/>
      <c r="RUX37" s="53"/>
      <c r="RUY37" s="53"/>
      <c r="RUZ37" s="53"/>
      <c r="RVA37" s="53"/>
      <c r="RVB37" s="53"/>
      <c r="RVC37" s="53"/>
      <c r="RVD37" s="53"/>
      <c r="RVE37" s="53"/>
      <c r="RVF37" s="53"/>
      <c r="RVG37" s="53"/>
      <c r="RVH37" s="53"/>
      <c r="RVI37" s="53"/>
      <c r="RVJ37" s="53"/>
      <c r="RVK37" s="53"/>
      <c r="RVL37" s="53"/>
      <c r="RVM37" s="53"/>
      <c r="RVN37" s="53"/>
      <c r="RVO37" s="53"/>
      <c r="RVP37" s="53"/>
      <c r="RVQ37" s="53"/>
      <c r="RVR37" s="53"/>
      <c r="RVS37" s="53"/>
      <c r="RVT37" s="53"/>
      <c r="RVU37" s="53"/>
      <c r="RVV37" s="53"/>
      <c r="RVW37" s="53"/>
      <c r="RVX37" s="53"/>
      <c r="RVY37" s="53"/>
      <c r="RVZ37" s="53"/>
      <c r="RWA37" s="53"/>
      <c r="RWB37" s="53"/>
      <c r="RWC37" s="53"/>
      <c r="RWD37" s="53"/>
      <c r="RWE37" s="53"/>
      <c r="RWF37" s="53"/>
      <c r="RWG37" s="53"/>
      <c r="RWH37" s="53"/>
      <c r="RWI37" s="53"/>
      <c r="RWJ37" s="53"/>
      <c r="RWK37" s="53"/>
      <c r="RWL37" s="53"/>
      <c r="RWM37" s="53"/>
      <c r="RWN37" s="53"/>
      <c r="RWO37" s="53"/>
      <c r="RWP37" s="53"/>
      <c r="RWQ37" s="53"/>
      <c r="RWR37" s="53"/>
      <c r="RWS37" s="53"/>
      <c r="RWT37" s="53"/>
      <c r="RWU37" s="53"/>
      <c r="RWV37" s="53"/>
      <c r="RWW37" s="53"/>
      <c r="RWX37" s="53"/>
      <c r="RWY37" s="53"/>
      <c r="RWZ37" s="53"/>
      <c r="RXA37" s="53"/>
      <c r="RXB37" s="53"/>
      <c r="RXC37" s="53"/>
      <c r="RXD37" s="53"/>
      <c r="RXE37" s="53"/>
      <c r="RXF37" s="53"/>
      <c r="RXG37" s="53"/>
      <c r="RXH37" s="53"/>
      <c r="RXI37" s="53"/>
      <c r="RXJ37" s="53"/>
      <c r="RXK37" s="53"/>
      <c r="RXL37" s="53"/>
      <c r="RXM37" s="53"/>
      <c r="RXN37" s="53"/>
      <c r="RXO37" s="53"/>
      <c r="RXP37" s="53"/>
      <c r="RXQ37" s="53"/>
      <c r="RXR37" s="53"/>
      <c r="RXS37" s="53"/>
      <c r="RXT37" s="53"/>
      <c r="RXU37" s="53"/>
      <c r="RXV37" s="53"/>
      <c r="RXW37" s="53"/>
      <c r="RXX37" s="53"/>
      <c r="RXY37" s="53"/>
      <c r="RXZ37" s="53"/>
      <c r="RYA37" s="53"/>
      <c r="RYB37" s="53"/>
      <c r="RYC37" s="53"/>
      <c r="RYD37" s="53"/>
      <c r="RYE37" s="53"/>
      <c r="RYF37" s="53"/>
      <c r="RYG37" s="53"/>
      <c r="RYH37" s="53"/>
      <c r="RYI37" s="53"/>
      <c r="RYJ37" s="53"/>
      <c r="RYK37" s="53"/>
      <c r="RYL37" s="53"/>
      <c r="RYM37" s="53"/>
      <c r="RYN37" s="53"/>
      <c r="RYO37" s="53"/>
      <c r="RYP37" s="53"/>
      <c r="RYQ37" s="53"/>
      <c r="RYR37" s="53"/>
      <c r="RYS37" s="53"/>
      <c r="RYT37" s="53"/>
      <c r="RYU37" s="53"/>
      <c r="RYV37" s="53"/>
      <c r="RYW37" s="53"/>
      <c r="RYX37" s="53"/>
      <c r="RYY37" s="53"/>
      <c r="RYZ37" s="53"/>
      <c r="RZA37" s="53"/>
      <c r="RZB37" s="53"/>
      <c r="RZC37" s="53"/>
      <c r="RZD37" s="53"/>
      <c r="RZE37" s="53"/>
      <c r="RZF37" s="53"/>
      <c r="RZG37" s="53"/>
      <c r="RZH37" s="53"/>
      <c r="RZI37" s="53"/>
      <c r="RZJ37" s="53"/>
      <c r="RZK37" s="53"/>
      <c r="RZL37" s="53"/>
      <c r="RZM37" s="53"/>
      <c r="RZN37" s="53"/>
      <c r="RZO37" s="53"/>
      <c r="RZP37" s="53"/>
      <c r="RZQ37" s="53"/>
      <c r="RZR37" s="53"/>
      <c r="RZS37" s="53"/>
      <c r="RZT37" s="53"/>
      <c r="RZU37" s="53"/>
      <c r="RZV37" s="53"/>
      <c r="RZW37" s="53"/>
      <c r="RZX37" s="53"/>
      <c r="RZY37" s="53"/>
      <c r="RZZ37" s="53"/>
      <c r="SAA37" s="53"/>
      <c r="SAB37" s="53"/>
      <c r="SAC37" s="53"/>
      <c r="SAD37" s="53"/>
      <c r="SAE37" s="53"/>
      <c r="SAF37" s="53"/>
      <c r="SAG37" s="53"/>
      <c r="SAH37" s="53"/>
      <c r="SAI37" s="53"/>
      <c r="SAJ37" s="53"/>
      <c r="SAK37" s="53"/>
      <c r="SAL37" s="53"/>
      <c r="SAM37" s="53"/>
      <c r="SAN37" s="53"/>
      <c r="SAO37" s="53"/>
      <c r="SAP37" s="53"/>
      <c r="SAQ37" s="53"/>
      <c r="SAR37" s="53"/>
      <c r="SAS37" s="53"/>
      <c r="SAT37" s="53"/>
      <c r="SAU37" s="53"/>
      <c r="SAV37" s="53"/>
      <c r="SAW37" s="53"/>
      <c r="SAX37" s="53"/>
      <c r="SAY37" s="53"/>
      <c r="SAZ37" s="53"/>
      <c r="SBA37" s="53"/>
      <c r="SBB37" s="53"/>
      <c r="SBC37" s="53"/>
      <c r="SBD37" s="53"/>
      <c r="SBE37" s="53"/>
      <c r="SBF37" s="53"/>
      <c r="SBG37" s="53"/>
      <c r="SBH37" s="53"/>
      <c r="SBI37" s="53"/>
      <c r="SBJ37" s="53"/>
      <c r="SBK37" s="53"/>
      <c r="SBL37" s="53"/>
      <c r="SBM37" s="53"/>
      <c r="SBN37" s="53"/>
      <c r="SBO37" s="53"/>
      <c r="SBP37" s="53"/>
      <c r="SBQ37" s="53"/>
      <c r="SBR37" s="53"/>
      <c r="SBS37" s="53"/>
      <c r="SBT37" s="53"/>
      <c r="SBU37" s="53"/>
      <c r="SBV37" s="53"/>
      <c r="SBW37" s="53"/>
      <c r="SBX37" s="53"/>
      <c r="SBY37" s="53"/>
      <c r="SBZ37" s="53"/>
      <c r="SCA37" s="53"/>
      <c r="SCB37" s="53"/>
      <c r="SCC37" s="53"/>
      <c r="SCD37" s="53"/>
      <c r="SCE37" s="53"/>
      <c r="SCF37" s="53"/>
      <c r="SCG37" s="53"/>
      <c r="SCH37" s="53"/>
      <c r="SCI37" s="53"/>
      <c r="SCJ37" s="53"/>
      <c r="SCK37" s="53"/>
      <c r="SCL37" s="53"/>
      <c r="SCM37" s="53"/>
      <c r="SCN37" s="53"/>
      <c r="SCO37" s="53"/>
      <c r="SCP37" s="53"/>
      <c r="SCQ37" s="53"/>
      <c r="SCR37" s="53"/>
      <c r="SCS37" s="53"/>
      <c r="SCT37" s="53"/>
      <c r="SCU37" s="53"/>
      <c r="SCV37" s="53"/>
      <c r="SCW37" s="53"/>
      <c r="SCX37" s="53"/>
      <c r="SCY37" s="53"/>
      <c r="SCZ37" s="53"/>
      <c r="SDA37" s="53"/>
      <c r="SDB37" s="53"/>
      <c r="SDC37" s="53"/>
      <c r="SDD37" s="53"/>
      <c r="SDE37" s="53"/>
      <c r="SDF37" s="53"/>
      <c r="SDG37" s="53"/>
      <c r="SDH37" s="53"/>
      <c r="SDI37" s="53"/>
      <c r="SDJ37" s="53"/>
      <c r="SDK37" s="53"/>
      <c r="SDL37" s="53"/>
      <c r="SDM37" s="53"/>
      <c r="SDN37" s="53"/>
      <c r="SDO37" s="53"/>
      <c r="SDP37" s="53"/>
      <c r="SDQ37" s="53"/>
      <c r="SDR37" s="53"/>
      <c r="SDS37" s="53"/>
      <c r="SDT37" s="53"/>
      <c r="SDU37" s="53"/>
      <c r="SDV37" s="53"/>
      <c r="SDW37" s="53"/>
      <c r="SDX37" s="53"/>
      <c r="SDY37" s="53"/>
      <c r="SDZ37" s="53"/>
      <c r="SEA37" s="53"/>
      <c r="SEB37" s="53"/>
      <c r="SEC37" s="53"/>
      <c r="SED37" s="53"/>
      <c r="SEE37" s="53"/>
      <c r="SEF37" s="53"/>
      <c r="SEG37" s="53"/>
      <c r="SEH37" s="53"/>
      <c r="SEI37" s="53"/>
      <c r="SEJ37" s="53"/>
      <c r="SEK37" s="53"/>
      <c r="SEL37" s="53"/>
      <c r="SEM37" s="53"/>
      <c r="SEN37" s="53"/>
      <c r="SEO37" s="53"/>
      <c r="SEP37" s="53"/>
      <c r="SEQ37" s="53"/>
      <c r="SER37" s="53"/>
      <c r="SES37" s="53"/>
      <c r="SET37" s="53"/>
      <c r="SEU37" s="53"/>
      <c r="SEV37" s="53"/>
      <c r="SEW37" s="53"/>
      <c r="SEX37" s="53"/>
      <c r="SEY37" s="53"/>
      <c r="SEZ37" s="53"/>
      <c r="SFA37" s="53"/>
      <c r="SFB37" s="53"/>
      <c r="SFC37" s="53"/>
      <c r="SFD37" s="53"/>
      <c r="SFE37" s="53"/>
      <c r="SFF37" s="53"/>
      <c r="SFG37" s="53"/>
      <c r="SFH37" s="53"/>
      <c r="SFI37" s="53"/>
      <c r="SFJ37" s="53"/>
      <c r="SFK37" s="53"/>
      <c r="SFL37" s="53"/>
      <c r="SFM37" s="53"/>
      <c r="SFN37" s="53"/>
      <c r="SFO37" s="53"/>
      <c r="SFP37" s="53"/>
      <c r="SFQ37" s="53"/>
      <c r="SFR37" s="53"/>
      <c r="SFS37" s="53"/>
      <c r="SFT37" s="53"/>
      <c r="SFU37" s="53"/>
      <c r="SFV37" s="53"/>
      <c r="SFW37" s="53"/>
      <c r="SFX37" s="53"/>
      <c r="SFY37" s="53"/>
      <c r="SFZ37" s="53"/>
      <c r="SGA37" s="53"/>
      <c r="SGB37" s="53"/>
      <c r="SGC37" s="53"/>
      <c r="SGD37" s="53"/>
      <c r="SGE37" s="53"/>
      <c r="SGF37" s="53"/>
      <c r="SGG37" s="53"/>
      <c r="SGH37" s="53"/>
      <c r="SGI37" s="53"/>
      <c r="SGJ37" s="53"/>
      <c r="SGK37" s="53"/>
      <c r="SGL37" s="53"/>
      <c r="SGM37" s="53"/>
      <c r="SGN37" s="53"/>
      <c r="SGO37" s="53"/>
      <c r="SGP37" s="53"/>
      <c r="SGQ37" s="53"/>
      <c r="SGR37" s="53"/>
      <c r="SGS37" s="53"/>
      <c r="SGT37" s="53"/>
      <c r="SGU37" s="53"/>
      <c r="SGV37" s="53"/>
      <c r="SGW37" s="53"/>
      <c r="SGX37" s="53"/>
      <c r="SGY37" s="53"/>
      <c r="SGZ37" s="53"/>
      <c r="SHA37" s="53"/>
      <c r="SHB37" s="53"/>
      <c r="SHC37" s="53"/>
      <c r="SHD37" s="53"/>
      <c r="SHE37" s="53"/>
      <c r="SHF37" s="53"/>
      <c r="SHG37" s="53"/>
      <c r="SHH37" s="53"/>
      <c r="SHI37" s="53"/>
      <c r="SHJ37" s="53"/>
      <c r="SHK37" s="53"/>
      <c r="SHL37" s="53"/>
      <c r="SHM37" s="53"/>
      <c r="SHN37" s="53"/>
      <c r="SHO37" s="53"/>
      <c r="SHP37" s="53"/>
      <c r="SHQ37" s="53"/>
      <c r="SHR37" s="53"/>
      <c r="SHS37" s="53"/>
      <c r="SHT37" s="53"/>
      <c r="SHU37" s="53"/>
      <c r="SHV37" s="53"/>
      <c r="SHW37" s="53"/>
      <c r="SHX37" s="53"/>
      <c r="SHY37" s="53"/>
      <c r="SHZ37" s="53"/>
      <c r="SIA37" s="53"/>
      <c r="SIB37" s="53"/>
      <c r="SIC37" s="53"/>
      <c r="SID37" s="53"/>
      <c r="SIE37" s="53"/>
      <c r="SIF37" s="53"/>
      <c r="SIG37" s="53"/>
      <c r="SIH37" s="53"/>
      <c r="SII37" s="53"/>
      <c r="SIJ37" s="53"/>
      <c r="SIK37" s="53"/>
      <c r="SIL37" s="53"/>
      <c r="SIM37" s="53"/>
      <c r="SIN37" s="53"/>
      <c r="SIO37" s="53"/>
      <c r="SIP37" s="53"/>
      <c r="SIQ37" s="53"/>
      <c r="SIR37" s="53"/>
      <c r="SIS37" s="53"/>
      <c r="SIT37" s="53"/>
      <c r="SIU37" s="53"/>
      <c r="SIV37" s="53"/>
      <c r="SIW37" s="53"/>
      <c r="SIX37" s="53"/>
      <c r="SIY37" s="53"/>
      <c r="SIZ37" s="53"/>
      <c r="SJA37" s="53"/>
      <c r="SJB37" s="53"/>
      <c r="SJC37" s="53"/>
      <c r="SJD37" s="53"/>
      <c r="SJE37" s="53"/>
      <c r="SJF37" s="53"/>
      <c r="SJG37" s="53"/>
      <c r="SJH37" s="53"/>
      <c r="SJI37" s="53"/>
      <c r="SJJ37" s="53"/>
      <c r="SJK37" s="53"/>
      <c r="SJL37" s="53"/>
      <c r="SJM37" s="53"/>
      <c r="SJN37" s="53"/>
      <c r="SJO37" s="53"/>
      <c r="SJP37" s="53"/>
      <c r="SJQ37" s="53"/>
      <c r="SJR37" s="53"/>
      <c r="SJS37" s="53"/>
      <c r="SJT37" s="53"/>
      <c r="SJU37" s="53"/>
      <c r="SJV37" s="53"/>
      <c r="SJW37" s="53"/>
      <c r="SJX37" s="53"/>
      <c r="SJY37" s="53"/>
      <c r="SJZ37" s="53"/>
      <c r="SKA37" s="53"/>
      <c r="SKB37" s="53"/>
      <c r="SKC37" s="53"/>
      <c r="SKD37" s="53"/>
      <c r="SKE37" s="53"/>
      <c r="SKF37" s="53"/>
      <c r="SKG37" s="53"/>
      <c r="SKH37" s="53"/>
      <c r="SKI37" s="53"/>
      <c r="SKJ37" s="53"/>
      <c r="SKK37" s="53"/>
      <c r="SKL37" s="53"/>
      <c r="SKM37" s="53"/>
      <c r="SKN37" s="53"/>
      <c r="SKO37" s="53"/>
      <c r="SKP37" s="53"/>
      <c r="SKQ37" s="53"/>
      <c r="SKR37" s="53"/>
      <c r="SKS37" s="53"/>
      <c r="SKT37" s="53"/>
      <c r="SKU37" s="53"/>
      <c r="SKV37" s="53"/>
      <c r="SKW37" s="53"/>
      <c r="SKX37" s="53"/>
      <c r="SKY37" s="53"/>
      <c r="SKZ37" s="53"/>
      <c r="SLA37" s="53"/>
      <c r="SLB37" s="53"/>
      <c r="SLC37" s="53"/>
      <c r="SLD37" s="53"/>
      <c r="SLE37" s="53"/>
      <c r="SLF37" s="53"/>
      <c r="SLG37" s="53"/>
      <c r="SLH37" s="53"/>
      <c r="SLI37" s="53"/>
      <c r="SLJ37" s="53"/>
      <c r="SLK37" s="53"/>
      <c r="SLL37" s="53"/>
      <c r="SLM37" s="53"/>
      <c r="SLN37" s="53"/>
      <c r="SLO37" s="53"/>
      <c r="SLP37" s="53"/>
      <c r="SLQ37" s="53"/>
      <c r="SLR37" s="53"/>
      <c r="SLS37" s="53"/>
      <c r="SLT37" s="53"/>
      <c r="SLU37" s="53"/>
      <c r="SLV37" s="53"/>
      <c r="SLW37" s="53"/>
      <c r="SLX37" s="53"/>
      <c r="SLY37" s="53"/>
      <c r="SLZ37" s="53"/>
      <c r="SMA37" s="53"/>
      <c r="SMB37" s="53"/>
      <c r="SMC37" s="53"/>
      <c r="SMD37" s="53"/>
      <c r="SME37" s="53"/>
      <c r="SMF37" s="53"/>
      <c r="SMG37" s="53"/>
      <c r="SMH37" s="53"/>
      <c r="SMI37" s="53"/>
      <c r="SMJ37" s="53"/>
      <c r="SMK37" s="53"/>
      <c r="SML37" s="53"/>
      <c r="SMM37" s="53"/>
      <c r="SMN37" s="53"/>
      <c r="SMO37" s="53"/>
      <c r="SMP37" s="53"/>
      <c r="SMQ37" s="53"/>
      <c r="SMR37" s="53"/>
      <c r="SMS37" s="53"/>
      <c r="SMT37" s="53"/>
      <c r="SMU37" s="53"/>
      <c r="SMV37" s="53"/>
      <c r="SMW37" s="53"/>
      <c r="SMX37" s="53"/>
      <c r="SMY37" s="53"/>
      <c r="SMZ37" s="53"/>
      <c r="SNA37" s="53"/>
      <c r="SNB37" s="53"/>
      <c r="SNC37" s="53"/>
      <c r="SND37" s="53"/>
      <c r="SNE37" s="53"/>
      <c r="SNF37" s="53"/>
      <c r="SNG37" s="53"/>
      <c r="SNH37" s="53"/>
      <c r="SNI37" s="53"/>
      <c r="SNJ37" s="53"/>
      <c r="SNK37" s="53"/>
      <c r="SNL37" s="53"/>
      <c r="SNM37" s="53"/>
      <c r="SNN37" s="53"/>
      <c r="SNO37" s="53"/>
      <c r="SNP37" s="53"/>
      <c r="SNQ37" s="53"/>
      <c r="SNR37" s="53"/>
      <c r="SNS37" s="53"/>
      <c r="SNT37" s="53"/>
      <c r="SNU37" s="53"/>
      <c r="SNV37" s="53"/>
      <c r="SNW37" s="53"/>
      <c r="SNX37" s="53"/>
      <c r="SNY37" s="53"/>
      <c r="SNZ37" s="53"/>
      <c r="SOA37" s="53"/>
      <c r="SOB37" s="53"/>
      <c r="SOC37" s="53"/>
      <c r="SOD37" s="53"/>
      <c r="SOE37" s="53"/>
      <c r="SOF37" s="53"/>
      <c r="SOG37" s="53"/>
      <c r="SOH37" s="53"/>
      <c r="SOI37" s="53"/>
      <c r="SOJ37" s="53"/>
      <c r="SOK37" s="53"/>
      <c r="SOL37" s="53"/>
      <c r="SOM37" s="53"/>
      <c r="SON37" s="53"/>
      <c r="SOO37" s="53"/>
      <c r="SOP37" s="53"/>
      <c r="SOQ37" s="53"/>
      <c r="SOR37" s="53"/>
      <c r="SOS37" s="53"/>
      <c r="SOT37" s="53"/>
      <c r="SOU37" s="53"/>
      <c r="SOV37" s="53"/>
      <c r="SOW37" s="53"/>
      <c r="SOX37" s="53"/>
      <c r="SOY37" s="53"/>
      <c r="SOZ37" s="53"/>
      <c r="SPA37" s="53"/>
      <c r="SPB37" s="53"/>
      <c r="SPC37" s="53"/>
      <c r="SPD37" s="53"/>
      <c r="SPE37" s="53"/>
      <c r="SPF37" s="53"/>
      <c r="SPG37" s="53"/>
      <c r="SPH37" s="53"/>
      <c r="SPI37" s="53"/>
      <c r="SPJ37" s="53"/>
      <c r="SPK37" s="53"/>
      <c r="SPL37" s="53"/>
      <c r="SPM37" s="53"/>
      <c r="SPN37" s="53"/>
      <c r="SPO37" s="53"/>
      <c r="SPP37" s="53"/>
      <c r="SPQ37" s="53"/>
      <c r="SPR37" s="53"/>
      <c r="SPS37" s="53"/>
      <c r="SPT37" s="53"/>
      <c r="SPU37" s="53"/>
      <c r="SPV37" s="53"/>
      <c r="SPW37" s="53"/>
      <c r="SPX37" s="53"/>
      <c r="SPY37" s="53"/>
      <c r="SPZ37" s="53"/>
      <c r="SQA37" s="53"/>
      <c r="SQB37" s="53"/>
      <c r="SQC37" s="53"/>
      <c r="SQD37" s="53"/>
      <c r="SQE37" s="53"/>
      <c r="SQF37" s="53"/>
      <c r="SQG37" s="53"/>
      <c r="SQH37" s="53"/>
      <c r="SQI37" s="53"/>
      <c r="SQJ37" s="53"/>
      <c r="SQK37" s="53"/>
      <c r="SQL37" s="53"/>
      <c r="SQM37" s="53"/>
      <c r="SQN37" s="53"/>
      <c r="SQO37" s="53"/>
      <c r="SQP37" s="53"/>
      <c r="SQQ37" s="53"/>
      <c r="SQR37" s="53"/>
      <c r="SQS37" s="53"/>
      <c r="SQT37" s="53"/>
      <c r="SQU37" s="53"/>
      <c r="SQV37" s="53"/>
      <c r="SQW37" s="53"/>
      <c r="SQX37" s="53"/>
      <c r="SQY37" s="53"/>
      <c r="SQZ37" s="53"/>
      <c r="SRA37" s="53"/>
      <c r="SRB37" s="53"/>
      <c r="SRC37" s="53"/>
      <c r="SRD37" s="53"/>
      <c r="SRE37" s="53"/>
      <c r="SRF37" s="53"/>
      <c r="SRG37" s="53"/>
      <c r="SRH37" s="53"/>
      <c r="SRI37" s="53"/>
      <c r="SRJ37" s="53"/>
      <c r="SRK37" s="53"/>
      <c r="SRL37" s="53"/>
      <c r="SRM37" s="53"/>
      <c r="SRN37" s="53"/>
      <c r="SRO37" s="53"/>
      <c r="SRP37" s="53"/>
      <c r="SRQ37" s="53"/>
      <c r="SRR37" s="53"/>
      <c r="SRS37" s="53"/>
      <c r="SRT37" s="53"/>
      <c r="SRU37" s="53"/>
      <c r="SRV37" s="53"/>
      <c r="SRW37" s="53"/>
      <c r="SRX37" s="53"/>
      <c r="SRY37" s="53"/>
      <c r="SRZ37" s="53"/>
      <c r="SSA37" s="53"/>
      <c r="SSB37" s="53"/>
      <c r="SSC37" s="53"/>
      <c r="SSD37" s="53"/>
      <c r="SSE37" s="53"/>
      <c r="SSF37" s="53"/>
      <c r="SSG37" s="53"/>
      <c r="SSH37" s="53"/>
      <c r="SSI37" s="53"/>
      <c r="SSJ37" s="53"/>
      <c r="SSK37" s="53"/>
      <c r="SSL37" s="53"/>
      <c r="SSM37" s="53"/>
      <c r="SSN37" s="53"/>
      <c r="SSO37" s="53"/>
      <c r="SSP37" s="53"/>
      <c r="SSQ37" s="53"/>
      <c r="SSR37" s="53"/>
      <c r="SSS37" s="53"/>
      <c r="SST37" s="53"/>
      <c r="SSU37" s="53"/>
      <c r="SSV37" s="53"/>
      <c r="SSW37" s="53"/>
      <c r="SSX37" s="53"/>
      <c r="SSY37" s="53"/>
      <c r="SSZ37" s="53"/>
      <c r="STA37" s="53"/>
      <c r="STB37" s="53"/>
      <c r="STC37" s="53"/>
      <c r="STD37" s="53"/>
      <c r="STE37" s="53"/>
      <c r="STF37" s="53"/>
      <c r="STG37" s="53"/>
      <c r="STH37" s="53"/>
      <c r="STI37" s="53"/>
      <c r="STJ37" s="53"/>
      <c r="STK37" s="53"/>
      <c r="STL37" s="53"/>
      <c r="STM37" s="53"/>
      <c r="STN37" s="53"/>
      <c r="STO37" s="53"/>
      <c r="STP37" s="53"/>
      <c r="STQ37" s="53"/>
      <c r="STR37" s="53"/>
      <c r="STS37" s="53"/>
      <c r="STT37" s="53"/>
      <c r="STU37" s="53"/>
      <c r="STV37" s="53"/>
      <c r="STW37" s="53"/>
      <c r="STX37" s="53"/>
      <c r="STY37" s="53"/>
      <c r="STZ37" s="53"/>
      <c r="SUA37" s="53"/>
      <c r="SUB37" s="53"/>
      <c r="SUC37" s="53"/>
      <c r="SUD37" s="53"/>
      <c r="SUE37" s="53"/>
      <c r="SUF37" s="53"/>
      <c r="SUG37" s="53"/>
      <c r="SUH37" s="53"/>
      <c r="SUI37" s="53"/>
      <c r="SUJ37" s="53"/>
      <c r="SUK37" s="53"/>
      <c r="SUL37" s="53"/>
      <c r="SUM37" s="53"/>
      <c r="SUN37" s="53"/>
      <c r="SUO37" s="53"/>
      <c r="SUP37" s="53"/>
      <c r="SUQ37" s="53"/>
      <c r="SUR37" s="53"/>
      <c r="SUS37" s="53"/>
      <c r="SUT37" s="53"/>
      <c r="SUU37" s="53"/>
      <c r="SUV37" s="53"/>
      <c r="SUW37" s="53"/>
      <c r="SUX37" s="53"/>
      <c r="SUY37" s="53"/>
      <c r="SUZ37" s="53"/>
      <c r="SVA37" s="53"/>
      <c r="SVB37" s="53"/>
      <c r="SVC37" s="53"/>
      <c r="SVD37" s="53"/>
      <c r="SVE37" s="53"/>
      <c r="SVF37" s="53"/>
      <c r="SVG37" s="53"/>
      <c r="SVH37" s="53"/>
      <c r="SVI37" s="53"/>
      <c r="SVJ37" s="53"/>
      <c r="SVK37" s="53"/>
      <c r="SVL37" s="53"/>
      <c r="SVM37" s="53"/>
      <c r="SVN37" s="53"/>
      <c r="SVO37" s="53"/>
      <c r="SVP37" s="53"/>
      <c r="SVQ37" s="53"/>
      <c r="SVR37" s="53"/>
      <c r="SVS37" s="53"/>
      <c r="SVT37" s="53"/>
      <c r="SVU37" s="53"/>
      <c r="SVV37" s="53"/>
      <c r="SVW37" s="53"/>
      <c r="SVX37" s="53"/>
      <c r="SVY37" s="53"/>
      <c r="SVZ37" s="53"/>
      <c r="SWA37" s="53"/>
      <c r="SWB37" s="53"/>
      <c r="SWC37" s="53"/>
      <c r="SWD37" s="53"/>
      <c r="SWE37" s="53"/>
      <c r="SWF37" s="53"/>
      <c r="SWG37" s="53"/>
      <c r="SWH37" s="53"/>
      <c r="SWI37" s="53"/>
      <c r="SWJ37" s="53"/>
      <c r="SWK37" s="53"/>
      <c r="SWL37" s="53"/>
      <c r="SWM37" s="53"/>
      <c r="SWN37" s="53"/>
      <c r="SWO37" s="53"/>
      <c r="SWP37" s="53"/>
      <c r="SWQ37" s="53"/>
      <c r="SWR37" s="53"/>
      <c r="SWS37" s="53"/>
      <c r="SWT37" s="53"/>
      <c r="SWU37" s="53"/>
      <c r="SWV37" s="53"/>
      <c r="SWW37" s="53"/>
      <c r="SWX37" s="53"/>
      <c r="SWY37" s="53"/>
      <c r="SWZ37" s="53"/>
      <c r="SXA37" s="53"/>
      <c r="SXB37" s="53"/>
      <c r="SXC37" s="53"/>
      <c r="SXD37" s="53"/>
      <c r="SXE37" s="53"/>
      <c r="SXF37" s="53"/>
      <c r="SXG37" s="53"/>
      <c r="SXH37" s="53"/>
      <c r="SXI37" s="53"/>
      <c r="SXJ37" s="53"/>
      <c r="SXK37" s="53"/>
      <c r="SXL37" s="53"/>
      <c r="SXM37" s="53"/>
      <c r="SXN37" s="53"/>
      <c r="SXO37" s="53"/>
      <c r="SXP37" s="53"/>
      <c r="SXQ37" s="53"/>
      <c r="SXR37" s="53"/>
      <c r="SXS37" s="53"/>
      <c r="SXT37" s="53"/>
      <c r="SXU37" s="53"/>
      <c r="SXV37" s="53"/>
      <c r="SXW37" s="53"/>
      <c r="SXX37" s="53"/>
      <c r="SXY37" s="53"/>
      <c r="SXZ37" s="53"/>
      <c r="SYA37" s="53"/>
      <c r="SYB37" s="53"/>
      <c r="SYC37" s="53"/>
      <c r="SYD37" s="53"/>
      <c r="SYE37" s="53"/>
      <c r="SYF37" s="53"/>
      <c r="SYG37" s="53"/>
      <c r="SYH37" s="53"/>
      <c r="SYI37" s="53"/>
      <c r="SYJ37" s="53"/>
      <c r="SYK37" s="53"/>
      <c r="SYL37" s="53"/>
      <c r="SYM37" s="53"/>
      <c r="SYN37" s="53"/>
      <c r="SYO37" s="53"/>
      <c r="SYP37" s="53"/>
      <c r="SYQ37" s="53"/>
      <c r="SYR37" s="53"/>
      <c r="SYS37" s="53"/>
      <c r="SYT37" s="53"/>
      <c r="SYU37" s="53"/>
      <c r="SYV37" s="53"/>
      <c r="SYW37" s="53"/>
      <c r="SYX37" s="53"/>
      <c r="SYY37" s="53"/>
      <c r="SYZ37" s="53"/>
      <c r="SZA37" s="53"/>
      <c r="SZB37" s="53"/>
      <c r="SZC37" s="53"/>
      <c r="SZD37" s="53"/>
      <c r="SZE37" s="53"/>
      <c r="SZF37" s="53"/>
      <c r="SZG37" s="53"/>
      <c r="SZH37" s="53"/>
      <c r="SZI37" s="53"/>
      <c r="SZJ37" s="53"/>
      <c r="SZK37" s="53"/>
      <c r="SZL37" s="53"/>
      <c r="SZM37" s="53"/>
      <c r="SZN37" s="53"/>
      <c r="SZO37" s="53"/>
      <c r="SZP37" s="53"/>
      <c r="SZQ37" s="53"/>
      <c r="SZR37" s="53"/>
      <c r="SZS37" s="53"/>
      <c r="SZT37" s="53"/>
      <c r="SZU37" s="53"/>
      <c r="SZV37" s="53"/>
      <c r="SZW37" s="53"/>
      <c r="SZX37" s="53"/>
      <c r="SZY37" s="53"/>
      <c r="SZZ37" s="53"/>
      <c r="TAA37" s="53"/>
      <c r="TAB37" s="53"/>
      <c r="TAC37" s="53"/>
      <c r="TAD37" s="53"/>
      <c r="TAE37" s="53"/>
      <c r="TAF37" s="53"/>
      <c r="TAG37" s="53"/>
      <c r="TAH37" s="53"/>
      <c r="TAI37" s="53"/>
      <c r="TAJ37" s="53"/>
      <c r="TAK37" s="53"/>
      <c r="TAL37" s="53"/>
      <c r="TAM37" s="53"/>
      <c r="TAN37" s="53"/>
      <c r="TAO37" s="53"/>
      <c r="TAP37" s="53"/>
      <c r="TAQ37" s="53"/>
      <c r="TAR37" s="53"/>
      <c r="TAS37" s="53"/>
      <c r="TAT37" s="53"/>
      <c r="TAU37" s="53"/>
      <c r="TAV37" s="53"/>
      <c r="TAW37" s="53"/>
      <c r="TAX37" s="53"/>
      <c r="TAY37" s="53"/>
      <c r="TAZ37" s="53"/>
      <c r="TBA37" s="53"/>
      <c r="TBB37" s="53"/>
      <c r="TBC37" s="53"/>
      <c r="TBD37" s="53"/>
      <c r="TBE37" s="53"/>
      <c r="TBF37" s="53"/>
      <c r="TBG37" s="53"/>
      <c r="TBH37" s="53"/>
      <c r="TBI37" s="53"/>
      <c r="TBJ37" s="53"/>
      <c r="TBK37" s="53"/>
      <c r="TBL37" s="53"/>
      <c r="TBM37" s="53"/>
      <c r="TBN37" s="53"/>
      <c r="TBO37" s="53"/>
      <c r="TBP37" s="53"/>
      <c r="TBQ37" s="53"/>
      <c r="TBR37" s="53"/>
      <c r="TBS37" s="53"/>
      <c r="TBT37" s="53"/>
      <c r="TBU37" s="53"/>
      <c r="TBV37" s="53"/>
      <c r="TBW37" s="53"/>
      <c r="TBX37" s="53"/>
      <c r="TBY37" s="53"/>
      <c r="TBZ37" s="53"/>
      <c r="TCA37" s="53"/>
      <c r="TCB37" s="53"/>
      <c r="TCC37" s="53"/>
      <c r="TCD37" s="53"/>
      <c r="TCE37" s="53"/>
      <c r="TCF37" s="53"/>
      <c r="TCG37" s="53"/>
      <c r="TCH37" s="53"/>
      <c r="TCI37" s="53"/>
      <c r="TCJ37" s="53"/>
      <c r="TCK37" s="53"/>
      <c r="TCL37" s="53"/>
      <c r="TCM37" s="53"/>
      <c r="TCN37" s="53"/>
      <c r="TCO37" s="53"/>
      <c r="TCP37" s="53"/>
      <c r="TCQ37" s="53"/>
      <c r="TCR37" s="53"/>
      <c r="TCS37" s="53"/>
      <c r="TCT37" s="53"/>
      <c r="TCU37" s="53"/>
      <c r="TCV37" s="53"/>
      <c r="TCW37" s="53"/>
      <c r="TCX37" s="53"/>
      <c r="TCY37" s="53"/>
      <c r="TCZ37" s="53"/>
      <c r="TDA37" s="53"/>
      <c r="TDB37" s="53"/>
      <c r="TDC37" s="53"/>
      <c r="TDD37" s="53"/>
      <c r="TDE37" s="53"/>
      <c r="TDF37" s="53"/>
      <c r="TDG37" s="53"/>
      <c r="TDH37" s="53"/>
      <c r="TDI37" s="53"/>
      <c r="TDJ37" s="53"/>
      <c r="TDK37" s="53"/>
      <c r="TDL37" s="53"/>
      <c r="TDM37" s="53"/>
      <c r="TDN37" s="53"/>
      <c r="TDO37" s="53"/>
      <c r="TDP37" s="53"/>
      <c r="TDQ37" s="53"/>
      <c r="TDR37" s="53"/>
      <c r="TDS37" s="53"/>
      <c r="TDT37" s="53"/>
      <c r="TDU37" s="53"/>
      <c r="TDV37" s="53"/>
      <c r="TDW37" s="53"/>
      <c r="TDX37" s="53"/>
      <c r="TDY37" s="53"/>
      <c r="TDZ37" s="53"/>
      <c r="TEA37" s="53"/>
      <c r="TEB37" s="53"/>
      <c r="TEC37" s="53"/>
      <c r="TED37" s="53"/>
      <c r="TEE37" s="53"/>
      <c r="TEF37" s="53"/>
      <c r="TEG37" s="53"/>
      <c r="TEH37" s="53"/>
      <c r="TEI37" s="53"/>
      <c r="TEJ37" s="53"/>
      <c r="TEK37" s="53"/>
      <c r="TEL37" s="53"/>
      <c r="TEM37" s="53"/>
      <c r="TEN37" s="53"/>
      <c r="TEO37" s="53"/>
      <c r="TEP37" s="53"/>
      <c r="TEQ37" s="53"/>
      <c r="TER37" s="53"/>
      <c r="TES37" s="53"/>
      <c r="TET37" s="53"/>
      <c r="TEU37" s="53"/>
      <c r="TEV37" s="53"/>
      <c r="TEW37" s="53"/>
      <c r="TEX37" s="53"/>
      <c r="TEY37" s="53"/>
      <c r="TEZ37" s="53"/>
      <c r="TFA37" s="53"/>
      <c r="TFB37" s="53"/>
      <c r="TFC37" s="53"/>
      <c r="TFD37" s="53"/>
      <c r="TFE37" s="53"/>
      <c r="TFF37" s="53"/>
      <c r="TFG37" s="53"/>
      <c r="TFH37" s="53"/>
      <c r="TFI37" s="53"/>
      <c r="TFJ37" s="53"/>
      <c r="TFK37" s="53"/>
      <c r="TFL37" s="53"/>
      <c r="TFM37" s="53"/>
      <c r="TFN37" s="53"/>
      <c r="TFO37" s="53"/>
      <c r="TFP37" s="53"/>
      <c r="TFQ37" s="53"/>
      <c r="TFR37" s="53"/>
      <c r="TFS37" s="53"/>
      <c r="TFT37" s="53"/>
      <c r="TFU37" s="53"/>
      <c r="TFV37" s="53"/>
      <c r="TFW37" s="53"/>
      <c r="TFX37" s="53"/>
      <c r="TFY37" s="53"/>
      <c r="TFZ37" s="53"/>
      <c r="TGA37" s="53"/>
      <c r="TGB37" s="53"/>
      <c r="TGC37" s="53"/>
      <c r="TGD37" s="53"/>
      <c r="TGE37" s="53"/>
      <c r="TGF37" s="53"/>
      <c r="TGG37" s="53"/>
      <c r="TGH37" s="53"/>
      <c r="TGI37" s="53"/>
      <c r="TGJ37" s="53"/>
      <c r="TGK37" s="53"/>
      <c r="TGL37" s="53"/>
      <c r="TGM37" s="53"/>
      <c r="TGN37" s="53"/>
      <c r="TGO37" s="53"/>
      <c r="TGP37" s="53"/>
      <c r="TGQ37" s="53"/>
      <c r="TGR37" s="53"/>
      <c r="TGS37" s="53"/>
      <c r="TGT37" s="53"/>
      <c r="TGU37" s="53"/>
      <c r="TGV37" s="53"/>
      <c r="TGW37" s="53"/>
      <c r="TGX37" s="53"/>
      <c r="TGY37" s="53"/>
      <c r="TGZ37" s="53"/>
      <c r="THA37" s="53"/>
      <c r="THB37" s="53"/>
      <c r="THC37" s="53"/>
      <c r="THD37" s="53"/>
      <c r="THE37" s="53"/>
      <c r="THF37" s="53"/>
      <c r="THG37" s="53"/>
      <c r="THH37" s="53"/>
      <c r="THI37" s="53"/>
      <c r="THJ37" s="53"/>
      <c r="THK37" s="53"/>
      <c r="THL37" s="53"/>
      <c r="THM37" s="53"/>
      <c r="THN37" s="53"/>
      <c r="THO37" s="53"/>
      <c r="THP37" s="53"/>
      <c r="THQ37" s="53"/>
      <c r="THR37" s="53"/>
      <c r="THS37" s="53"/>
      <c r="THT37" s="53"/>
      <c r="THU37" s="53"/>
      <c r="THV37" s="53"/>
      <c r="THW37" s="53"/>
      <c r="THX37" s="53"/>
      <c r="THY37" s="53"/>
      <c r="THZ37" s="53"/>
      <c r="TIA37" s="53"/>
      <c r="TIB37" s="53"/>
      <c r="TIC37" s="53"/>
      <c r="TID37" s="53"/>
      <c r="TIE37" s="53"/>
      <c r="TIF37" s="53"/>
      <c r="TIG37" s="53"/>
      <c r="TIH37" s="53"/>
      <c r="TII37" s="53"/>
      <c r="TIJ37" s="53"/>
      <c r="TIK37" s="53"/>
      <c r="TIL37" s="53"/>
      <c r="TIM37" s="53"/>
      <c r="TIN37" s="53"/>
      <c r="TIO37" s="53"/>
      <c r="TIP37" s="53"/>
      <c r="TIQ37" s="53"/>
      <c r="TIR37" s="53"/>
      <c r="TIS37" s="53"/>
      <c r="TIT37" s="53"/>
      <c r="TIU37" s="53"/>
      <c r="TIV37" s="53"/>
      <c r="TIW37" s="53"/>
      <c r="TIX37" s="53"/>
      <c r="TIY37" s="53"/>
      <c r="TIZ37" s="53"/>
      <c r="TJA37" s="53"/>
      <c r="TJB37" s="53"/>
      <c r="TJC37" s="53"/>
      <c r="TJD37" s="53"/>
      <c r="TJE37" s="53"/>
      <c r="TJF37" s="53"/>
      <c r="TJG37" s="53"/>
      <c r="TJH37" s="53"/>
      <c r="TJI37" s="53"/>
      <c r="TJJ37" s="53"/>
      <c r="TJK37" s="53"/>
      <c r="TJL37" s="53"/>
      <c r="TJM37" s="53"/>
      <c r="TJN37" s="53"/>
      <c r="TJO37" s="53"/>
      <c r="TJP37" s="53"/>
      <c r="TJQ37" s="53"/>
      <c r="TJR37" s="53"/>
      <c r="TJS37" s="53"/>
      <c r="TJT37" s="53"/>
      <c r="TJU37" s="53"/>
      <c r="TJV37" s="53"/>
      <c r="TJW37" s="53"/>
      <c r="TJX37" s="53"/>
      <c r="TJY37" s="53"/>
      <c r="TJZ37" s="53"/>
      <c r="TKA37" s="53"/>
      <c r="TKB37" s="53"/>
      <c r="TKC37" s="53"/>
      <c r="TKD37" s="53"/>
      <c r="TKE37" s="53"/>
      <c r="TKF37" s="53"/>
      <c r="TKG37" s="53"/>
      <c r="TKH37" s="53"/>
      <c r="TKI37" s="53"/>
      <c r="TKJ37" s="53"/>
      <c r="TKK37" s="53"/>
      <c r="TKL37" s="53"/>
      <c r="TKM37" s="53"/>
      <c r="TKN37" s="53"/>
      <c r="TKO37" s="53"/>
      <c r="TKP37" s="53"/>
      <c r="TKQ37" s="53"/>
      <c r="TKR37" s="53"/>
      <c r="TKS37" s="53"/>
      <c r="TKT37" s="53"/>
      <c r="TKU37" s="53"/>
      <c r="TKV37" s="53"/>
      <c r="TKW37" s="53"/>
      <c r="TKX37" s="53"/>
      <c r="TKY37" s="53"/>
      <c r="TKZ37" s="53"/>
      <c r="TLA37" s="53"/>
      <c r="TLB37" s="53"/>
      <c r="TLC37" s="53"/>
      <c r="TLD37" s="53"/>
      <c r="TLE37" s="53"/>
      <c r="TLF37" s="53"/>
      <c r="TLG37" s="53"/>
      <c r="TLH37" s="53"/>
      <c r="TLI37" s="53"/>
      <c r="TLJ37" s="53"/>
      <c r="TLK37" s="53"/>
      <c r="TLL37" s="53"/>
      <c r="TLM37" s="53"/>
      <c r="TLN37" s="53"/>
      <c r="TLO37" s="53"/>
      <c r="TLP37" s="53"/>
      <c r="TLQ37" s="53"/>
      <c r="TLR37" s="53"/>
      <c r="TLS37" s="53"/>
      <c r="TLT37" s="53"/>
      <c r="TLU37" s="53"/>
      <c r="TLV37" s="53"/>
      <c r="TLW37" s="53"/>
      <c r="TLX37" s="53"/>
      <c r="TLY37" s="53"/>
      <c r="TLZ37" s="53"/>
      <c r="TMA37" s="53"/>
      <c r="TMB37" s="53"/>
      <c r="TMC37" s="53"/>
      <c r="TMD37" s="53"/>
      <c r="TME37" s="53"/>
      <c r="TMF37" s="53"/>
      <c r="TMG37" s="53"/>
      <c r="TMH37" s="53"/>
      <c r="TMI37" s="53"/>
      <c r="TMJ37" s="53"/>
      <c r="TMK37" s="53"/>
      <c r="TML37" s="53"/>
      <c r="TMM37" s="53"/>
      <c r="TMN37" s="53"/>
      <c r="TMO37" s="53"/>
      <c r="TMP37" s="53"/>
      <c r="TMQ37" s="53"/>
      <c r="TMR37" s="53"/>
      <c r="TMS37" s="53"/>
      <c r="TMT37" s="53"/>
      <c r="TMU37" s="53"/>
      <c r="TMV37" s="53"/>
      <c r="TMW37" s="53"/>
      <c r="TMX37" s="53"/>
      <c r="TMY37" s="53"/>
      <c r="TMZ37" s="53"/>
      <c r="TNA37" s="53"/>
      <c r="TNB37" s="53"/>
      <c r="TNC37" s="53"/>
      <c r="TND37" s="53"/>
      <c r="TNE37" s="53"/>
      <c r="TNF37" s="53"/>
      <c r="TNG37" s="53"/>
      <c r="TNH37" s="53"/>
      <c r="TNI37" s="53"/>
      <c r="TNJ37" s="53"/>
      <c r="TNK37" s="53"/>
      <c r="TNL37" s="53"/>
      <c r="TNM37" s="53"/>
      <c r="TNN37" s="53"/>
      <c r="TNO37" s="53"/>
      <c r="TNP37" s="53"/>
      <c r="TNQ37" s="53"/>
      <c r="TNR37" s="53"/>
      <c r="TNS37" s="53"/>
      <c r="TNT37" s="53"/>
      <c r="TNU37" s="53"/>
      <c r="TNV37" s="53"/>
      <c r="TNW37" s="53"/>
      <c r="TNX37" s="53"/>
      <c r="TNY37" s="53"/>
      <c r="TNZ37" s="53"/>
      <c r="TOA37" s="53"/>
      <c r="TOB37" s="53"/>
      <c r="TOC37" s="53"/>
      <c r="TOD37" s="53"/>
      <c r="TOE37" s="53"/>
      <c r="TOF37" s="53"/>
      <c r="TOG37" s="53"/>
      <c r="TOH37" s="53"/>
      <c r="TOI37" s="53"/>
      <c r="TOJ37" s="53"/>
      <c r="TOK37" s="53"/>
      <c r="TOL37" s="53"/>
      <c r="TOM37" s="53"/>
      <c r="TON37" s="53"/>
      <c r="TOO37" s="53"/>
      <c r="TOP37" s="53"/>
      <c r="TOQ37" s="53"/>
      <c r="TOR37" s="53"/>
      <c r="TOS37" s="53"/>
      <c r="TOT37" s="53"/>
      <c r="TOU37" s="53"/>
      <c r="TOV37" s="53"/>
      <c r="TOW37" s="53"/>
      <c r="TOX37" s="53"/>
      <c r="TOY37" s="53"/>
      <c r="TOZ37" s="53"/>
      <c r="TPA37" s="53"/>
      <c r="TPB37" s="53"/>
      <c r="TPC37" s="53"/>
      <c r="TPD37" s="53"/>
      <c r="TPE37" s="53"/>
      <c r="TPF37" s="53"/>
      <c r="TPG37" s="53"/>
      <c r="TPH37" s="53"/>
      <c r="TPI37" s="53"/>
      <c r="TPJ37" s="53"/>
      <c r="TPK37" s="53"/>
      <c r="TPL37" s="53"/>
      <c r="TPM37" s="53"/>
      <c r="TPN37" s="53"/>
      <c r="TPO37" s="53"/>
      <c r="TPP37" s="53"/>
      <c r="TPQ37" s="53"/>
      <c r="TPR37" s="53"/>
      <c r="TPS37" s="53"/>
      <c r="TPT37" s="53"/>
      <c r="TPU37" s="53"/>
      <c r="TPV37" s="53"/>
      <c r="TPW37" s="53"/>
      <c r="TPX37" s="53"/>
      <c r="TPY37" s="53"/>
      <c r="TPZ37" s="53"/>
      <c r="TQA37" s="53"/>
      <c r="TQB37" s="53"/>
      <c r="TQC37" s="53"/>
      <c r="TQD37" s="53"/>
      <c r="TQE37" s="53"/>
      <c r="TQF37" s="53"/>
      <c r="TQG37" s="53"/>
      <c r="TQH37" s="53"/>
      <c r="TQI37" s="53"/>
      <c r="TQJ37" s="53"/>
      <c r="TQK37" s="53"/>
      <c r="TQL37" s="53"/>
      <c r="TQM37" s="53"/>
      <c r="TQN37" s="53"/>
      <c r="TQO37" s="53"/>
      <c r="TQP37" s="53"/>
      <c r="TQQ37" s="53"/>
      <c r="TQR37" s="53"/>
      <c r="TQS37" s="53"/>
      <c r="TQT37" s="53"/>
      <c r="TQU37" s="53"/>
      <c r="TQV37" s="53"/>
      <c r="TQW37" s="53"/>
      <c r="TQX37" s="53"/>
      <c r="TQY37" s="53"/>
      <c r="TQZ37" s="53"/>
      <c r="TRA37" s="53"/>
      <c r="TRB37" s="53"/>
      <c r="TRC37" s="53"/>
      <c r="TRD37" s="53"/>
      <c r="TRE37" s="53"/>
      <c r="TRF37" s="53"/>
      <c r="TRG37" s="53"/>
      <c r="TRH37" s="53"/>
      <c r="TRI37" s="53"/>
      <c r="TRJ37" s="53"/>
      <c r="TRK37" s="53"/>
      <c r="TRL37" s="53"/>
      <c r="TRM37" s="53"/>
      <c r="TRN37" s="53"/>
      <c r="TRO37" s="53"/>
      <c r="TRP37" s="53"/>
      <c r="TRQ37" s="53"/>
      <c r="TRR37" s="53"/>
      <c r="TRS37" s="53"/>
      <c r="TRT37" s="53"/>
      <c r="TRU37" s="53"/>
      <c r="TRV37" s="53"/>
      <c r="TRW37" s="53"/>
      <c r="TRX37" s="53"/>
      <c r="TRY37" s="53"/>
      <c r="TRZ37" s="53"/>
      <c r="TSA37" s="53"/>
      <c r="TSB37" s="53"/>
      <c r="TSC37" s="53"/>
      <c r="TSD37" s="53"/>
      <c r="TSE37" s="53"/>
      <c r="TSF37" s="53"/>
      <c r="TSG37" s="53"/>
      <c r="TSH37" s="53"/>
      <c r="TSI37" s="53"/>
      <c r="TSJ37" s="53"/>
      <c r="TSK37" s="53"/>
      <c r="TSL37" s="53"/>
      <c r="TSM37" s="53"/>
      <c r="TSN37" s="53"/>
      <c r="TSO37" s="53"/>
      <c r="TSP37" s="53"/>
      <c r="TSQ37" s="53"/>
      <c r="TSR37" s="53"/>
      <c r="TSS37" s="53"/>
      <c r="TST37" s="53"/>
      <c r="TSU37" s="53"/>
      <c r="TSV37" s="53"/>
      <c r="TSW37" s="53"/>
      <c r="TSX37" s="53"/>
      <c r="TSY37" s="53"/>
      <c r="TSZ37" s="53"/>
      <c r="TTA37" s="53"/>
      <c r="TTB37" s="53"/>
      <c r="TTC37" s="53"/>
      <c r="TTD37" s="53"/>
      <c r="TTE37" s="53"/>
      <c r="TTF37" s="53"/>
      <c r="TTG37" s="53"/>
      <c r="TTH37" s="53"/>
      <c r="TTI37" s="53"/>
      <c r="TTJ37" s="53"/>
      <c r="TTK37" s="53"/>
      <c r="TTL37" s="53"/>
      <c r="TTM37" s="53"/>
      <c r="TTN37" s="53"/>
      <c r="TTO37" s="53"/>
      <c r="TTP37" s="53"/>
      <c r="TTQ37" s="53"/>
      <c r="TTR37" s="53"/>
      <c r="TTS37" s="53"/>
      <c r="TTT37" s="53"/>
      <c r="TTU37" s="53"/>
      <c r="TTV37" s="53"/>
      <c r="TTW37" s="53"/>
      <c r="TTX37" s="53"/>
      <c r="TTY37" s="53"/>
      <c r="TTZ37" s="53"/>
      <c r="TUA37" s="53"/>
      <c r="TUB37" s="53"/>
      <c r="TUC37" s="53"/>
      <c r="TUD37" s="53"/>
      <c r="TUE37" s="53"/>
      <c r="TUF37" s="53"/>
      <c r="TUG37" s="53"/>
      <c r="TUH37" s="53"/>
      <c r="TUI37" s="53"/>
      <c r="TUJ37" s="53"/>
      <c r="TUK37" s="53"/>
      <c r="TUL37" s="53"/>
      <c r="TUM37" s="53"/>
      <c r="TUN37" s="53"/>
      <c r="TUO37" s="53"/>
      <c r="TUP37" s="53"/>
      <c r="TUQ37" s="53"/>
      <c r="TUR37" s="53"/>
      <c r="TUS37" s="53"/>
      <c r="TUT37" s="53"/>
      <c r="TUU37" s="53"/>
      <c r="TUV37" s="53"/>
      <c r="TUW37" s="53"/>
      <c r="TUX37" s="53"/>
      <c r="TUY37" s="53"/>
      <c r="TUZ37" s="53"/>
      <c r="TVA37" s="53"/>
      <c r="TVB37" s="53"/>
      <c r="TVC37" s="53"/>
      <c r="TVD37" s="53"/>
      <c r="TVE37" s="53"/>
      <c r="TVF37" s="53"/>
      <c r="TVG37" s="53"/>
      <c r="TVH37" s="53"/>
      <c r="TVI37" s="53"/>
      <c r="TVJ37" s="53"/>
      <c r="TVK37" s="53"/>
      <c r="TVL37" s="53"/>
      <c r="TVM37" s="53"/>
      <c r="TVN37" s="53"/>
      <c r="TVO37" s="53"/>
      <c r="TVP37" s="53"/>
      <c r="TVQ37" s="53"/>
      <c r="TVR37" s="53"/>
      <c r="TVS37" s="53"/>
      <c r="TVT37" s="53"/>
      <c r="TVU37" s="53"/>
      <c r="TVV37" s="53"/>
      <c r="TVW37" s="53"/>
      <c r="TVX37" s="53"/>
      <c r="TVY37" s="53"/>
      <c r="TVZ37" s="53"/>
      <c r="TWA37" s="53"/>
      <c r="TWB37" s="53"/>
      <c r="TWC37" s="53"/>
      <c r="TWD37" s="53"/>
      <c r="TWE37" s="53"/>
      <c r="TWF37" s="53"/>
      <c r="TWG37" s="53"/>
      <c r="TWH37" s="53"/>
      <c r="TWI37" s="53"/>
      <c r="TWJ37" s="53"/>
      <c r="TWK37" s="53"/>
      <c r="TWL37" s="53"/>
      <c r="TWM37" s="53"/>
      <c r="TWN37" s="53"/>
      <c r="TWO37" s="53"/>
      <c r="TWP37" s="53"/>
      <c r="TWQ37" s="53"/>
      <c r="TWR37" s="53"/>
      <c r="TWS37" s="53"/>
      <c r="TWT37" s="53"/>
      <c r="TWU37" s="53"/>
      <c r="TWV37" s="53"/>
      <c r="TWW37" s="53"/>
      <c r="TWX37" s="53"/>
      <c r="TWY37" s="53"/>
      <c r="TWZ37" s="53"/>
      <c r="TXA37" s="53"/>
      <c r="TXB37" s="53"/>
      <c r="TXC37" s="53"/>
      <c r="TXD37" s="53"/>
      <c r="TXE37" s="53"/>
      <c r="TXF37" s="53"/>
      <c r="TXG37" s="53"/>
      <c r="TXH37" s="53"/>
      <c r="TXI37" s="53"/>
      <c r="TXJ37" s="53"/>
      <c r="TXK37" s="53"/>
      <c r="TXL37" s="53"/>
      <c r="TXM37" s="53"/>
      <c r="TXN37" s="53"/>
      <c r="TXO37" s="53"/>
      <c r="TXP37" s="53"/>
      <c r="TXQ37" s="53"/>
      <c r="TXR37" s="53"/>
      <c r="TXS37" s="53"/>
      <c r="TXT37" s="53"/>
      <c r="TXU37" s="53"/>
      <c r="TXV37" s="53"/>
      <c r="TXW37" s="53"/>
      <c r="TXX37" s="53"/>
      <c r="TXY37" s="53"/>
      <c r="TXZ37" s="53"/>
      <c r="TYA37" s="53"/>
      <c r="TYB37" s="53"/>
      <c r="TYC37" s="53"/>
      <c r="TYD37" s="53"/>
      <c r="TYE37" s="53"/>
      <c r="TYF37" s="53"/>
      <c r="TYG37" s="53"/>
      <c r="TYH37" s="53"/>
      <c r="TYI37" s="53"/>
      <c r="TYJ37" s="53"/>
      <c r="TYK37" s="53"/>
      <c r="TYL37" s="53"/>
      <c r="TYM37" s="53"/>
      <c r="TYN37" s="53"/>
      <c r="TYO37" s="53"/>
      <c r="TYP37" s="53"/>
      <c r="TYQ37" s="53"/>
      <c r="TYR37" s="53"/>
      <c r="TYS37" s="53"/>
      <c r="TYT37" s="53"/>
      <c r="TYU37" s="53"/>
      <c r="TYV37" s="53"/>
      <c r="TYW37" s="53"/>
      <c r="TYX37" s="53"/>
      <c r="TYY37" s="53"/>
      <c r="TYZ37" s="53"/>
      <c r="TZA37" s="53"/>
      <c r="TZB37" s="53"/>
      <c r="TZC37" s="53"/>
      <c r="TZD37" s="53"/>
      <c r="TZE37" s="53"/>
      <c r="TZF37" s="53"/>
      <c r="TZG37" s="53"/>
      <c r="TZH37" s="53"/>
      <c r="TZI37" s="53"/>
      <c r="TZJ37" s="53"/>
      <c r="TZK37" s="53"/>
      <c r="TZL37" s="53"/>
      <c r="TZM37" s="53"/>
      <c r="TZN37" s="53"/>
      <c r="TZO37" s="53"/>
      <c r="TZP37" s="53"/>
      <c r="TZQ37" s="53"/>
      <c r="TZR37" s="53"/>
      <c r="TZS37" s="53"/>
      <c r="TZT37" s="53"/>
      <c r="TZU37" s="53"/>
      <c r="TZV37" s="53"/>
      <c r="TZW37" s="53"/>
      <c r="TZX37" s="53"/>
      <c r="TZY37" s="53"/>
      <c r="TZZ37" s="53"/>
      <c r="UAA37" s="53"/>
      <c r="UAB37" s="53"/>
      <c r="UAC37" s="53"/>
      <c r="UAD37" s="53"/>
      <c r="UAE37" s="53"/>
      <c r="UAF37" s="53"/>
      <c r="UAG37" s="53"/>
      <c r="UAH37" s="53"/>
      <c r="UAI37" s="53"/>
      <c r="UAJ37" s="53"/>
      <c r="UAK37" s="53"/>
      <c r="UAL37" s="53"/>
      <c r="UAM37" s="53"/>
      <c r="UAN37" s="53"/>
      <c r="UAO37" s="53"/>
      <c r="UAP37" s="53"/>
      <c r="UAQ37" s="53"/>
      <c r="UAR37" s="53"/>
      <c r="UAS37" s="53"/>
      <c r="UAT37" s="53"/>
      <c r="UAU37" s="53"/>
      <c r="UAV37" s="53"/>
      <c r="UAW37" s="53"/>
      <c r="UAX37" s="53"/>
      <c r="UAY37" s="53"/>
      <c r="UAZ37" s="53"/>
      <c r="UBA37" s="53"/>
      <c r="UBB37" s="53"/>
      <c r="UBC37" s="53"/>
      <c r="UBD37" s="53"/>
      <c r="UBE37" s="53"/>
      <c r="UBF37" s="53"/>
      <c r="UBG37" s="53"/>
      <c r="UBH37" s="53"/>
      <c r="UBI37" s="53"/>
      <c r="UBJ37" s="53"/>
      <c r="UBK37" s="53"/>
      <c r="UBL37" s="53"/>
      <c r="UBM37" s="53"/>
      <c r="UBN37" s="53"/>
      <c r="UBO37" s="53"/>
      <c r="UBP37" s="53"/>
      <c r="UBQ37" s="53"/>
      <c r="UBR37" s="53"/>
      <c r="UBS37" s="53"/>
      <c r="UBT37" s="53"/>
      <c r="UBU37" s="53"/>
      <c r="UBV37" s="53"/>
      <c r="UBW37" s="53"/>
      <c r="UBX37" s="53"/>
      <c r="UBY37" s="53"/>
      <c r="UBZ37" s="53"/>
      <c r="UCA37" s="53"/>
      <c r="UCB37" s="53"/>
      <c r="UCC37" s="53"/>
      <c r="UCD37" s="53"/>
      <c r="UCE37" s="53"/>
      <c r="UCF37" s="53"/>
      <c r="UCG37" s="53"/>
      <c r="UCH37" s="53"/>
      <c r="UCI37" s="53"/>
      <c r="UCJ37" s="53"/>
      <c r="UCK37" s="53"/>
      <c r="UCL37" s="53"/>
      <c r="UCM37" s="53"/>
      <c r="UCN37" s="53"/>
      <c r="UCO37" s="53"/>
      <c r="UCP37" s="53"/>
      <c r="UCQ37" s="53"/>
      <c r="UCR37" s="53"/>
      <c r="UCS37" s="53"/>
      <c r="UCT37" s="53"/>
      <c r="UCU37" s="53"/>
      <c r="UCV37" s="53"/>
      <c r="UCW37" s="53"/>
      <c r="UCX37" s="53"/>
      <c r="UCY37" s="53"/>
      <c r="UCZ37" s="53"/>
      <c r="UDA37" s="53"/>
      <c r="UDB37" s="53"/>
      <c r="UDC37" s="53"/>
      <c r="UDD37" s="53"/>
      <c r="UDE37" s="53"/>
      <c r="UDF37" s="53"/>
      <c r="UDG37" s="53"/>
      <c r="UDH37" s="53"/>
      <c r="UDI37" s="53"/>
      <c r="UDJ37" s="53"/>
      <c r="UDK37" s="53"/>
      <c r="UDL37" s="53"/>
      <c r="UDM37" s="53"/>
      <c r="UDN37" s="53"/>
      <c r="UDO37" s="53"/>
      <c r="UDP37" s="53"/>
      <c r="UDQ37" s="53"/>
      <c r="UDR37" s="53"/>
      <c r="UDS37" s="53"/>
      <c r="UDT37" s="53"/>
      <c r="UDU37" s="53"/>
      <c r="UDV37" s="53"/>
      <c r="UDW37" s="53"/>
      <c r="UDX37" s="53"/>
      <c r="UDY37" s="53"/>
      <c r="UDZ37" s="53"/>
      <c r="UEA37" s="53"/>
      <c r="UEB37" s="53"/>
      <c r="UEC37" s="53"/>
      <c r="UED37" s="53"/>
      <c r="UEE37" s="53"/>
      <c r="UEF37" s="53"/>
      <c r="UEG37" s="53"/>
      <c r="UEH37" s="53"/>
      <c r="UEI37" s="53"/>
      <c r="UEJ37" s="53"/>
      <c r="UEK37" s="53"/>
      <c r="UEL37" s="53"/>
      <c r="UEM37" s="53"/>
      <c r="UEN37" s="53"/>
      <c r="UEO37" s="53"/>
      <c r="UEP37" s="53"/>
      <c r="UEQ37" s="53"/>
      <c r="UER37" s="53"/>
      <c r="UES37" s="53"/>
      <c r="UET37" s="53"/>
      <c r="UEU37" s="53"/>
      <c r="UEV37" s="53"/>
      <c r="UEW37" s="53"/>
      <c r="UEX37" s="53"/>
      <c r="UEY37" s="53"/>
      <c r="UEZ37" s="53"/>
      <c r="UFA37" s="53"/>
      <c r="UFB37" s="53"/>
      <c r="UFC37" s="53"/>
      <c r="UFD37" s="53"/>
      <c r="UFE37" s="53"/>
      <c r="UFF37" s="53"/>
      <c r="UFG37" s="53"/>
      <c r="UFH37" s="53"/>
      <c r="UFI37" s="53"/>
      <c r="UFJ37" s="53"/>
      <c r="UFK37" s="53"/>
      <c r="UFL37" s="53"/>
      <c r="UFM37" s="53"/>
      <c r="UFN37" s="53"/>
      <c r="UFO37" s="53"/>
      <c r="UFP37" s="53"/>
      <c r="UFQ37" s="53"/>
      <c r="UFR37" s="53"/>
      <c r="UFS37" s="53"/>
      <c r="UFT37" s="53"/>
      <c r="UFU37" s="53"/>
      <c r="UFV37" s="53"/>
      <c r="UFW37" s="53"/>
      <c r="UFX37" s="53"/>
      <c r="UFY37" s="53"/>
      <c r="UFZ37" s="53"/>
      <c r="UGA37" s="53"/>
      <c r="UGB37" s="53"/>
      <c r="UGC37" s="53"/>
      <c r="UGD37" s="53"/>
      <c r="UGE37" s="53"/>
      <c r="UGF37" s="53"/>
      <c r="UGG37" s="53"/>
      <c r="UGH37" s="53"/>
      <c r="UGI37" s="53"/>
      <c r="UGJ37" s="53"/>
      <c r="UGK37" s="53"/>
      <c r="UGL37" s="53"/>
      <c r="UGM37" s="53"/>
      <c r="UGN37" s="53"/>
      <c r="UGO37" s="53"/>
      <c r="UGP37" s="53"/>
      <c r="UGQ37" s="53"/>
      <c r="UGR37" s="53"/>
      <c r="UGS37" s="53"/>
      <c r="UGT37" s="53"/>
      <c r="UGU37" s="53"/>
      <c r="UGV37" s="53"/>
      <c r="UGW37" s="53"/>
      <c r="UGX37" s="53"/>
      <c r="UGY37" s="53"/>
      <c r="UGZ37" s="53"/>
      <c r="UHA37" s="53"/>
      <c r="UHB37" s="53"/>
      <c r="UHC37" s="53"/>
      <c r="UHD37" s="53"/>
      <c r="UHE37" s="53"/>
      <c r="UHF37" s="53"/>
      <c r="UHG37" s="53"/>
      <c r="UHH37" s="53"/>
      <c r="UHI37" s="53"/>
      <c r="UHJ37" s="53"/>
      <c r="UHK37" s="53"/>
      <c r="UHL37" s="53"/>
      <c r="UHM37" s="53"/>
      <c r="UHN37" s="53"/>
      <c r="UHO37" s="53"/>
      <c r="UHP37" s="53"/>
      <c r="UHQ37" s="53"/>
      <c r="UHR37" s="53"/>
      <c r="UHS37" s="53"/>
      <c r="UHT37" s="53"/>
      <c r="UHU37" s="53"/>
      <c r="UHV37" s="53"/>
      <c r="UHW37" s="53"/>
      <c r="UHX37" s="53"/>
      <c r="UHY37" s="53"/>
      <c r="UHZ37" s="53"/>
      <c r="UIA37" s="53"/>
      <c r="UIB37" s="53"/>
      <c r="UIC37" s="53"/>
      <c r="UID37" s="53"/>
      <c r="UIE37" s="53"/>
      <c r="UIF37" s="53"/>
      <c r="UIG37" s="53"/>
      <c r="UIH37" s="53"/>
      <c r="UII37" s="53"/>
      <c r="UIJ37" s="53"/>
      <c r="UIK37" s="53"/>
      <c r="UIL37" s="53"/>
      <c r="UIM37" s="53"/>
      <c r="UIN37" s="53"/>
      <c r="UIO37" s="53"/>
      <c r="UIP37" s="53"/>
      <c r="UIQ37" s="53"/>
      <c r="UIR37" s="53"/>
      <c r="UIS37" s="53"/>
      <c r="UIT37" s="53"/>
      <c r="UIU37" s="53"/>
      <c r="UIV37" s="53"/>
      <c r="UIW37" s="53"/>
      <c r="UIX37" s="53"/>
      <c r="UIY37" s="53"/>
      <c r="UIZ37" s="53"/>
      <c r="UJA37" s="53"/>
      <c r="UJB37" s="53"/>
      <c r="UJC37" s="53"/>
      <c r="UJD37" s="53"/>
      <c r="UJE37" s="53"/>
      <c r="UJF37" s="53"/>
      <c r="UJG37" s="53"/>
      <c r="UJH37" s="53"/>
      <c r="UJI37" s="53"/>
      <c r="UJJ37" s="53"/>
      <c r="UJK37" s="53"/>
      <c r="UJL37" s="53"/>
      <c r="UJM37" s="53"/>
      <c r="UJN37" s="53"/>
      <c r="UJO37" s="53"/>
      <c r="UJP37" s="53"/>
      <c r="UJQ37" s="53"/>
      <c r="UJR37" s="53"/>
      <c r="UJS37" s="53"/>
      <c r="UJT37" s="53"/>
      <c r="UJU37" s="53"/>
      <c r="UJV37" s="53"/>
      <c r="UJW37" s="53"/>
      <c r="UJX37" s="53"/>
      <c r="UJY37" s="53"/>
      <c r="UJZ37" s="53"/>
      <c r="UKA37" s="53"/>
      <c r="UKB37" s="53"/>
      <c r="UKC37" s="53"/>
      <c r="UKD37" s="53"/>
      <c r="UKE37" s="53"/>
      <c r="UKF37" s="53"/>
      <c r="UKG37" s="53"/>
      <c r="UKH37" s="53"/>
      <c r="UKI37" s="53"/>
      <c r="UKJ37" s="53"/>
      <c r="UKK37" s="53"/>
      <c r="UKL37" s="53"/>
      <c r="UKM37" s="53"/>
      <c r="UKN37" s="53"/>
      <c r="UKO37" s="53"/>
      <c r="UKP37" s="53"/>
      <c r="UKQ37" s="53"/>
      <c r="UKR37" s="53"/>
      <c r="UKS37" s="53"/>
      <c r="UKT37" s="53"/>
      <c r="UKU37" s="53"/>
      <c r="UKV37" s="53"/>
      <c r="UKW37" s="53"/>
      <c r="UKX37" s="53"/>
      <c r="UKY37" s="53"/>
      <c r="UKZ37" s="53"/>
      <c r="ULA37" s="53"/>
      <c r="ULB37" s="53"/>
      <c r="ULC37" s="53"/>
      <c r="ULD37" s="53"/>
      <c r="ULE37" s="53"/>
      <c r="ULF37" s="53"/>
      <c r="ULG37" s="53"/>
      <c r="ULH37" s="53"/>
      <c r="ULI37" s="53"/>
      <c r="ULJ37" s="53"/>
      <c r="ULK37" s="53"/>
      <c r="ULL37" s="53"/>
      <c r="ULM37" s="53"/>
      <c r="ULN37" s="53"/>
      <c r="ULO37" s="53"/>
      <c r="ULP37" s="53"/>
      <c r="ULQ37" s="53"/>
      <c r="ULR37" s="53"/>
      <c r="ULS37" s="53"/>
      <c r="ULT37" s="53"/>
      <c r="ULU37" s="53"/>
      <c r="ULV37" s="53"/>
      <c r="ULW37" s="53"/>
      <c r="ULX37" s="53"/>
      <c r="ULY37" s="53"/>
      <c r="ULZ37" s="53"/>
      <c r="UMA37" s="53"/>
      <c r="UMB37" s="53"/>
      <c r="UMC37" s="53"/>
      <c r="UMD37" s="53"/>
      <c r="UME37" s="53"/>
      <c r="UMF37" s="53"/>
      <c r="UMG37" s="53"/>
      <c r="UMH37" s="53"/>
      <c r="UMI37" s="53"/>
      <c r="UMJ37" s="53"/>
      <c r="UMK37" s="53"/>
      <c r="UML37" s="53"/>
      <c r="UMM37" s="53"/>
      <c r="UMN37" s="53"/>
      <c r="UMO37" s="53"/>
      <c r="UMP37" s="53"/>
      <c r="UMQ37" s="53"/>
      <c r="UMR37" s="53"/>
      <c r="UMS37" s="53"/>
      <c r="UMT37" s="53"/>
      <c r="UMU37" s="53"/>
      <c r="UMV37" s="53"/>
      <c r="UMW37" s="53"/>
      <c r="UMX37" s="53"/>
      <c r="UMY37" s="53"/>
      <c r="UMZ37" s="53"/>
      <c r="UNA37" s="53"/>
      <c r="UNB37" s="53"/>
      <c r="UNC37" s="53"/>
      <c r="UND37" s="53"/>
      <c r="UNE37" s="53"/>
      <c r="UNF37" s="53"/>
      <c r="UNG37" s="53"/>
      <c r="UNH37" s="53"/>
      <c r="UNI37" s="53"/>
      <c r="UNJ37" s="53"/>
      <c r="UNK37" s="53"/>
      <c r="UNL37" s="53"/>
      <c r="UNM37" s="53"/>
      <c r="UNN37" s="53"/>
      <c r="UNO37" s="53"/>
      <c r="UNP37" s="53"/>
      <c r="UNQ37" s="53"/>
      <c r="UNR37" s="53"/>
      <c r="UNS37" s="53"/>
      <c r="UNT37" s="53"/>
      <c r="UNU37" s="53"/>
      <c r="UNV37" s="53"/>
      <c r="UNW37" s="53"/>
      <c r="UNX37" s="53"/>
      <c r="UNY37" s="53"/>
      <c r="UNZ37" s="53"/>
      <c r="UOA37" s="53"/>
      <c r="UOB37" s="53"/>
      <c r="UOC37" s="53"/>
      <c r="UOD37" s="53"/>
      <c r="UOE37" s="53"/>
      <c r="UOF37" s="53"/>
      <c r="UOG37" s="53"/>
      <c r="UOH37" s="53"/>
      <c r="UOI37" s="53"/>
      <c r="UOJ37" s="53"/>
      <c r="UOK37" s="53"/>
      <c r="UOL37" s="53"/>
      <c r="UOM37" s="53"/>
      <c r="UON37" s="53"/>
      <c r="UOO37" s="53"/>
      <c r="UOP37" s="53"/>
      <c r="UOQ37" s="53"/>
      <c r="UOR37" s="53"/>
      <c r="UOS37" s="53"/>
      <c r="UOT37" s="53"/>
      <c r="UOU37" s="53"/>
      <c r="UOV37" s="53"/>
      <c r="UOW37" s="53"/>
      <c r="UOX37" s="53"/>
      <c r="UOY37" s="53"/>
      <c r="UOZ37" s="53"/>
      <c r="UPA37" s="53"/>
      <c r="UPB37" s="53"/>
      <c r="UPC37" s="53"/>
      <c r="UPD37" s="53"/>
      <c r="UPE37" s="53"/>
      <c r="UPF37" s="53"/>
      <c r="UPG37" s="53"/>
      <c r="UPH37" s="53"/>
      <c r="UPI37" s="53"/>
      <c r="UPJ37" s="53"/>
      <c r="UPK37" s="53"/>
      <c r="UPL37" s="53"/>
      <c r="UPM37" s="53"/>
      <c r="UPN37" s="53"/>
      <c r="UPO37" s="53"/>
      <c r="UPP37" s="53"/>
      <c r="UPQ37" s="53"/>
      <c r="UPR37" s="53"/>
      <c r="UPS37" s="53"/>
      <c r="UPT37" s="53"/>
      <c r="UPU37" s="53"/>
      <c r="UPV37" s="53"/>
      <c r="UPW37" s="53"/>
      <c r="UPX37" s="53"/>
      <c r="UPY37" s="53"/>
      <c r="UPZ37" s="53"/>
      <c r="UQA37" s="53"/>
      <c r="UQB37" s="53"/>
      <c r="UQC37" s="53"/>
      <c r="UQD37" s="53"/>
      <c r="UQE37" s="53"/>
      <c r="UQF37" s="53"/>
      <c r="UQG37" s="53"/>
      <c r="UQH37" s="53"/>
      <c r="UQI37" s="53"/>
      <c r="UQJ37" s="53"/>
      <c r="UQK37" s="53"/>
      <c r="UQL37" s="53"/>
      <c r="UQM37" s="53"/>
      <c r="UQN37" s="53"/>
      <c r="UQO37" s="53"/>
      <c r="UQP37" s="53"/>
      <c r="UQQ37" s="53"/>
      <c r="UQR37" s="53"/>
      <c r="UQS37" s="53"/>
      <c r="UQT37" s="53"/>
      <c r="UQU37" s="53"/>
      <c r="UQV37" s="53"/>
      <c r="UQW37" s="53"/>
      <c r="UQX37" s="53"/>
      <c r="UQY37" s="53"/>
      <c r="UQZ37" s="53"/>
      <c r="URA37" s="53"/>
      <c r="URB37" s="53"/>
      <c r="URC37" s="53"/>
      <c r="URD37" s="53"/>
      <c r="URE37" s="53"/>
      <c r="URF37" s="53"/>
      <c r="URG37" s="53"/>
      <c r="URH37" s="53"/>
      <c r="URI37" s="53"/>
      <c r="URJ37" s="53"/>
      <c r="URK37" s="53"/>
      <c r="URL37" s="53"/>
      <c r="URM37" s="53"/>
      <c r="URN37" s="53"/>
      <c r="URO37" s="53"/>
      <c r="URP37" s="53"/>
      <c r="URQ37" s="53"/>
      <c r="URR37" s="53"/>
      <c r="URS37" s="53"/>
      <c r="URT37" s="53"/>
      <c r="URU37" s="53"/>
      <c r="URV37" s="53"/>
      <c r="URW37" s="53"/>
      <c r="URX37" s="53"/>
      <c r="URY37" s="53"/>
      <c r="URZ37" s="53"/>
      <c r="USA37" s="53"/>
      <c r="USB37" s="53"/>
      <c r="USC37" s="53"/>
      <c r="USD37" s="53"/>
      <c r="USE37" s="53"/>
      <c r="USF37" s="53"/>
      <c r="USG37" s="53"/>
      <c r="USH37" s="53"/>
      <c r="USI37" s="53"/>
      <c r="USJ37" s="53"/>
      <c r="USK37" s="53"/>
      <c r="USL37" s="53"/>
      <c r="USM37" s="53"/>
      <c r="USN37" s="53"/>
      <c r="USO37" s="53"/>
      <c r="USP37" s="53"/>
      <c r="USQ37" s="53"/>
      <c r="USR37" s="53"/>
      <c r="USS37" s="53"/>
      <c r="UST37" s="53"/>
      <c r="USU37" s="53"/>
      <c r="USV37" s="53"/>
      <c r="USW37" s="53"/>
      <c r="USX37" s="53"/>
      <c r="USY37" s="53"/>
      <c r="USZ37" s="53"/>
      <c r="UTA37" s="53"/>
      <c r="UTB37" s="53"/>
      <c r="UTC37" s="53"/>
      <c r="UTD37" s="53"/>
      <c r="UTE37" s="53"/>
      <c r="UTF37" s="53"/>
      <c r="UTG37" s="53"/>
      <c r="UTH37" s="53"/>
      <c r="UTI37" s="53"/>
      <c r="UTJ37" s="53"/>
      <c r="UTK37" s="53"/>
      <c r="UTL37" s="53"/>
      <c r="UTM37" s="53"/>
      <c r="UTN37" s="53"/>
      <c r="UTO37" s="53"/>
      <c r="UTP37" s="53"/>
      <c r="UTQ37" s="53"/>
      <c r="UTR37" s="53"/>
      <c r="UTS37" s="53"/>
      <c r="UTT37" s="53"/>
      <c r="UTU37" s="53"/>
      <c r="UTV37" s="53"/>
      <c r="UTW37" s="53"/>
      <c r="UTX37" s="53"/>
      <c r="UTY37" s="53"/>
      <c r="UTZ37" s="53"/>
      <c r="UUA37" s="53"/>
      <c r="UUB37" s="53"/>
      <c r="UUC37" s="53"/>
      <c r="UUD37" s="53"/>
      <c r="UUE37" s="53"/>
      <c r="UUF37" s="53"/>
      <c r="UUG37" s="53"/>
      <c r="UUH37" s="53"/>
      <c r="UUI37" s="53"/>
      <c r="UUJ37" s="53"/>
      <c r="UUK37" s="53"/>
      <c r="UUL37" s="53"/>
      <c r="UUM37" s="53"/>
      <c r="UUN37" s="53"/>
      <c r="UUO37" s="53"/>
      <c r="UUP37" s="53"/>
      <c r="UUQ37" s="53"/>
      <c r="UUR37" s="53"/>
      <c r="UUS37" s="53"/>
      <c r="UUT37" s="53"/>
      <c r="UUU37" s="53"/>
      <c r="UUV37" s="53"/>
      <c r="UUW37" s="53"/>
      <c r="UUX37" s="53"/>
      <c r="UUY37" s="53"/>
      <c r="UUZ37" s="53"/>
      <c r="UVA37" s="53"/>
      <c r="UVB37" s="53"/>
      <c r="UVC37" s="53"/>
      <c r="UVD37" s="53"/>
      <c r="UVE37" s="53"/>
      <c r="UVF37" s="53"/>
      <c r="UVG37" s="53"/>
      <c r="UVH37" s="53"/>
      <c r="UVI37" s="53"/>
      <c r="UVJ37" s="53"/>
      <c r="UVK37" s="53"/>
      <c r="UVL37" s="53"/>
      <c r="UVM37" s="53"/>
      <c r="UVN37" s="53"/>
      <c r="UVO37" s="53"/>
      <c r="UVP37" s="53"/>
      <c r="UVQ37" s="53"/>
      <c r="UVR37" s="53"/>
      <c r="UVS37" s="53"/>
      <c r="UVT37" s="53"/>
      <c r="UVU37" s="53"/>
      <c r="UVV37" s="53"/>
      <c r="UVW37" s="53"/>
      <c r="UVX37" s="53"/>
      <c r="UVY37" s="53"/>
      <c r="UVZ37" s="53"/>
      <c r="UWA37" s="53"/>
      <c r="UWB37" s="53"/>
      <c r="UWC37" s="53"/>
      <c r="UWD37" s="53"/>
      <c r="UWE37" s="53"/>
      <c r="UWF37" s="53"/>
      <c r="UWG37" s="53"/>
      <c r="UWH37" s="53"/>
      <c r="UWI37" s="53"/>
      <c r="UWJ37" s="53"/>
      <c r="UWK37" s="53"/>
      <c r="UWL37" s="53"/>
      <c r="UWM37" s="53"/>
      <c r="UWN37" s="53"/>
      <c r="UWO37" s="53"/>
      <c r="UWP37" s="53"/>
      <c r="UWQ37" s="53"/>
      <c r="UWR37" s="53"/>
      <c r="UWS37" s="53"/>
      <c r="UWT37" s="53"/>
      <c r="UWU37" s="53"/>
      <c r="UWV37" s="53"/>
      <c r="UWW37" s="53"/>
      <c r="UWX37" s="53"/>
      <c r="UWY37" s="53"/>
      <c r="UWZ37" s="53"/>
      <c r="UXA37" s="53"/>
      <c r="UXB37" s="53"/>
      <c r="UXC37" s="53"/>
      <c r="UXD37" s="53"/>
      <c r="UXE37" s="53"/>
      <c r="UXF37" s="53"/>
      <c r="UXG37" s="53"/>
      <c r="UXH37" s="53"/>
      <c r="UXI37" s="53"/>
      <c r="UXJ37" s="53"/>
      <c r="UXK37" s="53"/>
      <c r="UXL37" s="53"/>
      <c r="UXM37" s="53"/>
      <c r="UXN37" s="53"/>
      <c r="UXO37" s="53"/>
      <c r="UXP37" s="53"/>
      <c r="UXQ37" s="53"/>
      <c r="UXR37" s="53"/>
      <c r="UXS37" s="53"/>
      <c r="UXT37" s="53"/>
      <c r="UXU37" s="53"/>
      <c r="UXV37" s="53"/>
      <c r="UXW37" s="53"/>
      <c r="UXX37" s="53"/>
      <c r="UXY37" s="53"/>
      <c r="UXZ37" s="53"/>
      <c r="UYA37" s="53"/>
      <c r="UYB37" s="53"/>
      <c r="UYC37" s="53"/>
      <c r="UYD37" s="53"/>
      <c r="UYE37" s="53"/>
      <c r="UYF37" s="53"/>
      <c r="UYG37" s="53"/>
      <c r="UYH37" s="53"/>
      <c r="UYI37" s="53"/>
      <c r="UYJ37" s="53"/>
      <c r="UYK37" s="53"/>
      <c r="UYL37" s="53"/>
      <c r="UYM37" s="53"/>
      <c r="UYN37" s="53"/>
      <c r="UYO37" s="53"/>
      <c r="UYP37" s="53"/>
      <c r="UYQ37" s="53"/>
      <c r="UYR37" s="53"/>
      <c r="UYS37" s="53"/>
      <c r="UYT37" s="53"/>
      <c r="UYU37" s="53"/>
      <c r="UYV37" s="53"/>
      <c r="UYW37" s="53"/>
      <c r="UYX37" s="53"/>
      <c r="UYY37" s="53"/>
      <c r="UYZ37" s="53"/>
      <c r="UZA37" s="53"/>
      <c r="UZB37" s="53"/>
      <c r="UZC37" s="53"/>
      <c r="UZD37" s="53"/>
      <c r="UZE37" s="53"/>
      <c r="UZF37" s="53"/>
      <c r="UZG37" s="53"/>
      <c r="UZH37" s="53"/>
      <c r="UZI37" s="53"/>
      <c r="UZJ37" s="53"/>
      <c r="UZK37" s="53"/>
      <c r="UZL37" s="53"/>
      <c r="UZM37" s="53"/>
      <c r="UZN37" s="53"/>
      <c r="UZO37" s="53"/>
      <c r="UZP37" s="53"/>
      <c r="UZQ37" s="53"/>
      <c r="UZR37" s="53"/>
      <c r="UZS37" s="53"/>
      <c r="UZT37" s="53"/>
      <c r="UZU37" s="53"/>
      <c r="UZV37" s="53"/>
      <c r="UZW37" s="53"/>
      <c r="UZX37" s="53"/>
      <c r="UZY37" s="53"/>
      <c r="UZZ37" s="53"/>
      <c r="VAA37" s="53"/>
      <c r="VAB37" s="53"/>
      <c r="VAC37" s="53"/>
      <c r="VAD37" s="53"/>
      <c r="VAE37" s="53"/>
      <c r="VAF37" s="53"/>
      <c r="VAG37" s="53"/>
      <c r="VAH37" s="53"/>
      <c r="VAI37" s="53"/>
      <c r="VAJ37" s="53"/>
      <c r="VAK37" s="53"/>
      <c r="VAL37" s="53"/>
      <c r="VAM37" s="53"/>
      <c r="VAN37" s="53"/>
      <c r="VAO37" s="53"/>
      <c r="VAP37" s="53"/>
      <c r="VAQ37" s="53"/>
      <c r="VAR37" s="53"/>
      <c r="VAS37" s="53"/>
      <c r="VAT37" s="53"/>
      <c r="VAU37" s="53"/>
      <c r="VAV37" s="53"/>
      <c r="VAW37" s="53"/>
      <c r="VAX37" s="53"/>
      <c r="VAY37" s="53"/>
      <c r="VAZ37" s="53"/>
      <c r="VBA37" s="53"/>
      <c r="VBB37" s="53"/>
      <c r="VBC37" s="53"/>
      <c r="VBD37" s="53"/>
      <c r="VBE37" s="53"/>
      <c r="VBF37" s="53"/>
      <c r="VBG37" s="53"/>
      <c r="VBH37" s="53"/>
      <c r="VBI37" s="53"/>
      <c r="VBJ37" s="53"/>
      <c r="VBK37" s="53"/>
      <c r="VBL37" s="53"/>
      <c r="VBM37" s="53"/>
      <c r="VBN37" s="53"/>
      <c r="VBO37" s="53"/>
      <c r="VBP37" s="53"/>
      <c r="VBQ37" s="53"/>
      <c r="VBR37" s="53"/>
      <c r="VBS37" s="53"/>
      <c r="VBT37" s="53"/>
      <c r="VBU37" s="53"/>
      <c r="VBV37" s="53"/>
      <c r="VBW37" s="53"/>
      <c r="VBX37" s="53"/>
      <c r="VBY37" s="53"/>
      <c r="VBZ37" s="53"/>
      <c r="VCA37" s="53"/>
      <c r="VCB37" s="53"/>
      <c r="VCC37" s="53"/>
      <c r="VCD37" s="53"/>
      <c r="VCE37" s="53"/>
      <c r="VCF37" s="53"/>
      <c r="VCG37" s="53"/>
      <c r="VCH37" s="53"/>
      <c r="VCI37" s="53"/>
      <c r="VCJ37" s="53"/>
      <c r="VCK37" s="53"/>
      <c r="VCL37" s="53"/>
      <c r="VCM37" s="53"/>
      <c r="VCN37" s="53"/>
      <c r="VCO37" s="53"/>
      <c r="VCP37" s="53"/>
      <c r="VCQ37" s="53"/>
      <c r="VCR37" s="53"/>
      <c r="VCS37" s="53"/>
      <c r="VCT37" s="53"/>
      <c r="VCU37" s="53"/>
      <c r="VCV37" s="53"/>
      <c r="VCW37" s="53"/>
      <c r="VCX37" s="53"/>
      <c r="VCY37" s="53"/>
      <c r="VCZ37" s="53"/>
      <c r="VDA37" s="53"/>
      <c r="VDB37" s="53"/>
      <c r="VDC37" s="53"/>
      <c r="VDD37" s="53"/>
      <c r="VDE37" s="53"/>
      <c r="VDF37" s="53"/>
      <c r="VDG37" s="53"/>
      <c r="VDH37" s="53"/>
      <c r="VDI37" s="53"/>
      <c r="VDJ37" s="53"/>
      <c r="VDK37" s="53"/>
      <c r="VDL37" s="53"/>
      <c r="VDM37" s="53"/>
      <c r="VDN37" s="53"/>
      <c r="VDO37" s="53"/>
      <c r="VDP37" s="53"/>
      <c r="VDQ37" s="53"/>
      <c r="VDR37" s="53"/>
      <c r="VDS37" s="53"/>
      <c r="VDT37" s="53"/>
      <c r="VDU37" s="53"/>
      <c r="VDV37" s="53"/>
      <c r="VDW37" s="53"/>
      <c r="VDX37" s="53"/>
      <c r="VDY37" s="53"/>
      <c r="VDZ37" s="53"/>
      <c r="VEA37" s="53"/>
      <c r="VEB37" s="53"/>
      <c r="VEC37" s="53"/>
      <c r="VED37" s="53"/>
      <c r="VEE37" s="53"/>
      <c r="VEF37" s="53"/>
      <c r="VEG37" s="53"/>
      <c r="VEH37" s="53"/>
      <c r="VEI37" s="53"/>
      <c r="VEJ37" s="53"/>
      <c r="VEK37" s="53"/>
      <c r="VEL37" s="53"/>
      <c r="VEM37" s="53"/>
      <c r="VEN37" s="53"/>
      <c r="VEO37" s="53"/>
      <c r="VEP37" s="53"/>
      <c r="VEQ37" s="53"/>
      <c r="VER37" s="53"/>
      <c r="VES37" s="53"/>
      <c r="VET37" s="53"/>
      <c r="VEU37" s="53"/>
      <c r="VEV37" s="53"/>
      <c r="VEW37" s="53"/>
      <c r="VEX37" s="53"/>
      <c r="VEY37" s="53"/>
      <c r="VEZ37" s="53"/>
      <c r="VFA37" s="53"/>
      <c r="VFB37" s="53"/>
      <c r="VFC37" s="53"/>
      <c r="VFD37" s="53"/>
      <c r="VFE37" s="53"/>
      <c r="VFF37" s="53"/>
      <c r="VFG37" s="53"/>
      <c r="VFH37" s="53"/>
      <c r="VFI37" s="53"/>
      <c r="VFJ37" s="53"/>
      <c r="VFK37" s="53"/>
      <c r="VFL37" s="53"/>
      <c r="VFM37" s="53"/>
      <c r="VFN37" s="53"/>
      <c r="VFO37" s="53"/>
      <c r="VFP37" s="53"/>
      <c r="VFQ37" s="53"/>
      <c r="VFR37" s="53"/>
      <c r="VFS37" s="53"/>
      <c r="VFT37" s="53"/>
      <c r="VFU37" s="53"/>
      <c r="VFV37" s="53"/>
      <c r="VFW37" s="53"/>
      <c r="VFX37" s="53"/>
      <c r="VFY37" s="53"/>
      <c r="VFZ37" s="53"/>
      <c r="VGA37" s="53"/>
      <c r="VGB37" s="53"/>
      <c r="VGC37" s="53"/>
      <c r="VGD37" s="53"/>
      <c r="VGE37" s="53"/>
      <c r="VGF37" s="53"/>
      <c r="VGG37" s="53"/>
      <c r="VGH37" s="53"/>
      <c r="VGI37" s="53"/>
      <c r="VGJ37" s="53"/>
      <c r="VGK37" s="53"/>
      <c r="VGL37" s="53"/>
      <c r="VGM37" s="53"/>
      <c r="VGN37" s="53"/>
      <c r="VGO37" s="53"/>
      <c r="VGP37" s="53"/>
      <c r="VGQ37" s="53"/>
      <c r="VGR37" s="53"/>
      <c r="VGS37" s="53"/>
      <c r="VGT37" s="53"/>
      <c r="VGU37" s="53"/>
      <c r="VGV37" s="53"/>
      <c r="VGW37" s="53"/>
      <c r="VGX37" s="53"/>
      <c r="VGY37" s="53"/>
      <c r="VGZ37" s="53"/>
      <c r="VHA37" s="53"/>
      <c r="VHB37" s="53"/>
      <c r="VHC37" s="53"/>
      <c r="VHD37" s="53"/>
      <c r="VHE37" s="53"/>
      <c r="VHF37" s="53"/>
      <c r="VHG37" s="53"/>
      <c r="VHH37" s="53"/>
      <c r="VHI37" s="53"/>
      <c r="VHJ37" s="53"/>
      <c r="VHK37" s="53"/>
      <c r="VHL37" s="53"/>
      <c r="VHM37" s="53"/>
      <c r="VHN37" s="53"/>
      <c r="VHO37" s="53"/>
      <c r="VHP37" s="53"/>
      <c r="VHQ37" s="53"/>
      <c r="VHR37" s="53"/>
      <c r="VHS37" s="53"/>
      <c r="VHT37" s="53"/>
      <c r="VHU37" s="53"/>
      <c r="VHV37" s="53"/>
      <c r="VHW37" s="53"/>
      <c r="VHX37" s="53"/>
      <c r="VHY37" s="53"/>
      <c r="VHZ37" s="53"/>
      <c r="VIA37" s="53"/>
      <c r="VIB37" s="53"/>
      <c r="VIC37" s="53"/>
      <c r="VID37" s="53"/>
      <c r="VIE37" s="53"/>
      <c r="VIF37" s="53"/>
      <c r="VIG37" s="53"/>
      <c r="VIH37" s="53"/>
      <c r="VII37" s="53"/>
      <c r="VIJ37" s="53"/>
      <c r="VIK37" s="53"/>
      <c r="VIL37" s="53"/>
      <c r="VIM37" s="53"/>
      <c r="VIN37" s="53"/>
      <c r="VIO37" s="53"/>
      <c r="VIP37" s="53"/>
      <c r="VIQ37" s="53"/>
      <c r="VIR37" s="53"/>
      <c r="VIS37" s="53"/>
      <c r="VIT37" s="53"/>
      <c r="VIU37" s="53"/>
      <c r="VIV37" s="53"/>
      <c r="VIW37" s="53"/>
      <c r="VIX37" s="53"/>
      <c r="VIY37" s="53"/>
      <c r="VIZ37" s="53"/>
      <c r="VJA37" s="53"/>
      <c r="VJB37" s="53"/>
      <c r="VJC37" s="53"/>
      <c r="VJD37" s="53"/>
      <c r="VJE37" s="53"/>
      <c r="VJF37" s="53"/>
      <c r="VJG37" s="53"/>
      <c r="VJH37" s="53"/>
      <c r="VJI37" s="53"/>
      <c r="VJJ37" s="53"/>
      <c r="VJK37" s="53"/>
      <c r="VJL37" s="53"/>
      <c r="VJM37" s="53"/>
      <c r="VJN37" s="53"/>
      <c r="VJO37" s="53"/>
      <c r="VJP37" s="53"/>
      <c r="VJQ37" s="53"/>
      <c r="VJR37" s="53"/>
      <c r="VJS37" s="53"/>
      <c r="VJT37" s="53"/>
      <c r="VJU37" s="53"/>
      <c r="VJV37" s="53"/>
      <c r="VJW37" s="53"/>
      <c r="VJX37" s="53"/>
      <c r="VJY37" s="53"/>
      <c r="VJZ37" s="53"/>
      <c r="VKA37" s="53"/>
      <c r="VKB37" s="53"/>
      <c r="VKC37" s="53"/>
      <c r="VKD37" s="53"/>
      <c r="VKE37" s="53"/>
      <c r="VKF37" s="53"/>
      <c r="VKG37" s="53"/>
      <c r="VKH37" s="53"/>
      <c r="VKI37" s="53"/>
      <c r="VKJ37" s="53"/>
      <c r="VKK37" s="53"/>
      <c r="VKL37" s="53"/>
      <c r="VKM37" s="53"/>
      <c r="VKN37" s="53"/>
      <c r="VKO37" s="53"/>
      <c r="VKP37" s="53"/>
      <c r="VKQ37" s="53"/>
      <c r="VKR37" s="53"/>
      <c r="VKS37" s="53"/>
      <c r="VKT37" s="53"/>
      <c r="VKU37" s="53"/>
      <c r="VKV37" s="53"/>
      <c r="VKW37" s="53"/>
      <c r="VKX37" s="53"/>
      <c r="VKY37" s="53"/>
      <c r="VKZ37" s="53"/>
      <c r="VLA37" s="53"/>
      <c r="VLB37" s="53"/>
      <c r="VLC37" s="53"/>
      <c r="VLD37" s="53"/>
      <c r="VLE37" s="53"/>
      <c r="VLF37" s="53"/>
      <c r="VLG37" s="53"/>
      <c r="VLH37" s="53"/>
      <c r="VLI37" s="53"/>
      <c r="VLJ37" s="53"/>
      <c r="VLK37" s="53"/>
      <c r="VLL37" s="53"/>
      <c r="VLM37" s="53"/>
      <c r="VLN37" s="53"/>
      <c r="VLO37" s="53"/>
      <c r="VLP37" s="53"/>
      <c r="VLQ37" s="53"/>
      <c r="VLR37" s="53"/>
      <c r="VLS37" s="53"/>
      <c r="VLT37" s="53"/>
      <c r="VLU37" s="53"/>
      <c r="VLV37" s="53"/>
      <c r="VLW37" s="53"/>
      <c r="VLX37" s="53"/>
      <c r="VLY37" s="53"/>
      <c r="VLZ37" s="53"/>
      <c r="VMA37" s="53"/>
      <c r="VMB37" s="53"/>
      <c r="VMC37" s="53"/>
      <c r="VMD37" s="53"/>
      <c r="VME37" s="53"/>
      <c r="VMF37" s="53"/>
      <c r="VMG37" s="53"/>
      <c r="VMH37" s="53"/>
      <c r="VMI37" s="53"/>
      <c r="VMJ37" s="53"/>
      <c r="VMK37" s="53"/>
      <c r="VML37" s="53"/>
      <c r="VMM37" s="53"/>
      <c r="VMN37" s="53"/>
      <c r="VMO37" s="53"/>
      <c r="VMP37" s="53"/>
      <c r="VMQ37" s="53"/>
      <c r="VMR37" s="53"/>
      <c r="VMS37" s="53"/>
      <c r="VMT37" s="53"/>
      <c r="VMU37" s="53"/>
      <c r="VMV37" s="53"/>
      <c r="VMW37" s="53"/>
      <c r="VMX37" s="53"/>
      <c r="VMY37" s="53"/>
      <c r="VMZ37" s="53"/>
      <c r="VNA37" s="53"/>
      <c r="VNB37" s="53"/>
      <c r="VNC37" s="53"/>
      <c r="VND37" s="53"/>
      <c r="VNE37" s="53"/>
      <c r="VNF37" s="53"/>
      <c r="VNG37" s="53"/>
      <c r="VNH37" s="53"/>
      <c r="VNI37" s="53"/>
      <c r="VNJ37" s="53"/>
      <c r="VNK37" s="53"/>
      <c r="VNL37" s="53"/>
      <c r="VNM37" s="53"/>
      <c r="VNN37" s="53"/>
      <c r="VNO37" s="53"/>
      <c r="VNP37" s="53"/>
      <c r="VNQ37" s="53"/>
      <c r="VNR37" s="53"/>
      <c r="VNS37" s="53"/>
      <c r="VNT37" s="53"/>
      <c r="VNU37" s="53"/>
      <c r="VNV37" s="53"/>
      <c r="VNW37" s="53"/>
      <c r="VNX37" s="53"/>
      <c r="VNY37" s="53"/>
      <c r="VNZ37" s="53"/>
      <c r="VOA37" s="53"/>
      <c r="VOB37" s="53"/>
      <c r="VOC37" s="53"/>
      <c r="VOD37" s="53"/>
      <c r="VOE37" s="53"/>
      <c r="VOF37" s="53"/>
      <c r="VOG37" s="53"/>
      <c r="VOH37" s="53"/>
      <c r="VOI37" s="53"/>
      <c r="VOJ37" s="53"/>
      <c r="VOK37" s="53"/>
      <c r="VOL37" s="53"/>
      <c r="VOM37" s="53"/>
      <c r="VON37" s="53"/>
      <c r="VOO37" s="53"/>
      <c r="VOP37" s="53"/>
      <c r="VOQ37" s="53"/>
      <c r="VOR37" s="53"/>
      <c r="VOS37" s="53"/>
      <c r="VOT37" s="53"/>
      <c r="VOU37" s="53"/>
      <c r="VOV37" s="53"/>
      <c r="VOW37" s="53"/>
      <c r="VOX37" s="53"/>
      <c r="VOY37" s="53"/>
      <c r="VOZ37" s="53"/>
      <c r="VPA37" s="53"/>
      <c r="VPB37" s="53"/>
      <c r="VPC37" s="53"/>
      <c r="VPD37" s="53"/>
      <c r="VPE37" s="53"/>
      <c r="VPF37" s="53"/>
      <c r="VPG37" s="53"/>
      <c r="VPH37" s="53"/>
      <c r="VPI37" s="53"/>
      <c r="VPJ37" s="53"/>
      <c r="VPK37" s="53"/>
      <c r="VPL37" s="53"/>
      <c r="VPM37" s="53"/>
      <c r="VPN37" s="53"/>
      <c r="VPO37" s="53"/>
      <c r="VPP37" s="53"/>
      <c r="VPQ37" s="53"/>
      <c r="VPR37" s="53"/>
      <c r="VPS37" s="53"/>
      <c r="VPT37" s="53"/>
      <c r="VPU37" s="53"/>
      <c r="VPV37" s="53"/>
      <c r="VPW37" s="53"/>
      <c r="VPX37" s="53"/>
      <c r="VPY37" s="53"/>
      <c r="VPZ37" s="53"/>
      <c r="VQA37" s="53"/>
      <c r="VQB37" s="53"/>
      <c r="VQC37" s="53"/>
      <c r="VQD37" s="53"/>
      <c r="VQE37" s="53"/>
      <c r="VQF37" s="53"/>
      <c r="VQG37" s="53"/>
      <c r="VQH37" s="53"/>
      <c r="VQI37" s="53"/>
      <c r="VQJ37" s="53"/>
      <c r="VQK37" s="53"/>
      <c r="VQL37" s="53"/>
      <c r="VQM37" s="53"/>
      <c r="VQN37" s="53"/>
      <c r="VQO37" s="53"/>
      <c r="VQP37" s="53"/>
      <c r="VQQ37" s="53"/>
      <c r="VQR37" s="53"/>
      <c r="VQS37" s="53"/>
      <c r="VQT37" s="53"/>
      <c r="VQU37" s="53"/>
      <c r="VQV37" s="53"/>
      <c r="VQW37" s="53"/>
      <c r="VQX37" s="53"/>
      <c r="VQY37" s="53"/>
      <c r="VQZ37" s="53"/>
      <c r="VRA37" s="53"/>
      <c r="VRB37" s="53"/>
      <c r="VRC37" s="53"/>
      <c r="VRD37" s="53"/>
      <c r="VRE37" s="53"/>
      <c r="VRF37" s="53"/>
      <c r="VRG37" s="53"/>
      <c r="VRH37" s="53"/>
      <c r="VRI37" s="53"/>
      <c r="VRJ37" s="53"/>
      <c r="VRK37" s="53"/>
      <c r="VRL37" s="53"/>
      <c r="VRM37" s="53"/>
      <c r="VRN37" s="53"/>
      <c r="VRO37" s="53"/>
      <c r="VRP37" s="53"/>
      <c r="VRQ37" s="53"/>
      <c r="VRR37" s="53"/>
      <c r="VRS37" s="53"/>
      <c r="VRT37" s="53"/>
      <c r="VRU37" s="53"/>
      <c r="VRV37" s="53"/>
      <c r="VRW37" s="53"/>
      <c r="VRX37" s="53"/>
      <c r="VRY37" s="53"/>
      <c r="VRZ37" s="53"/>
      <c r="VSA37" s="53"/>
      <c r="VSB37" s="53"/>
      <c r="VSC37" s="53"/>
      <c r="VSD37" s="53"/>
      <c r="VSE37" s="53"/>
      <c r="VSF37" s="53"/>
      <c r="VSG37" s="53"/>
      <c r="VSH37" s="53"/>
      <c r="VSI37" s="53"/>
      <c r="VSJ37" s="53"/>
      <c r="VSK37" s="53"/>
      <c r="VSL37" s="53"/>
      <c r="VSM37" s="53"/>
      <c r="VSN37" s="53"/>
      <c r="VSO37" s="53"/>
      <c r="VSP37" s="53"/>
      <c r="VSQ37" s="53"/>
      <c r="VSR37" s="53"/>
      <c r="VSS37" s="53"/>
      <c r="VST37" s="53"/>
      <c r="VSU37" s="53"/>
      <c r="VSV37" s="53"/>
      <c r="VSW37" s="53"/>
      <c r="VSX37" s="53"/>
      <c r="VSY37" s="53"/>
      <c r="VSZ37" s="53"/>
      <c r="VTA37" s="53"/>
      <c r="VTB37" s="53"/>
      <c r="VTC37" s="53"/>
      <c r="VTD37" s="53"/>
      <c r="VTE37" s="53"/>
      <c r="VTF37" s="53"/>
      <c r="VTG37" s="53"/>
      <c r="VTH37" s="53"/>
      <c r="VTI37" s="53"/>
      <c r="VTJ37" s="53"/>
      <c r="VTK37" s="53"/>
      <c r="VTL37" s="53"/>
      <c r="VTM37" s="53"/>
      <c r="VTN37" s="53"/>
      <c r="VTO37" s="53"/>
      <c r="VTP37" s="53"/>
      <c r="VTQ37" s="53"/>
      <c r="VTR37" s="53"/>
      <c r="VTS37" s="53"/>
      <c r="VTT37" s="53"/>
      <c r="VTU37" s="53"/>
      <c r="VTV37" s="53"/>
      <c r="VTW37" s="53"/>
      <c r="VTX37" s="53"/>
      <c r="VTY37" s="53"/>
      <c r="VTZ37" s="53"/>
      <c r="VUA37" s="53"/>
      <c r="VUB37" s="53"/>
      <c r="VUC37" s="53"/>
      <c r="VUD37" s="53"/>
      <c r="VUE37" s="53"/>
      <c r="VUF37" s="53"/>
      <c r="VUG37" s="53"/>
      <c r="VUH37" s="53"/>
      <c r="VUI37" s="53"/>
      <c r="VUJ37" s="53"/>
      <c r="VUK37" s="53"/>
      <c r="VUL37" s="53"/>
      <c r="VUM37" s="53"/>
      <c r="VUN37" s="53"/>
      <c r="VUO37" s="53"/>
      <c r="VUP37" s="53"/>
      <c r="VUQ37" s="53"/>
      <c r="VUR37" s="53"/>
      <c r="VUS37" s="53"/>
      <c r="VUT37" s="53"/>
      <c r="VUU37" s="53"/>
      <c r="VUV37" s="53"/>
      <c r="VUW37" s="53"/>
      <c r="VUX37" s="53"/>
      <c r="VUY37" s="53"/>
      <c r="VUZ37" s="53"/>
      <c r="VVA37" s="53"/>
      <c r="VVB37" s="53"/>
      <c r="VVC37" s="53"/>
      <c r="VVD37" s="53"/>
      <c r="VVE37" s="53"/>
      <c r="VVF37" s="53"/>
      <c r="VVG37" s="53"/>
      <c r="VVH37" s="53"/>
      <c r="VVI37" s="53"/>
      <c r="VVJ37" s="53"/>
      <c r="VVK37" s="53"/>
      <c r="VVL37" s="53"/>
      <c r="VVM37" s="53"/>
      <c r="VVN37" s="53"/>
      <c r="VVO37" s="53"/>
      <c r="VVP37" s="53"/>
      <c r="VVQ37" s="53"/>
      <c r="VVR37" s="53"/>
      <c r="VVS37" s="53"/>
      <c r="VVT37" s="53"/>
      <c r="VVU37" s="53"/>
      <c r="VVV37" s="53"/>
      <c r="VVW37" s="53"/>
      <c r="VVX37" s="53"/>
      <c r="VVY37" s="53"/>
      <c r="VVZ37" s="53"/>
      <c r="VWA37" s="53"/>
      <c r="VWB37" s="53"/>
      <c r="VWC37" s="53"/>
      <c r="VWD37" s="53"/>
      <c r="VWE37" s="53"/>
      <c r="VWF37" s="53"/>
      <c r="VWG37" s="53"/>
      <c r="VWH37" s="53"/>
      <c r="VWI37" s="53"/>
      <c r="VWJ37" s="53"/>
      <c r="VWK37" s="53"/>
      <c r="VWL37" s="53"/>
      <c r="VWM37" s="53"/>
      <c r="VWN37" s="53"/>
      <c r="VWO37" s="53"/>
      <c r="VWP37" s="53"/>
      <c r="VWQ37" s="53"/>
      <c r="VWR37" s="53"/>
      <c r="VWS37" s="53"/>
      <c r="VWT37" s="53"/>
      <c r="VWU37" s="53"/>
      <c r="VWV37" s="53"/>
      <c r="VWW37" s="53"/>
      <c r="VWX37" s="53"/>
      <c r="VWY37" s="53"/>
      <c r="VWZ37" s="53"/>
      <c r="VXA37" s="53"/>
      <c r="VXB37" s="53"/>
      <c r="VXC37" s="53"/>
      <c r="VXD37" s="53"/>
      <c r="VXE37" s="53"/>
      <c r="VXF37" s="53"/>
      <c r="VXG37" s="53"/>
      <c r="VXH37" s="53"/>
      <c r="VXI37" s="53"/>
      <c r="VXJ37" s="53"/>
      <c r="VXK37" s="53"/>
      <c r="VXL37" s="53"/>
      <c r="VXM37" s="53"/>
      <c r="VXN37" s="53"/>
      <c r="VXO37" s="53"/>
      <c r="VXP37" s="53"/>
      <c r="VXQ37" s="53"/>
      <c r="VXR37" s="53"/>
      <c r="VXS37" s="53"/>
      <c r="VXT37" s="53"/>
      <c r="VXU37" s="53"/>
      <c r="VXV37" s="53"/>
      <c r="VXW37" s="53"/>
      <c r="VXX37" s="53"/>
      <c r="VXY37" s="53"/>
      <c r="VXZ37" s="53"/>
      <c r="VYA37" s="53"/>
      <c r="VYB37" s="53"/>
      <c r="VYC37" s="53"/>
      <c r="VYD37" s="53"/>
      <c r="VYE37" s="53"/>
      <c r="VYF37" s="53"/>
      <c r="VYG37" s="53"/>
      <c r="VYH37" s="53"/>
      <c r="VYI37" s="53"/>
      <c r="VYJ37" s="53"/>
      <c r="VYK37" s="53"/>
      <c r="VYL37" s="53"/>
      <c r="VYM37" s="53"/>
      <c r="VYN37" s="53"/>
      <c r="VYO37" s="53"/>
      <c r="VYP37" s="53"/>
      <c r="VYQ37" s="53"/>
      <c r="VYR37" s="53"/>
      <c r="VYS37" s="53"/>
      <c r="VYT37" s="53"/>
      <c r="VYU37" s="53"/>
      <c r="VYV37" s="53"/>
      <c r="VYW37" s="53"/>
      <c r="VYX37" s="53"/>
      <c r="VYY37" s="53"/>
      <c r="VYZ37" s="53"/>
      <c r="VZA37" s="53"/>
      <c r="VZB37" s="53"/>
      <c r="VZC37" s="53"/>
      <c r="VZD37" s="53"/>
      <c r="VZE37" s="53"/>
      <c r="VZF37" s="53"/>
      <c r="VZG37" s="53"/>
      <c r="VZH37" s="53"/>
      <c r="VZI37" s="53"/>
      <c r="VZJ37" s="53"/>
      <c r="VZK37" s="53"/>
      <c r="VZL37" s="53"/>
      <c r="VZM37" s="53"/>
      <c r="VZN37" s="53"/>
      <c r="VZO37" s="53"/>
      <c r="VZP37" s="53"/>
      <c r="VZQ37" s="53"/>
      <c r="VZR37" s="53"/>
      <c r="VZS37" s="53"/>
      <c r="VZT37" s="53"/>
      <c r="VZU37" s="53"/>
      <c r="VZV37" s="53"/>
      <c r="VZW37" s="53"/>
      <c r="VZX37" s="53"/>
      <c r="VZY37" s="53"/>
      <c r="VZZ37" s="53"/>
      <c r="WAA37" s="53"/>
      <c r="WAB37" s="53"/>
      <c r="WAC37" s="53"/>
      <c r="WAD37" s="53"/>
      <c r="WAE37" s="53"/>
      <c r="WAF37" s="53"/>
      <c r="WAG37" s="53"/>
      <c r="WAH37" s="53"/>
      <c r="WAI37" s="53"/>
      <c r="WAJ37" s="53"/>
      <c r="WAK37" s="53"/>
      <c r="WAL37" s="53"/>
      <c r="WAM37" s="53"/>
      <c r="WAN37" s="53"/>
      <c r="WAO37" s="53"/>
      <c r="WAP37" s="53"/>
      <c r="WAQ37" s="53"/>
      <c r="WAR37" s="53"/>
      <c r="WAS37" s="53"/>
      <c r="WAT37" s="53"/>
      <c r="WAU37" s="53"/>
      <c r="WAV37" s="53"/>
      <c r="WAW37" s="53"/>
      <c r="WAX37" s="53"/>
      <c r="WAY37" s="53"/>
      <c r="WAZ37" s="53"/>
      <c r="WBA37" s="53"/>
      <c r="WBB37" s="53"/>
      <c r="WBC37" s="53"/>
      <c r="WBD37" s="53"/>
      <c r="WBE37" s="53"/>
      <c r="WBF37" s="53"/>
      <c r="WBG37" s="53"/>
      <c r="WBH37" s="53"/>
      <c r="WBI37" s="53"/>
      <c r="WBJ37" s="53"/>
      <c r="WBK37" s="53"/>
      <c r="WBL37" s="53"/>
      <c r="WBM37" s="53"/>
      <c r="WBN37" s="53"/>
      <c r="WBO37" s="53"/>
      <c r="WBP37" s="53"/>
      <c r="WBQ37" s="53"/>
      <c r="WBR37" s="53"/>
      <c r="WBS37" s="53"/>
      <c r="WBT37" s="53"/>
      <c r="WBU37" s="53"/>
      <c r="WBV37" s="53"/>
      <c r="WBW37" s="53"/>
      <c r="WBX37" s="53"/>
      <c r="WBY37" s="53"/>
      <c r="WBZ37" s="53"/>
      <c r="WCA37" s="53"/>
      <c r="WCB37" s="53"/>
      <c r="WCC37" s="53"/>
      <c r="WCD37" s="53"/>
      <c r="WCE37" s="53"/>
      <c r="WCF37" s="53"/>
      <c r="WCG37" s="53"/>
      <c r="WCH37" s="53"/>
      <c r="WCI37" s="53"/>
      <c r="WCJ37" s="53"/>
      <c r="WCK37" s="53"/>
      <c r="WCL37" s="53"/>
      <c r="WCM37" s="53"/>
      <c r="WCN37" s="53"/>
      <c r="WCO37" s="53"/>
      <c r="WCP37" s="53"/>
      <c r="WCQ37" s="53"/>
      <c r="WCR37" s="53"/>
      <c r="WCS37" s="53"/>
      <c r="WCT37" s="53"/>
      <c r="WCU37" s="53"/>
      <c r="WCV37" s="53"/>
      <c r="WCW37" s="53"/>
      <c r="WCX37" s="53"/>
      <c r="WCY37" s="53"/>
      <c r="WCZ37" s="53"/>
      <c r="WDA37" s="53"/>
      <c r="WDB37" s="53"/>
      <c r="WDC37" s="53"/>
      <c r="WDD37" s="53"/>
      <c r="WDE37" s="53"/>
      <c r="WDF37" s="53"/>
      <c r="WDG37" s="53"/>
      <c r="WDH37" s="53"/>
      <c r="WDI37" s="53"/>
      <c r="WDJ37" s="53"/>
      <c r="WDK37" s="53"/>
      <c r="WDL37" s="53"/>
      <c r="WDM37" s="53"/>
      <c r="WDN37" s="53"/>
      <c r="WDO37" s="53"/>
      <c r="WDP37" s="53"/>
      <c r="WDQ37" s="53"/>
      <c r="WDR37" s="53"/>
      <c r="WDS37" s="53"/>
      <c r="WDT37" s="53"/>
      <c r="WDU37" s="53"/>
      <c r="WDV37" s="53"/>
      <c r="WDW37" s="53"/>
      <c r="WDX37" s="53"/>
      <c r="WDY37" s="53"/>
      <c r="WDZ37" s="53"/>
      <c r="WEA37" s="53"/>
      <c r="WEB37" s="53"/>
      <c r="WEC37" s="53"/>
      <c r="WED37" s="53"/>
      <c r="WEE37" s="53"/>
      <c r="WEF37" s="53"/>
      <c r="WEG37" s="53"/>
      <c r="WEH37" s="53"/>
      <c r="WEI37" s="53"/>
      <c r="WEJ37" s="53"/>
      <c r="WEK37" s="53"/>
      <c r="WEL37" s="53"/>
      <c r="WEM37" s="53"/>
      <c r="WEN37" s="53"/>
      <c r="WEO37" s="53"/>
      <c r="WEP37" s="53"/>
      <c r="WEQ37" s="53"/>
      <c r="WER37" s="53"/>
      <c r="WES37" s="53"/>
      <c r="WET37" s="53"/>
      <c r="WEU37" s="53"/>
      <c r="WEV37" s="53"/>
      <c r="WEW37" s="53"/>
      <c r="WEX37" s="53"/>
      <c r="WEY37" s="53"/>
      <c r="WEZ37" s="53"/>
      <c r="WFA37" s="53"/>
      <c r="WFB37" s="53"/>
      <c r="WFC37" s="53"/>
      <c r="WFD37" s="53"/>
      <c r="WFE37" s="53"/>
      <c r="WFF37" s="53"/>
      <c r="WFG37" s="53"/>
      <c r="WFH37" s="53"/>
      <c r="WFI37" s="53"/>
      <c r="WFJ37" s="53"/>
      <c r="WFK37" s="53"/>
      <c r="WFL37" s="53"/>
      <c r="WFM37" s="53"/>
      <c r="WFN37" s="53"/>
      <c r="WFO37" s="53"/>
      <c r="WFP37" s="53"/>
      <c r="WFQ37" s="53"/>
      <c r="WFR37" s="53"/>
      <c r="WFS37" s="53"/>
      <c r="WFT37" s="53"/>
      <c r="WFU37" s="53"/>
      <c r="WFV37" s="53"/>
      <c r="WFW37" s="53"/>
      <c r="WFX37" s="53"/>
      <c r="WFY37" s="53"/>
      <c r="WFZ37" s="53"/>
      <c r="WGA37" s="53"/>
      <c r="WGB37" s="53"/>
      <c r="WGC37" s="53"/>
      <c r="WGD37" s="53"/>
      <c r="WGE37" s="53"/>
      <c r="WGF37" s="53"/>
      <c r="WGG37" s="53"/>
      <c r="WGH37" s="53"/>
      <c r="WGI37" s="53"/>
      <c r="WGJ37" s="53"/>
      <c r="WGK37" s="53"/>
      <c r="WGL37" s="53"/>
      <c r="WGM37" s="53"/>
      <c r="WGN37" s="53"/>
      <c r="WGO37" s="53"/>
      <c r="WGP37" s="53"/>
      <c r="WGQ37" s="53"/>
      <c r="WGR37" s="53"/>
      <c r="WGS37" s="53"/>
      <c r="WGT37" s="53"/>
      <c r="WGU37" s="53"/>
      <c r="WGV37" s="53"/>
      <c r="WGW37" s="53"/>
      <c r="WGX37" s="53"/>
      <c r="WGY37" s="53"/>
      <c r="WGZ37" s="53"/>
      <c r="WHA37" s="53"/>
      <c r="WHB37" s="53"/>
      <c r="WHC37" s="53"/>
      <c r="WHD37" s="53"/>
      <c r="WHE37" s="53"/>
      <c r="WHF37" s="53"/>
      <c r="WHG37" s="53"/>
      <c r="WHH37" s="53"/>
      <c r="WHI37" s="53"/>
      <c r="WHJ37" s="53"/>
      <c r="WHK37" s="53"/>
      <c r="WHL37" s="53"/>
      <c r="WHM37" s="53"/>
      <c r="WHN37" s="53"/>
      <c r="WHO37" s="53"/>
      <c r="WHP37" s="53"/>
      <c r="WHQ37" s="53"/>
      <c r="WHR37" s="53"/>
      <c r="WHS37" s="53"/>
      <c r="WHT37" s="53"/>
      <c r="WHU37" s="53"/>
      <c r="WHV37" s="53"/>
      <c r="WHW37" s="53"/>
      <c r="WHX37" s="53"/>
      <c r="WHY37" s="53"/>
      <c r="WHZ37" s="53"/>
      <c r="WIA37" s="53"/>
      <c r="WIB37" s="53"/>
      <c r="WIC37" s="53"/>
      <c r="WID37" s="53"/>
      <c r="WIE37" s="53"/>
      <c r="WIF37" s="53"/>
      <c r="WIG37" s="53"/>
      <c r="WIH37" s="53"/>
      <c r="WII37" s="53"/>
      <c r="WIJ37" s="53"/>
      <c r="WIK37" s="53"/>
      <c r="WIL37" s="53"/>
      <c r="WIM37" s="53"/>
      <c r="WIN37" s="53"/>
      <c r="WIO37" s="53"/>
      <c r="WIP37" s="53"/>
      <c r="WIQ37" s="53"/>
      <c r="WIR37" s="53"/>
      <c r="WIS37" s="53"/>
      <c r="WIT37" s="53"/>
      <c r="WIU37" s="53"/>
      <c r="WIV37" s="53"/>
      <c r="WIW37" s="53"/>
      <c r="WIX37" s="53"/>
      <c r="WIY37" s="53"/>
      <c r="WIZ37" s="53"/>
      <c r="WJA37" s="53"/>
      <c r="WJB37" s="53"/>
      <c r="WJC37" s="53"/>
      <c r="WJD37" s="53"/>
      <c r="WJE37" s="53"/>
      <c r="WJF37" s="53"/>
      <c r="WJG37" s="53"/>
      <c r="WJH37" s="53"/>
      <c r="WJI37" s="53"/>
      <c r="WJJ37" s="53"/>
      <c r="WJK37" s="53"/>
      <c r="WJL37" s="53"/>
      <c r="WJM37" s="53"/>
      <c r="WJN37" s="53"/>
      <c r="WJO37" s="53"/>
      <c r="WJP37" s="53"/>
      <c r="WJQ37" s="53"/>
      <c r="WJR37" s="53"/>
      <c r="WJS37" s="53"/>
      <c r="WJT37" s="53"/>
      <c r="WJU37" s="53"/>
      <c r="WJV37" s="53"/>
      <c r="WJW37" s="53"/>
      <c r="WJX37" s="53"/>
      <c r="WJY37" s="53"/>
      <c r="WJZ37" s="53"/>
      <c r="WKA37" s="53"/>
      <c r="WKB37" s="53"/>
      <c r="WKC37" s="53"/>
      <c r="WKD37" s="53"/>
      <c r="WKE37" s="53"/>
      <c r="WKF37" s="53"/>
      <c r="WKG37" s="53"/>
      <c r="WKH37" s="53"/>
      <c r="WKI37" s="53"/>
      <c r="WKJ37" s="53"/>
      <c r="WKK37" s="53"/>
      <c r="WKL37" s="53"/>
      <c r="WKM37" s="53"/>
      <c r="WKN37" s="53"/>
      <c r="WKO37" s="53"/>
      <c r="WKP37" s="53"/>
      <c r="WKQ37" s="53"/>
      <c r="WKR37" s="53"/>
      <c r="WKS37" s="53"/>
      <c r="WKT37" s="53"/>
      <c r="WKU37" s="53"/>
      <c r="WKV37" s="53"/>
      <c r="WKW37" s="53"/>
      <c r="WKX37" s="53"/>
      <c r="WKY37" s="53"/>
      <c r="WKZ37" s="53"/>
      <c r="WLA37" s="53"/>
      <c r="WLB37" s="53"/>
      <c r="WLC37" s="53"/>
      <c r="WLD37" s="53"/>
      <c r="WLE37" s="53"/>
      <c r="WLF37" s="53"/>
      <c r="WLG37" s="53"/>
      <c r="WLH37" s="53"/>
      <c r="WLI37" s="53"/>
      <c r="WLJ37" s="53"/>
      <c r="WLK37" s="53"/>
      <c r="WLL37" s="53"/>
      <c r="WLM37" s="53"/>
      <c r="WLN37" s="53"/>
      <c r="WLO37" s="53"/>
      <c r="WLP37" s="53"/>
      <c r="WLQ37" s="53"/>
      <c r="WLR37" s="53"/>
      <c r="WLS37" s="53"/>
      <c r="WLT37" s="53"/>
      <c r="WLU37" s="53"/>
      <c r="WLV37" s="53"/>
      <c r="WLW37" s="53"/>
      <c r="WLX37" s="53"/>
      <c r="WLY37" s="53"/>
      <c r="WLZ37" s="53"/>
      <c r="WMA37" s="53"/>
      <c r="WMB37" s="53"/>
      <c r="WMC37" s="53"/>
      <c r="WMD37" s="53"/>
      <c r="WME37" s="53"/>
      <c r="WMF37" s="53"/>
      <c r="WMG37" s="53"/>
      <c r="WMH37" s="53"/>
      <c r="WMI37" s="53"/>
      <c r="WMJ37" s="53"/>
      <c r="WMK37" s="53"/>
      <c r="WML37" s="53"/>
      <c r="WMM37" s="53"/>
      <c r="WMN37" s="53"/>
      <c r="WMO37" s="53"/>
      <c r="WMP37" s="53"/>
      <c r="WMQ37" s="53"/>
      <c r="WMR37" s="53"/>
      <c r="WMS37" s="53"/>
      <c r="WMT37" s="53"/>
      <c r="WMU37" s="53"/>
      <c r="WMV37" s="53"/>
      <c r="WMW37" s="53"/>
      <c r="WMX37" s="53"/>
      <c r="WMY37" s="53"/>
      <c r="WMZ37" s="53"/>
      <c r="WNA37" s="53"/>
      <c r="WNB37" s="53"/>
      <c r="WNC37" s="53"/>
      <c r="WND37" s="53"/>
      <c r="WNE37" s="53"/>
      <c r="WNF37" s="53"/>
      <c r="WNG37" s="53"/>
      <c r="WNH37" s="53"/>
      <c r="WNI37" s="53"/>
      <c r="WNJ37" s="53"/>
      <c r="WNK37" s="53"/>
      <c r="WNL37" s="53"/>
      <c r="WNM37" s="53"/>
      <c r="WNN37" s="53"/>
      <c r="WNO37" s="53"/>
      <c r="WNP37" s="53"/>
      <c r="WNQ37" s="53"/>
      <c r="WNR37" s="53"/>
      <c r="WNS37" s="53"/>
      <c r="WNT37" s="53"/>
      <c r="WNU37" s="53"/>
      <c r="WNV37" s="53"/>
      <c r="WNW37" s="53"/>
      <c r="WNX37" s="53"/>
      <c r="WNY37" s="53"/>
      <c r="WNZ37" s="53"/>
      <c r="WOA37" s="53"/>
      <c r="WOB37" s="53"/>
      <c r="WOC37" s="53"/>
      <c r="WOD37" s="53"/>
      <c r="WOE37" s="53"/>
      <c r="WOF37" s="53"/>
      <c r="WOG37" s="53"/>
      <c r="WOH37" s="53"/>
      <c r="WOI37" s="53"/>
      <c r="WOJ37" s="53"/>
      <c r="WOK37" s="53"/>
      <c r="WOL37" s="53"/>
      <c r="WOM37" s="53"/>
      <c r="WON37" s="53"/>
      <c r="WOO37" s="53"/>
      <c r="WOP37" s="53"/>
      <c r="WOQ37" s="53"/>
      <c r="WOR37" s="53"/>
      <c r="WOS37" s="53"/>
      <c r="WOT37" s="53"/>
      <c r="WOU37" s="53"/>
      <c r="WOV37" s="53"/>
      <c r="WOW37" s="53"/>
      <c r="WOX37" s="53"/>
      <c r="WOY37" s="53"/>
      <c r="WOZ37" s="53"/>
      <c r="WPA37" s="53"/>
      <c r="WPB37" s="53"/>
      <c r="WPC37" s="53"/>
      <c r="WPD37" s="53"/>
      <c r="WPE37" s="53"/>
      <c r="WPF37" s="53"/>
      <c r="WPG37" s="53"/>
      <c r="WPH37" s="53"/>
      <c r="WPI37" s="53"/>
      <c r="WPJ37" s="53"/>
      <c r="WPK37" s="53"/>
      <c r="WPL37" s="53"/>
      <c r="WPM37" s="53"/>
      <c r="WPN37" s="53"/>
      <c r="WPO37" s="53"/>
      <c r="WPP37" s="53"/>
      <c r="WPQ37" s="53"/>
      <c r="WPR37" s="53"/>
      <c r="WPS37" s="53"/>
      <c r="WPT37" s="53"/>
      <c r="WPU37" s="53"/>
      <c r="WPV37" s="53"/>
      <c r="WPW37" s="53"/>
      <c r="WPX37" s="53"/>
      <c r="WPY37" s="53"/>
      <c r="WPZ37" s="53"/>
      <c r="WQA37" s="53"/>
      <c r="WQB37" s="53"/>
      <c r="WQC37" s="53"/>
      <c r="WQD37" s="53"/>
      <c r="WQE37" s="53"/>
      <c r="WQF37" s="53"/>
      <c r="WQG37" s="53"/>
      <c r="WQH37" s="53"/>
      <c r="WQI37" s="53"/>
      <c r="WQJ37" s="53"/>
      <c r="WQK37" s="53"/>
      <c r="WQL37" s="53"/>
      <c r="WQM37" s="53"/>
      <c r="WQN37" s="53"/>
      <c r="WQO37" s="53"/>
      <c r="WQP37" s="53"/>
      <c r="WQQ37" s="53"/>
      <c r="WQR37" s="53"/>
      <c r="WQS37" s="53"/>
      <c r="WQT37" s="53"/>
      <c r="WQU37" s="53"/>
      <c r="WQV37" s="53"/>
      <c r="WQW37" s="53"/>
      <c r="WQX37" s="53"/>
      <c r="WQY37" s="53"/>
      <c r="WQZ37" s="53"/>
      <c r="WRA37" s="53"/>
      <c r="WRB37" s="53"/>
      <c r="WRC37" s="53"/>
      <c r="WRD37" s="53"/>
      <c r="WRE37" s="53"/>
      <c r="WRF37" s="53"/>
      <c r="WRG37" s="53"/>
      <c r="WRH37" s="53"/>
      <c r="WRI37" s="53"/>
      <c r="WRJ37" s="53"/>
      <c r="WRK37" s="53"/>
      <c r="WRL37" s="53"/>
      <c r="WRM37" s="53"/>
      <c r="WRN37" s="53"/>
      <c r="WRO37" s="53"/>
      <c r="WRP37" s="53"/>
      <c r="WRQ37" s="53"/>
      <c r="WRR37" s="53"/>
      <c r="WRS37" s="53"/>
      <c r="WRT37" s="53"/>
      <c r="WRU37" s="53"/>
      <c r="WRV37" s="53"/>
      <c r="WRW37" s="53"/>
      <c r="WRX37" s="53"/>
      <c r="WRY37" s="53"/>
      <c r="WRZ37" s="53"/>
      <c r="WSA37" s="53"/>
      <c r="WSB37" s="53"/>
      <c r="WSC37" s="53"/>
      <c r="WSD37" s="53"/>
      <c r="WSE37" s="53"/>
      <c r="WSF37" s="53"/>
      <c r="WSG37" s="53"/>
      <c r="WSH37" s="53"/>
      <c r="WSI37" s="53"/>
      <c r="WSJ37" s="53"/>
      <c r="WSK37" s="53"/>
      <c r="WSL37" s="53"/>
      <c r="WSM37" s="53"/>
      <c r="WSN37" s="53"/>
      <c r="WSO37" s="53"/>
      <c r="WSP37" s="53"/>
      <c r="WSQ37" s="53"/>
      <c r="WSR37" s="53"/>
      <c r="WSS37" s="53"/>
      <c r="WST37" s="53"/>
      <c r="WSU37" s="53"/>
      <c r="WSV37" s="53"/>
      <c r="WSW37" s="53"/>
      <c r="WSX37" s="53"/>
      <c r="WSY37" s="53"/>
      <c r="WSZ37" s="53"/>
      <c r="WTA37" s="53"/>
      <c r="WTB37" s="53"/>
      <c r="WTC37" s="53"/>
      <c r="WTD37" s="53"/>
      <c r="WTE37" s="53"/>
      <c r="WTF37" s="53"/>
      <c r="WTG37" s="53"/>
      <c r="WTH37" s="53"/>
      <c r="WTI37" s="53"/>
      <c r="WTJ37" s="53"/>
      <c r="WTK37" s="53"/>
      <c r="WTL37" s="53"/>
      <c r="WTM37" s="53"/>
      <c r="WTN37" s="53"/>
      <c r="WTO37" s="53"/>
      <c r="WTP37" s="53"/>
      <c r="WTQ37" s="53"/>
      <c r="WTR37" s="53"/>
      <c r="WTS37" s="53"/>
      <c r="WTT37" s="53"/>
      <c r="WTU37" s="53"/>
      <c r="WTV37" s="53"/>
      <c r="WTW37" s="53"/>
      <c r="WTX37" s="53"/>
      <c r="WTY37" s="53"/>
      <c r="WTZ37" s="53"/>
      <c r="WUA37" s="53"/>
      <c r="WUB37" s="53"/>
      <c r="WUC37" s="53"/>
      <c r="WUD37" s="53"/>
      <c r="WUE37" s="53"/>
      <c r="WUF37" s="53"/>
      <c r="WUG37" s="53"/>
      <c r="WUH37" s="53"/>
      <c r="WUI37" s="53"/>
      <c r="WUJ37" s="53"/>
      <c r="WUK37" s="53"/>
      <c r="WUL37" s="53"/>
      <c r="WUM37" s="53"/>
      <c r="WUN37" s="53"/>
      <c r="WUO37" s="53"/>
      <c r="WUP37" s="53"/>
      <c r="WUQ37" s="53"/>
      <c r="WUR37" s="53"/>
      <c r="WUS37" s="53"/>
      <c r="WUT37" s="53"/>
      <c r="WUU37" s="53"/>
      <c r="WUV37" s="53"/>
      <c r="WUW37" s="53"/>
      <c r="WUX37" s="53"/>
      <c r="WUY37" s="53"/>
      <c r="WUZ37" s="53"/>
      <c r="WVA37" s="53"/>
      <c r="WVB37" s="53"/>
      <c r="WVC37" s="53"/>
      <c r="WVD37" s="53"/>
      <c r="WVE37" s="53"/>
      <c r="WVF37" s="53"/>
      <c r="WVG37" s="53"/>
      <c r="WVH37" s="53"/>
      <c r="WVI37" s="53"/>
      <c r="WVJ37" s="53"/>
      <c r="WVK37" s="53"/>
      <c r="WVL37" s="53"/>
      <c r="WVM37" s="53"/>
      <c r="WVN37" s="53"/>
      <c r="WVO37" s="53"/>
      <c r="WVP37" s="53"/>
      <c r="WVQ37" s="53"/>
      <c r="WVR37" s="53"/>
      <c r="WVS37" s="53"/>
      <c r="WVT37" s="53"/>
      <c r="WVU37" s="53"/>
      <c r="WVV37" s="53"/>
      <c r="WVW37" s="53"/>
      <c r="WVX37" s="53"/>
      <c r="WVY37" s="53"/>
      <c r="WVZ37" s="53"/>
      <c r="WWA37" s="53"/>
      <c r="WWB37" s="53"/>
      <c r="WWC37" s="53"/>
      <c r="WWD37" s="53"/>
      <c r="WWE37" s="53"/>
      <c r="WWF37" s="53"/>
      <c r="WWG37" s="53"/>
      <c r="WWH37" s="53"/>
      <c r="WWI37" s="53"/>
      <c r="WWJ37" s="53"/>
      <c r="WWK37" s="53"/>
      <c r="WWL37" s="53"/>
      <c r="WWM37" s="53"/>
      <c r="WWN37" s="53"/>
      <c r="WWO37" s="53"/>
      <c r="WWP37" s="53"/>
      <c r="WWQ37" s="53"/>
      <c r="WWR37" s="53"/>
      <c r="WWS37" s="53"/>
      <c r="WWT37" s="53"/>
      <c r="WWU37" s="53"/>
      <c r="WWV37" s="53"/>
      <c r="WWW37" s="53"/>
      <c r="WWX37" s="53"/>
      <c r="WWY37" s="53"/>
      <c r="WWZ37" s="53"/>
      <c r="WXA37" s="53"/>
      <c r="WXB37" s="53"/>
      <c r="WXC37" s="53"/>
      <c r="WXD37" s="53"/>
      <c r="WXE37" s="53"/>
      <c r="WXF37" s="53"/>
      <c r="WXG37" s="53"/>
      <c r="WXH37" s="53"/>
      <c r="WXI37" s="53"/>
      <c r="WXJ37" s="53"/>
      <c r="WXK37" s="53"/>
      <c r="WXL37" s="53"/>
      <c r="WXM37" s="53"/>
      <c r="WXN37" s="53"/>
      <c r="WXO37" s="53"/>
      <c r="WXP37" s="53"/>
      <c r="WXQ37" s="53"/>
      <c r="WXR37" s="53"/>
      <c r="WXS37" s="53"/>
      <c r="WXT37" s="53"/>
      <c r="WXU37" s="53"/>
      <c r="WXV37" s="53"/>
      <c r="WXW37" s="53"/>
      <c r="WXX37" s="53"/>
      <c r="WXY37" s="53"/>
      <c r="WXZ37" s="53"/>
      <c r="WYA37" s="53"/>
      <c r="WYB37" s="53"/>
      <c r="WYC37" s="53"/>
      <c r="WYD37" s="53"/>
      <c r="WYE37" s="53"/>
      <c r="WYF37" s="53"/>
      <c r="WYG37" s="53"/>
      <c r="WYH37" s="53"/>
      <c r="WYI37" s="53"/>
      <c r="WYJ37" s="53"/>
      <c r="WYK37" s="53"/>
      <c r="WYL37" s="53"/>
      <c r="WYM37" s="53"/>
      <c r="WYN37" s="53"/>
      <c r="WYO37" s="53"/>
      <c r="WYP37" s="53"/>
      <c r="WYQ37" s="53"/>
      <c r="WYR37" s="53"/>
      <c r="WYS37" s="53"/>
      <c r="WYT37" s="53"/>
      <c r="WYU37" s="53"/>
      <c r="WYV37" s="53"/>
      <c r="WYW37" s="53"/>
      <c r="WYX37" s="53"/>
      <c r="WYY37" s="53"/>
      <c r="WYZ37" s="53"/>
      <c r="WZA37" s="53"/>
      <c r="WZB37" s="53"/>
      <c r="WZC37" s="53"/>
      <c r="WZD37" s="53"/>
      <c r="WZE37" s="53"/>
      <c r="WZF37" s="53"/>
      <c r="WZG37" s="53"/>
      <c r="WZH37" s="53"/>
      <c r="WZI37" s="53"/>
      <c r="WZJ37" s="53"/>
      <c r="WZK37" s="53"/>
      <c r="WZL37" s="53"/>
      <c r="WZM37" s="53"/>
      <c r="WZN37" s="53"/>
      <c r="WZO37" s="53"/>
      <c r="WZP37" s="53"/>
      <c r="WZQ37" s="53"/>
      <c r="WZR37" s="53"/>
      <c r="WZS37" s="53"/>
      <c r="WZT37" s="53"/>
      <c r="WZU37" s="53"/>
      <c r="WZV37" s="53"/>
      <c r="WZW37" s="53"/>
      <c r="WZX37" s="53"/>
      <c r="WZY37" s="53"/>
      <c r="WZZ37" s="53"/>
      <c r="XAA37" s="53"/>
      <c r="XAB37" s="53"/>
      <c r="XAC37" s="53"/>
      <c r="XAD37" s="53"/>
      <c r="XAE37" s="53"/>
      <c r="XAF37" s="53"/>
      <c r="XAG37" s="53"/>
      <c r="XAH37" s="53"/>
      <c r="XAI37" s="53"/>
      <c r="XAJ37" s="53"/>
      <c r="XAK37" s="53"/>
      <c r="XAL37" s="53"/>
      <c r="XAM37" s="53"/>
      <c r="XAN37" s="53"/>
      <c r="XAO37" s="53"/>
      <c r="XAP37" s="53"/>
      <c r="XAQ37" s="53"/>
      <c r="XAR37" s="53"/>
      <c r="XAS37" s="53"/>
      <c r="XAT37" s="53"/>
      <c r="XAU37" s="53"/>
      <c r="XAV37" s="53"/>
      <c r="XAW37" s="53"/>
      <c r="XAX37" s="53"/>
      <c r="XAY37" s="53"/>
      <c r="XAZ37" s="53"/>
      <c r="XBA37" s="53"/>
      <c r="XBB37" s="53"/>
      <c r="XBC37" s="53"/>
      <c r="XBD37" s="53"/>
      <c r="XBE37" s="53"/>
      <c r="XBF37" s="53"/>
      <c r="XBG37" s="53"/>
      <c r="XBH37" s="53"/>
      <c r="XBI37" s="53"/>
      <c r="XBJ37" s="53"/>
      <c r="XBK37" s="53"/>
      <c r="XBL37" s="53"/>
      <c r="XBM37" s="53"/>
      <c r="XBN37" s="53"/>
      <c r="XBO37" s="53"/>
      <c r="XBP37" s="53"/>
      <c r="XBQ37" s="53"/>
      <c r="XBR37" s="53"/>
      <c r="XBS37" s="53"/>
      <c r="XBT37" s="53"/>
      <c r="XBU37" s="53"/>
      <c r="XBV37" s="53"/>
      <c r="XBW37" s="53"/>
      <c r="XBX37" s="53"/>
      <c r="XBY37" s="53"/>
      <c r="XBZ37" s="53"/>
      <c r="XCA37" s="53"/>
      <c r="XCB37" s="53"/>
      <c r="XCC37" s="53"/>
      <c r="XCD37" s="53"/>
      <c r="XCE37" s="53"/>
      <c r="XCF37" s="53"/>
      <c r="XCG37" s="53"/>
      <c r="XCH37" s="53"/>
      <c r="XCI37" s="53"/>
      <c r="XCJ37" s="53"/>
      <c r="XCK37" s="53"/>
      <c r="XCL37" s="53"/>
      <c r="XCM37" s="53"/>
      <c r="XCN37" s="53"/>
      <c r="XCO37" s="53"/>
      <c r="XCP37" s="53"/>
      <c r="XCQ37" s="53"/>
      <c r="XCR37" s="53"/>
      <c r="XCS37" s="53"/>
      <c r="XCT37" s="53"/>
      <c r="XCU37" s="53"/>
      <c r="XCV37" s="53"/>
      <c r="XCW37" s="53"/>
      <c r="XCX37" s="53"/>
      <c r="XCY37" s="53"/>
      <c r="XCZ37" s="53"/>
      <c r="XDA37" s="53"/>
      <c r="XDB37" s="53"/>
      <c r="XDC37" s="53"/>
      <c r="XDD37" s="53"/>
      <c r="XDE37" s="53"/>
      <c r="XDF37" s="53"/>
      <c r="XDG37" s="53"/>
      <c r="XDH37" s="53"/>
      <c r="XDI37" s="53"/>
      <c r="XDJ37" s="53"/>
      <c r="XDK37" s="53"/>
      <c r="XDL37" s="53"/>
      <c r="XDM37" s="53"/>
      <c r="XDN37" s="53"/>
      <c r="XDO37" s="53"/>
      <c r="XDP37" s="53"/>
      <c r="XDQ37" s="53"/>
      <c r="XDR37" s="53"/>
      <c r="XDS37" s="53"/>
      <c r="XDT37" s="53"/>
      <c r="XDU37" s="53"/>
      <c r="XDV37" s="53"/>
      <c r="XDW37" s="53"/>
      <c r="XDX37" s="53"/>
      <c r="XDY37" s="53"/>
      <c r="XDZ37" s="53"/>
      <c r="XEA37" s="53"/>
      <c r="XEB37" s="53"/>
      <c r="XEC37" s="53"/>
      <c r="XED37" s="53"/>
      <c r="XEE37" s="53"/>
      <c r="XEF37" s="53"/>
      <c r="XEG37" s="53"/>
      <c r="XEH37" s="53"/>
      <c r="XEI37" s="53"/>
      <c r="XEJ37" s="53"/>
      <c r="XEK37" s="53"/>
      <c r="XEL37" s="53"/>
      <c r="XEM37" s="53"/>
      <c r="XEN37" s="53"/>
      <c r="XEO37" s="53"/>
      <c r="XEP37" s="53"/>
      <c r="XEQ37" s="53"/>
      <c r="XER37" s="53"/>
      <c r="XES37" s="53"/>
      <c r="XET37" s="53"/>
      <c r="XEU37" s="53"/>
      <c r="XEV37" s="53"/>
      <c r="XEW37" s="53"/>
      <c r="XEX37" s="53"/>
      <c r="XEY37" s="53"/>
      <c r="XEZ37" s="53"/>
      <c r="XFA37" s="53"/>
      <c r="XFB37" s="53"/>
      <c r="XFC37" s="53"/>
      <c r="XFD37" s="53"/>
    </row>
    <row r="38" ht="15.75" hidden="1" spans="1:1024 1025:16384">
      <c r="A38" s="46"/>
      <c r="B38" s="46"/>
      <c r="C38" s="302"/>
      <c r="D38" s="302"/>
      <c r="E38" s="302"/>
      <c r="F38" s="302"/>
      <c r="G38" s="302"/>
      <c r="H38" s="302"/>
      <c r="I38" s="302"/>
      <c r="J38" s="302"/>
      <c r="K38" s="302"/>
      <c r="L38" s="302"/>
      <c r="M38" s="302"/>
      <c r="N38" s="302"/>
      <c r="O38" s="302"/>
      <c r="P38" s="302"/>
      <c r="Q38" s="302"/>
      <c r="R38" s="302"/>
      <c r="S38" s="302"/>
      <c r="T38" s="302"/>
      <c r="U38" s="302"/>
      <c r="V38" s="302"/>
      <c r="W38" s="302"/>
      <c r="X38" s="302"/>
      <c r="Y38" s="302"/>
      <c r="Z38" s="302"/>
      <c r="AA38" s="302"/>
      <c r="AB38" s="302"/>
      <c r="AC38" s="302"/>
      <c r="AD38" s="302"/>
      <c r="AE38" s="302"/>
      <c r="AF38" s="302"/>
      <c r="AG38" s="302"/>
      <c r="AH38" s="302"/>
      <c r="AI38" s="53"/>
      <c r="AJ38" s="302"/>
      <c r="AK38" s="302"/>
      <c r="AL38" s="302"/>
      <c r="AM38" s="302"/>
      <c r="AN38" s="302"/>
      <c r="AO38" s="302"/>
      <c r="AP38" s="302"/>
      <c r="AQ38" s="302"/>
      <c r="AR38" s="302"/>
      <c r="AS38" s="302"/>
      <c r="AT38" s="302"/>
      <c r="AU38" s="302"/>
      <c r="AV38" s="302"/>
      <c r="AW38" s="302"/>
      <c r="AX38" s="302"/>
      <c r="AY38" s="302"/>
      <c r="AZ38" s="302"/>
      <c r="BA38" s="302"/>
      <c r="BB38" s="302"/>
      <c r="BC38" s="302"/>
      <c r="BD38" s="302"/>
      <c r="BE38" s="302"/>
      <c r="BF38" s="302"/>
      <c r="BG38" s="302"/>
      <c r="BH38" s="302"/>
      <c r="BI38" s="302"/>
      <c r="BJ38" s="302"/>
      <c r="BK38" s="302"/>
      <c r="BL38" s="302"/>
      <c r="BM38" s="302"/>
      <c r="BN38" s="302"/>
      <c r="BO38" s="302"/>
      <c r="BP38" s="46"/>
      <c r="BQ38" s="302"/>
      <c r="BR38" s="302"/>
      <c r="BS38" s="302"/>
      <c r="BT38" s="302"/>
      <c r="BU38" s="302"/>
      <c r="BV38" s="302"/>
      <c r="BW38" s="302"/>
      <c r="BX38" s="302"/>
      <c r="BY38" s="302"/>
      <c r="BZ38" s="302"/>
      <c r="CA38" s="302"/>
      <c r="CB38" s="302"/>
      <c r="CC38" s="302"/>
      <c r="CD38" s="302"/>
      <c r="CE38" s="302"/>
      <c r="CF38" s="302"/>
      <c r="CG38" s="302"/>
      <c r="CH38" s="302"/>
      <c r="CI38" s="302"/>
      <c r="CJ38" s="302"/>
      <c r="CK38" s="302"/>
      <c r="CL38" s="302"/>
      <c r="CM38" s="302"/>
      <c r="CN38" s="302"/>
      <c r="CO38" s="302"/>
      <c r="CP38" s="302"/>
      <c r="CQ38" s="302"/>
      <c r="CR38" s="302"/>
      <c r="CS38" s="302"/>
      <c r="CT38" s="302"/>
      <c r="CU38" s="302"/>
      <c r="CV38" s="302"/>
      <c r="CW38" s="46"/>
      <c r="CX38" s="302"/>
      <c r="CY38" s="302"/>
      <c r="CZ38" s="302"/>
      <c r="DA38" s="302"/>
      <c r="DB38" s="302"/>
      <c r="DC38" s="302"/>
      <c r="DD38" s="302"/>
      <c r="DE38" s="302"/>
      <c r="DF38" s="302"/>
      <c r="DG38" s="302"/>
      <c r="DH38" s="302"/>
      <c r="DI38" s="302"/>
      <c r="DJ38" s="302"/>
      <c r="DK38" s="302"/>
      <c r="DL38" s="302"/>
      <c r="DM38" s="302"/>
      <c r="DN38" s="302"/>
      <c r="DO38" s="302"/>
      <c r="DP38" s="302"/>
      <c r="DQ38" s="302"/>
      <c r="DR38" s="302"/>
      <c r="DS38" s="302"/>
      <c r="DT38" s="302"/>
      <c r="DU38" s="302"/>
      <c r="DV38" s="302"/>
      <c r="DW38" s="302"/>
      <c r="DX38" s="302"/>
      <c r="DY38" s="302"/>
      <c r="DZ38" s="302"/>
      <c r="EA38" s="302"/>
      <c r="EB38" s="302"/>
      <c r="EC38" s="302"/>
      <c r="ED38" s="46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46"/>
      <c r="FL38" s="46"/>
      <c r="FM38" s="46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U38" s="46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C38" s="46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11"/>
      <c r="LZ38" s="3"/>
      <c r="MA38" s="3"/>
      <c r="MB38" s="3"/>
      <c r="MC38" s="11"/>
      <c r="MD38" s="11"/>
      <c r="ME38" s="11"/>
      <c r="MF38" s="11"/>
      <c r="MG38" s="11"/>
      <c r="MH38" s="11"/>
      <c r="MI38" s="11"/>
      <c r="MJ38" s="11"/>
      <c r="MK38" s="11"/>
      <c r="ML38" s="11"/>
      <c r="MM38" s="11"/>
      <c r="MN38" s="11"/>
      <c r="MO38" s="11"/>
      <c r="MP38" s="11"/>
      <c r="MQ38" s="11"/>
      <c r="MR38" s="11"/>
      <c r="MS38" s="11"/>
      <c r="MT38" s="11"/>
      <c r="MU38" s="11"/>
      <c r="MV38" s="11"/>
      <c r="MW38" s="11"/>
      <c r="MX38" s="11"/>
      <c r="MY38" s="11"/>
      <c r="MZ38" s="11"/>
      <c r="NA38" s="11"/>
      <c r="NB38" s="11"/>
      <c r="NC38" s="11"/>
      <c r="ND38" s="11"/>
      <c r="NE38" s="11"/>
      <c r="NF38" s="11"/>
      <c r="NG38" s="11"/>
      <c r="NH38" s="46"/>
      <c r="NI38" s="46"/>
      <c r="NJ38" s="142"/>
      <c r="NK38" s="46"/>
      <c r="NL38" s="46"/>
      <c r="NM38" s="46"/>
      <c r="NN38" s="46"/>
      <c r="NO38" s="46"/>
      <c r="NP38" s="46"/>
      <c r="NQ38" s="46"/>
      <c r="NR38" s="46"/>
      <c r="NS38" s="46"/>
      <c r="NT38" s="46"/>
      <c r="NU38" s="46"/>
      <c r="NV38" s="46"/>
      <c r="NW38" s="46"/>
      <c r="NX38" s="46"/>
      <c r="NY38" s="46"/>
      <c r="NZ38" s="46"/>
      <c r="OA38" s="46"/>
      <c r="OB38" s="46"/>
      <c r="OC38" s="46"/>
      <c r="OD38" s="46"/>
      <c r="OE38" s="46"/>
      <c r="OF38" s="46"/>
      <c r="OG38" s="46"/>
      <c r="OH38" s="46"/>
      <c r="OI38" s="46"/>
      <c r="OJ38" s="46"/>
      <c r="OK38" s="46"/>
      <c r="OL38" s="46"/>
      <c r="OM38" s="46"/>
      <c r="ON38" s="46"/>
      <c r="OO38" s="46"/>
      <c r="OP38" s="46"/>
      <c r="OQ38" s="46"/>
      <c r="OR38" s="46"/>
      <c r="OS38" s="144"/>
      <c r="OT38" s="144"/>
      <c r="OU38" s="144"/>
      <c r="OV38" s="144"/>
      <c r="OW38" s="144"/>
      <c r="OX38" s="144"/>
      <c r="OY38" s="144"/>
      <c r="OZ38" s="144"/>
      <c r="PA38" s="144"/>
      <c r="PB38" s="144"/>
      <c r="PC38" s="144"/>
      <c r="PD38" s="144"/>
      <c r="PE38" s="144"/>
      <c r="PF38" s="144"/>
      <c r="PG38" s="144"/>
      <c r="PH38" s="144"/>
      <c r="PI38" s="144"/>
      <c r="PJ38" s="144"/>
      <c r="PK38" s="144"/>
      <c r="PL38" s="144"/>
      <c r="PM38" s="144"/>
      <c r="PN38" s="144"/>
      <c r="PO38" s="144"/>
      <c r="PP38" s="144"/>
      <c r="PQ38" s="144"/>
      <c r="PR38" s="144"/>
      <c r="PS38" s="144"/>
      <c r="PT38" s="146"/>
      <c r="PU38" s="95" t="s">
        <v>188</v>
      </c>
      <c r="PV38" s="95">
        <v>0</v>
      </c>
      <c r="PW38" s="175"/>
      <c r="PX38" s="175"/>
      <c r="PY38" s="175"/>
      <c r="PZ38" s="175"/>
      <c r="QA38" s="175"/>
      <c r="QB38" s="175"/>
      <c r="QC38" s="175">
        <v>89</v>
      </c>
      <c r="QD38" s="175"/>
      <c r="QE38" s="175">
        <v>22669.89</v>
      </c>
      <c r="QF38" s="177"/>
      <c r="QG38" s="177" t="e">
        <f>QE38-#REF!</f>
        <v>#REF!</v>
      </c>
      <c r="QH38" s="170"/>
      <c r="QI38" s="171">
        <v>-3637.63</v>
      </c>
      <c r="QJ38" s="171">
        <f>QE38*2.5%</f>
        <v>566.74725</v>
      </c>
      <c r="QK38" s="174">
        <v>0</v>
      </c>
      <c r="QL38" s="171">
        <f>PV38*1653*15</f>
        <v>0</v>
      </c>
      <c r="QM38" s="207" t="e">
        <f>QG38-QJ38-QK38-QL38</f>
        <v>#REF!</v>
      </c>
      <c r="QN38" s="207"/>
      <c r="QO38" s="207"/>
      <c r="QP38" s="281"/>
      <c r="QQ38" s="197" t="e">
        <f>QG38/(QJ38+QK38+QL38)</f>
        <v>#REF!</v>
      </c>
      <c r="QR38" s="84" t="s">
        <v>189</v>
      </c>
      <c r="QS38" s="155"/>
      <c r="QT38" s="144"/>
      <c r="QU38" s="95" t="s">
        <v>188</v>
      </c>
      <c r="QV38" s="95">
        <v>0</v>
      </c>
      <c r="QW38" s="175"/>
      <c r="QX38" s="175"/>
      <c r="QY38" s="175"/>
      <c r="QZ38" s="175">
        <v>89</v>
      </c>
      <c r="RA38" s="175">
        <v>22669.89</v>
      </c>
      <c r="RB38" s="175">
        <v>29780</v>
      </c>
      <c r="RC38" s="177"/>
      <c r="RD38" s="177">
        <f>RA38-RB38</f>
        <v>-7110.11</v>
      </c>
      <c r="RE38" s="170"/>
      <c r="RF38" s="171">
        <v>-3637.63</v>
      </c>
      <c r="RG38" s="171">
        <f>RA38*2.5%</f>
        <v>566.74725</v>
      </c>
      <c r="RH38" s="174">
        <v>0</v>
      </c>
      <c r="RI38" s="171">
        <f>QV38*1653*15</f>
        <v>0</v>
      </c>
      <c r="RJ38" s="207">
        <f>RD38-RG38-RH38-RI38</f>
        <v>-7676.85725</v>
      </c>
      <c r="RK38" s="281"/>
      <c r="RL38" s="281"/>
      <c r="RM38" s="197">
        <f>RD38/(RG38+RH38+RI38)</f>
        <v>-12.5454689017018</v>
      </c>
      <c r="RN38" s="84" t="s">
        <v>190</v>
      </c>
      <c r="RO38" s="144"/>
      <c r="RP38" s="144"/>
      <c r="RQ38" s="95" t="s">
        <v>188</v>
      </c>
      <c r="RR38" s="95">
        <v>3</v>
      </c>
      <c r="RS38" s="175"/>
      <c r="RT38" s="175"/>
      <c r="RU38" s="175"/>
      <c r="RV38" s="175">
        <v>146</v>
      </c>
      <c r="RW38" s="175">
        <v>51275.27</v>
      </c>
      <c r="RX38" s="175">
        <v>79083</v>
      </c>
      <c r="RY38" s="177">
        <f>RW38-RX38</f>
        <v>-27807.73</v>
      </c>
      <c r="RZ38" s="170"/>
      <c r="SA38" s="170">
        <v>0</v>
      </c>
      <c r="SB38" s="171">
        <v>-32225.49</v>
      </c>
      <c r="SC38" s="171">
        <f>RW38*2.5%</f>
        <v>1281.88175</v>
      </c>
      <c r="SD38" s="174">
        <v>0</v>
      </c>
      <c r="SE38" s="171">
        <f>RR38*1653*30</f>
        <v>148770</v>
      </c>
      <c r="SF38" s="207">
        <f>RY38-SC38-SD38-SE38</f>
        <v>-177859.61175</v>
      </c>
      <c r="SG38" s="281"/>
      <c r="SH38" s="281"/>
      <c r="SI38" s="197">
        <f>RY38/(SC38+SD38+SE38)</f>
        <v>-0.18532076822822</v>
      </c>
      <c r="SJ38" s="84" t="s">
        <v>190</v>
      </c>
      <c r="SK38" s="157"/>
      <c r="SL38" s="144"/>
      <c r="SM38" s="95" t="s">
        <v>188</v>
      </c>
      <c r="SN38" s="95">
        <v>5</v>
      </c>
      <c r="SO38" s="175"/>
      <c r="SP38" s="175"/>
      <c r="SQ38" s="175"/>
      <c r="SR38" s="175">
        <v>211</v>
      </c>
      <c r="SS38" s="175">
        <v>141660.89</v>
      </c>
      <c r="ST38" s="175">
        <v>159388</v>
      </c>
      <c r="SU38" s="177">
        <f>SS38-ST38</f>
        <v>-17727.11</v>
      </c>
      <c r="SV38" s="170"/>
      <c r="SW38" s="170">
        <v>0</v>
      </c>
      <c r="SX38" s="171">
        <v>-15852.45</v>
      </c>
      <c r="SY38" s="171">
        <f>SS38*4%</f>
        <v>5666.4356</v>
      </c>
      <c r="SZ38" s="174">
        <v>0</v>
      </c>
      <c r="TA38" s="171">
        <f>SN38*2350*31</f>
        <v>364250</v>
      </c>
      <c r="TB38" s="207">
        <f>SU38-SY38-SZ38-TA38</f>
        <v>-387643.5456</v>
      </c>
      <c r="TC38" s="281"/>
      <c r="TD38" s="281"/>
      <c r="TE38" s="197">
        <f>SU38/(SY38+SZ38+TA38)</f>
        <v>-0.047921931263332</v>
      </c>
      <c r="TF38" s="84" t="s">
        <v>190</v>
      </c>
      <c r="TG38" s="156"/>
      <c r="TH38" s="95" t="s">
        <v>188</v>
      </c>
      <c r="TI38" s="95">
        <v>5</v>
      </c>
      <c r="TJ38" s="95"/>
      <c r="TK38" s="95"/>
      <c r="TL38" s="175"/>
      <c r="TM38" s="175">
        <v>112</v>
      </c>
      <c r="TN38" s="175">
        <v>73693.27</v>
      </c>
      <c r="TO38" s="175">
        <v>73475</v>
      </c>
      <c r="TP38" s="175">
        <f>TN38-TO38</f>
        <v>218.270000000004</v>
      </c>
      <c r="TQ38" s="178">
        <v>17472</v>
      </c>
      <c r="TR38" s="170">
        <v>0</v>
      </c>
      <c r="TS38" s="203">
        <v>-2568.15</v>
      </c>
      <c r="TT38" s="170">
        <f>TN38*4%</f>
        <v>2947.7308</v>
      </c>
      <c r="TU38" s="178">
        <v>0</v>
      </c>
      <c r="TV38" s="170">
        <f>2350*28*5</f>
        <v>329000</v>
      </c>
      <c r="TW38" s="203">
        <f>TP38-TT38-TU38-TV38</f>
        <v>-331729.4608</v>
      </c>
      <c r="TX38" s="283"/>
      <c r="TY38" s="283"/>
      <c r="TZ38" s="102">
        <f t="shared" ref="TZ38:TZ46" si="448">TP38/(TT38+TU38+TV38)</f>
        <v>0.000657543280907417</v>
      </c>
      <c r="UA38" s="84" t="s">
        <v>190</v>
      </c>
      <c r="UB38" s="144"/>
      <c r="UC38" s="144"/>
      <c r="UD38" s="95" t="s">
        <v>188</v>
      </c>
      <c r="UE38" s="95">
        <v>5</v>
      </c>
      <c r="UF38" s="175"/>
      <c r="UG38" s="175"/>
      <c r="UH38" s="175"/>
      <c r="UI38" s="175">
        <v>15</v>
      </c>
      <c r="UJ38" s="175">
        <v>3849.2</v>
      </c>
      <c r="UK38" s="175">
        <v>2003</v>
      </c>
      <c r="UL38" s="175">
        <f>UJ38-UK38</f>
        <v>1846.2</v>
      </c>
      <c r="UM38" s="170">
        <v>0</v>
      </c>
      <c r="UN38" s="170">
        <v>0</v>
      </c>
      <c r="UO38" s="178">
        <v>1715.28</v>
      </c>
      <c r="UP38" s="170">
        <f>UJ38*4%</f>
        <v>153.968</v>
      </c>
      <c r="UQ38" s="178">
        <f>UO38*10%</f>
        <v>171.528</v>
      </c>
      <c r="UR38" s="170">
        <f>UE38*2350*31</f>
        <v>364250</v>
      </c>
      <c r="US38" s="178">
        <f>UL38-UP38-UQ38-UR38</f>
        <v>-362729.296</v>
      </c>
      <c r="UT38" s="283"/>
      <c r="UU38" s="283"/>
      <c r="UV38" s="102">
        <f>UL38/(UP38+UQ38+UR38)</f>
        <v>0.0050639717157513</v>
      </c>
      <c r="UW38" s="84" t="s">
        <v>190</v>
      </c>
      <c r="UX38" s="144"/>
      <c r="UY38" s="144"/>
      <c r="UZ38" s="95" t="s">
        <v>188</v>
      </c>
      <c r="VA38" s="95">
        <v>0</v>
      </c>
      <c r="VB38" s="175"/>
      <c r="VC38" s="175"/>
      <c r="VD38" s="175"/>
      <c r="VE38" s="175"/>
      <c r="VF38" s="175">
        <v>0</v>
      </c>
      <c r="VG38" s="175">
        <v>0</v>
      </c>
      <c r="VH38" s="175">
        <f>VF38-VG38</f>
        <v>0</v>
      </c>
      <c r="VI38" s="178">
        <v>0</v>
      </c>
      <c r="VJ38" s="178">
        <v>0</v>
      </c>
      <c r="VK38" s="178">
        <v>0</v>
      </c>
      <c r="VL38" s="178">
        <f>VF38*4%</f>
        <v>0</v>
      </c>
      <c r="VM38" s="178">
        <f>VK38*10%</f>
        <v>0</v>
      </c>
      <c r="VN38" s="170">
        <f>VA38*2350*0</f>
        <v>0</v>
      </c>
      <c r="VO38" s="178">
        <f>VK38-VM38</f>
        <v>0</v>
      </c>
      <c r="VP38" s="283"/>
      <c r="VQ38" s="283"/>
      <c r="VR38" s="102" t="e">
        <f>VH38/(VL38+VM38+VN38+VJ38)</f>
        <v>#DIV/0!</v>
      </c>
      <c r="VS38" s="84" t="s">
        <v>123</v>
      </c>
      <c r="VT38" s="46"/>
      <c r="VU38" s="46"/>
    </row>
    <row r="39" ht="15.75" hidden="1" spans="1:1024 1025:16384">
      <c r="A39" s="46"/>
      <c r="B39" s="46"/>
      <c r="C39" s="302"/>
      <c r="D39" s="302"/>
      <c r="E39" s="302"/>
      <c r="F39" s="302"/>
      <c r="G39" s="302"/>
      <c r="H39" s="302"/>
      <c r="I39" s="302"/>
      <c r="J39" s="302"/>
      <c r="K39" s="302"/>
      <c r="L39" s="302"/>
      <c r="M39" s="302"/>
      <c r="N39" s="302"/>
      <c r="O39" s="302"/>
      <c r="P39" s="302"/>
      <c r="Q39" s="302"/>
      <c r="R39" s="302"/>
      <c r="S39" s="302"/>
      <c r="T39" s="302"/>
      <c r="U39" s="302"/>
      <c r="V39" s="302"/>
      <c r="W39" s="302"/>
      <c r="X39" s="302"/>
      <c r="Y39" s="302"/>
      <c r="Z39" s="302"/>
      <c r="AA39" s="302"/>
      <c r="AB39" s="302"/>
      <c r="AC39" s="302"/>
      <c r="AD39" s="302"/>
      <c r="AE39" s="302"/>
      <c r="AF39" s="302"/>
      <c r="AG39" s="302"/>
      <c r="AH39" s="302"/>
      <c r="AI39" s="53"/>
      <c r="AJ39" s="302"/>
      <c r="AK39" s="302"/>
      <c r="AL39" s="302"/>
      <c r="AM39" s="302"/>
      <c r="AN39" s="302"/>
      <c r="AO39" s="302"/>
      <c r="AP39" s="302"/>
      <c r="AQ39" s="302"/>
      <c r="AR39" s="302"/>
      <c r="AS39" s="302"/>
      <c r="AT39" s="302"/>
      <c r="AU39" s="302"/>
      <c r="AV39" s="302"/>
      <c r="AW39" s="302"/>
      <c r="AX39" s="302"/>
      <c r="AY39" s="302"/>
      <c r="AZ39" s="302"/>
      <c r="BA39" s="302"/>
      <c r="BB39" s="302"/>
      <c r="BC39" s="302"/>
      <c r="BD39" s="302"/>
      <c r="BE39" s="302"/>
      <c r="BF39" s="302"/>
      <c r="BG39" s="302"/>
      <c r="BH39" s="302"/>
      <c r="BI39" s="302"/>
      <c r="BJ39" s="302"/>
      <c r="BK39" s="302"/>
      <c r="BL39" s="302"/>
      <c r="BM39" s="302"/>
      <c r="BN39" s="302"/>
      <c r="BO39" s="302"/>
      <c r="BP39" s="46"/>
      <c r="BQ39" s="302"/>
      <c r="BR39" s="302"/>
      <c r="BS39" s="302"/>
      <c r="BT39" s="302"/>
      <c r="BU39" s="302"/>
      <c r="BV39" s="302"/>
      <c r="BW39" s="302"/>
      <c r="BX39" s="302"/>
      <c r="BY39" s="302"/>
      <c r="BZ39" s="302"/>
      <c r="CA39" s="302"/>
      <c r="CB39" s="302"/>
      <c r="CC39" s="302"/>
      <c r="CD39" s="302"/>
      <c r="CE39" s="302"/>
      <c r="CF39" s="302"/>
      <c r="CG39" s="302"/>
      <c r="CH39" s="302"/>
      <c r="CI39" s="302"/>
      <c r="CJ39" s="302"/>
      <c r="CK39" s="302"/>
      <c r="CL39" s="302"/>
      <c r="CM39" s="302"/>
      <c r="CN39" s="302"/>
      <c r="CO39" s="302"/>
      <c r="CP39" s="302"/>
      <c r="CQ39" s="302"/>
      <c r="CR39" s="302"/>
      <c r="CS39" s="302"/>
      <c r="CT39" s="302"/>
      <c r="CU39" s="302"/>
      <c r="CV39" s="302"/>
      <c r="CW39" s="46"/>
      <c r="CX39" s="302"/>
      <c r="CY39" s="302"/>
      <c r="CZ39" s="302"/>
      <c r="DA39" s="302"/>
      <c r="DB39" s="302"/>
      <c r="DC39" s="302"/>
      <c r="DD39" s="302"/>
      <c r="DE39" s="302"/>
      <c r="DF39" s="302"/>
      <c r="DG39" s="302"/>
      <c r="DH39" s="302"/>
      <c r="DI39" s="302"/>
      <c r="DJ39" s="302"/>
      <c r="DK39" s="302"/>
      <c r="DL39" s="302"/>
      <c r="DM39" s="302"/>
      <c r="DN39" s="302"/>
      <c r="DO39" s="302"/>
      <c r="DP39" s="302"/>
      <c r="DQ39" s="302"/>
      <c r="DR39" s="302"/>
      <c r="DS39" s="302"/>
      <c r="DT39" s="302"/>
      <c r="DU39" s="302"/>
      <c r="DV39" s="302"/>
      <c r="DW39" s="302"/>
      <c r="DX39" s="302"/>
      <c r="DY39" s="302"/>
      <c r="DZ39" s="302"/>
      <c r="EA39" s="302"/>
      <c r="EB39" s="302"/>
      <c r="EC39" s="302"/>
      <c r="ED39" s="46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46"/>
      <c r="FL39" s="46"/>
      <c r="FM39" s="46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U39" s="46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46"/>
      <c r="IC39" s="46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46"/>
      <c r="JK39" s="46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11"/>
      <c r="KR39" s="46"/>
      <c r="KS39" s="46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11"/>
      <c r="LZ39" s="3"/>
      <c r="MA39" s="3"/>
      <c r="MB39" s="3"/>
      <c r="MC39" s="11"/>
      <c r="MD39" s="11"/>
      <c r="ME39" s="11"/>
      <c r="MF39" s="11"/>
      <c r="MG39" s="11"/>
      <c r="MH39" s="11"/>
      <c r="MI39" s="11"/>
      <c r="MJ39" s="11"/>
      <c r="MK39" s="11"/>
      <c r="ML39" s="11"/>
      <c r="MM39" s="11"/>
      <c r="MN39" s="11"/>
      <c r="MO39" s="11"/>
      <c r="MP39" s="11"/>
      <c r="MQ39" s="11"/>
      <c r="MR39" s="11"/>
      <c r="MS39" s="11"/>
      <c r="MT39" s="11"/>
      <c r="MU39" s="11"/>
      <c r="MV39" s="11"/>
      <c r="MW39" s="11"/>
      <c r="MX39" s="11"/>
      <c r="MY39" s="11"/>
      <c r="MZ39" s="11"/>
      <c r="NA39" s="11"/>
      <c r="NB39" s="11"/>
      <c r="NC39" s="11"/>
      <c r="ND39" s="11"/>
      <c r="NE39" s="11"/>
      <c r="NF39" s="11"/>
      <c r="NG39" s="11"/>
      <c r="NH39" s="46"/>
      <c r="NI39" s="46"/>
      <c r="NJ39" s="142"/>
      <c r="NK39" s="46"/>
      <c r="NL39" s="46"/>
      <c r="NM39" s="46"/>
      <c r="NN39" s="46"/>
      <c r="NO39" s="46"/>
      <c r="NP39" s="46"/>
      <c r="NQ39" s="46"/>
      <c r="NR39" s="46"/>
      <c r="NS39" s="46"/>
      <c r="NT39" s="46"/>
      <c r="NU39" s="46"/>
      <c r="NV39" s="46"/>
      <c r="NW39" s="46"/>
      <c r="NX39" s="46"/>
      <c r="NY39" s="46"/>
      <c r="NZ39" s="46"/>
      <c r="OA39" s="46"/>
      <c r="OB39" s="46"/>
      <c r="OC39" s="46"/>
      <c r="OD39" s="46"/>
      <c r="OE39" s="46"/>
      <c r="OF39" s="46"/>
      <c r="OG39" s="46"/>
      <c r="OH39" s="46"/>
      <c r="OI39" s="46"/>
      <c r="OJ39" s="46"/>
      <c r="OK39" s="46"/>
      <c r="OL39" s="46"/>
      <c r="OM39" s="46"/>
      <c r="ON39" s="46"/>
      <c r="OO39" s="46"/>
      <c r="OP39" s="46"/>
      <c r="OQ39" s="46"/>
      <c r="OR39" s="46"/>
      <c r="OS39" s="144"/>
      <c r="OT39" s="144"/>
      <c r="OU39" s="144"/>
      <c r="OV39" s="144"/>
      <c r="OW39" s="144"/>
      <c r="OX39" s="144"/>
      <c r="OY39" s="144"/>
      <c r="OZ39" s="144"/>
      <c r="PA39" s="144"/>
      <c r="PB39" s="144"/>
      <c r="PC39" s="144"/>
      <c r="PD39" s="144"/>
      <c r="PE39" s="144"/>
      <c r="PF39" s="144"/>
      <c r="PG39" s="144"/>
      <c r="PH39" s="144"/>
      <c r="PI39" s="144"/>
      <c r="PJ39" s="144"/>
      <c r="PK39" s="144"/>
      <c r="PL39" s="144"/>
      <c r="PM39" s="144"/>
      <c r="PN39" s="144"/>
      <c r="PO39" s="144"/>
      <c r="PP39" s="144"/>
      <c r="PQ39" s="144"/>
      <c r="PR39" s="144"/>
      <c r="PS39" s="144"/>
      <c r="PT39" s="146"/>
      <c r="PU39" s="242" t="s">
        <v>153</v>
      </c>
      <c r="PV39" s="243">
        <f>SUM(PV38)</f>
        <v>0</v>
      </c>
      <c r="PW39" s="243"/>
      <c r="PX39" s="243"/>
      <c r="PY39" s="243"/>
      <c r="PZ39" s="243"/>
      <c r="QA39" s="243"/>
      <c r="QB39" s="243"/>
      <c r="QC39" s="243">
        <f t="shared" ref="QC39:QM39" si="449">SUM(QC38)</f>
        <v>89</v>
      </c>
      <c r="QD39" s="243"/>
      <c r="QE39" s="243">
        <f t="shared" si="449"/>
        <v>22669.89</v>
      </c>
      <c r="QF39" s="244"/>
      <c r="QG39" s="244" t="e">
        <f t="shared" si="449"/>
        <v>#REF!</v>
      </c>
      <c r="QH39" s="243">
        <f t="shared" si="449"/>
        <v>0</v>
      </c>
      <c r="QI39" s="244">
        <f t="shared" si="449"/>
        <v>-3637.63</v>
      </c>
      <c r="QJ39" s="244">
        <f t="shared" si="449"/>
        <v>566.74725</v>
      </c>
      <c r="QK39" s="245">
        <f t="shared" si="449"/>
        <v>0</v>
      </c>
      <c r="QL39" s="244">
        <f t="shared" si="449"/>
        <v>0</v>
      </c>
      <c r="QM39" s="245" t="e">
        <f t="shared" si="449"/>
        <v>#REF!</v>
      </c>
      <c r="QN39" s="245"/>
      <c r="QO39" s="245"/>
      <c r="QP39" s="244"/>
      <c r="QQ39" s="247" t="e">
        <f>QG39/(QJ39+QK39+QL39)</f>
        <v>#REF!</v>
      </c>
      <c r="QR39" s="84"/>
      <c r="QS39" s="155"/>
      <c r="QT39" s="84"/>
      <c r="QU39" s="242" t="s">
        <v>153</v>
      </c>
      <c r="QV39" s="243">
        <f t="shared" ref="QV39:RB39" si="450">SUM(QV38)</f>
        <v>0</v>
      </c>
      <c r="QW39" s="243"/>
      <c r="QX39" s="243"/>
      <c r="QY39" s="243"/>
      <c r="QZ39" s="243">
        <f t="shared" si="450"/>
        <v>89</v>
      </c>
      <c r="RA39" s="243">
        <f t="shared" si="450"/>
        <v>22669.89</v>
      </c>
      <c r="RB39" s="243">
        <f t="shared" si="450"/>
        <v>29780</v>
      </c>
      <c r="RC39" s="244"/>
      <c r="RD39" s="244">
        <f t="shared" ref="RD39:RJ39" si="451">SUM(RD38)</f>
        <v>-7110.11</v>
      </c>
      <c r="RE39" s="243">
        <f t="shared" si="451"/>
        <v>0</v>
      </c>
      <c r="RF39" s="244">
        <f t="shared" si="451"/>
        <v>-3637.63</v>
      </c>
      <c r="RG39" s="244">
        <f t="shared" si="451"/>
        <v>566.74725</v>
      </c>
      <c r="RH39" s="245">
        <f t="shared" si="451"/>
        <v>0</v>
      </c>
      <c r="RI39" s="244">
        <f t="shared" si="451"/>
        <v>0</v>
      </c>
      <c r="RJ39" s="245">
        <f t="shared" si="451"/>
        <v>-7676.85725</v>
      </c>
      <c r="RK39" s="244"/>
      <c r="RL39" s="244"/>
      <c r="RM39" s="247">
        <f>RD39/(RG39+RH39+RI39)</f>
        <v>-12.5454689017018</v>
      </c>
      <c r="RN39" s="84"/>
      <c r="RO39" s="144"/>
      <c r="RP39" s="144"/>
      <c r="RQ39" s="242" t="s">
        <v>153</v>
      </c>
      <c r="RR39" s="242">
        <f t="shared" ref="RR39:SF39" si="452">SUM(RR38)</f>
        <v>3</v>
      </c>
      <c r="RS39" s="243"/>
      <c r="RT39" s="243"/>
      <c r="RU39" s="243"/>
      <c r="RV39" s="243">
        <f t="shared" si="452"/>
        <v>146</v>
      </c>
      <c r="RW39" s="243">
        <f t="shared" si="452"/>
        <v>51275.27</v>
      </c>
      <c r="RX39" s="243">
        <f t="shared" si="452"/>
        <v>79083</v>
      </c>
      <c r="RY39" s="244">
        <f t="shared" si="452"/>
        <v>-27807.73</v>
      </c>
      <c r="RZ39" s="243">
        <f t="shared" si="452"/>
        <v>0</v>
      </c>
      <c r="SA39" s="243">
        <f t="shared" si="452"/>
        <v>0</v>
      </c>
      <c r="SB39" s="244">
        <f t="shared" si="452"/>
        <v>-32225.49</v>
      </c>
      <c r="SC39" s="244">
        <f t="shared" si="452"/>
        <v>1281.88175</v>
      </c>
      <c r="SD39" s="245">
        <f t="shared" si="452"/>
        <v>0</v>
      </c>
      <c r="SE39" s="244">
        <f t="shared" si="452"/>
        <v>148770</v>
      </c>
      <c r="SF39" s="245">
        <f t="shared" si="452"/>
        <v>-177859.61175</v>
      </c>
      <c r="SG39" s="244"/>
      <c r="SH39" s="244"/>
      <c r="SI39" s="247">
        <f>RY39/(SC39+SD39+SE39)</f>
        <v>-0.18532076822822</v>
      </c>
      <c r="SJ39" s="84"/>
      <c r="SK39" s="144"/>
      <c r="SL39" s="144"/>
      <c r="SM39" s="242" t="s">
        <v>153</v>
      </c>
      <c r="SN39" s="242">
        <f t="shared" ref="SN39:TB39" si="453">SUM(SN38)</f>
        <v>5</v>
      </c>
      <c r="SO39" s="243"/>
      <c r="SP39" s="243"/>
      <c r="SQ39" s="243"/>
      <c r="SR39" s="243">
        <f t="shared" si="453"/>
        <v>211</v>
      </c>
      <c r="SS39" s="243">
        <f t="shared" si="453"/>
        <v>141660.89</v>
      </c>
      <c r="ST39" s="243">
        <f t="shared" si="453"/>
        <v>159388</v>
      </c>
      <c r="SU39" s="244">
        <f t="shared" si="453"/>
        <v>-17727.11</v>
      </c>
      <c r="SV39" s="243">
        <f t="shared" si="453"/>
        <v>0</v>
      </c>
      <c r="SW39" s="243">
        <f t="shared" si="453"/>
        <v>0</v>
      </c>
      <c r="SX39" s="244">
        <f t="shared" si="453"/>
        <v>-15852.45</v>
      </c>
      <c r="SY39" s="244">
        <f t="shared" si="453"/>
        <v>5666.4356</v>
      </c>
      <c r="SZ39" s="245">
        <f t="shared" si="453"/>
        <v>0</v>
      </c>
      <c r="TA39" s="244">
        <f t="shared" si="453"/>
        <v>364250</v>
      </c>
      <c r="TB39" s="245">
        <f t="shared" si="453"/>
        <v>-387643.5456</v>
      </c>
      <c r="TC39" s="244"/>
      <c r="TD39" s="244"/>
      <c r="TE39" s="247">
        <f>SU39/(SY39+SZ39+TA39)</f>
        <v>-0.047921931263332</v>
      </c>
      <c r="TF39" s="84"/>
      <c r="TG39" s="84"/>
      <c r="TH39" s="242" t="s">
        <v>153</v>
      </c>
      <c r="TI39" s="242">
        <f t="shared" ref="TI39:TW39" si="454">SUM(TI38)</f>
        <v>5</v>
      </c>
      <c r="TJ39" s="242"/>
      <c r="TK39" s="242"/>
      <c r="TL39" s="243"/>
      <c r="TM39" s="243">
        <f t="shared" si="454"/>
        <v>112</v>
      </c>
      <c r="TN39" s="243">
        <f t="shared" si="454"/>
        <v>73693.27</v>
      </c>
      <c r="TO39" s="243">
        <f t="shared" si="454"/>
        <v>73475</v>
      </c>
      <c r="TP39" s="244">
        <f t="shared" si="454"/>
        <v>218.270000000004</v>
      </c>
      <c r="TQ39" s="243">
        <f t="shared" si="454"/>
        <v>17472</v>
      </c>
      <c r="TR39" s="243">
        <f t="shared" si="454"/>
        <v>0</v>
      </c>
      <c r="TS39" s="244">
        <f t="shared" si="454"/>
        <v>-2568.15</v>
      </c>
      <c r="TT39" s="244">
        <f t="shared" si="454"/>
        <v>2947.7308</v>
      </c>
      <c r="TU39" s="245">
        <f t="shared" si="454"/>
        <v>0</v>
      </c>
      <c r="TV39" s="244">
        <f t="shared" si="454"/>
        <v>329000</v>
      </c>
      <c r="TW39" s="245">
        <f t="shared" si="454"/>
        <v>-331729.4608</v>
      </c>
      <c r="TX39" s="244"/>
      <c r="TY39" s="244"/>
      <c r="TZ39" s="247">
        <f t="shared" si="448"/>
        <v>0.000657543280907417</v>
      </c>
      <c r="UA39" s="84"/>
      <c r="UB39" s="144"/>
      <c r="UC39" s="144"/>
      <c r="UD39" s="242" t="s">
        <v>153</v>
      </c>
      <c r="UE39" s="242">
        <f t="shared" ref="UE39:US39" si="455">SUM(UE38)</f>
        <v>5</v>
      </c>
      <c r="UF39" s="243"/>
      <c r="UG39" s="243"/>
      <c r="UH39" s="243"/>
      <c r="UI39" s="243">
        <f t="shared" si="455"/>
        <v>15</v>
      </c>
      <c r="UJ39" s="243">
        <f t="shared" si="455"/>
        <v>3849.2</v>
      </c>
      <c r="UK39" s="243">
        <f t="shared" si="455"/>
        <v>2003</v>
      </c>
      <c r="UL39" s="244">
        <f t="shared" si="455"/>
        <v>1846.2</v>
      </c>
      <c r="UM39" s="243">
        <f t="shared" si="455"/>
        <v>0</v>
      </c>
      <c r="UN39" s="243">
        <f t="shared" si="455"/>
        <v>0</v>
      </c>
      <c r="UO39" s="244">
        <f t="shared" si="455"/>
        <v>1715.28</v>
      </c>
      <c r="UP39" s="244">
        <f t="shared" si="455"/>
        <v>153.968</v>
      </c>
      <c r="UQ39" s="245">
        <f t="shared" si="455"/>
        <v>171.528</v>
      </c>
      <c r="UR39" s="244">
        <f t="shared" si="455"/>
        <v>364250</v>
      </c>
      <c r="US39" s="245">
        <f t="shared" si="455"/>
        <v>-362729.296</v>
      </c>
      <c r="UT39" s="244"/>
      <c r="UU39" s="244"/>
      <c r="UV39" s="247">
        <f>UL39/(UP39+UQ39+UR39)</f>
        <v>0.0050639717157513</v>
      </c>
      <c r="UW39" s="144"/>
      <c r="UX39" s="144"/>
      <c r="UY39" s="144"/>
      <c r="UZ39" s="242" t="s">
        <v>153</v>
      </c>
      <c r="VA39" s="242">
        <f>SUM(VA38)</f>
        <v>0</v>
      </c>
      <c r="VB39" s="243"/>
      <c r="VC39" s="243"/>
      <c r="VD39" s="243"/>
      <c r="VE39" s="243"/>
      <c r="VF39" s="243">
        <f t="shared" ref="VF39:VO39" si="456">SUM(VF38)</f>
        <v>0</v>
      </c>
      <c r="VG39" s="243">
        <f t="shared" si="456"/>
        <v>0</v>
      </c>
      <c r="VH39" s="244">
        <f t="shared" si="456"/>
        <v>0</v>
      </c>
      <c r="VI39" s="243">
        <f t="shared" si="456"/>
        <v>0</v>
      </c>
      <c r="VJ39" s="243">
        <f t="shared" si="456"/>
        <v>0</v>
      </c>
      <c r="VK39" s="244">
        <f t="shared" si="456"/>
        <v>0</v>
      </c>
      <c r="VL39" s="244">
        <f t="shared" si="456"/>
        <v>0</v>
      </c>
      <c r="VM39" s="245">
        <f t="shared" si="456"/>
        <v>0</v>
      </c>
      <c r="VN39" s="244">
        <f t="shared" si="456"/>
        <v>0</v>
      </c>
      <c r="VO39" s="245">
        <f t="shared" si="456"/>
        <v>0</v>
      </c>
      <c r="VP39" s="244"/>
      <c r="VQ39" s="244"/>
      <c r="VR39" s="247" t="e">
        <f>VH39/(VL39+VM39+VN39)</f>
        <v>#DIV/0!</v>
      </c>
      <c r="VS39" s="84"/>
      <c r="VT39" s="46"/>
      <c r="VU39" s="46"/>
    </row>
    <row r="40" ht="15.75" hidden="1" spans="1:1024 1025:16384">
      <c r="A40" s="46"/>
      <c r="B40" s="46"/>
      <c r="C40" s="302"/>
      <c r="D40" s="302"/>
      <c r="E40" s="302"/>
      <c r="F40" s="302"/>
      <c r="G40" s="302"/>
      <c r="H40" s="302"/>
      <c r="I40" s="302"/>
      <c r="J40" s="302"/>
      <c r="K40" s="302"/>
      <c r="L40" s="302"/>
      <c r="M40" s="302"/>
      <c r="N40" s="302"/>
      <c r="O40" s="302"/>
      <c r="P40" s="302"/>
      <c r="Q40" s="302"/>
      <c r="R40" s="302"/>
      <c r="S40" s="302"/>
      <c r="T40" s="302"/>
      <c r="U40" s="302"/>
      <c r="V40" s="302"/>
      <c r="W40" s="302"/>
      <c r="X40" s="302"/>
      <c r="Y40" s="302"/>
      <c r="Z40" s="302"/>
      <c r="AA40" s="302"/>
      <c r="AB40" s="302"/>
      <c r="AC40" s="302"/>
      <c r="AD40" s="302"/>
      <c r="AE40" s="302"/>
      <c r="AF40" s="302"/>
      <c r="AG40" s="302"/>
      <c r="AH40" s="302"/>
      <c r="AI40" s="53"/>
      <c r="AJ40" s="302"/>
      <c r="AK40" s="302"/>
      <c r="AL40" s="302"/>
      <c r="AM40" s="302"/>
      <c r="AN40" s="302"/>
      <c r="AO40" s="302"/>
      <c r="AP40" s="302"/>
      <c r="AQ40" s="302"/>
      <c r="AR40" s="302"/>
      <c r="AS40" s="302"/>
      <c r="AT40" s="302"/>
      <c r="AU40" s="302"/>
      <c r="AV40" s="302"/>
      <c r="AW40" s="302"/>
      <c r="AX40" s="302"/>
      <c r="AY40" s="302"/>
      <c r="AZ40" s="302"/>
      <c r="BA40" s="302"/>
      <c r="BB40" s="302"/>
      <c r="BC40" s="302"/>
      <c r="BD40" s="302"/>
      <c r="BE40" s="302"/>
      <c r="BF40" s="302"/>
      <c r="BG40" s="302"/>
      <c r="BH40" s="302"/>
      <c r="BI40" s="302"/>
      <c r="BJ40" s="302"/>
      <c r="BK40" s="302"/>
      <c r="BL40" s="302"/>
      <c r="BM40" s="302"/>
      <c r="BN40" s="302"/>
      <c r="BO40" s="302"/>
      <c r="BP40" s="46"/>
      <c r="BQ40" s="302"/>
      <c r="BR40" s="302"/>
      <c r="BS40" s="302"/>
      <c r="BT40" s="302"/>
      <c r="BU40" s="302"/>
      <c r="BV40" s="302"/>
      <c r="BW40" s="302"/>
      <c r="BX40" s="302"/>
      <c r="BY40" s="302"/>
      <c r="BZ40" s="302"/>
      <c r="CA40" s="302"/>
      <c r="CB40" s="302"/>
      <c r="CC40" s="302"/>
      <c r="CD40" s="302"/>
      <c r="CE40" s="302"/>
      <c r="CF40" s="302"/>
      <c r="CG40" s="302"/>
      <c r="CH40" s="302"/>
      <c r="CI40" s="302"/>
      <c r="CJ40" s="302"/>
      <c r="CK40" s="302"/>
      <c r="CL40" s="302"/>
      <c r="CM40" s="302"/>
      <c r="CN40" s="302"/>
      <c r="CO40" s="302"/>
      <c r="CP40" s="302"/>
      <c r="CQ40" s="302"/>
      <c r="CR40" s="302"/>
      <c r="CS40" s="302"/>
      <c r="CT40" s="302"/>
      <c r="CU40" s="302"/>
      <c r="CV40" s="302"/>
      <c r="CW40" s="46"/>
      <c r="CX40" s="302"/>
      <c r="CY40" s="302"/>
      <c r="CZ40" s="302"/>
      <c r="DA40" s="302"/>
      <c r="DB40" s="302"/>
      <c r="DC40" s="302"/>
      <c r="DD40" s="302"/>
      <c r="DE40" s="302"/>
      <c r="DF40" s="302"/>
      <c r="DG40" s="302"/>
      <c r="DH40" s="302"/>
      <c r="DI40" s="302"/>
      <c r="DJ40" s="302"/>
      <c r="DK40" s="302"/>
      <c r="DL40" s="302"/>
      <c r="DM40" s="302"/>
      <c r="DN40" s="302"/>
      <c r="DO40" s="302"/>
      <c r="DP40" s="302"/>
      <c r="DQ40" s="302"/>
      <c r="DR40" s="302"/>
      <c r="DS40" s="302"/>
      <c r="DT40" s="302"/>
      <c r="DU40" s="302"/>
      <c r="DV40" s="302"/>
      <c r="DW40" s="302"/>
      <c r="DX40" s="302"/>
      <c r="DY40" s="302"/>
      <c r="DZ40" s="302"/>
      <c r="EA40" s="302"/>
      <c r="EB40" s="302"/>
      <c r="EC40" s="302"/>
      <c r="ED40" s="46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46"/>
      <c r="FL40" s="46"/>
      <c r="FM40" s="46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46"/>
      <c r="GU40" s="46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46"/>
      <c r="IC40" s="46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46"/>
      <c r="JK40" s="46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11"/>
      <c r="KR40" s="46"/>
      <c r="KS40" s="46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11"/>
      <c r="LZ40" s="3"/>
      <c r="MA40" s="3"/>
      <c r="MB40" s="3"/>
      <c r="MC40" s="11"/>
      <c r="MD40" s="11"/>
      <c r="ME40" s="11"/>
      <c r="MF40" s="11"/>
      <c r="MG40" s="11"/>
      <c r="MH40" s="11"/>
      <c r="MI40" s="11"/>
      <c r="MJ40" s="11"/>
      <c r="MK40" s="11"/>
      <c r="ML40" s="11"/>
      <c r="MM40" s="11"/>
      <c r="MN40" s="11"/>
      <c r="MO40" s="11"/>
      <c r="MP40" s="11"/>
      <c r="MQ40" s="11"/>
      <c r="MR40" s="11"/>
      <c r="MS40" s="11"/>
      <c r="MT40" s="11"/>
      <c r="MU40" s="11"/>
      <c r="MV40" s="11"/>
      <c r="MW40" s="11"/>
      <c r="MX40" s="11"/>
      <c r="MY40" s="11"/>
      <c r="MZ40" s="11"/>
      <c r="NA40" s="11"/>
      <c r="NB40" s="11"/>
      <c r="NC40" s="11"/>
      <c r="ND40" s="11"/>
      <c r="NE40" s="11"/>
      <c r="NF40" s="11"/>
      <c r="NG40" s="11"/>
      <c r="NH40" s="46"/>
      <c r="NI40" s="46"/>
      <c r="NJ40" s="142"/>
      <c r="NK40" s="46"/>
      <c r="NL40" s="46"/>
      <c r="NM40" s="46"/>
      <c r="NN40" s="46"/>
      <c r="NO40" s="46"/>
      <c r="NP40" s="46"/>
      <c r="NQ40" s="46"/>
      <c r="NR40" s="46"/>
      <c r="NS40" s="46"/>
      <c r="NT40" s="46"/>
      <c r="NU40" s="46"/>
      <c r="NV40" s="46"/>
      <c r="NW40" s="46"/>
      <c r="NX40" s="46"/>
      <c r="NY40" s="46"/>
      <c r="NZ40" s="46"/>
      <c r="OA40" s="46"/>
      <c r="OB40" s="46"/>
      <c r="OC40" s="46"/>
      <c r="OD40" s="46"/>
      <c r="OE40" s="46"/>
      <c r="OF40" s="46"/>
      <c r="OG40" s="46"/>
      <c r="OH40" s="46"/>
      <c r="OI40" s="46"/>
      <c r="OJ40" s="46"/>
      <c r="OK40" s="46"/>
      <c r="OL40" s="46"/>
      <c r="OM40" s="46"/>
      <c r="ON40" s="46"/>
      <c r="OO40" s="46"/>
      <c r="OP40" s="46"/>
      <c r="OQ40" s="46"/>
      <c r="OR40" s="46"/>
      <c r="OS40" s="144"/>
      <c r="OT40" s="144"/>
      <c r="OU40" s="144"/>
      <c r="OV40" s="144"/>
      <c r="OW40" s="144"/>
      <c r="OX40" s="144"/>
      <c r="OY40" s="144"/>
      <c r="OZ40" s="144"/>
      <c r="PA40" s="144"/>
      <c r="PB40" s="144"/>
      <c r="PC40" s="144"/>
      <c r="PD40" s="144"/>
      <c r="PE40" s="144"/>
      <c r="PF40" s="144"/>
      <c r="PG40" s="144"/>
      <c r="PH40" s="144"/>
      <c r="PI40" s="144"/>
      <c r="PJ40" s="144"/>
      <c r="PK40" s="144"/>
      <c r="PL40" s="144"/>
      <c r="PM40" s="144"/>
      <c r="PN40" s="144"/>
      <c r="PO40" s="144"/>
      <c r="PP40" s="144"/>
      <c r="PQ40" s="144"/>
      <c r="PR40" s="144"/>
      <c r="PS40" s="144"/>
      <c r="PT40" s="146"/>
      <c r="PU40" s="84"/>
      <c r="PV40" s="84"/>
      <c r="PW40" s="154"/>
      <c r="PX40" s="154"/>
      <c r="PY40" s="154"/>
      <c r="PZ40" s="154"/>
      <c r="QA40" s="154"/>
      <c r="QB40" s="154"/>
      <c r="QC40" s="154"/>
      <c r="QD40" s="154"/>
      <c r="QE40" s="154"/>
      <c r="QF40" s="155"/>
      <c r="QG40" s="155"/>
      <c r="QH40" s="154"/>
      <c r="QI40" s="155"/>
      <c r="QJ40" s="155"/>
      <c r="QK40" s="155"/>
      <c r="QL40" s="155"/>
      <c r="QM40" s="155"/>
      <c r="QN40" s="155"/>
      <c r="QO40" s="155"/>
      <c r="QP40" s="155"/>
      <c r="QQ40" s="156"/>
      <c r="QR40" s="144"/>
      <c r="QS40" s="144"/>
      <c r="QT40" s="84"/>
      <c r="QU40" s="84"/>
      <c r="QV40" s="84"/>
      <c r="QW40" s="154"/>
      <c r="QX40" s="154"/>
      <c r="QY40" s="154"/>
      <c r="QZ40" s="154"/>
      <c r="RA40" s="154"/>
      <c r="RB40" s="154"/>
      <c r="RC40" s="155"/>
      <c r="RD40" s="155"/>
      <c r="RE40" s="154"/>
      <c r="RF40" s="155"/>
      <c r="RG40" s="155"/>
      <c r="RH40" s="155"/>
      <c r="RI40" s="155"/>
      <c r="RJ40" s="155"/>
      <c r="RK40" s="155"/>
      <c r="RL40" s="155"/>
      <c r="RM40" s="156"/>
      <c r="RN40" s="144"/>
      <c r="RO40" s="144"/>
      <c r="RP40" s="144"/>
      <c r="RQ40" s="84"/>
      <c r="RR40" s="84"/>
      <c r="RS40" s="154"/>
      <c r="RT40" s="154"/>
      <c r="RU40" s="154"/>
      <c r="RV40" s="154"/>
      <c r="RW40" s="154"/>
      <c r="RX40" s="154"/>
      <c r="RY40" s="155"/>
      <c r="RZ40" s="154"/>
      <c r="SA40" s="154"/>
      <c r="SB40" s="155"/>
      <c r="SC40" s="155"/>
      <c r="SD40" s="155"/>
      <c r="SE40" s="155"/>
      <c r="SF40" s="155"/>
      <c r="SG40" s="155"/>
      <c r="SH40" s="155"/>
      <c r="SI40" s="156"/>
      <c r="SJ40" s="144"/>
      <c r="SK40" s="144"/>
      <c r="SL40" s="144"/>
      <c r="SM40" s="84"/>
      <c r="SN40" s="84"/>
      <c r="SO40" s="154"/>
      <c r="SP40" s="154"/>
      <c r="SQ40" s="154"/>
      <c r="SR40" s="154"/>
      <c r="SS40" s="154"/>
      <c r="ST40" s="154"/>
      <c r="SU40" s="155"/>
      <c r="SV40" s="154"/>
      <c r="SW40" s="154"/>
      <c r="SX40" s="155"/>
      <c r="SY40" s="155"/>
      <c r="SZ40" s="155"/>
      <c r="TA40" s="155"/>
      <c r="TB40" s="155"/>
      <c r="TC40" s="155"/>
      <c r="TD40" s="155"/>
      <c r="TE40" s="156"/>
      <c r="TF40" s="144"/>
      <c r="TG40" s="84"/>
      <c r="TH40" s="144"/>
      <c r="TI40" s="144"/>
      <c r="TJ40" s="144"/>
      <c r="TK40" s="144"/>
      <c r="TL40" s="157"/>
      <c r="TM40" s="157"/>
      <c r="TN40" s="157"/>
      <c r="TO40" s="157"/>
      <c r="TP40" s="157"/>
      <c r="TQ40" s="157"/>
      <c r="TR40" s="157"/>
      <c r="TS40" s="157"/>
      <c r="TT40" s="157"/>
      <c r="TU40" s="158"/>
      <c r="TV40" s="157"/>
      <c r="TW40" s="158"/>
      <c r="TX40" s="144"/>
      <c r="TY40" s="144"/>
      <c r="TZ40" s="144"/>
      <c r="UA40" s="84"/>
      <c r="UB40" s="144"/>
      <c r="UC40" s="144"/>
      <c r="UD40" s="144"/>
      <c r="UE40" s="144"/>
      <c r="UF40" s="157"/>
      <c r="UG40" s="157"/>
      <c r="UH40" s="157"/>
      <c r="UI40" s="157"/>
      <c r="UJ40" s="157"/>
      <c r="UK40" s="157"/>
      <c r="UL40" s="157"/>
      <c r="UM40" s="157"/>
      <c r="UN40" s="157"/>
      <c r="UO40" s="157"/>
      <c r="UP40" s="157"/>
      <c r="UQ40" s="158"/>
      <c r="UR40" s="157"/>
      <c r="US40" s="158"/>
      <c r="UT40" s="144"/>
      <c r="UU40" s="144"/>
      <c r="UV40" s="144"/>
      <c r="UW40" s="144"/>
      <c r="UX40" s="144"/>
      <c r="UY40" s="144"/>
      <c r="UZ40" s="144"/>
      <c r="VA40" s="144"/>
      <c r="VB40" s="157"/>
      <c r="VC40" s="157"/>
      <c r="VD40" s="157"/>
      <c r="VE40" s="157"/>
      <c r="VF40" s="157"/>
      <c r="VG40" s="157"/>
      <c r="VH40" s="157"/>
      <c r="VI40" s="157"/>
      <c r="VJ40" s="157"/>
      <c r="VK40" s="157"/>
      <c r="VL40" s="157"/>
      <c r="VM40" s="157"/>
      <c r="VN40" s="157"/>
      <c r="VO40" s="157"/>
      <c r="VP40" s="144"/>
      <c r="VQ40" s="144"/>
      <c r="VR40" s="84"/>
      <c r="VS40" s="84"/>
      <c r="VT40" s="46"/>
      <c r="VU40" s="46"/>
    </row>
    <row r="41" ht="15.75" hidden="1" spans="1:1024 1025:16384">
      <c r="A41" s="46"/>
      <c r="B41" s="46"/>
      <c r="C41" s="302"/>
      <c r="D41" s="302"/>
      <c r="E41" s="302"/>
      <c r="F41" s="302"/>
      <c r="G41" s="302"/>
      <c r="H41" s="302"/>
      <c r="I41" s="302"/>
      <c r="J41" s="302"/>
      <c r="K41" s="302"/>
      <c r="L41" s="302"/>
      <c r="M41" s="302"/>
      <c r="N41" s="302"/>
      <c r="O41" s="302"/>
      <c r="P41" s="302"/>
      <c r="Q41" s="302"/>
      <c r="R41" s="302"/>
      <c r="S41" s="302"/>
      <c r="T41" s="302"/>
      <c r="U41" s="302"/>
      <c r="V41" s="302"/>
      <c r="W41" s="302"/>
      <c r="X41" s="302"/>
      <c r="Y41" s="302"/>
      <c r="Z41" s="302"/>
      <c r="AA41" s="302"/>
      <c r="AB41" s="302"/>
      <c r="AC41" s="302"/>
      <c r="AD41" s="302"/>
      <c r="AE41" s="302"/>
      <c r="AF41" s="302"/>
      <c r="AG41" s="302"/>
      <c r="AH41" s="302"/>
      <c r="AI41" s="53"/>
      <c r="AJ41" s="302"/>
      <c r="AK41" s="302"/>
      <c r="AL41" s="302"/>
      <c r="AM41" s="302"/>
      <c r="AN41" s="302"/>
      <c r="AO41" s="302"/>
      <c r="AP41" s="302"/>
      <c r="AQ41" s="302"/>
      <c r="AR41" s="302"/>
      <c r="AS41" s="302"/>
      <c r="AT41" s="302"/>
      <c r="AU41" s="302"/>
      <c r="AV41" s="302"/>
      <c r="AW41" s="302"/>
      <c r="AX41" s="302"/>
      <c r="AY41" s="302"/>
      <c r="AZ41" s="302"/>
      <c r="BA41" s="302"/>
      <c r="BB41" s="302"/>
      <c r="BC41" s="302"/>
      <c r="BD41" s="302"/>
      <c r="BE41" s="302"/>
      <c r="BF41" s="302"/>
      <c r="BG41" s="302"/>
      <c r="BH41" s="302"/>
      <c r="BI41" s="302"/>
      <c r="BJ41" s="302"/>
      <c r="BK41" s="302"/>
      <c r="BL41" s="302"/>
      <c r="BM41" s="302"/>
      <c r="BN41" s="302"/>
      <c r="BO41" s="302"/>
      <c r="BP41" s="46"/>
      <c r="BQ41" s="302"/>
      <c r="BR41" s="302"/>
      <c r="BS41" s="302"/>
      <c r="BT41" s="302"/>
      <c r="BU41" s="302"/>
      <c r="BV41" s="302"/>
      <c r="BW41" s="302"/>
      <c r="BX41" s="302"/>
      <c r="BY41" s="302"/>
      <c r="BZ41" s="302"/>
      <c r="CA41" s="302"/>
      <c r="CB41" s="302"/>
      <c r="CC41" s="302"/>
      <c r="CD41" s="302"/>
      <c r="CE41" s="302"/>
      <c r="CF41" s="302"/>
      <c r="CG41" s="302"/>
      <c r="CH41" s="302"/>
      <c r="CI41" s="302"/>
      <c r="CJ41" s="302"/>
      <c r="CK41" s="302"/>
      <c r="CL41" s="302"/>
      <c r="CM41" s="302"/>
      <c r="CN41" s="302"/>
      <c r="CO41" s="302"/>
      <c r="CP41" s="302"/>
      <c r="CQ41" s="302"/>
      <c r="CR41" s="302"/>
      <c r="CS41" s="302"/>
      <c r="CT41" s="302"/>
      <c r="CU41" s="302"/>
      <c r="CV41" s="302"/>
      <c r="CW41" s="46"/>
      <c r="CX41" s="302"/>
      <c r="CY41" s="302"/>
      <c r="CZ41" s="302"/>
      <c r="DA41" s="302"/>
      <c r="DB41" s="302"/>
      <c r="DC41" s="302"/>
      <c r="DD41" s="302"/>
      <c r="DE41" s="302"/>
      <c r="DF41" s="302"/>
      <c r="DG41" s="302"/>
      <c r="DH41" s="302"/>
      <c r="DI41" s="302"/>
      <c r="DJ41" s="302"/>
      <c r="DK41" s="302"/>
      <c r="DL41" s="302"/>
      <c r="DM41" s="302"/>
      <c r="DN41" s="302"/>
      <c r="DO41" s="302"/>
      <c r="DP41" s="302"/>
      <c r="DQ41" s="302"/>
      <c r="DR41" s="302"/>
      <c r="DS41" s="302"/>
      <c r="DT41" s="302"/>
      <c r="DU41" s="302"/>
      <c r="DV41" s="302"/>
      <c r="DW41" s="302"/>
      <c r="DX41" s="302"/>
      <c r="DY41" s="302"/>
      <c r="DZ41" s="302"/>
      <c r="EA41" s="302"/>
      <c r="EB41" s="302"/>
      <c r="EC41" s="302"/>
      <c r="ED41" s="46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46"/>
      <c r="FL41" s="46"/>
      <c r="FM41" s="46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46"/>
      <c r="GU41" s="46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46"/>
      <c r="IC41" s="46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46"/>
      <c r="JK41" s="46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11"/>
      <c r="KR41" s="46"/>
      <c r="KS41" s="46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11"/>
      <c r="LZ41" s="3"/>
      <c r="MA41" s="3"/>
      <c r="MB41" s="3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46"/>
      <c r="NI41" s="46"/>
      <c r="NJ41" s="142"/>
      <c r="NK41" s="46"/>
      <c r="NL41" s="46"/>
      <c r="NM41" s="46"/>
      <c r="NN41" s="46"/>
      <c r="NO41" s="46"/>
      <c r="NP41" s="46"/>
      <c r="NQ41" s="46"/>
      <c r="NR41" s="46"/>
      <c r="NS41" s="46"/>
      <c r="NT41" s="46"/>
      <c r="NU41" s="46"/>
      <c r="NV41" s="46"/>
      <c r="NW41" s="46"/>
      <c r="NX41" s="46"/>
      <c r="NY41" s="46"/>
      <c r="NZ41" s="46"/>
      <c r="OA41" s="46"/>
      <c r="OB41" s="46"/>
      <c r="OC41" s="46"/>
      <c r="OD41" s="46"/>
      <c r="OE41" s="46"/>
      <c r="OF41" s="46"/>
      <c r="OG41" s="46"/>
      <c r="OH41" s="46"/>
      <c r="OI41" s="46"/>
      <c r="OJ41" s="46"/>
      <c r="OK41" s="46"/>
      <c r="OL41" s="46"/>
      <c r="OM41" s="46"/>
      <c r="ON41" s="46"/>
      <c r="OO41" s="46"/>
      <c r="OP41" s="46"/>
      <c r="OQ41" s="46"/>
      <c r="OR41" s="46"/>
      <c r="OS41" s="144"/>
      <c r="OT41" s="144"/>
      <c r="OU41" s="144"/>
      <c r="OV41" s="144"/>
      <c r="OW41" s="144"/>
      <c r="OX41" s="144"/>
      <c r="OY41" s="144"/>
      <c r="OZ41" s="144"/>
      <c r="PA41" s="144"/>
      <c r="PB41" s="144"/>
      <c r="PC41" s="144"/>
      <c r="PD41" s="144"/>
      <c r="PE41" s="144"/>
      <c r="PF41" s="144"/>
      <c r="PG41" s="144"/>
      <c r="PH41" s="144"/>
      <c r="PI41" s="144"/>
      <c r="PJ41" s="144"/>
      <c r="PK41" s="144"/>
      <c r="PL41" s="144"/>
      <c r="PM41" s="144"/>
      <c r="PN41" s="144"/>
      <c r="PO41" s="144"/>
      <c r="PP41" s="144"/>
      <c r="PQ41" s="144"/>
      <c r="PR41" s="144"/>
      <c r="PS41" s="144"/>
      <c r="PT41" s="146"/>
      <c r="PU41" s="316" t="s">
        <v>191</v>
      </c>
      <c r="PV41" s="146"/>
      <c r="PW41" s="146"/>
      <c r="PX41" s="146"/>
      <c r="PY41" s="146"/>
      <c r="PZ41" s="146"/>
      <c r="QA41" s="146"/>
      <c r="QB41" s="146"/>
      <c r="QC41" s="146"/>
      <c r="QD41" s="146"/>
      <c r="QE41" s="146"/>
      <c r="QF41" s="146"/>
      <c r="QG41" s="146"/>
      <c r="QH41" s="146"/>
      <c r="QI41" s="146"/>
      <c r="QJ41" s="146"/>
      <c r="QK41" s="146"/>
      <c r="QL41" s="146"/>
      <c r="QM41" s="146"/>
      <c r="QN41" s="146"/>
      <c r="QO41" s="146"/>
      <c r="QP41" s="146"/>
      <c r="QQ41" s="146"/>
      <c r="QR41" s="84"/>
      <c r="QS41" s="144"/>
      <c r="QT41" s="144"/>
      <c r="QU41" s="316" t="s">
        <v>192</v>
      </c>
      <c r="QV41" s="144"/>
      <c r="QW41" s="144"/>
      <c r="QX41" s="144"/>
      <c r="QY41" s="144"/>
      <c r="QZ41" s="144"/>
      <c r="RA41" s="144"/>
      <c r="RB41" s="144"/>
      <c r="RC41" s="144"/>
      <c r="RD41" s="144"/>
      <c r="RE41" s="144"/>
      <c r="RF41" s="144"/>
      <c r="RG41" s="144"/>
      <c r="RH41" s="144"/>
      <c r="RI41" s="144"/>
      <c r="RJ41" s="144"/>
      <c r="RK41" s="144"/>
      <c r="RL41" s="144"/>
      <c r="RM41" s="144"/>
      <c r="RN41" s="84"/>
      <c r="RO41" s="144"/>
      <c r="RP41" s="144"/>
      <c r="RQ41" s="316" t="s">
        <v>193</v>
      </c>
      <c r="RR41" s="144"/>
      <c r="RS41" s="144"/>
      <c r="RT41" s="144"/>
      <c r="RU41" s="144"/>
      <c r="RV41" s="144"/>
      <c r="RW41" s="144"/>
      <c r="RX41" s="144"/>
      <c r="RY41" s="144"/>
      <c r="RZ41" s="144"/>
      <c r="SA41" s="144"/>
      <c r="SB41" s="144"/>
      <c r="SC41" s="144"/>
      <c r="SD41" s="144"/>
      <c r="SE41" s="144"/>
      <c r="SF41" s="144"/>
      <c r="SG41" s="144"/>
      <c r="SH41" s="144"/>
      <c r="SI41" s="144"/>
      <c r="SJ41" s="84"/>
      <c r="SK41" s="144"/>
      <c r="SL41" s="144"/>
      <c r="SM41" s="316" t="s">
        <v>194</v>
      </c>
      <c r="SN41" s="84"/>
      <c r="SO41" s="154"/>
      <c r="SP41" s="154"/>
      <c r="SQ41" s="154"/>
      <c r="SR41" s="154"/>
      <c r="SS41" s="154"/>
      <c r="ST41" s="154"/>
      <c r="SU41" s="155"/>
      <c r="SV41" s="154"/>
      <c r="SW41" s="154"/>
      <c r="SX41" s="155"/>
      <c r="SY41" s="155"/>
      <c r="SZ41" s="155"/>
      <c r="TA41" s="155"/>
      <c r="TB41" s="155"/>
      <c r="TC41" s="155"/>
      <c r="TD41" s="155"/>
      <c r="TE41" s="156"/>
      <c r="TF41" s="84"/>
      <c r="TG41" s="84"/>
      <c r="TH41" s="316" t="s">
        <v>195</v>
      </c>
      <c r="TI41" s="144"/>
      <c r="TJ41" s="144"/>
      <c r="TK41" s="144"/>
      <c r="TL41" s="157"/>
      <c r="TM41" s="157"/>
      <c r="TN41" s="157"/>
      <c r="TO41" s="157"/>
      <c r="TP41" s="157"/>
      <c r="TQ41" s="157"/>
      <c r="TR41" s="157"/>
      <c r="TS41" s="157"/>
      <c r="TT41" s="157"/>
      <c r="TU41" s="158"/>
      <c r="TV41" s="157"/>
      <c r="TW41" s="158"/>
      <c r="TX41" s="144"/>
      <c r="TY41" s="144"/>
      <c r="TZ41" s="144"/>
      <c r="UA41" s="84"/>
      <c r="UB41" s="144"/>
      <c r="UC41" s="144"/>
      <c r="UD41" s="316" t="s">
        <v>196</v>
      </c>
      <c r="UE41" s="144"/>
      <c r="UF41" s="157"/>
      <c r="UG41" s="157"/>
      <c r="UH41" s="157"/>
      <c r="UI41" s="157"/>
      <c r="UJ41" s="157"/>
      <c r="UK41" s="157"/>
      <c r="UL41" s="157"/>
      <c r="UM41" s="157"/>
      <c r="UN41" s="157"/>
      <c r="UO41" s="157"/>
      <c r="UP41" s="157"/>
      <c r="UQ41" s="158"/>
      <c r="UR41" s="157"/>
      <c r="US41" s="158"/>
      <c r="UT41" s="144"/>
      <c r="UU41" s="144"/>
      <c r="UV41" s="144"/>
      <c r="UW41" s="144"/>
      <c r="UX41" s="144"/>
      <c r="UY41" s="144"/>
      <c r="UZ41" s="316" t="s">
        <v>197</v>
      </c>
      <c r="VA41" s="144"/>
      <c r="VB41" s="157"/>
      <c r="VC41" s="157"/>
      <c r="VD41" s="157"/>
      <c r="VE41" s="157"/>
      <c r="VF41" s="157"/>
      <c r="VG41" s="157"/>
      <c r="VH41" s="157"/>
      <c r="VI41" s="157"/>
      <c r="VJ41" s="157"/>
      <c r="VK41" s="157"/>
      <c r="VL41" s="157"/>
      <c r="VM41" s="157"/>
      <c r="VN41" s="157"/>
      <c r="VO41" s="157"/>
      <c r="VP41" s="144"/>
      <c r="VQ41" s="144"/>
      <c r="VR41" s="84"/>
      <c r="VS41" s="84"/>
      <c r="VT41" s="46"/>
      <c r="VU41" s="46"/>
    </row>
    <row r="42" ht="15.75" hidden="1" spans="1:1024 1025:16384">
      <c r="A42" s="46"/>
      <c r="B42" s="46"/>
      <c r="C42" s="302"/>
      <c r="D42" s="302"/>
      <c r="E42" s="302"/>
      <c r="F42" s="302"/>
      <c r="G42" s="302"/>
      <c r="H42" s="302"/>
      <c r="I42" s="302"/>
      <c r="J42" s="302"/>
      <c r="K42" s="302"/>
      <c r="L42" s="302"/>
      <c r="M42" s="302"/>
      <c r="N42" s="302"/>
      <c r="O42" s="302"/>
      <c r="P42" s="302"/>
      <c r="Q42" s="302"/>
      <c r="R42" s="302"/>
      <c r="S42" s="302"/>
      <c r="T42" s="302"/>
      <c r="U42" s="302"/>
      <c r="V42" s="302"/>
      <c r="W42" s="302"/>
      <c r="X42" s="302"/>
      <c r="Y42" s="302"/>
      <c r="Z42" s="302"/>
      <c r="AA42" s="302"/>
      <c r="AB42" s="302"/>
      <c r="AC42" s="302"/>
      <c r="AD42" s="302"/>
      <c r="AE42" s="302"/>
      <c r="AF42" s="302"/>
      <c r="AG42" s="302"/>
      <c r="AH42" s="302"/>
      <c r="AI42" s="53"/>
      <c r="AJ42" s="302"/>
      <c r="AK42" s="302"/>
      <c r="AL42" s="302"/>
      <c r="AM42" s="302"/>
      <c r="AN42" s="302"/>
      <c r="AO42" s="302"/>
      <c r="AP42" s="302"/>
      <c r="AQ42" s="302"/>
      <c r="AR42" s="302"/>
      <c r="AS42" s="302"/>
      <c r="AT42" s="302"/>
      <c r="AU42" s="302"/>
      <c r="AV42" s="302"/>
      <c r="AW42" s="302"/>
      <c r="AX42" s="302"/>
      <c r="AY42" s="302"/>
      <c r="AZ42" s="302"/>
      <c r="BA42" s="302"/>
      <c r="BB42" s="302"/>
      <c r="BC42" s="302"/>
      <c r="BD42" s="302"/>
      <c r="BE42" s="302"/>
      <c r="BF42" s="302"/>
      <c r="BG42" s="302"/>
      <c r="BH42" s="302"/>
      <c r="BI42" s="302"/>
      <c r="BJ42" s="302"/>
      <c r="BK42" s="302"/>
      <c r="BL42" s="302"/>
      <c r="BM42" s="302"/>
      <c r="BN42" s="302"/>
      <c r="BO42" s="302"/>
      <c r="BP42" s="46"/>
      <c r="BQ42" s="302"/>
      <c r="BR42" s="302"/>
      <c r="BS42" s="302"/>
      <c r="BT42" s="302"/>
      <c r="BU42" s="302"/>
      <c r="BV42" s="302"/>
      <c r="BW42" s="302"/>
      <c r="BX42" s="302"/>
      <c r="BY42" s="302"/>
      <c r="BZ42" s="302"/>
      <c r="CA42" s="302"/>
      <c r="CB42" s="302"/>
      <c r="CC42" s="302"/>
      <c r="CD42" s="302"/>
      <c r="CE42" s="302"/>
      <c r="CF42" s="302"/>
      <c r="CG42" s="302"/>
      <c r="CH42" s="302"/>
      <c r="CI42" s="302"/>
      <c r="CJ42" s="302"/>
      <c r="CK42" s="302"/>
      <c r="CL42" s="302"/>
      <c r="CM42" s="302"/>
      <c r="CN42" s="302"/>
      <c r="CO42" s="302"/>
      <c r="CP42" s="302"/>
      <c r="CQ42" s="302"/>
      <c r="CR42" s="302"/>
      <c r="CS42" s="302"/>
      <c r="CT42" s="302"/>
      <c r="CU42" s="302"/>
      <c r="CV42" s="302"/>
      <c r="CW42" s="46"/>
      <c r="CX42" s="302"/>
      <c r="CY42" s="302"/>
      <c r="CZ42" s="302"/>
      <c r="DA42" s="302"/>
      <c r="DB42" s="302"/>
      <c r="DC42" s="302"/>
      <c r="DD42" s="302"/>
      <c r="DE42" s="302"/>
      <c r="DF42" s="302"/>
      <c r="DG42" s="302"/>
      <c r="DH42" s="302"/>
      <c r="DI42" s="302"/>
      <c r="DJ42" s="302"/>
      <c r="DK42" s="302"/>
      <c r="DL42" s="302"/>
      <c r="DM42" s="302"/>
      <c r="DN42" s="302"/>
      <c r="DO42" s="302"/>
      <c r="DP42" s="302"/>
      <c r="DQ42" s="302"/>
      <c r="DR42" s="302"/>
      <c r="DS42" s="302"/>
      <c r="DT42" s="302"/>
      <c r="DU42" s="302"/>
      <c r="DV42" s="302"/>
      <c r="DW42" s="302"/>
      <c r="DX42" s="302"/>
      <c r="DY42" s="302"/>
      <c r="DZ42" s="302"/>
      <c r="EA42" s="302"/>
      <c r="EB42" s="302"/>
      <c r="EC42" s="302"/>
      <c r="ED42" s="46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46"/>
      <c r="FL42" s="46"/>
      <c r="FM42" s="46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46"/>
      <c r="GU42" s="46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46"/>
      <c r="IC42" s="46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/>
      <c r="JG42" s="3"/>
      <c r="JH42" s="3"/>
      <c r="JI42" s="3"/>
      <c r="JJ42" s="46"/>
      <c r="JK42" s="46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/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11"/>
      <c r="KR42" s="46"/>
      <c r="KS42" s="46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11"/>
      <c r="LZ42" s="3"/>
      <c r="MA42" s="3"/>
      <c r="MB42" s="3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46"/>
      <c r="NI42" s="46"/>
      <c r="NJ42" s="142"/>
      <c r="NK42" s="46"/>
      <c r="NL42" s="46"/>
      <c r="NM42" s="46"/>
      <c r="NN42" s="46"/>
      <c r="NO42" s="46"/>
      <c r="NP42" s="46"/>
      <c r="NQ42" s="46"/>
      <c r="NR42" s="46"/>
      <c r="NS42" s="46"/>
      <c r="NT42" s="46"/>
      <c r="NU42" s="46"/>
      <c r="NV42" s="46"/>
      <c r="NW42" s="46"/>
      <c r="NX42" s="46"/>
      <c r="NY42" s="46"/>
      <c r="NZ42" s="46"/>
      <c r="OA42" s="46"/>
      <c r="OB42" s="46"/>
      <c r="OC42" s="46"/>
      <c r="OD42" s="46"/>
      <c r="OE42" s="46"/>
      <c r="OF42" s="46"/>
      <c r="OG42" s="46"/>
      <c r="OH42" s="46"/>
      <c r="OI42" s="46"/>
      <c r="OJ42" s="46"/>
      <c r="OK42" s="46"/>
      <c r="OL42" s="46"/>
      <c r="OM42" s="46"/>
      <c r="ON42" s="46"/>
      <c r="OO42" s="46"/>
      <c r="OP42" s="46"/>
      <c r="OQ42" s="46"/>
      <c r="OR42" s="46"/>
      <c r="OS42" s="144"/>
      <c r="OT42" s="144"/>
      <c r="OU42" s="144"/>
      <c r="OV42" s="144"/>
      <c r="OW42" s="144"/>
      <c r="OX42" s="144"/>
      <c r="OY42" s="144"/>
      <c r="OZ42" s="144"/>
      <c r="PA42" s="144"/>
      <c r="PB42" s="144"/>
      <c r="PC42" s="144"/>
      <c r="PD42" s="144"/>
      <c r="PE42" s="144"/>
      <c r="PF42" s="144"/>
      <c r="PG42" s="144"/>
      <c r="PH42" s="144"/>
      <c r="PI42" s="144"/>
      <c r="PJ42" s="144"/>
      <c r="PK42" s="144"/>
      <c r="PL42" s="144"/>
      <c r="PM42" s="144"/>
      <c r="PN42" s="144"/>
      <c r="PO42" s="144"/>
      <c r="PP42" s="144"/>
      <c r="PQ42" s="144"/>
      <c r="PR42" s="144"/>
      <c r="PS42" s="144"/>
      <c r="PT42" s="146"/>
      <c r="PU42" s="95" t="s">
        <v>20</v>
      </c>
      <c r="PV42" s="95" t="s">
        <v>62</v>
      </c>
      <c r="PW42" s="175"/>
      <c r="PX42" s="175" t="s">
        <v>54</v>
      </c>
      <c r="PY42" s="175" t="s">
        <v>55</v>
      </c>
      <c r="PZ42" s="175"/>
      <c r="QA42" s="175" t="s">
        <v>198</v>
      </c>
      <c r="QB42" s="175"/>
      <c r="QC42" s="175" t="s">
        <v>36</v>
      </c>
      <c r="QD42" s="175"/>
      <c r="QE42" s="175" t="s">
        <v>38</v>
      </c>
      <c r="QF42" s="177"/>
      <c r="QG42" s="177" t="s">
        <v>40</v>
      </c>
      <c r="QH42" s="170" t="s">
        <v>58</v>
      </c>
      <c r="QI42" s="171" t="s">
        <v>42</v>
      </c>
      <c r="QJ42" s="171" t="s">
        <v>52</v>
      </c>
      <c r="QK42" s="174" t="s">
        <v>64</v>
      </c>
      <c r="QL42" s="171" t="s">
        <v>59</v>
      </c>
      <c r="QM42" s="174" t="s">
        <v>47</v>
      </c>
      <c r="QN42" s="174"/>
      <c r="QO42" s="174" t="s">
        <v>61</v>
      </c>
      <c r="QP42" s="102" t="s">
        <v>158</v>
      </c>
      <c r="QQ42" s="102" t="s">
        <v>51</v>
      </c>
      <c r="QR42" s="84"/>
      <c r="QS42" s="144"/>
      <c r="QT42" s="144"/>
      <c r="QU42" s="95" t="s">
        <v>20</v>
      </c>
      <c r="QV42" s="95" t="s">
        <v>62</v>
      </c>
      <c r="QW42" s="175" t="s">
        <v>54</v>
      </c>
      <c r="QX42" s="175" t="s">
        <v>55</v>
      </c>
      <c r="QY42" s="175" t="s">
        <v>198</v>
      </c>
      <c r="QZ42" s="175" t="s">
        <v>36</v>
      </c>
      <c r="RA42" s="175" t="s">
        <v>38</v>
      </c>
      <c r="RB42" s="175" t="s">
        <v>39</v>
      </c>
      <c r="RC42" s="177"/>
      <c r="RD42" s="177" t="s">
        <v>40</v>
      </c>
      <c r="RE42" s="170" t="s">
        <v>58</v>
      </c>
      <c r="RF42" s="171" t="s">
        <v>42</v>
      </c>
      <c r="RG42" s="171" t="s">
        <v>52</v>
      </c>
      <c r="RH42" s="174" t="s">
        <v>64</v>
      </c>
      <c r="RI42" s="171" t="s">
        <v>59</v>
      </c>
      <c r="RJ42" s="174" t="s">
        <v>47</v>
      </c>
      <c r="RK42" s="102"/>
      <c r="RL42" s="102" t="s">
        <v>158</v>
      </c>
      <c r="RM42" s="102" t="s">
        <v>51</v>
      </c>
      <c r="RN42" s="84"/>
      <c r="RO42" s="144"/>
      <c r="RP42" s="144"/>
      <c r="RQ42" s="95" t="s">
        <v>20</v>
      </c>
      <c r="RR42" s="95" t="s">
        <v>62</v>
      </c>
      <c r="RS42" s="175" t="s">
        <v>54</v>
      </c>
      <c r="RT42" s="175" t="s">
        <v>55</v>
      </c>
      <c r="RU42" s="175" t="s">
        <v>198</v>
      </c>
      <c r="RV42" s="175" t="s">
        <v>36</v>
      </c>
      <c r="RW42" s="175" t="s">
        <v>38</v>
      </c>
      <c r="RX42" s="175" t="s">
        <v>39</v>
      </c>
      <c r="RY42" s="177" t="s">
        <v>40</v>
      </c>
      <c r="RZ42" s="170" t="s">
        <v>58</v>
      </c>
      <c r="SA42" s="170" t="s">
        <v>160</v>
      </c>
      <c r="SB42" s="171" t="s">
        <v>42</v>
      </c>
      <c r="SC42" s="171" t="s">
        <v>52</v>
      </c>
      <c r="SD42" s="174" t="s">
        <v>64</v>
      </c>
      <c r="SE42" s="171" t="s">
        <v>59</v>
      </c>
      <c r="SF42" s="174" t="s">
        <v>47</v>
      </c>
      <c r="SG42" s="102"/>
      <c r="SH42" s="102" t="s">
        <v>158</v>
      </c>
      <c r="SI42" s="102" t="s">
        <v>51</v>
      </c>
      <c r="SJ42" s="84"/>
      <c r="SK42" s="144"/>
      <c r="SL42" s="144"/>
      <c r="SM42" s="95" t="s">
        <v>20</v>
      </c>
      <c r="SN42" s="95" t="s">
        <v>62</v>
      </c>
      <c r="SO42" s="175" t="s">
        <v>54</v>
      </c>
      <c r="SP42" s="175" t="s">
        <v>55</v>
      </c>
      <c r="SQ42" s="175" t="s">
        <v>198</v>
      </c>
      <c r="SR42" s="175" t="s">
        <v>36</v>
      </c>
      <c r="SS42" s="175" t="s">
        <v>38</v>
      </c>
      <c r="ST42" s="175" t="s">
        <v>39</v>
      </c>
      <c r="SU42" s="177" t="s">
        <v>40</v>
      </c>
      <c r="SV42" s="170" t="s">
        <v>58</v>
      </c>
      <c r="SW42" s="170" t="s">
        <v>160</v>
      </c>
      <c r="SX42" s="171" t="s">
        <v>42</v>
      </c>
      <c r="SY42" s="171" t="s">
        <v>52</v>
      </c>
      <c r="SZ42" s="174" t="s">
        <v>64</v>
      </c>
      <c r="TA42" s="171" t="s">
        <v>59</v>
      </c>
      <c r="TB42" s="174" t="s">
        <v>47</v>
      </c>
      <c r="TC42" s="102"/>
      <c r="TD42" s="102" t="s">
        <v>158</v>
      </c>
      <c r="TE42" s="102" t="s">
        <v>51</v>
      </c>
      <c r="TF42" s="84"/>
      <c r="TG42" s="84"/>
      <c r="TH42" s="95" t="s">
        <v>20</v>
      </c>
      <c r="TI42" s="95" t="s">
        <v>62</v>
      </c>
      <c r="TJ42" s="175" t="s">
        <v>54</v>
      </c>
      <c r="TK42" s="175" t="s">
        <v>55</v>
      </c>
      <c r="TL42" s="175" t="s">
        <v>198</v>
      </c>
      <c r="TM42" s="175" t="s">
        <v>36</v>
      </c>
      <c r="TN42" s="175" t="s">
        <v>38</v>
      </c>
      <c r="TO42" s="175" t="s">
        <v>39</v>
      </c>
      <c r="TP42" s="175" t="s">
        <v>40</v>
      </c>
      <c r="TQ42" s="170" t="s">
        <v>58</v>
      </c>
      <c r="TR42" s="170" t="s">
        <v>160</v>
      </c>
      <c r="TS42" s="170" t="s">
        <v>42</v>
      </c>
      <c r="TT42" s="170" t="s">
        <v>66</v>
      </c>
      <c r="TU42" s="178" t="s">
        <v>64</v>
      </c>
      <c r="TV42" s="170" t="s">
        <v>59</v>
      </c>
      <c r="TW42" s="178" t="s">
        <v>47</v>
      </c>
      <c r="TX42" s="102"/>
      <c r="TY42" s="102" t="s">
        <v>158</v>
      </c>
      <c r="TZ42" s="95" t="s">
        <v>51</v>
      </c>
      <c r="UA42" s="199"/>
      <c r="UB42" s="144"/>
      <c r="UC42" s="144"/>
      <c r="UD42" s="95" t="s">
        <v>20</v>
      </c>
      <c r="UE42" s="95" t="s">
        <v>62</v>
      </c>
      <c r="UF42" s="175" t="s">
        <v>54</v>
      </c>
      <c r="UG42" s="175" t="s">
        <v>55</v>
      </c>
      <c r="UH42" s="175" t="s">
        <v>198</v>
      </c>
      <c r="UI42" s="175" t="s">
        <v>36</v>
      </c>
      <c r="UJ42" s="175" t="s">
        <v>38</v>
      </c>
      <c r="UK42" s="175" t="s">
        <v>39</v>
      </c>
      <c r="UL42" s="175" t="s">
        <v>40</v>
      </c>
      <c r="UM42" s="170" t="s">
        <v>58</v>
      </c>
      <c r="UN42" s="170" t="s">
        <v>160</v>
      </c>
      <c r="UO42" s="170" t="s">
        <v>42</v>
      </c>
      <c r="UP42" s="170" t="s">
        <v>66</v>
      </c>
      <c r="UQ42" s="178" t="s">
        <v>64</v>
      </c>
      <c r="UR42" s="170" t="s">
        <v>59</v>
      </c>
      <c r="US42" s="178" t="s">
        <v>47</v>
      </c>
      <c r="UT42" s="102"/>
      <c r="UU42" s="102" t="s">
        <v>158</v>
      </c>
      <c r="UV42" s="95" t="s">
        <v>51</v>
      </c>
      <c r="UW42" s="199"/>
      <c r="UX42" s="144"/>
      <c r="UY42" s="144"/>
      <c r="UZ42" s="95" t="s">
        <v>20</v>
      </c>
      <c r="VA42" s="95" t="s">
        <v>62</v>
      </c>
      <c r="VB42" s="175" t="s">
        <v>54</v>
      </c>
      <c r="VC42" s="175" t="s">
        <v>55</v>
      </c>
      <c r="VD42" s="175" t="s">
        <v>198</v>
      </c>
      <c r="VE42" s="175" t="s">
        <v>36</v>
      </c>
      <c r="VF42" s="175" t="s">
        <v>38</v>
      </c>
      <c r="VG42" s="175" t="s">
        <v>39</v>
      </c>
      <c r="VH42" s="175" t="s">
        <v>40</v>
      </c>
      <c r="VI42" s="170" t="s">
        <v>58</v>
      </c>
      <c r="VJ42" s="170" t="s">
        <v>160</v>
      </c>
      <c r="VK42" s="170" t="s">
        <v>42</v>
      </c>
      <c r="VL42" s="170" t="s">
        <v>66</v>
      </c>
      <c r="VM42" s="178" t="s">
        <v>64</v>
      </c>
      <c r="VN42" s="170" t="s">
        <v>59</v>
      </c>
      <c r="VO42" s="178" t="s">
        <v>47</v>
      </c>
      <c r="VP42" s="102"/>
      <c r="VQ42" s="102" t="s">
        <v>158</v>
      </c>
      <c r="VR42" s="95" t="s">
        <v>51</v>
      </c>
      <c r="VS42" s="84"/>
      <c r="VT42" s="46"/>
      <c r="VU42" s="46"/>
    </row>
    <row r="43" ht="15.75" hidden="1" spans="1:1024 1025:16384">
      <c r="A43" s="46"/>
      <c r="B43" s="46"/>
      <c r="C43" s="302"/>
      <c r="D43" s="302"/>
      <c r="E43" s="302"/>
      <c r="F43" s="302"/>
      <c r="G43" s="302"/>
      <c r="H43" s="302"/>
      <c r="I43" s="302"/>
      <c r="J43" s="302"/>
      <c r="K43" s="302"/>
      <c r="L43" s="302"/>
      <c r="M43" s="302"/>
      <c r="N43" s="302"/>
      <c r="O43" s="302"/>
      <c r="P43" s="302"/>
      <c r="Q43" s="302"/>
      <c r="R43" s="302"/>
      <c r="S43" s="302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302"/>
      <c r="AF43" s="302"/>
      <c r="AG43" s="302"/>
      <c r="AH43" s="302"/>
      <c r="AI43" s="53"/>
      <c r="AJ43" s="302"/>
      <c r="AK43" s="302"/>
      <c r="AL43" s="302"/>
      <c r="AM43" s="302"/>
      <c r="AN43" s="302"/>
      <c r="AO43" s="302"/>
      <c r="AP43" s="302"/>
      <c r="AQ43" s="302"/>
      <c r="AR43" s="302"/>
      <c r="AS43" s="302"/>
      <c r="AT43" s="302"/>
      <c r="AU43" s="302"/>
      <c r="AV43" s="302"/>
      <c r="AW43" s="302"/>
      <c r="AX43" s="302"/>
      <c r="AY43" s="302"/>
      <c r="AZ43" s="302"/>
      <c r="BA43" s="302"/>
      <c r="BB43" s="302"/>
      <c r="BC43" s="302"/>
      <c r="BD43" s="302"/>
      <c r="BE43" s="302"/>
      <c r="BF43" s="302"/>
      <c r="BG43" s="302"/>
      <c r="BH43" s="302"/>
      <c r="BI43" s="302"/>
      <c r="BJ43" s="302"/>
      <c r="BK43" s="302"/>
      <c r="BL43" s="302"/>
      <c r="BM43" s="302"/>
      <c r="BN43" s="302"/>
      <c r="BO43" s="302"/>
      <c r="BP43" s="46"/>
      <c r="BQ43" s="302"/>
      <c r="BR43" s="302"/>
      <c r="BS43" s="302"/>
      <c r="BT43" s="302"/>
      <c r="BU43" s="302"/>
      <c r="BV43" s="302"/>
      <c r="BW43" s="302"/>
      <c r="BX43" s="302"/>
      <c r="BY43" s="302"/>
      <c r="BZ43" s="302"/>
      <c r="CA43" s="302"/>
      <c r="CB43" s="302"/>
      <c r="CC43" s="302"/>
      <c r="CD43" s="302"/>
      <c r="CE43" s="302"/>
      <c r="CF43" s="302"/>
      <c r="CG43" s="302"/>
      <c r="CH43" s="302"/>
      <c r="CI43" s="302"/>
      <c r="CJ43" s="302"/>
      <c r="CK43" s="302"/>
      <c r="CL43" s="302"/>
      <c r="CM43" s="302"/>
      <c r="CN43" s="302"/>
      <c r="CO43" s="302"/>
      <c r="CP43" s="302"/>
      <c r="CQ43" s="302"/>
      <c r="CR43" s="302"/>
      <c r="CS43" s="302"/>
      <c r="CT43" s="302"/>
      <c r="CU43" s="302"/>
      <c r="CV43" s="302"/>
      <c r="CW43" s="46"/>
      <c r="CX43" s="302"/>
      <c r="CY43" s="302"/>
      <c r="CZ43" s="302"/>
      <c r="DA43" s="302"/>
      <c r="DB43" s="302"/>
      <c r="DC43" s="302"/>
      <c r="DD43" s="302"/>
      <c r="DE43" s="302"/>
      <c r="DF43" s="302"/>
      <c r="DG43" s="302"/>
      <c r="DH43" s="302"/>
      <c r="DI43" s="302"/>
      <c r="DJ43" s="302"/>
      <c r="DK43" s="302"/>
      <c r="DL43" s="302"/>
      <c r="DM43" s="302"/>
      <c r="DN43" s="302"/>
      <c r="DO43" s="302"/>
      <c r="DP43" s="302"/>
      <c r="DQ43" s="302"/>
      <c r="DR43" s="302"/>
      <c r="DS43" s="302"/>
      <c r="DT43" s="302"/>
      <c r="DU43" s="302"/>
      <c r="DV43" s="302"/>
      <c r="DW43" s="302"/>
      <c r="DX43" s="302"/>
      <c r="DY43" s="302"/>
      <c r="DZ43" s="302"/>
      <c r="EA43" s="302"/>
      <c r="EB43" s="302"/>
      <c r="EC43" s="302"/>
      <c r="ED43" s="46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46"/>
      <c r="FL43" s="46"/>
      <c r="FM43" s="46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46"/>
      <c r="GU43" s="46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46"/>
      <c r="IC43" s="46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  <c r="IW43" s="3"/>
      <c r="IX43" s="3"/>
      <c r="IY43" s="3"/>
      <c r="IZ43" s="3"/>
      <c r="JA43" s="3"/>
      <c r="JB43" s="3"/>
      <c r="JC43" s="3"/>
      <c r="JD43" s="3"/>
      <c r="JE43" s="3"/>
      <c r="JF43" s="3"/>
      <c r="JG43" s="3"/>
      <c r="JH43" s="3"/>
      <c r="JI43" s="3"/>
      <c r="JJ43" s="46"/>
      <c r="JK43" s="46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11"/>
      <c r="KR43" s="46"/>
      <c r="KS43" s="46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11"/>
      <c r="LZ43" s="3"/>
      <c r="MA43" s="3"/>
      <c r="MB43" s="3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46"/>
      <c r="NI43" s="46"/>
      <c r="NJ43" s="142"/>
      <c r="NK43" s="46"/>
      <c r="NL43" s="46"/>
      <c r="NM43" s="46"/>
      <c r="NN43" s="46"/>
      <c r="NO43" s="46"/>
      <c r="NP43" s="46"/>
      <c r="NQ43" s="46"/>
      <c r="NR43" s="46"/>
      <c r="NS43" s="46"/>
      <c r="NT43" s="46"/>
      <c r="NU43" s="46"/>
      <c r="NV43" s="46"/>
      <c r="NW43" s="46"/>
      <c r="NX43" s="46"/>
      <c r="NY43" s="46"/>
      <c r="NZ43" s="46"/>
      <c r="OA43" s="46"/>
      <c r="OB43" s="46"/>
      <c r="OC43" s="46"/>
      <c r="OD43" s="46"/>
      <c r="OE43" s="46"/>
      <c r="OF43" s="46"/>
      <c r="OG43" s="46"/>
      <c r="OH43" s="46"/>
      <c r="OI43" s="46"/>
      <c r="OJ43" s="46"/>
      <c r="OK43" s="46"/>
      <c r="OL43" s="46"/>
      <c r="OM43" s="46"/>
      <c r="ON43" s="46"/>
      <c r="OO43" s="46"/>
      <c r="OP43" s="46"/>
      <c r="OQ43" s="46"/>
      <c r="OR43" s="46"/>
      <c r="OS43" s="144"/>
      <c r="OT43" s="144"/>
      <c r="OU43" s="144"/>
      <c r="OV43" s="144"/>
      <c r="OW43" s="144"/>
      <c r="OX43" s="144"/>
      <c r="OY43" s="144"/>
      <c r="OZ43" s="144"/>
      <c r="PA43" s="144"/>
      <c r="PB43" s="144"/>
      <c r="PC43" s="144"/>
      <c r="PD43" s="144"/>
      <c r="PE43" s="144"/>
      <c r="PF43" s="144"/>
      <c r="PG43" s="144"/>
      <c r="PH43" s="144"/>
      <c r="PI43" s="144"/>
      <c r="PJ43" s="144"/>
      <c r="PK43" s="144"/>
      <c r="PL43" s="144"/>
      <c r="PM43" s="144"/>
      <c r="PN43" s="144"/>
      <c r="PO43" s="144"/>
      <c r="PP43" s="144"/>
      <c r="PQ43" s="144"/>
      <c r="PR43" s="144"/>
      <c r="PS43" s="144"/>
      <c r="PT43" s="146"/>
      <c r="PU43" s="95" t="s">
        <v>199</v>
      </c>
      <c r="PV43" s="95">
        <v>0</v>
      </c>
      <c r="PW43" s="175"/>
      <c r="PX43" s="175"/>
      <c r="PY43" s="175"/>
      <c r="PZ43" s="175"/>
      <c r="QA43" s="175"/>
      <c r="QB43" s="175"/>
      <c r="QC43" s="175"/>
      <c r="QD43" s="175"/>
      <c r="QE43" s="175"/>
      <c r="QF43" s="177"/>
      <c r="QG43" s="177" t="e">
        <f>QE43-#REF!</f>
        <v>#REF!</v>
      </c>
      <c r="QH43" s="170"/>
      <c r="QI43" s="171"/>
      <c r="QJ43" s="171">
        <f t="shared" ref="QJ43:QJ45" si="457">QE43*3.5%</f>
        <v>0</v>
      </c>
      <c r="QK43" s="174">
        <f t="shared" ref="QK43:QK45" si="458">QI43*10%</f>
        <v>0</v>
      </c>
      <c r="QL43" s="171">
        <f>PV43*3306*25</f>
        <v>0</v>
      </c>
      <c r="QM43" s="207" t="e">
        <f t="shared" ref="QM43:QM46" si="459">QG43-QJ43-QK43-QL43</f>
        <v>#REF!</v>
      </c>
      <c r="QN43" s="207"/>
      <c r="QO43" s="207"/>
      <c r="QP43" s="281"/>
      <c r="QQ43" s="197" t="e">
        <f>QG43/(QJ43+QK43+QL43+#REF!)</f>
        <v>#REF!</v>
      </c>
      <c r="QR43" s="199"/>
      <c r="QS43" s="144"/>
      <c r="QT43" s="144"/>
      <c r="QU43" s="95" t="s">
        <v>199</v>
      </c>
      <c r="QV43" s="95">
        <v>0</v>
      </c>
      <c r="QW43" s="175"/>
      <c r="QX43" s="175"/>
      <c r="QY43" s="175"/>
      <c r="QZ43" s="175"/>
      <c r="RA43" s="175"/>
      <c r="RB43" s="175"/>
      <c r="RC43" s="177"/>
      <c r="RD43" s="177">
        <f t="shared" ref="RD43:RD46" si="460">RA43-RB43</f>
        <v>0</v>
      </c>
      <c r="RE43" s="170"/>
      <c r="RF43" s="171"/>
      <c r="RG43" s="171">
        <f t="shared" ref="RG43:RG45" si="461">RA43*3.5%</f>
        <v>0</v>
      </c>
      <c r="RH43" s="174">
        <f t="shared" ref="RH43:RH45" si="462">RF43*10%</f>
        <v>0</v>
      </c>
      <c r="RI43" s="171">
        <f>QV43*3306*25</f>
        <v>0</v>
      </c>
      <c r="RJ43" s="207">
        <f t="shared" ref="RJ43:RJ46" si="463">RD43-RG43-RH43-RI43</f>
        <v>0</v>
      </c>
      <c r="RK43" s="281"/>
      <c r="RL43" s="281"/>
      <c r="RM43" s="197" t="e">
        <f>RD43/(RG43+RH43+RI43+#REF!)</f>
        <v>#REF!</v>
      </c>
      <c r="RN43" s="199" t="s">
        <v>118</v>
      </c>
      <c r="RO43" s="144"/>
      <c r="RP43" s="144" t="s">
        <v>200</v>
      </c>
      <c r="RQ43" s="95" t="s">
        <v>199</v>
      </c>
      <c r="RR43" s="95">
        <v>0</v>
      </c>
      <c r="RS43" s="175"/>
      <c r="RT43" s="175"/>
      <c r="RU43" s="175"/>
      <c r="RV43" s="175"/>
      <c r="RW43" s="175">
        <v>66672</v>
      </c>
      <c r="RX43" s="175">
        <v>49391</v>
      </c>
      <c r="RY43" s="177">
        <f t="shared" ref="RY43:RY46" si="464">RW43-RX43</f>
        <v>17281</v>
      </c>
      <c r="RZ43" s="170"/>
      <c r="SA43" s="170">
        <v>6112</v>
      </c>
      <c r="SB43" s="171">
        <v>29486.89</v>
      </c>
      <c r="SC43" s="171">
        <f t="shared" ref="SC43:SC45" si="465">RW43*3.5%</f>
        <v>2333.52</v>
      </c>
      <c r="SD43" s="174">
        <f t="shared" ref="SD43:SD45" si="466">SB43*10%</f>
        <v>2948.689</v>
      </c>
      <c r="SE43" s="171">
        <f>RR43*3306*25</f>
        <v>0</v>
      </c>
      <c r="SF43" s="207">
        <f t="shared" ref="SF43:SF46" si="467">RY43-SC43-SD43-SE43</f>
        <v>11998.791</v>
      </c>
      <c r="SG43" s="281"/>
      <c r="SH43" s="281"/>
      <c r="SI43" s="197">
        <f t="shared" ref="SI43:SI47" si="468">RY43/(SC43+SD43+SE43+SA43)</f>
        <v>1.51664762336727</v>
      </c>
      <c r="SJ43" s="199" t="s">
        <v>118</v>
      </c>
      <c r="SK43" s="157"/>
      <c r="SL43" s="144"/>
      <c r="SM43" s="95" t="s">
        <v>199</v>
      </c>
      <c r="SN43" s="95">
        <v>1</v>
      </c>
      <c r="SO43" s="175"/>
      <c r="SP43" s="175"/>
      <c r="SQ43" s="175"/>
      <c r="SR43" s="175"/>
      <c r="SS43" s="175">
        <v>174751</v>
      </c>
      <c r="ST43" s="175">
        <v>201348</v>
      </c>
      <c r="SU43" s="177">
        <f t="shared" ref="SU43:SU46" si="469">SS43-ST43</f>
        <v>-26597</v>
      </c>
      <c r="SV43" s="170"/>
      <c r="SW43" s="170">
        <v>42712</v>
      </c>
      <c r="SX43" s="171">
        <v>54696.19</v>
      </c>
      <c r="SY43" s="171">
        <f t="shared" ref="SY43:SY45" si="470">SS43*3.5%</f>
        <v>6116.285</v>
      </c>
      <c r="SZ43" s="174">
        <f t="shared" ref="SZ43:SZ45" si="471">SX43*10%</f>
        <v>5469.619</v>
      </c>
      <c r="TA43" s="171">
        <f t="shared" ref="TA43:TA45" si="472">SN43*4000*31</f>
        <v>124000</v>
      </c>
      <c r="TB43" s="207">
        <f t="shared" ref="TB43:TB46" si="473">SU43-SY43-SZ43-TA43</f>
        <v>-162182.904</v>
      </c>
      <c r="TC43" s="281"/>
      <c r="TD43" s="281"/>
      <c r="TE43" s="197">
        <f t="shared" ref="TE43:TE47" si="474">SU43/(SY43+SZ43+TA43+SW43)</f>
        <v>-0.149171691889322</v>
      </c>
      <c r="TF43" s="199" t="s">
        <v>118</v>
      </c>
      <c r="TG43" s="156"/>
      <c r="TH43" s="95" t="s">
        <v>199</v>
      </c>
      <c r="TI43" s="95">
        <v>1</v>
      </c>
      <c r="TJ43" s="95"/>
      <c r="TK43" s="95"/>
      <c r="TL43" s="175"/>
      <c r="TM43" s="175"/>
      <c r="TN43" s="175">
        <v>447501</v>
      </c>
      <c r="TO43" s="175">
        <v>501638</v>
      </c>
      <c r="TP43" s="175">
        <f t="shared" ref="TP43:TP46" si="475">TN43-TO43</f>
        <v>-54137</v>
      </c>
      <c r="TQ43" s="178">
        <v>76740</v>
      </c>
      <c r="TR43" s="178">
        <v>93288</v>
      </c>
      <c r="TS43" s="170">
        <v>157228.64</v>
      </c>
      <c r="TT43" s="170">
        <f t="shared" ref="TT43:TT46" si="476">TN43*4%</f>
        <v>17900.04</v>
      </c>
      <c r="TU43" s="174">
        <f t="shared" ref="TU43:TU46" si="477">TS43*10%</f>
        <v>15722.864</v>
      </c>
      <c r="TV43" s="170">
        <f t="shared" ref="TV43:TV46" si="478">TI43*4000*28</f>
        <v>112000</v>
      </c>
      <c r="TW43" s="203">
        <f t="shared" ref="TW43:TW46" si="479">TP43-TT43-TU43-TV43</f>
        <v>-199759.904</v>
      </c>
      <c r="TX43" s="283"/>
      <c r="TY43" s="283"/>
      <c r="TZ43" s="102">
        <f t="shared" si="448"/>
        <v>-0.371761573989762</v>
      </c>
      <c r="UA43" s="199" t="s">
        <v>118</v>
      </c>
      <c r="UB43" s="144"/>
      <c r="UC43" s="144"/>
      <c r="UD43" s="95" t="s">
        <v>199</v>
      </c>
      <c r="UE43" s="95">
        <v>1</v>
      </c>
      <c r="UF43" s="175"/>
      <c r="UG43" s="175"/>
      <c r="UH43" s="175"/>
      <c r="UI43" s="175"/>
      <c r="UJ43" s="175">
        <v>189424</v>
      </c>
      <c r="UK43" s="175">
        <v>200218</v>
      </c>
      <c r="UL43" s="175">
        <f t="shared" ref="UL43:UL46" si="480">UJ43-UK43</f>
        <v>-10794</v>
      </c>
      <c r="UM43" s="170">
        <v>35755</v>
      </c>
      <c r="UN43" s="170">
        <v>40377</v>
      </c>
      <c r="UO43" s="170">
        <v>65679.38</v>
      </c>
      <c r="UP43" s="170">
        <f t="shared" ref="UP43:UP46" si="481">UJ43*4%</f>
        <v>7576.96</v>
      </c>
      <c r="UQ43" s="174">
        <f t="shared" ref="UQ43:UQ45" si="482">UO43*10%</f>
        <v>6567.938</v>
      </c>
      <c r="UR43" s="170">
        <f>UE43*4000*30</f>
        <v>120000</v>
      </c>
      <c r="US43" s="203">
        <f t="shared" ref="US43:US46" si="483">UL43-UP43-UQ43-UR43</f>
        <v>-144938.898</v>
      </c>
      <c r="UT43" s="283"/>
      <c r="UU43" s="283"/>
      <c r="UV43" s="102">
        <f t="shared" ref="UV43:UV47" si="484">UL43/(UP43+UQ43+UR43+UN43)</f>
        <v>-0.0618489720986188</v>
      </c>
      <c r="UW43" s="199" t="s">
        <v>118</v>
      </c>
      <c r="UX43" s="144" t="s">
        <v>201</v>
      </c>
      <c r="UY43" s="144"/>
      <c r="UZ43" s="95" t="s">
        <v>199</v>
      </c>
      <c r="VA43" s="95">
        <v>0</v>
      </c>
      <c r="VB43" s="175"/>
      <c r="VC43" s="175"/>
      <c r="VD43" s="175"/>
      <c r="VE43" s="175"/>
      <c r="VF43" s="175">
        <v>0</v>
      </c>
      <c r="VG43" s="175">
        <v>0</v>
      </c>
      <c r="VH43" s="175">
        <f t="shared" ref="VH43:VH46" si="485">VF43-VG43</f>
        <v>0</v>
      </c>
      <c r="VI43" s="178">
        <v>0</v>
      </c>
      <c r="VJ43" s="178">
        <v>0</v>
      </c>
      <c r="VK43" s="170">
        <v>0</v>
      </c>
      <c r="VL43" s="178">
        <f t="shared" ref="VL43:VL46" si="486">VF43*4%</f>
        <v>0</v>
      </c>
      <c r="VM43" s="178">
        <f t="shared" ref="VM43:VM46" si="487">VK43*10%</f>
        <v>0</v>
      </c>
      <c r="VN43" s="170">
        <f>VA43*4000*0</f>
        <v>0</v>
      </c>
      <c r="VO43" s="178">
        <f t="shared" ref="VO43:VO46" si="488">VK43-VM43</f>
        <v>0</v>
      </c>
      <c r="VP43" s="283"/>
      <c r="VQ43" s="283"/>
      <c r="VR43" s="102" t="e">
        <f t="shared" ref="VR43:VR47" si="489">VH43/(VL43+VM43+VN43+VJ43)</f>
        <v>#DIV/0!</v>
      </c>
      <c r="VS43" s="84" t="s">
        <v>123</v>
      </c>
      <c r="VT43" s="46"/>
      <c r="VU43" s="46"/>
    </row>
    <row r="44" ht="15.75" hidden="1" spans="1:1024 1025:16384">
      <c r="A44" s="46"/>
      <c r="B44" s="46"/>
      <c r="C44" s="302"/>
      <c r="D44" s="302"/>
      <c r="E44" s="302"/>
      <c r="F44" s="302"/>
      <c r="G44" s="302"/>
      <c r="H44" s="302"/>
      <c r="I44" s="302"/>
      <c r="J44" s="302"/>
      <c r="K44" s="302"/>
      <c r="L44" s="302"/>
      <c r="M44" s="302"/>
      <c r="N44" s="302"/>
      <c r="O44" s="302"/>
      <c r="P44" s="302"/>
      <c r="Q44" s="302"/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2"/>
      <c r="AG44" s="302"/>
      <c r="AH44" s="302"/>
      <c r="AI44" s="53"/>
      <c r="AJ44" s="302"/>
      <c r="AK44" s="302"/>
      <c r="AL44" s="302"/>
      <c r="AM44" s="302"/>
      <c r="AN44" s="302"/>
      <c r="AO44" s="302"/>
      <c r="AP44" s="302"/>
      <c r="AQ44" s="302"/>
      <c r="AR44" s="302"/>
      <c r="AS44" s="302"/>
      <c r="AT44" s="302"/>
      <c r="AU44" s="302"/>
      <c r="AV44" s="302"/>
      <c r="AW44" s="302"/>
      <c r="AX44" s="302"/>
      <c r="AY44" s="302"/>
      <c r="AZ44" s="302"/>
      <c r="BA44" s="302"/>
      <c r="BB44" s="302"/>
      <c r="BC44" s="302"/>
      <c r="BD44" s="302"/>
      <c r="BE44" s="302"/>
      <c r="BF44" s="302"/>
      <c r="BG44" s="302"/>
      <c r="BH44" s="302"/>
      <c r="BI44" s="302"/>
      <c r="BJ44" s="302"/>
      <c r="BK44" s="302"/>
      <c r="BL44" s="302"/>
      <c r="BM44" s="302"/>
      <c r="BN44" s="302"/>
      <c r="BO44" s="302"/>
      <c r="BP44" s="46"/>
      <c r="BQ44" s="302"/>
      <c r="BR44" s="302"/>
      <c r="BS44" s="302"/>
      <c r="BT44" s="302"/>
      <c r="BU44" s="302"/>
      <c r="BV44" s="302"/>
      <c r="BW44" s="302"/>
      <c r="BX44" s="302"/>
      <c r="BY44" s="302"/>
      <c r="BZ44" s="302"/>
      <c r="CA44" s="302"/>
      <c r="CB44" s="302"/>
      <c r="CC44" s="302"/>
      <c r="CD44" s="302"/>
      <c r="CE44" s="302"/>
      <c r="CF44" s="302"/>
      <c r="CG44" s="302"/>
      <c r="CH44" s="302"/>
      <c r="CI44" s="302"/>
      <c r="CJ44" s="302"/>
      <c r="CK44" s="302"/>
      <c r="CL44" s="302"/>
      <c r="CM44" s="302"/>
      <c r="CN44" s="302"/>
      <c r="CO44" s="302"/>
      <c r="CP44" s="302"/>
      <c r="CQ44" s="302"/>
      <c r="CR44" s="302"/>
      <c r="CS44" s="302"/>
      <c r="CT44" s="302"/>
      <c r="CU44" s="302"/>
      <c r="CV44" s="302"/>
      <c r="CW44" s="46"/>
      <c r="CX44" s="302"/>
      <c r="CY44" s="302"/>
      <c r="CZ44" s="302"/>
      <c r="DA44" s="302"/>
      <c r="DB44" s="302"/>
      <c r="DC44" s="302"/>
      <c r="DD44" s="302"/>
      <c r="DE44" s="302"/>
      <c r="DF44" s="302"/>
      <c r="DG44" s="302"/>
      <c r="DH44" s="302"/>
      <c r="DI44" s="302"/>
      <c r="DJ44" s="302"/>
      <c r="DK44" s="302"/>
      <c r="DL44" s="302"/>
      <c r="DM44" s="302"/>
      <c r="DN44" s="302"/>
      <c r="DO44" s="302"/>
      <c r="DP44" s="302"/>
      <c r="DQ44" s="302"/>
      <c r="DR44" s="302"/>
      <c r="DS44" s="302"/>
      <c r="DT44" s="302"/>
      <c r="DU44" s="302"/>
      <c r="DV44" s="302"/>
      <c r="DW44" s="302"/>
      <c r="DX44" s="302"/>
      <c r="DY44" s="302"/>
      <c r="DZ44" s="302"/>
      <c r="EA44" s="302"/>
      <c r="EB44" s="302"/>
      <c r="EC44" s="302"/>
      <c r="ED44" s="46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46"/>
      <c r="FL44" s="46"/>
      <c r="FM44" s="46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46"/>
      <c r="GU44" s="46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46"/>
      <c r="IC44" s="46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/>
      <c r="JG44" s="3"/>
      <c r="JH44" s="3"/>
      <c r="JI44" s="3"/>
      <c r="JJ44" s="46"/>
      <c r="JK44" s="46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11"/>
      <c r="KR44" s="46"/>
      <c r="KS44" s="46"/>
      <c r="KT44" s="46"/>
      <c r="KU44" s="46"/>
      <c r="KV44" s="46"/>
      <c r="KW44" s="46"/>
      <c r="KX44" s="46"/>
      <c r="KY44" s="46"/>
      <c r="KZ44" s="46"/>
      <c r="LA44" s="46"/>
      <c r="LB44" s="46"/>
      <c r="LC44" s="46"/>
      <c r="LD44" s="46"/>
      <c r="LE44" s="46"/>
      <c r="LF44" s="46"/>
      <c r="LG44" s="46"/>
      <c r="LH44" s="46"/>
      <c r="LI44" s="46"/>
      <c r="LJ44" s="46"/>
      <c r="LK44" s="46"/>
      <c r="LL44" s="46"/>
      <c r="LM44" s="46"/>
      <c r="LN44" s="46"/>
      <c r="LO44" s="46"/>
      <c r="LP44" s="46"/>
      <c r="LQ44" s="46"/>
      <c r="LR44" s="46"/>
      <c r="LS44" s="46"/>
      <c r="LT44" s="46"/>
      <c r="LU44" s="46"/>
      <c r="LV44" s="46"/>
      <c r="LW44" s="46"/>
      <c r="LX44" s="46"/>
      <c r="LY44" s="46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46"/>
      <c r="NI44" s="46"/>
      <c r="NJ44" s="142"/>
      <c r="NK44" s="46"/>
      <c r="NL44" s="46"/>
      <c r="NM44" s="46"/>
      <c r="NN44" s="46"/>
      <c r="NO44" s="46"/>
      <c r="NP44" s="46"/>
      <c r="NQ44" s="46"/>
      <c r="NR44" s="46"/>
      <c r="NS44" s="46"/>
      <c r="NT44" s="46"/>
      <c r="NU44" s="46"/>
      <c r="NV44" s="46"/>
      <c r="NW44" s="46"/>
      <c r="NX44" s="46"/>
      <c r="NY44" s="46"/>
      <c r="NZ44" s="46"/>
      <c r="OA44" s="46"/>
      <c r="OB44" s="46"/>
      <c r="OC44" s="46"/>
      <c r="OD44" s="46"/>
      <c r="OE44" s="46"/>
      <c r="OF44" s="46"/>
      <c r="OG44" s="46"/>
      <c r="OH44" s="46"/>
      <c r="OI44" s="46"/>
      <c r="OJ44" s="46"/>
      <c r="OK44" s="46"/>
      <c r="OL44" s="46"/>
      <c r="OM44" s="46"/>
      <c r="ON44" s="46"/>
      <c r="OO44" s="46"/>
      <c r="OP44" s="46"/>
      <c r="OQ44" s="46"/>
      <c r="OR44" s="46"/>
      <c r="OS44" s="144"/>
      <c r="OT44" s="144"/>
      <c r="OU44" s="144"/>
      <c r="OV44" s="144"/>
      <c r="OW44" s="144"/>
      <c r="OX44" s="144"/>
      <c r="OY44" s="144"/>
      <c r="OZ44" s="144"/>
      <c r="PA44" s="144"/>
      <c r="PB44" s="144"/>
      <c r="PC44" s="144"/>
      <c r="PD44" s="144"/>
      <c r="PE44" s="144"/>
      <c r="PF44" s="144"/>
      <c r="PG44" s="144"/>
      <c r="PH44" s="144"/>
      <c r="PI44" s="144"/>
      <c r="PJ44" s="144"/>
      <c r="PK44" s="144"/>
      <c r="PL44" s="144"/>
      <c r="PM44" s="144"/>
      <c r="PN44" s="144"/>
      <c r="PO44" s="144"/>
      <c r="PP44" s="144"/>
      <c r="PQ44" s="144"/>
      <c r="PR44" s="144"/>
      <c r="PS44" s="144"/>
      <c r="PT44" s="146"/>
      <c r="PU44" s="95" t="s">
        <v>202</v>
      </c>
      <c r="PV44" s="95">
        <v>0</v>
      </c>
      <c r="PW44" s="175"/>
      <c r="PX44" s="175"/>
      <c r="PY44" s="175"/>
      <c r="PZ44" s="175"/>
      <c r="QA44" s="175"/>
      <c r="QB44" s="175"/>
      <c r="QC44" s="175"/>
      <c r="QD44" s="175"/>
      <c r="QE44" s="175"/>
      <c r="QF44" s="177"/>
      <c r="QG44" s="177" t="e">
        <f>QE44-#REF!</f>
        <v>#REF!</v>
      </c>
      <c r="QH44" s="170"/>
      <c r="QI44" s="171"/>
      <c r="QJ44" s="171">
        <f t="shared" si="457"/>
        <v>0</v>
      </c>
      <c r="QK44" s="174">
        <f t="shared" si="458"/>
        <v>0</v>
      </c>
      <c r="QL44" s="171">
        <f>PV44*3306*31</f>
        <v>0</v>
      </c>
      <c r="QM44" s="207" t="e">
        <f t="shared" si="459"/>
        <v>#REF!</v>
      </c>
      <c r="QN44" s="207"/>
      <c r="QO44" s="207"/>
      <c r="QP44" s="281"/>
      <c r="QQ44" s="197" t="e">
        <f>QG44/(QJ44+QK44+QL44+#REF!)</f>
        <v>#REF!</v>
      </c>
      <c r="QR44" s="199"/>
      <c r="QS44" s="144"/>
      <c r="QT44" s="144"/>
      <c r="QU44" s="95" t="s">
        <v>202</v>
      </c>
      <c r="QV44" s="95">
        <v>1</v>
      </c>
      <c r="QW44" s="175"/>
      <c r="QX44" s="175"/>
      <c r="QY44" s="175"/>
      <c r="QZ44" s="175">
        <v>227</v>
      </c>
      <c r="RA44" s="175">
        <v>94689</v>
      </c>
      <c r="RB44" s="202">
        <v>88816</v>
      </c>
      <c r="RC44" s="177"/>
      <c r="RD44" s="177">
        <f t="shared" si="460"/>
        <v>5873</v>
      </c>
      <c r="RE44" s="170"/>
      <c r="RF44" s="171">
        <v>18763.32</v>
      </c>
      <c r="RG44" s="171">
        <f t="shared" si="461"/>
        <v>3314.115</v>
      </c>
      <c r="RH44" s="174">
        <f t="shared" si="462"/>
        <v>1876.332</v>
      </c>
      <c r="RI44" s="171">
        <f>QV44*3306*31</f>
        <v>102486</v>
      </c>
      <c r="RJ44" s="207">
        <f t="shared" si="463"/>
        <v>-101803.447</v>
      </c>
      <c r="RK44" s="281"/>
      <c r="RL44" s="281"/>
      <c r="RM44" s="197" t="e">
        <f>RD44/(RG44+RH44+RI44+#REF!)</f>
        <v>#REF!</v>
      </c>
      <c r="RN44" s="199" t="s">
        <v>118</v>
      </c>
      <c r="RO44" s="144"/>
      <c r="RP44" s="144"/>
      <c r="RQ44" s="95" t="s">
        <v>202</v>
      </c>
      <c r="RR44" s="95">
        <v>1</v>
      </c>
      <c r="RS44" s="175"/>
      <c r="RT44" s="175"/>
      <c r="RU44" s="175"/>
      <c r="RV44" s="175">
        <v>208</v>
      </c>
      <c r="RW44" s="175">
        <v>52651</v>
      </c>
      <c r="RX44" s="202">
        <v>44800</v>
      </c>
      <c r="RY44" s="177">
        <f t="shared" si="464"/>
        <v>7851</v>
      </c>
      <c r="RZ44" s="170"/>
      <c r="SA44" s="170">
        <v>131</v>
      </c>
      <c r="SB44" s="171">
        <v>20747.58</v>
      </c>
      <c r="SC44" s="171">
        <f t="shared" si="465"/>
        <v>1842.785</v>
      </c>
      <c r="SD44" s="174">
        <f t="shared" si="466"/>
        <v>2074.758</v>
      </c>
      <c r="SE44" s="171">
        <f>RR44*3306*30</f>
        <v>99180</v>
      </c>
      <c r="SF44" s="207">
        <f t="shared" si="467"/>
        <v>-95246.543</v>
      </c>
      <c r="SG44" s="281"/>
      <c r="SH44" s="281"/>
      <c r="SI44" s="197">
        <f t="shared" si="468"/>
        <v>0.0760545462702113</v>
      </c>
      <c r="SJ44" s="199" t="s">
        <v>118</v>
      </c>
      <c r="SK44" s="157"/>
      <c r="SL44" s="144"/>
      <c r="SM44" s="95" t="s">
        <v>202</v>
      </c>
      <c r="SN44" s="95">
        <v>1</v>
      </c>
      <c r="SO44" s="175"/>
      <c r="SP44" s="175"/>
      <c r="SQ44" s="175"/>
      <c r="SR44" s="175">
        <v>422</v>
      </c>
      <c r="SS44" s="175">
        <v>154485</v>
      </c>
      <c r="ST44" s="202">
        <v>144768</v>
      </c>
      <c r="SU44" s="177">
        <f t="shared" si="469"/>
        <v>9717</v>
      </c>
      <c r="SV44" s="170"/>
      <c r="SW44" s="170">
        <v>11088</v>
      </c>
      <c r="SX44" s="171">
        <v>59293.99</v>
      </c>
      <c r="SY44" s="171">
        <f t="shared" si="470"/>
        <v>5406.975</v>
      </c>
      <c r="SZ44" s="174">
        <f t="shared" si="471"/>
        <v>5929.399</v>
      </c>
      <c r="TA44" s="171">
        <f t="shared" si="472"/>
        <v>124000</v>
      </c>
      <c r="TB44" s="207">
        <f t="shared" si="473"/>
        <v>-125619.374</v>
      </c>
      <c r="TC44" s="281"/>
      <c r="TD44" s="281"/>
      <c r="TE44" s="197">
        <f t="shared" si="474"/>
        <v>0.0663619022882078</v>
      </c>
      <c r="TF44" s="199" t="s">
        <v>118</v>
      </c>
      <c r="TG44" s="156"/>
      <c r="TH44" s="95" t="s">
        <v>202</v>
      </c>
      <c r="TI44" s="95">
        <v>1</v>
      </c>
      <c r="TJ44" s="95"/>
      <c r="TK44" s="95"/>
      <c r="TL44" s="175"/>
      <c r="TM44" s="175">
        <v>639</v>
      </c>
      <c r="TN44" s="175">
        <v>189546</v>
      </c>
      <c r="TO44" s="175">
        <v>236818</v>
      </c>
      <c r="TP44" s="175">
        <f t="shared" si="475"/>
        <v>-47272</v>
      </c>
      <c r="TQ44" s="178">
        <v>30240</v>
      </c>
      <c r="TR44" s="178">
        <v>37492</v>
      </c>
      <c r="TS44" s="170">
        <v>38207.03</v>
      </c>
      <c r="TT44" s="170">
        <f t="shared" si="476"/>
        <v>7581.84</v>
      </c>
      <c r="TU44" s="174">
        <f t="shared" si="477"/>
        <v>3820.703</v>
      </c>
      <c r="TV44" s="170">
        <f t="shared" si="478"/>
        <v>112000</v>
      </c>
      <c r="TW44" s="203">
        <f t="shared" si="479"/>
        <v>-170674.543</v>
      </c>
      <c r="TX44" s="283"/>
      <c r="TY44" s="283"/>
      <c r="TZ44" s="102">
        <f t="shared" si="448"/>
        <v>-0.383071522278111</v>
      </c>
      <c r="UA44" s="199" t="s">
        <v>118</v>
      </c>
      <c r="UB44" s="144"/>
      <c r="UC44" s="144"/>
      <c r="UD44" s="95" t="s">
        <v>202</v>
      </c>
      <c r="UE44" s="95">
        <v>1</v>
      </c>
      <c r="UF44" s="175"/>
      <c r="UG44" s="175"/>
      <c r="UH44" s="175"/>
      <c r="UI44" s="175">
        <v>363</v>
      </c>
      <c r="UJ44" s="175">
        <v>111620</v>
      </c>
      <c r="UK44" s="175">
        <v>99755</v>
      </c>
      <c r="UL44" s="175">
        <f t="shared" si="480"/>
        <v>11865</v>
      </c>
      <c r="UM44" s="170">
        <v>11435</v>
      </c>
      <c r="UN44" s="170">
        <v>13911</v>
      </c>
      <c r="UO44" s="170">
        <v>41700.05</v>
      </c>
      <c r="UP44" s="170">
        <f t="shared" si="481"/>
        <v>4464.8</v>
      </c>
      <c r="UQ44" s="174">
        <f t="shared" si="482"/>
        <v>4170.005</v>
      </c>
      <c r="UR44" s="170">
        <f t="shared" ref="UR44:UR46" si="490">UE44*4000*31</f>
        <v>124000</v>
      </c>
      <c r="US44" s="203">
        <f t="shared" si="483"/>
        <v>-120769.805</v>
      </c>
      <c r="UT44" s="283"/>
      <c r="UU44" s="283"/>
      <c r="UV44" s="102">
        <f t="shared" si="484"/>
        <v>0.0809644465769593</v>
      </c>
      <c r="UW44" s="199" t="s">
        <v>118</v>
      </c>
      <c r="UX44" s="144"/>
      <c r="UY44" s="144"/>
      <c r="UZ44" s="95" t="s">
        <v>202</v>
      </c>
      <c r="VA44" s="95">
        <v>1</v>
      </c>
      <c r="VB44" s="202"/>
      <c r="VC44" s="202"/>
      <c r="VD44" s="202"/>
      <c r="VE44" s="202">
        <v>4</v>
      </c>
      <c r="VF44" s="202">
        <v>600</v>
      </c>
      <c r="VG44" s="175">
        <v>1500</v>
      </c>
      <c r="VH44" s="175">
        <f t="shared" si="485"/>
        <v>-900</v>
      </c>
      <c r="VI44" s="178">
        <v>0</v>
      </c>
      <c r="VJ44" s="178">
        <v>0</v>
      </c>
      <c r="VK44" s="203">
        <v>-888.35</v>
      </c>
      <c r="VL44" s="178">
        <f t="shared" si="486"/>
        <v>24</v>
      </c>
      <c r="VM44" s="178">
        <v>0</v>
      </c>
      <c r="VN44" s="170">
        <f>VA44*4000*3</f>
        <v>12000</v>
      </c>
      <c r="VO44" s="178">
        <f t="shared" si="488"/>
        <v>-888.35</v>
      </c>
      <c r="VP44" s="283"/>
      <c r="VQ44" s="283"/>
      <c r="VR44" s="102">
        <f t="shared" si="489"/>
        <v>-0.0748502994011976</v>
      </c>
      <c r="VS44" s="84" t="s">
        <v>203</v>
      </c>
      <c r="VT44" s="46"/>
      <c r="VU44" s="46"/>
    </row>
    <row r="45" ht="15.75" hidden="1" spans="1:1024 1025:16384">
      <c r="A45" s="46"/>
      <c r="B45" s="46"/>
      <c r="C45" s="302"/>
      <c r="D45" s="302"/>
      <c r="E45" s="302"/>
      <c r="F45" s="302"/>
      <c r="G45" s="302"/>
      <c r="H45" s="302"/>
      <c r="I45" s="302"/>
      <c r="J45" s="302"/>
      <c r="K45" s="302"/>
      <c r="L45" s="302"/>
      <c r="M45" s="302"/>
      <c r="N45" s="302"/>
      <c r="O45" s="302"/>
      <c r="P45" s="302"/>
      <c r="Q45" s="302"/>
      <c r="R45" s="302"/>
      <c r="S45" s="302"/>
      <c r="T45" s="302"/>
      <c r="U45" s="302"/>
      <c r="V45" s="302"/>
      <c r="W45" s="302"/>
      <c r="X45" s="302"/>
      <c r="Y45" s="302"/>
      <c r="Z45" s="302"/>
      <c r="AA45" s="302"/>
      <c r="AB45" s="302"/>
      <c r="AC45" s="302"/>
      <c r="AD45" s="302"/>
      <c r="AE45" s="302"/>
      <c r="AF45" s="302"/>
      <c r="AG45" s="302"/>
      <c r="AH45" s="302"/>
      <c r="AI45" s="53"/>
      <c r="AJ45" s="302"/>
      <c r="AK45" s="302"/>
      <c r="AL45" s="302"/>
      <c r="AM45" s="302"/>
      <c r="AN45" s="302"/>
      <c r="AO45" s="302"/>
      <c r="AP45" s="302"/>
      <c r="AQ45" s="302"/>
      <c r="AR45" s="302"/>
      <c r="AS45" s="302"/>
      <c r="AT45" s="302"/>
      <c r="AU45" s="302"/>
      <c r="AV45" s="302"/>
      <c r="AW45" s="302"/>
      <c r="AX45" s="302"/>
      <c r="AY45" s="302"/>
      <c r="AZ45" s="302"/>
      <c r="BA45" s="302"/>
      <c r="BB45" s="302"/>
      <c r="BC45" s="302"/>
      <c r="BD45" s="302"/>
      <c r="BE45" s="302"/>
      <c r="BF45" s="302"/>
      <c r="BG45" s="302"/>
      <c r="BH45" s="302"/>
      <c r="BI45" s="302"/>
      <c r="BJ45" s="302"/>
      <c r="BK45" s="302"/>
      <c r="BL45" s="302"/>
      <c r="BM45" s="302"/>
      <c r="BN45" s="302"/>
      <c r="BO45" s="302"/>
      <c r="BP45" s="46"/>
      <c r="BQ45" s="302"/>
      <c r="BR45" s="302"/>
      <c r="BS45" s="302"/>
      <c r="BT45" s="302"/>
      <c r="BU45" s="302"/>
      <c r="BV45" s="302"/>
      <c r="BW45" s="302"/>
      <c r="BX45" s="302"/>
      <c r="BY45" s="302"/>
      <c r="BZ45" s="302"/>
      <c r="CA45" s="302"/>
      <c r="CB45" s="302"/>
      <c r="CC45" s="302"/>
      <c r="CD45" s="302"/>
      <c r="CE45" s="302"/>
      <c r="CF45" s="302"/>
      <c r="CG45" s="302"/>
      <c r="CH45" s="302"/>
      <c r="CI45" s="302"/>
      <c r="CJ45" s="302"/>
      <c r="CK45" s="302"/>
      <c r="CL45" s="302"/>
      <c r="CM45" s="302"/>
      <c r="CN45" s="302"/>
      <c r="CO45" s="302"/>
      <c r="CP45" s="302"/>
      <c r="CQ45" s="302"/>
      <c r="CR45" s="302"/>
      <c r="CS45" s="302"/>
      <c r="CT45" s="302"/>
      <c r="CU45" s="302"/>
      <c r="CV45" s="302"/>
      <c r="CW45" s="46"/>
      <c r="CX45" s="302"/>
      <c r="CY45" s="302"/>
      <c r="CZ45" s="302"/>
      <c r="DA45" s="302"/>
      <c r="DB45" s="302"/>
      <c r="DC45" s="302"/>
      <c r="DD45" s="302"/>
      <c r="DE45" s="302"/>
      <c r="DF45" s="302"/>
      <c r="DG45" s="302"/>
      <c r="DH45" s="302"/>
      <c r="DI45" s="302"/>
      <c r="DJ45" s="302"/>
      <c r="DK45" s="302"/>
      <c r="DL45" s="302"/>
      <c r="DM45" s="302"/>
      <c r="DN45" s="302"/>
      <c r="DO45" s="302"/>
      <c r="DP45" s="302"/>
      <c r="DQ45" s="302"/>
      <c r="DR45" s="302"/>
      <c r="DS45" s="302"/>
      <c r="DT45" s="302"/>
      <c r="DU45" s="302"/>
      <c r="DV45" s="302"/>
      <c r="DW45" s="302"/>
      <c r="DX45" s="302"/>
      <c r="DY45" s="302"/>
      <c r="DZ45" s="302"/>
      <c r="EA45" s="302"/>
      <c r="EB45" s="302"/>
      <c r="EC45" s="302"/>
      <c r="ED45" s="46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46"/>
      <c r="FL45" s="46"/>
      <c r="FM45" s="46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46"/>
      <c r="GU45" s="46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46"/>
      <c r="IC45" s="46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/>
      <c r="JG45" s="3"/>
      <c r="JH45" s="3"/>
      <c r="JI45" s="3"/>
      <c r="JJ45" s="46"/>
      <c r="JK45" s="46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11"/>
      <c r="KR45" s="46"/>
      <c r="KS45" s="46"/>
      <c r="KT45" s="46"/>
      <c r="KU45" s="46"/>
      <c r="KV45" s="46"/>
      <c r="KW45" s="46"/>
      <c r="KX45" s="46"/>
      <c r="KY45" s="46"/>
      <c r="KZ45" s="46"/>
      <c r="LA45" s="46"/>
      <c r="LB45" s="46"/>
      <c r="LC45" s="46"/>
      <c r="LD45" s="46"/>
      <c r="LE45" s="46"/>
      <c r="LF45" s="46"/>
      <c r="LG45" s="46"/>
      <c r="LH45" s="46"/>
      <c r="LI45" s="46"/>
      <c r="LJ45" s="46"/>
      <c r="LK45" s="46"/>
      <c r="LL45" s="46"/>
      <c r="LM45" s="46"/>
      <c r="LN45" s="46"/>
      <c r="LO45" s="46"/>
      <c r="LP45" s="46"/>
      <c r="LQ45" s="46"/>
      <c r="LR45" s="46"/>
      <c r="LS45" s="46"/>
      <c r="LT45" s="46"/>
      <c r="LU45" s="46"/>
      <c r="LV45" s="46"/>
      <c r="LW45" s="46"/>
      <c r="LX45" s="46"/>
      <c r="LY45" s="46"/>
      <c r="ME45" s="11"/>
      <c r="MF45" s="11"/>
      <c r="MG45" s="11"/>
      <c r="MH45" s="11"/>
      <c r="MI45" s="11"/>
      <c r="MJ45" s="11"/>
      <c r="MK45" s="11"/>
      <c r="ML45" s="11"/>
      <c r="MM45" s="11"/>
      <c r="MN45" s="11"/>
      <c r="MO45" s="11"/>
      <c r="MP45" s="11"/>
      <c r="MQ45" s="11"/>
      <c r="MR45" s="11"/>
      <c r="MS45" s="11"/>
      <c r="MT45" s="11"/>
      <c r="MU45" s="11"/>
      <c r="MV45" s="11"/>
      <c r="MW45" s="11"/>
      <c r="MX45" s="11"/>
      <c r="MY45" s="11"/>
      <c r="MZ45" s="11"/>
      <c r="NA45" s="11"/>
      <c r="NB45" s="11"/>
      <c r="NC45" s="11"/>
      <c r="ND45" s="11"/>
      <c r="NE45" s="11"/>
      <c r="NF45" s="11"/>
      <c r="NG45" s="11"/>
      <c r="NH45" s="46"/>
      <c r="NI45" s="46"/>
      <c r="NJ45" s="142"/>
      <c r="NK45" s="46"/>
      <c r="NL45" s="46"/>
      <c r="NM45" s="46"/>
      <c r="NN45" s="46"/>
      <c r="NO45" s="46"/>
      <c r="NP45" s="46"/>
      <c r="NQ45" s="46"/>
      <c r="NR45" s="46"/>
      <c r="NS45" s="46"/>
      <c r="NT45" s="46"/>
      <c r="NU45" s="46"/>
      <c r="NV45" s="46"/>
      <c r="NW45" s="46"/>
      <c r="NX45" s="46"/>
      <c r="NY45" s="46"/>
      <c r="NZ45" s="46"/>
      <c r="OA45" s="46"/>
      <c r="OB45" s="46"/>
      <c r="OC45" s="46"/>
      <c r="OD45" s="46"/>
      <c r="OE45" s="46"/>
      <c r="OF45" s="46"/>
      <c r="OG45" s="46"/>
      <c r="OH45" s="46"/>
      <c r="OI45" s="46"/>
      <c r="OJ45" s="46"/>
      <c r="OK45" s="46"/>
      <c r="OL45" s="46"/>
      <c r="OM45" s="46"/>
      <c r="ON45" s="46"/>
      <c r="OO45" s="46"/>
      <c r="OP45" s="46"/>
      <c r="OQ45" s="46"/>
      <c r="OR45" s="46"/>
      <c r="OS45" s="144"/>
      <c r="OT45" s="144"/>
      <c r="OU45" s="144"/>
      <c r="OV45" s="144"/>
      <c r="OW45" s="144"/>
      <c r="OX45" s="144"/>
      <c r="OY45" s="144"/>
      <c r="OZ45" s="144"/>
      <c r="PA45" s="144"/>
      <c r="PB45" s="144"/>
      <c r="PC45" s="144"/>
      <c r="PD45" s="144"/>
      <c r="PE45" s="144"/>
      <c r="PF45" s="144"/>
      <c r="PG45" s="144"/>
      <c r="PH45" s="144"/>
      <c r="PI45" s="144"/>
      <c r="PJ45" s="144"/>
      <c r="PK45" s="144"/>
      <c r="PL45" s="144"/>
      <c r="PM45" s="144"/>
      <c r="PN45" s="144"/>
      <c r="PO45" s="144"/>
      <c r="PP45" s="144"/>
      <c r="PQ45" s="144"/>
      <c r="PR45" s="144"/>
      <c r="PS45" s="144"/>
      <c r="PT45" s="146"/>
      <c r="PU45" s="95" t="s">
        <v>204</v>
      </c>
      <c r="PV45" s="95">
        <v>0</v>
      </c>
      <c r="PW45" s="175"/>
      <c r="PX45" s="175">
        <v>1127</v>
      </c>
      <c r="PY45" s="175">
        <v>549</v>
      </c>
      <c r="PZ45" s="175"/>
      <c r="QA45" s="175">
        <v>80524</v>
      </c>
      <c r="QB45" s="175"/>
      <c r="QC45" s="175">
        <v>2316</v>
      </c>
      <c r="QD45" s="175"/>
      <c r="QE45" s="175">
        <v>1269575</v>
      </c>
      <c r="QF45" s="177"/>
      <c r="QG45" s="177" t="e">
        <f>QE45-#REF!</f>
        <v>#REF!</v>
      </c>
      <c r="QH45" s="178">
        <v>51610</v>
      </c>
      <c r="QI45" s="174">
        <v>138611.53</v>
      </c>
      <c r="QJ45" s="171">
        <f t="shared" si="457"/>
        <v>44435.125</v>
      </c>
      <c r="QK45" s="174">
        <f t="shared" si="458"/>
        <v>13861.153</v>
      </c>
      <c r="QL45" s="171">
        <f>PV45*3306*21</f>
        <v>0</v>
      </c>
      <c r="QM45" s="207" t="e">
        <f t="shared" si="459"/>
        <v>#REF!</v>
      </c>
      <c r="QN45" s="207"/>
      <c r="QO45" s="195">
        <f>QE45/QC45</f>
        <v>548.17573402418</v>
      </c>
      <c r="QP45" s="196">
        <f>QA45/QH45</f>
        <v>1.56024026351482</v>
      </c>
      <c r="QQ45" s="197" t="e">
        <f>QG45/(QJ45+QK45+QL45+#REF!)</f>
        <v>#REF!</v>
      </c>
      <c r="QR45" s="206" t="s">
        <v>134</v>
      </c>
      <c r="QS45" s="144"/>
      <c r="QT45" s="144"/>
      <c r="QU45" s="95" t="s">
        <v>204</v>
      </c>
      <c r="QV45" s="95">
        <v>2</v>
      </c>
      <c r="QW45" s="175">
        <v>1882</v>
      </c>
      <c r="QX45" s="175">
        <v>779</v>
      </c>
      <c r="QY45" s="175"/>
      <c r="QZ45" s="175">
        <v>3259</v>
      </c>
      <c r="RA45" s="175">
        <v>1786497</v>
      </c>
      <c r="RB45" s="175">
        <v>1794726</v>
      </c>
      <c r="RC45" s="177"/>
      <c r="RD45" s="177">
        <f t="shared" si="460"/>
        <v>-8229</v>
      </c>
      <c r="RE45" s="178">
        <v>40540</v>
      </c>
      <c r="RF45" s="174">
        <v>417193.15</v>
      </c>
      <c r="RG45" s="171">
        <f t="shared" si="461"/>
        <v>62527.395</v>
      </c>
      <c r="RH45" s="174">
        <f t="shared" si="462"/>
        <v>41719.315</v>
      </c>
      <c r="RI45" s="171">
        <f>QV45*3306*31</f>
        <v>204972</v>
      </c>
      <c r="RJ45" s="207">
        <f t="shared" si="463"/>
        <v>-317447.71</v>
      </c>
      <c r="RK45" s="317"/>
      <c r="RL45" s="317">
        <f>QY45/RE45</f>
        <v>0</v>
      </c>
      <c r="RM45" s="197" t="e">
        <f>RD45/(RG45+RH45+RI45+#REF!)</f>
        <v>#REF!</v>
      </c>
      <c r="RN45" s="199" t="s">
        <v>118</v>
      </c>
      <c r="RO45" s="144"/>
      <c r="RP45" s="144"/>
      <c r="RQ45" s="95" t="s">
        <v>204</v>
      </c>
      <c r="RR45" s="95">
        <v>2</v>
      </c>
      <c r="RS45" s="175">
        <v>3144</v>
      </c>
      <c r="RT45" s="175">
        <v>757</v>
      </c>
      <c r="RU45" s="175"/>
      <c r="RV45" s="175">
        <v>2697</v>
      </c>
      <c r="RW45" s="175">
        <v>1004162</v>
      </c>
      <c r="RX45" s="175">
        <v>959321</v>
      </c>
      <c r="RY45" s="177">
        <f t="shared" si="464"/>
        <v>44841</v>
      </c>
      <c r="RZ45" s="178">
        <v>48120</v>
      </c>
      <c r="SA45" s="178">
        <v>59178</v>
      </c>
      <c r="SB45" s="174">
        <v>221668.34</v>
      </c>
      <c r="SC45" s="171">
        <f t="shared" si="465"/>
        <v>35145.67</v>
      </c>
      <c r="SD45" s="174">
        <f t="shared" si="466"/>
        <v>22166.834</v>
      </c>
      <c r="SE45" s="171">
        <f>RR45*3306*30</f>
        <v>198360</v>
      </c>
      <c r="SF45" s="207">
        <f t="shared" si="467"/>
        <v>-210831.504</v>
      </c>
      <c r="SG45" s="317"/>
      <c r="SH45" s="317">
        <f>RU45/RZ45</f>
        <v>0</v>
      </c>
      <c r="SI45" s="197">
        <f t="shared" si="468"/>
        <v>0.142419972114766</v>
      </c>
      <c r="SJ45" s="199" t="s">
        <v>118</v>
      </c>
      <c r="SK45" s="157"/>
      <c r="SL45" s="144"/>
      <c r="SM45" s="95" t="s">
        <v>204</v>
      </c>
      <c r="SN45" s="95">
        <v>3</v>
      </c>
      <c r="SO45" s="175">
        <v>4860</v>
      </c>
      <c r="SP45" s="175">
        <v>1601</v>
      </c>
      <c r="SQ45" s="175"/>
      <c r="SR45" s="175">
        <v>4362</v>
      </c>
      <c r="SS45" s="175">
        <v>3668704</v>
      </c>
      <c r="ST45" s="175">
        <v>3293995</v>
      </c>
      <c r="SU45" s="177">
        <f t="shared" si="469"/>
        <v>374709</v>
      </c>
      <c r="SV45" s="178">
        <v>164806</v>
      </c>
      <c r="SW45" s="178">
        <v>206831</v>
      </c>
      <c r="SX45" s="174">
        <v>917400.18</v>
      </c>
      <c r="SY45" s="171">
        <f t="shared" si="470"/>
        <v>128404.64</v>
      </c>
      <c r="SZ45" s="174">
        <f t="shared" si="471"/>
        <v>91740.018</v>
      </c>
      <c r="TA45" s="171">
        <f t="shared" si="472"/>
        <v>372000</v>
      </c>
      <c r="TB45" s="207">
        <f t="shared" si="473"/>
        <v>-217435.658</v>
      </c>
      <c r="TC45" s="317"/>
      <c r="TD45" s="317">
        <f>SQ45/SV45</f>
        <v>0</v>
      </c>
      <c r="TE45" s="197">
        <f t="shared" si="474"/>
        <v>0.468986753536364</v>
      </c>
      <c r="TF45" s="199" t="s">
        <v>118</v>
      </c>
      <c r="TG45" s="156"/>
      <c r="TH45" s="95" t="s">
        <v>204</v>
      </c>
      <c r="TI45" s="95">
        <v>3</v>
      </c>
      <c r="TJ45" s="95"/>
      <c r="TK45" s="95"/>
      <c r="TL45" s="175"/>
      <c r="TM45" s="175">
        <v>6811</v>
      </c>
      <c r="TN45" s="175">
        <v>4495940</v>
      </c>
      <c r="TO45" s="175">
        <v>5590981</v>
      </c>
      <c r="TP45" s="175">
        <f t="shared" si="475"/>
        <v>-1095041</v>
      </c>
      <c r="TQ45" s="178">
        <v>508885</v>
      </c>
      <c r="TR45" s="178">
        <v>875921</v>
      </c>
      <c r="TS45" s="178">
        <v>162348.82</v>
      </c>
      <c r="TT45" s="170">
        <f t="shared" si="476"/>
        <v>179837.6</v>
      </c>
      <c r="TU45" s="174">
        <f t="shared" si="477"/>
        <v>16234.882</v>
      </c>
      <c r="TV45" s="170">
        <f t="shared" si="478"/>
        <v>336000</v>
      </c>
      <c r="TW45" s="203">
        <f t="shared" si="479"/>
        <v>-1627113.482</v>
      </c>
      <c r="TX45" s="317"/>
      <c r="TY45" s="317">
        <f>TL45/TQ45</f>
        <v>0</v>
      </c>
      <c r="TZ45" s="102">
        <f t="shared" si="448"/>
        <v>-2.05806734429089</v>
      </c>
      <c r="UA45" s="199" t="s">
        <v>118</v>
      </c>
      <c r="UB45" s="144"/>
      <c r="UC45" s="144"/>
      <c r="UD45" s="95" t="s">
        <v>204</v>
      </c>
      <c r="UE45" s="95">
        <v>3</v>
      </c>
      <c r="UF45" s="175"/>
      <c r="UG45" s="175"/>
      <c r="UH45" s="175"/>
      <c r="UI45" s="175">
        <v>6879</v>
      </c>
      <c r="UJ45" s="175">
        <v>2043996</v>
      </c>
      <c r="UK45" s="175">
        <v>2193755</v>
      </c>
      <c r="UL45" s="175">
        <f t="shared" si="480"/>
        <v>-149759</v>
      </c>
      <c r="UM45" s="170">
        <v>330500</v>
      </c>
      <c r="UN45" s="170">
        <v>574283</v>
      </c>
      <c r="UO45" s="170">
        <v>716564.25</v>
      </c>
      <c r="UP45" s="170">
        <f t="shared" si="481"/>
        <v>81759.84</v>
      </c>
      <c r="UQ45" s="174">
        <f t="shared" si="482"/>
        <v>71656.425</v>
      </c>
      <c r="UR45" s="170">
        <f t="shared" si="490"/>
        <v>372000</v>
      </c>
      <c r="US45" s="203">
        <f t="shared" si="483"/>
        <v>-675175.265</v>
      </c>
      <c r="UT45" s="317"/>
      <c r="UU45" s="317">
        <f>UH45/UM45</f>
        <v>0</v>
      </c>
      <c r="UV45" s="102">
        <f t="shared" si="484"/>
        <v>-0.136181776933351</v>
      </c>
      <c r="UW45" s="199" t="s">
        <v>118</v>
      </c>
      <c r="UX45" s="144"/>
      <c r="UY45" s="144"/>
      <c r="UZ45" s="95" t="s">
        <v>204</v>
      </c>
      <c r="VA45" s="95">
        <v>3</v>
      </c>
      <c r="VB45" s="175"/>
      <c r="VC45" s="175"/>
      <c r="VD45" s="175"/>
      <c r="VE45" s="175">
        <v>163</v>
      </c>
      <c r="VF45" s="175">
        <v>26780</v>
      </c>
      <c r="VG45" s="175">
        <v>32008</v>
      </c>
      <c r="VH45" s="175">
        <f t="shared" si="485"/>
        <v>-5228</v>
      </c>
      <c r="VI45" s="178">
        <v>8100</v>
      </c>
      <c r="VJ45" s="178">
        <v>0</v>
      </c>
      <c r="VK45" s="170">
        <v>17596.55</v>
      </c>
      <c r="VL45" s="178">
        <f t="shared" si="486"/>
        <v>1071.2</v>
      </c>
      <c r="VM45" s="174">
        <f t="shared" si="487"/>
        <v>1759.655</v>
      </c>
      <c r="VN45" s="170">
        <f>VA45*4000*5</f>
        <v>60000</v>
      </c>
      <c r="VO45" s="178">
        <f>VH45-VL45-VM45-VN45</f>
        <v>-68058.855</v>
      </c>
      <c r="VP45" s="317"/>
      <c r="VQ45" s="317">
        <f>VD45/VI45</f>
        <v>0</v>
      </c>
      <c r="VR45" s="102">
        <f>VH45/(VL45+VM45+VN45)</f>
        <v>-0.0832075259838498</v>
      </c>
      <c r="VS45" s="84" t="s">
        <v>205</v>
      </c>
      <c r="VT45" s="46"/>
      <c r="VU45" s="46"/>
    </row>
    <row r="46" ht="15.75" hidden="1" spans="1:1024 1025:16384">
      <c r="A46" s="46"/>
      <c r="B46" s="46"/>
      <c r="C46" s="302"/>
      <c r="D46" s="302"/>
      <c r="E46" s="302"/>
      <c r="F46" s="302"/>
      <c r="G46" s="302"/>
      <c r="H46" s="302"/>
      <c r="I46" s="302"/>
      <c r="J46" s="302"/>
      <c r="K46" s="302"/>
      <c r="L46" s="302"/>
      <c r="M46" s="302"/>
      <c r="N46" s="302"/>
      <c r="O46" s="302"/>
      <c r="P46" s="302"/>
      <c r="Q46" s="302"/>
      <c r="R46" s="302"/>
      <c r="S46" s="302"/>
      <c r="T46" s="302"/>
      <c r="U46" s="302"/>
      <c r="V46" s="302"/>
      <c r="W46" s="302"/>
      <c r="X46" s="302"/>
      <c r="Y46" s="302"/>
      <c r="Z46" s="302"/>
      <c r="AA46" s="302"/>
      <c r="AB46" s="302"/>
      <c r="AC46" s="302"/>
      <c r="AD46" s="302"/>
      <c r="AE46" s="302"/>
      <c r="AF46" s="302"/>
      <c r="AG46" s="302"/>
      <c r="AH46" s="302"/>
      <c r="AI46" s="53"/>
      <c r="AJ46" s="302"/>
      <c r="AK46" s="302"/>
      <c r="AL46" s="302"/>
      <c r="AM46" s="302"/>
      <c r="AN46" s="302"/>
      <c r="AO46" s="302"/>
      <c r="AP46" s="302"/>
      <c r="AQ46" s="302"/>
      <c r="AR46" s="302"/>
      <c r="AS46" s="302"/>
      <c r="AT46" s="302"/>
      <c r="AU46" s="302"/>
      <c r="AV46" s="302"/>
      <c r="AW46" s="302"/>
      <c r="AX46" s="302"/>
      <c r="AY46" s="302"/>
      <c r="AZ46" s="302"/>
      <c r="BA46" s="302"/>
      <c r="BB46" s="302"/>
      <c r="BC46" s="302"/>
      <c r="BD46" s="302"/>
      <c r="BE46" s="302"/>
      <c r="BF46" s="302"/>
      <c r="BG46" s="302"/>
      <c r="BH46" s="302"/>
      <c r="BI46" s="302"/>
      <c r="BJ46" s="302"/>
      <c r="BK46" s="302"/>
      <c r="BL46" s="302"/>
      <c r="BM46" s="302"/>
      <c r="BN46" s="302"/>
      <c r="BO46" s="302"/>
      <c r="BP46" s="46"/>
      <c r="BQ46" s="302"/>
      <c r="BR46" s="302"/>
      <c r="BS46" s="302"/>
      <c r="BT46" s="302"/>
      <c r="BU46" s="302"/>
      <c r="BV46" s="302"/>
      <c r="BW46" s="302"/>
      <c r="BX46" s="302"/>
      <c r="BY46" s="302"/>
      <c r="BZ46" s="302"/>
      <c r="CA46" s="302"/>
      <c r="CB46" s="302"/>
      <c r="CC46" s="302"/>
      <c r="CD46" s="302"/>
      <c r="CE46" s="302"/>
      <c r="CF46" s="302"/>
      <c r="CG46" s="302"/>
      <c r="CH46" s="302"/>
      <c r="CI46" s="302"/>
      <c r="CJ46" s="302"/>
      <c r="CK46" s="302"/>
      <c r="CL46" s="302"/>
      <c r="CM46" s="302"/>
      <c r="CN46" s="302"/>
      <c r="CO46" s="302"/>
      <c r="CP46" s="302"/>
      <c r="CQ46" s="302"/>
      <c r="CR46" s="302"/>
      <c r="CS46" s="302"/>
      <c r="CT46" s="302"/>
      <c r="CU46" s="302"/>
      <c r="CV46" s="302"/>
      <c r="CW46" s="46"/>
      <c r="CX46" s="302"/>
      <c r="CY46" s="302"/>
      <c r="CZ46" s="302"/>
      <c r="DA46" s="302"/>
      <c r="DB46" s="302"/>
      <c r="DC46" s="302"/>
      <c r="DD46" s="302"/>
      <c r="DE46" s="302"/>
      <c r="DF46" s="302"/>
      <c r="DG46" s="302"/>
      <c r="DH46" s="302"/>
      <c r="DI46" s="302"/>
      <c r="DJ46" s="302"/>
      <c r="DK46" s="302"/>
      <c r="DL46" s="302"/>
      <c r="DM46" s="302"/>
      <c r="DN46" s="302"/>
      <c r="DO46" s="302"/>
      <c r="DP46" s="302"/>
      <c r="DQ46" s="302"/>
      <c r="DR46" s="302"/>
      <c r="DS46" s="302"/>
      <c r="DT46" s="302"/>
      <c r="DU46" s="302"/>
      <c r="DV46" s="302"/>
      <c r="DW46" s="302"/>
      <c r="DX46" s="302"/>
      <c r="DY46" s="302"/>
      <c r="DZ46" s="302"/>
      <c r="EA46" s="302"/>
      <c r="EB46" s="302"/>
      <c r="EC46" s="302"/>
      <c r="ED46" s="46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46"/>
      <c r="FL46" s="46"/>
      <c r="FM46" s="46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46"/>
      <c r="GU46" s="46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46"/>
      <c r="IC46" s="46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/>
      <c r="JH46" s="3"/>
      <c r="JI46" s="3"/>
      <c r="JJ46" s="46"/>
      <c r="JK46" s="46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11"/>
      <c r="KR46" s="46"/>
      <c r="KS46" s="46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/>
      <c r="LS46" s="3"/>
      <c r="LT46" s="3"/>
      <c r="LU46" s="3"/>
      <c r="LV46" s="3"/>
      <c r="LW46" s="3"/>
      <c r="LX46" s="3"/>
      <c r="LY46" s="11"/>
      <c r="LZ46" s="3"/>
      <c r="MA46" s="3"/>
      <c r="MB46" s="3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46"/>
      <c r="NI46" s="46"/>
      <c r="NJ46" s="142"/>
      <c r="NK46" s="46"/>
      <c r="NL46" s="46"/>
      <c r="NM46" s="46"/>
      <c r="NN46" s="46"/>
      <c r="NO46" s="46"/>
      <c r="NP46" s="46"/>
      <c r="NQ46" s="46"/>
      <c r="NR46" s="46"/>
      <c r="NS46" s="46"/>
      <c r="NT46" s="46"/>
      <c r="NU46" s="46"/>
      <c r="NV46" s="46"/>
      <c r="NW46" s="46"/>
      <c r="NX46" s="46"/>
      <c r="NY46" s="46"/>
      <c r="NZ46" s="46"/>
      <c r="OA46" s="46"/>
      <c r="OB46" s="46"/>
      <c r="OC46" s="46"/>
      <c r="OD46" s="46"/>
      <c r="OE46" s="46"/>
      <c r="OF46" s="46"/>
      <c r="OG46" s="46"/>
      <c r="OH46" s="46"/>
      <c r="OI46" s="46"/>
      <c r="OJ46" s="46"/>
      <c r="OK46" s="46"/>
      <c r="OL46" s="46"/>
      <c r="OM46" s="46"/>
      <c r="ON46" s="46"/>
      <c r="OO46" s="46"/>
      <c r="OP46" s="46"/>
      <c r="OQ46" s="46"/>
      <c r="OR46" s="46"/>
      <c r="OS46" s="144"/>
      <c r="OT46" s="144"/>
      <c r="OU46" s="144"/>
      <c r="OV46" s="144"/>
      <c r="OW46" s="144"/>
      <c r="OX46" s="144"/>
      <c r="OY46" s="144"/>
      <c r="OZ46" s="144"/>
      <c r="PA46" s="144"/>
      <c r="PB46" s="144"/>
      <c r="PC46" s="144"/>
      <c r="PD46" s="144"/>
      <c r="PE46" s="144"/>
      <c r="PF46" s="144"/>
      <c r="PG46" s="144"/>
      <c r="PH46" s="144"/>
      <c r="PI46" s="144"/>
      <c r="PJ46" s="144"/>
      <c r="PK46" s="144"/>
      <c r="PL46" s="144"/>
      <c r="PM46" s="144"/>
      <c r="PN46" s="144"/>
      <c r="PO46" s="144"/>
      <c r="PP46" s="144"/>
      <c r="PQ46" s="144"/>
      <c r="PR46" s="144"/>
      <c r="PS46" s="144"/>
      <c r="PT46" s="146"/>
      <c r="PU46" s="95" t="s">
        <v>206</v>
      </c>
      <c r="PV46" s="95">
        <v>0</v>
      </c>
      <c r="PW46" s="175"/>
      <c r="PX46" s="175"/>
      <c r="PY46" s="175"/>
      <c r="PZ46" s="175"/>
      <c r="QA46" s="175"/>
      <c r="QB46" s="175"/>
      <c r="QC46" s="175"/>
      <c r="QD46" s="175"/>
      <c r="QE46" s="175"/>
      <c r="QF46" s="177"/>
      <c r="QG46" s="177" t="e">
        <f>QE46-#REF!</f>
        <v>#REF!</v>
      </c>
      <c r="QH46" s="170"/>
      <c r="QI46" s="171"/>
      <c r="QJ46" s="171">
        <f>QE46*4%</f>
        <v>0</v>
      </c>
      <c r="QK46" s="174" t="e">
        <f>(QI46-#REF!)*10%</f>
        <v>#REF!</v>
      </c>
      <c r="QL46" s="171">
        <f>PV46*4000*23</f>
        <v>0</v>
      </c>
      <c r="QM46" s="207" t="e">
        <f t="shared" si="459"/>
        <v>#REF!</v>
      </c>
      <c r="QN46" s="207"/>
      <c r="QO46" s="207"/>
      <c r="QP46" s="280"/>
      <c r="QQ46" s="197" t="e">
        <f>QG46/(QJ46+QK46+QL46+#REF!)</f>
        <v>#REF!</v>
      </c>
      <c r="QR46" s="199"/>
      <c r="QS46" s="144"/>
      <c r="QT46" s="144"/>
      <c r="QU46" s="95" t="s">
        <v>206</v>
      </c>
      <c r="QV46" s="95">
        <v>0</v>
      </c>
      <c r="QW46" s="175"/>
      <c r="QX46" s="175"/>
      <c r="QY46" s="175"/>
      <c r="QZ46" s="175"/>
      <c r="RA46" s="175"/>
      <c r="RB46" s="175"/>
      <c r="RC46" s="177"/>
      <c r="RD46" s="177">
        <f t="shared" si="460"/>
        <v>0</v>
      </c>
      <c r="RE46" s="170"/>
      <c r="RF46" s="171"/>
      <c r="RG46" s="171">
        <f>RA46*4%</f>
        <v>0</v>
      </c>
      <c r="RH46" s="174" t="e">
        <f>(RF46-#REF!)*10%</f>
        <v>#REF!</v>
      </c>
      <c r="RI46" s="171">
        <f>QV46*4000*23</f>
        <v>0</v>
      </c>
      <c r="RJ46" s="207" t="e">
        <f t="shared" si="463"/>
        <v>#REF!</v>
      </c>
      <c r="RK46" s="281"/>
      <c r="RL46" s="281"/>
      <c r="RM46" s="197" t="e">
        <f>RD46/(RG46+RH46+RI46+#REF!)</f>
        <v>#REF!</v>
      </c>
      <c r="RN46" s="199" t="s">
        <v>118</v>
      </c>
      <c r="RO46" s="144"/>
      <c r="RP46" s="144"/>
      <c r="RQ46" s="95" t="s">
        <v>206</v>
      </c>
      <c r="RR46" s="95">
        <v>0</v>
      </c>
      <c r="RS46" s="175"/>
      <c r="RT46" s="175"/>
      <c r="RU46" s="175"/>
      <c r="RV46" s="175"/>
      <c r="RW46" s="175"/>
      <c r="RX46" s="175"/>
      <c r="RY46" s="177">
        <f t="shared" si="464"/>
        <v>0</v>
      </c>
      <c r="RZ46" s="170"/>
      <c r="SA46" s="170"/>
      <c r="SB46" s="171"/>
      <c r="SC46" s="171">
        <f>RW46*4%</f>
        <v>0</v>
      </c>
      <c r="SD46" s="174">
        <f>(SB46-SA46)*10%</f>
        <v>0</v>
      </c>
      <c r="SE46" s="171">
        <f>RR46*4000*23</f>
        <v>0</v>
      </c>
      <c r="SF46" s="207">
        <f t="shared" si="467"/>
        <v>0</v>
      </c>
      <c r="SG46" s="281"/>
      <c r="SH46" s="281"/>
      <c r="SI46" s="197" t="e">
        <f t="shared" si="468"/>
        <v>#DIV/0!</v>
      </c>
      <c r="SJ46" s="199" t="s">
        <v>118</v>
      </c>
      <c r="SK46" s="144"/>
      <c r="SL46" s="144"/>
      <c r="SM46" s="95" t="s">
        <v>206</v>
      </c>
      <c r="SN46" s="95">
        <v>0</v>
      </c>
      <c r="SO46" s="175"/>
      <c r="SP46" s="175"/>
      <c r="SQ46" s="175"/>
      <c r="SR46" s="175"/>
      <c r="SS46" s="175"/>
      <c r="ST46" s="175"/>
      <c r="SU46" s="177">
        <f t="shared" si="469"/>
        <v>0</v>
      </c>
      <c r="SV46" s="170"/>
      <c r="SW46" s="170"/>
      <c r="SX46" s="171"/>
      <c r="SY46" s="171">
        <f>SS46*4%</f>
        <v>0</v>
      </c>
      <c r="SZ46" s="174">
        <f>(SX46-SW46)*10%</f>
        <v>0</v>
      </c>
      <c r="TA46" s="171">
        <f>SN46*4000*23</f>
        <v>0</v>
      </c>
      <c r="TB46" s="207">
        <f t="shared" si="473"/>
        <v>0</v>
      </c>
      <c r="TC46" s="281"/>
      <c r="TD46" s="281"/>
      <c r="TE46" s="197" t="e">
        <f t="shared" si="474"/>
        <v>#DIV/0!</v>
      </c>
      <c r="TF46" s="199" t="s">
        <v>118</v>
      </c>
      <c r="TG46" s="156"/>
      <c r="TH46" s="95" t="s">
        <v>206</v>
      </c>
      <c r="TI46" s="95">
        <v>0</v>
      </c>
      <c r="TJ46" s="95"/>
      <c r="TK46" s="95"/>
      <c r="TL46" s="175"/>
      <c r="TM46" s="175"/>
      <c r="TN46" s="175">
        <v>103205</v>
      </c>
      <c r="TO46" s="175">
        <v>130871</v>
      </c>
      <c r="TP46" s="175">
        <f t="shared" si="475"/>
        <v>-27666</v>
      </c>
      <c r="TQ46" s="178">
        <v>16490</v>
      </c>
      <c r="TR46" s="318">
        <v>21130</v>
      </c>
      <c r="TS46" s="170">
        <v>41666.25</v>
      </c>
      <c r="TT46" s="170">
        <f t="shared" si="476"/>
        <v>4128.2</v>
      </c>
      <c r="TU46" s="178">
        <f t="shared" si="477"/>
        <v>4166.625</v>
      </c>
      <c r="TV46" s="170">
        <f t="shared" si="478"/>
        <v>0</v>
      </c>
      <c r="TW46" s="203">
        <f t="shared" si="479"/>
        <v>-35960.825</v>
      </c>
      <c r="TX46" s="283"/>
      <c r="TY46" s="283"/>
      <c r="TZ46" s="102">
        <f t="shared" si="448"/>
        <v>-3.33533257181435</v>
      </c>
      <c r="UA46" s="199" t="s">
        <v>118</v>
      </c>
      <c r="UB46" s="144"/>
      <c r="UC46" s="144"/>
      <c r="UD46" s="95" t="s">
        <v>206</v>
      </c>
      <c r="UE46" s="95">
        <v>1</v>
      </c>
      <c r="UF46" s="175"/>
      <c r="UG46" s="175"/>
      <c r="UH46" s="175"/>
      <c r="UI46" s="175"/>
      <c r="UJ46" s="175">
        <v>27000</v>
      </c>
      <c r="UK46" s="175">
        <v>26392</v>
      </c>
      <c r="UL46" s="175">
        <f t="shared" si="480"/>
        <v>608</v>
      </c>
      <c r="UM46" s="170">
        <v>8210</v>
      </c>
      <c r="UN46" s="170">
        <v>8880</v>
      </c>
      <c r="UO46" s="170">
        <v>11340.55</v>
      </c>
      <c r="UP46" s="170">
        <f t="shared" si="481"/>
        <v>1080</v>
      </c>
      <c r="UQ46" s="178">
        <f>UL46*10%</f>
        <v>60.8</v>
      </c>
      <c r="UR46" s="170">
        <f t="shared" si="490"/>
        <v>124000</v>
      </c>
      <c r="US46" s="203">
        <f t="shared" si="483"/>
        <v>-124532.8</v>
      </c>
      <c r="UT46" s="283"/>
      <c r="UU46" s="283"/>
      <c r="UV46" s="102">
        <f t="shared" si="484"/>
        <v>0.00453660924274441</v>
      </c>
      <c r="UW46" s="199" t="s">
        <v>118</v>
      </c>
      <c r="UX46" s="144"/>
      <c r="UY46" s="144"/>
      <c r="UZ46" s="95" t="s">
        <v>206</v>
      </c>
      <c r="VA46" s="95">
        <v>0</v>
      </c>
      <c r="VB46" s="175"/>
      <c r="VC46" s="175"/>
      <c r="VD46" s="175"/>
      <c r="VE46" s="175"/>
      <c r="VF46" s="175">
        <v>0</v>
      </c>
      <c r="VG46" s="175">
        <v>0</v>
      </c>
      <c r="VH46" s="175">
        <f t="shared" si="485"/>
        <v>0</v>
      </c>
      <c r="VI46" s="178">
        <v>0</v>
      </c>
      <c r="VJ46" s="178">
        <v>0</v>
      </c>
      <c r="VK46" s="170">
        <v>0</v>
      </c>
      <c r="VL46" s="178">
        <f t="shared" si="486"/>
        <v>0</v>
      </c>
      <c r="VM46" s="178">
        <f t="shared" si="487"/>
        <v>0</v>
      </c>
      <c r="VN46" s="170">
        <f>VA46*4000*0</f>
        <v>0</v>
      </c>
      <c r="VO46" s="178">
        <f t="shared" si="488"/>
        <v>0</v>
      </c>
      <c r="VP46" s="283"/>
      <c r="VQ46" s="283"/>
      <c r="VR46" s="197" t="e">
        <f t="shared" si="489"/>
        <v>#DIV/0!</v>
      </c>
      <c r="VS46" s="84" t="s">
        <v>123</v>
      </c>
      <c r="VT46" s="46"/>
      <c r="VU46" s="46"/>
    </row>
    <row r="47" ht="15.75" hidden="1" spans="1:1024 1025:16384">
      <c r="A47" s="46"/>
      <c r="B47" s="46"/>
      <c r="C47" s="302"/>
      <c r="D47" s="302"/>
      <c r="E47" s="302"/>
      <c r="F47" s="302"/>
      <c r="G47" s="302"/>
      <c r="H47" s="302"/>
      <c r="I47" s="302"/>
      <c r="J47" s="302"/>
      <c r="K47" s="302"/>
      <c r="L47" s="302"/>
      <c r="M47" s="302"/>
      <c r="N47" s="302"/>
      <c r="O47" s="302"/>
      <c r="P47" s="302"/>
      <c r="Q47" s="302"/>
      <c r="R47" s="302"/>
      <c r="S47" s="302"/>
      <c r="T47" s="302"/>
      <c r="U47" s="302"/>
      <c r="V47" s="302"/>
      <c r="W47" s="302"/>
      <c r="X47" s="302"/>
      <c r="Y47" s="302"/>
      <c r="Z47" s="302"/>
      <c r="AA47" s="302"/>
      <c r="AB47" s="302"/>
      <c r="AC47" s="302"/>
      <c r="AD47" s="302"/>
      <c r="AE47" s="302"/>
      <c r="AF47" s="302"/>
      <c r="AG47" s="302"/>
      <c r="AH47" s="302"/>
      <c r="AI47" s="53"/>
      <c r="AJ47" s="302"/>
      <c r="AK47" s="302"/>
      <c r="AL47" s="302"/>
      <c r="AM47" s="302"/>
      <c r="AN47" s="302"/>
      <c r="AO47" s="302"/>
      <c r="AP47" s="302"/>
      <c r="AQ47" s="302"/>
      <c r="AR47" s="302"/>
      <c r="AS47" s="302"/>
      <c r="AT47" s="302"/>
      <c r="AU47" s="302"/>
      <c r="AV47" s="302"/>
      <c r="AW47" s="302"/>
      <c r="AX47" s="302"/>
      <c r="AY47" s="302"/>
      <c r="AZ47" s="302"/>
      <c r="BA47" s="302"/>
      <c r="BB47" s="302"/>
      <c r="BC47" s="302"/>
      <c r="BD47" s="302"/>
      <c r="BE47" s="302"/>
      <c r="BF47" s="302"/>
      <c r="BG47" s="302"/>
      <c r="BH47" s="302"/>
      <c r="BI47" s="302"/>
      <c r="BJ47" s="302"/>
      <c r="BK47" s="302"/>
      <c r="BL47" s="302"/>
      <c r="BM47" s="302"/>
      <c r="BN47" s="302"/>
      <c r="BO47" s="302"/>
      <c r="BP47" s="46"/>
      <c r="BQ47" s="302"/>
      <c r="BR47" s="302"/>
      <c r="BS47" s="302"/>
      <c r="BT47" s="302"/>
      <c r="BU47" s="302"/>
      <c r="BV47" s="302"/>
      <c r="BW47" s="302"/>
      <c r="BX47" s="302"/>
      <c r="BY47" s="302"/>
      <c r="BZ47" s="302"/>
      <c r="CA47" s="302"/>
      <c r="CB47" s="302"/>
      <c r="CC47" s="302"/>
      <c r="CD47" s="302"/>
      <c r="CE47" s="302"/>
      <c r="CF47" s="302"/>
      <c r="CG47" s="302"/>
      <c r="CH47" s="302"/>
      <c r="CI47" s="302"/>
      <c r="CJ47" s="302"/>
      <c r="CK47" s="302"/>
      <c r="CL47" s="302"/>
      <c r="CM47" s="302"/>
      <c r="CN47" s="302"/>
      <c r="CO47" s="302"/>
      <c r="CP47" s="302"/>
      <c r="CQ47" s="302"/>
      <c r="CR47" s="302"/>
      <c r="CS47" s="302"/>
      <c r="CT47" s="302"/>
      <c r="CU47" s="302"/>
      <c r="CV47" s="302"/>
      <c r="CW47" s="46"/>
      <c r="CX47" s="302"/>
      <c r="CY47" s="302"/>
      <c r="CZ47" s="302"/>
      <c r="DA47" s="302"/>
      <c r="DB47" s="302"/>
      <c r="DC47" s="302"/>
      <c r="DD47" s="302"/>
      <c r="DE47" s="302"/>
      <c r="DF47" s="302"/>
      <c r="DG47" s="302"/>
      <c r="DH47" s="302"/>
      <c r="DI47" s="302"/>
      <c r="DJ47" s="302"/>
      <c r="DK47" s="302"/>
      <c r="DL47" s="302"/>
      <c r="DM47" s="302"/>
      <c r="DN47" s="302"/>
      <c r="DO47" s="302"/>
      <c r="DP47" s="302"/>
      <c r="DQ47" s="302"/>
      <c r="DR47" s="302"/>
      <c r="DS47" s="302"/>
      <c r="DT47" s="302"/>
      <c r="DU47" s="302"/>
      <c r="DV47" s="302"/>
      <c r="DW47" s="302"/>
      <c r="DX47" s="302"/>
      <c r="DY47" s="302"/>
      <c r="DZ47" s="302"/>
      <c r="EA47" s="302"/>
      <c r="EB47" s="302"/>
      <c r="EC47" s="302"/>
      <c r="ED47" s="46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46"/>
      <c r="FL47" s="46"/>
      <c r="FM47" s="46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46"/>
      <c r="GU47" s="46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46"/>
      <c r="IC47" s="46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46"/>
      <c r="JK47" s="46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11"/>
      <c r="KR47" s="46"/>
      <c r="KS47" s="46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11"/>
      <c r="LZ47" s="3"/>
      <c r="MA47" s="3"/>
      <c r="MB47" s="3"/>
      <c r="MC47" s="11"/>
      <c r="MD47" s="11"/>
      <c r="ME47" s="11"/>
      <c r="MF47" s="11"/>
      <c r="MG47" s="11"/>
      <c r="MH47" s="11"/>
      <c r="MI47" s="11"/>
      <c r="MJ47" s="11"/>
      <c r="MK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46"/>
      <c r="NI47" s="46"/>
      <c r="NJ47" s="142"/>
      <c r="NK47" s="46"/>
      <c r="NL47" s="46"/>
      <c r="NM47" s="46"/>
      <c r="NN47" s="46"/>
      <c r="NO47" s="46"/>
      <c r="NP47" s="46"/>
      <c r="NQ47" s="46"/>
      <c r="NR47" s="46"/>
      <c r="NS47" s="46"/>
      <c r="NT47" s="46"/>
      <c r="NU47" s="46"/>
      <c r="NV47" s="46"/>
      <c r="NW47" s="46"/>
      <c r="NX47" s="46"/>
      <c r="NY47" s="46"/>
      <c r="NZ47" s="46"/>
      <c r="OA47" s="46"/>
      <c r="OB47" s="46"/>
      <c r="OC47" s="46"/>
      <c r="OD47" s="46"/>
      <c r="OE47" s="46"/>
      <c r="OF47" s="46"/>
      <c r="OG47" s="46"/>
      <c r="OH47" s="46"/>
      <c r="OI47" s="46"/>
      <c r="OJ47" s="46"/>
      <c r="OK47" s="46"/>
      <c r="OL47" s="46"/>
      <c r="OM47" s="46"/>
      <c r="ON47" s="46"/>
      <c r="OO47" s="46"/>
      <c r="OP47" s="46"/>
      <c r="OQ47" s="46"/>
      <c r="OR47" s="46"/>
      <c r="OS47" s="144"/>
      <c r="OT47" s="144"/>
      <c r="OU47" s="144"/>
      <c r="OV47" s="144"/>
      <c r="OW47" s="144"/>
      <c r="OX47" s="144"/>
      <c r="OY47" s="144"/>
      <c r="OZ47" s="144"/>
      <c r="PA47" s="144"/>
      <c r="PB47" s="144"/>
      <c r="PC47" s="144"/>
      <c r="PD47" s="144"/>
      <c r="PE47" s="144"/>
      <c r="PF47" s="144"/>
      <c r="PG47" s="144"/>
      <c r="PH47" s="144"/>
      <c r="PI47" s="144"/>
      <c r="PJ47" s="144"/>
      <c r="PK47" s="144"/>
      <c r="PL47" s="144"/>
      <c r="PM47" s="144"/>
      <c r="PN47" s="144"/>
      <c r="PO47" s="144"/>
      <c r="PP47" s="144"/>
      <c r="PQ47" s="144"/>
      <c r="PR47" s="144"/>
      <c r="PS47" s="144"/>
      <c r="PT47" s="146"/>
      <c r="PU47" s="242" t="s">
        <v>153</v>
      </c>
      <c r="PV47" s="242">
        <f>SUM(PV43:PV46)</f>
        <v>0</v>
      </c>
      <c r="PW47" s="244"/>
      <c r="PX47" s="244">
        <f t="shared" ref="PX47:QA47" si="491">SUM(PX43:PX45)</f>
        <v>1127</v>
      </c>
      <c r="PY47" s="244">
        <f t="shared" si="491"/>
        <v>549</v>
      </c>
      <c r="PZ47" s="244"/>
      <c r="QA47" s="244">
        <f t="shared" si="491"/>
        <v>80524</v>
      </c>
      <c r="QB47" s="244"/>
      <c r="QC47" s="244">
        <f t="shared" ref="QC47:QM47" si="492">SUM(QC43:QC45)</f>
        <v>2316</v>
      </c>
      <c r="QD47" s="244"/>
      <c r="QE47" s="244">
        <f t="shared" si="492"/>
        <v>1269575</v>
      </c>
      <c r="QF47" s="244"/>
      <c r="QG47" s="244" t="e">
        <f t="shared" si="492"/>
        <v>#REF!</v>
      </c>
      <c r="QH47" s="244">
        <f t="shared" si="492"/>
        <v>51610</v>
      </c>
      <c r="QI47" s="244">
        <f t="shared" si="492"/>
        <v>138611.53</v>
      </c>
      <c r="QJ47" s="244">
        <f t="shared" si="492"/>
        <v>44435.125</v>
      </c>
      <c r="QK47" s="244">
        <f t="shared" si="492"/>
        <v>13861.153</v>
      </c>
      <c r="QL47" s="244">
        <f t="shared" si="492"/>
        <v>0</v>
      </c>
      <c r="QM47" s="244" t="e">
        <f t="shared" si="492"/>
        <v>#REF!</v>
      </c>
      <c r="QN47" s="244"/>
      <c r="QO47" s="244"/>
      <c r="QP47" s="246">
        <f>QA47/QH47</f>
        <v>1.56024026351482</v>
      </c>
      <c r="QQ47" s="247" t="e">
        <f>QG47/(QJ47+QK47+QL47+#REF!)</f>
        <v>#REF!</v>
      </c>
      <c r="QR47" s="144"/>
      <c r="QS47" s="144"/>
      <c r="QT47" s="144"/>
      <c r="QU47" s="242" t="s">
        <v>153</v>
      </c>
      <c r="QV47" s="242">
        <f>SUM(QV43:QV46)</f>
        <v>3</v>
      </c>
      <c r="QW47" s="244">
        <f t="shared" ref="QW47:RB47" si="493">SUM(QW43:QW45)</f>
        <v>1882</v>
      </c>
      <c r="QX47" s="244">
        <f t="shared" si="493"/>
        <v>779</v>
      </c>
      <c r="QY47" s="244">
        <f t="shared" si="493"/>
        <v>0</v>
      </c>
      <c r="QZ47" s="244">
        <f t="shared" si="493"/>
        <v>3486</v>
      </c>
      <c r="RA47" s="244">
        <f t="shared" si="493"/>
        <v>1881186</v>
      </c>
      <c r="RB47" s="244">
        <f t="shared" si="493"/>
        <v>1883542</v>
      </c>
      <c r="RC47" s="244"/>
      <c r="RD47" s="244">
        <f t="shared" ref="RD47:RJ47" si="494">SUM(RD43:RD45)</f>
        <v>-2356</v>
      </c>
      <c r="RE47" s="244">
        <f t="shared" si="494"/>
        <v>40540</v>
      </c>
      <c r="RF47" s="244">
        <f t="shared" si="494"/>
        <v>435956.47</v>
      </c>
      <c r="RG47" s="244">
        <f t="shared" si="494"/>
        <v>65841.51</v>
      </c>
      <c r="RH47" s="244">
        <f t="shared" si="494"/>
        <v>43595.647</v>
      </c>
      <c r="RI47" s="244">
        <f t="shared" si="494"/>
        <v>307458</v>
      </c>
      <c r="RJ47" s="244">
        <f t="shared" si="494"/>
        <v>-419251.157</v>
      </c>
      <c r="RK47" s="246"/>
      <c r="RL47" s="246">
        <f>QY47/RE47</f>
        <v>0</v>
      </c>
      <c r="RM47" s="247" t="e">
        <f>RD47/(RG47+RH47+RI47+#REF!)</f>
        <v>#REF!</v>
      </c>
      <c r="RN47" s="144"/>
      <c r="RO47" s="144"/>
      <c r="RP47" s="144"/>
      <c r="RQ47" s="242" t="s">
        <v>153</v>
      </c>
      <c r="RR47" s="242">
        <f>SUM(RR43:RR46)</f>
        <v>3</v>
      </c>
      <c r="RS47" s="244">
        <f t="shared" ref="RS47:SF47" si="495">SUM(RS43:RS45)</f>
        <v>3144</v>
      </c>
      <c r="RT47" s="244">
        <f t="shared" si="495"/>
        <v>757</v>
      </c>
      <c r="RU47" s="244">
        <f t="shared" si="495"/>
        <v>0</v>
      </c>
      <c r="RV47" s="244">
        <f t="shared" si="495"/>
        <v>2905</v>
      </c>
      <c r="RW47" s="244">
        <f t="shared" si="495"/>
        <v>1123485</v>
      </c>
      <c r="RX47" s="244">
        <f t="shared" si="495"/>
        <v>1053512</v>
      </c>
      <c r="RY47" s="244">
        <f t="shared" si="495"/>
        <v>69973</v>
      </c>
      <c r="RZ47" s="244">
        <f t="shared" si="495"/>
        <v>48120</v>
      </c>
      <c r="SA47" s="244">
        <f t="shared" si="495"/>
        <v>65421</v>
      </c>
      <c r="SB47" s="244">
        <f t="shared" si="495"/>
        <v>271902.81</v>
      </c>
      <c r="SC47" s="244">
        <f t="shared" si="495"/>
        <v>39321.975</v>
      </c>
      <c r="SD47" s="244">
        <f t="shared" si="495"/>
        <v>27190.281</v>
      </c>
      <c r="SE47" s="244">
        <f t="shared" si="495"/>
        <v>297540</v>
      </c>
      <c r="SF47" s="244">
        <f t="shared" si="495"/>
        <v>-294079.256</v>
      </c>
      <c r="SG47" s="246"/>
      <c r="SH47" s="246">
        <f>RU47/RZ47</f>
        <v>0</v>
      </c>
      <c r="SI47" s="247">
        <f t="shared" si="468"/>
        <v>0.162927490879665</v>
      </c>
      <c r="SJ47" s="144"/>
      <c r="SK47" s="144"/>
      <c r="SL47" s="144"/>
      <c r="SM47" s="242" t="s">
        <v>153</v>
      </c>
      <c r="SN47" s="242">
        <f>SUM(SN43:SN46)</f>
        <v>5</v>
      </c>
      <c r="SO47" s="244">
        <f t="shared" ref="SO47:TB47" si="496">SUM(SO43:SO45)</f>
        <v>4860</v>
      </c>
      <c r="SP47" s="244">
        <f t="shared" si="496"/>
        <v>1601</v>
      </c>
      <c r="SQ47" s="244">
        <f t="shared" si="496"/>
        <v>0</v>
      </c>
      <c r="SR47" s="244">
        <f t="shared" si="496"/>
        <v>4784</v>
      </c>
      <c r="SS47" s="244">
        <f t="shared" si="496"/>
        <v>3997940</v>
      </c>
      <c r="ST47" s="244">
        <f t="shared" si="496"/>
        <v>3640111</v>
      </c>
      <c r="SU47" s="244">
        <f t="shared" si="496"/>
        <v>357829</v>
      </c>
      <c r="SV47" s="244">
        <f t="shared" si="496"/>
        <v>164806</v>
      </c>
      <c r="SW47" s="244">
        <f t="shared" si="496"/>
        <v>260631</v>
      </c>
      <c r="SX47" s="244">
        <f t="shared" si="496"/>
        <v>1031390.36</v>
      </c>
      <c r="SY47" s="244">
        <f t="shared" si="496"/>
        <v>139927.9</v>
      </c>
      <c r="SZ47" s="244">
        <f t="shared" si="496"/>
        <v>103139.036</v>
      </c>
      <c r="TA47" s="244">
        <f t="shared" si="496"/>
        <v>620000</v>
      </c>
      <c r="TB47" s="244">
        <f t="shared" si="496"/>
        <v>-505237.936</v>
      </c>
      <c r="TC47" s="246"/>
      <c r="TD47" s="246">
        <f>SQ47/SV47</f>
        <v>0</v>
      </c>
      <c r="TE47" s="247">
        <f t="shared" si="474"/>
        <v>0.318438780152747</v>
      </c>
      <c r="TF47" s="144"/>
      <c r="TG47" s="84"/>
      <c r="TH47" s="242" t="s">
        <v>153</v>
      </c>
      <c r="TI47" s="242">
        <f>SUM(TI43:TI46)</f>
        <v>5</v>
      </c>
      <c r="TJ47" s="244">
        <f t="shared" ref="TJ47:TW47" si="497">SUM(TJ43:TJ45)</f>
        <v>0</v>
      </c>
      <c r="TK47" s="244">
        <f t="shared" si="497"/>
        <v>0</v>
      </c>
      <c r="TL47" s="244">
        <f t="shared" si="497"/>
        <v>0</v>
      </c>
      <c r="TM47" s="244">
        <f t="shared" si="497"/>
        <v>7450</v>
      </c>
      <c r="TN47" s="244">
        <f t="shared" si="497"/>
        <v>5132987</v>
      </c>
      <c r="TO47" s="244">
        <f t="shared" si="497"/>
        <v>6329437</v>
      </c>
      <c r="TP47" s="244">
        <f t="shared" si="497"/>
        <v>-1196450</v>
      </c>
      <c r="TQ47" s="244">
        <f t="shared" si="497"/>
        <v>615865</v>
      </c>
      <c r="TR47" s="244">
        <f t="shared" si="497"/>
        <v>1006701</v>
      </c>
      <c r="TS47" s="244">
        <f t="shared" si="497"/>
        <v>357784.49</v>
      </c>
      <c r="TT47" s="244">
        <f t="shared" si="497"/>
        <v>205319.48</v>
      </c>
      <c r="TU47" s="244">
        <f t="shared" si="497"/>
        <v>35778.449</v>
      </c>
      <c r="TV47" s="244">
        <f t="shared" si="497"/>
        <v>560000</v>
      </c>
      <c r="TW47" s="244">
        <f t="shared" si="497"/>
        <v>-1997547.929</v>
      </c>
      <c r="TX47" s="246"/>
      <c r="TY47" s="246">
        <f>TL47/TQ47</f>
        <v>0</v>
      </c>
      <c r="TZ47" s="247">
        <f>TP47/(TT47+TU47+TV47+TR47)</f>
        <v>-0.66182692157132</v>
      </c>
      <c r="UA47" s="84"/>
      <c r="UB47" s="144"/>
      <c r="UC47" s="144"/>
      <c r="UD47" s="242" t="s">
        <v>153</v>
      </c>
      <c r="UE47" s="242">
        <f>SUM(UE43:UE46)</f>
        <v>6</v>
      </c>
      <c r="UF47" s="244">
        <f t="shared" ref="UF47:US47" si="498">SUM(UF43:UF45)</f>
        <v>0</v>
      </c>
      <c r="UG47" s="244">
        <f t="shared" si="498"/>
        <v>0</v>
      </c>
      <c r="UH47" s="244">
        <f t="shared" si="498"/>
        <v>0</v>
      </c>
      <c r="UI47" s="244">
        <f t="shared" si="498"/>
        <v>7242</v>
      </c>
      <c r="UJ47" s="244">
        <f t="shared" si="498"/>
        <v>2345040</v>
      </c>
      <c r="UK47" s="244">
        <f t="shared" si="498"/>
        <v>2493728</v>
      </c>
      <c r="UL47" s="244">
        <f t="shared" si="498"/>
        <v>-148688</v>
      </c>
      <c r="UM47" s="244">
        <f t="shared" si="498"/>
        <v>377690</v>
      </c>
      <c r="UN47" s="244">
        <f t="shared" si="498"/>
        <v>628571</v>
      </c>
      <c r="UO47" s="244">
        <f t="shared" si="498"/>
        <v>823943.68</v>
      </c>
      <c r="UP47" s="244">
        <f t="shared" si="498"/>
        <v>93801.6</v>
      </c>
      <c r="UQ47" s="244">
        <f t="shared" si="498"/>
        <v>82394.368</v>
      </c>
      <c r="UR47" s="244">
        <f t="shared" si="498"/>
        <v>616000</v>
      </c>
      <c r="US47" s="244">
        <f t="shared" si="498"/>
        <v>-940883.968</v>
      </c>
      <c r="UT47" s="246"/>
      <c r="UU47" s="246">
        <f>UH47/UM47</f>
        <v>0</v>
      </c>
      <c r="UV47" s="247">
        <f t="shared" si="484"/>
        <v>-0.104653333973063</v>
      </c>
      <c r="UW47" s="144"/>
      <c r="UX47" s="144"/>
      <c r="UY47" s="144"/>
      <c r="UZ47" s="242" t="s">
        <v>153</v>
      </c>
      <c r="VA47" s="242">
        <f>SUM(VA43:VA46)</f>
        <v>4</v>
      </c>
      <c r="VB47" s="244">
        <f t="shared" ref="VB47:VH47" si="499">SUM(VB43:VB45)</f>
        <v>0</v>
      </c>
      <c r="VC47" s="244">
        <f t="shared" si="499"/>
        <v>0</v>
      </c>
      <c r="VD47" s="244">
        <f t="shared" si="499"/>
        <v>0</v>
      </c>
      <c r="VE47" s="244">
        <f t="shared" si="499"/>
        <v>167</v>
      </c>
      <c r="VF47" s="244">
        <f t="shared" si="499"/>
        <v>27380</v>
      </c>
      <c r="VG47" s="244">
        <f t="shared" si="499"/>
        <v>33508</v>
      </c>
      <c r="VH47" s="244">
        <f t="shared" si="499"/>
        <v>-6128</v>
      </c>
      <c r="VI47" s="243">
        <f>SUM(VI43:VI46)</f>
        <v>8100</v>
      </c>
      <c r="VJ47" s="244">
        <f t="shared" ref="VJ47:VO47" si="500">SUM(VJ43:VJ45)</f>
        <v>0</v>
      </c>
      <c r="VK47" s="244">
        <f t="shared" si="500"/>
        <v>16708.2</v>
      </c>
      <c r="VL47" s="244">
        <f t="shared" si="500"/>
        <v>1095.2</v>
      </c>
      <c r="VM47" s="244">
        <f t="shared" si="500"/>
        <v>1759.655</v>
      </c>
      <c r="VN47" s="244">
        <f t="shared" si="500"/>
        <v>72000</v>
      </c>
      <c r="VO47" s="244">
        <f t="shared" si="500"/>
        <v>-68947.205</v>
      </c>
      <c r="VP47" s="246"/>
      <c r="VQ47" s="246">
        <f>VF47/(VI47+VJ47+VL47+VM47+VN47)</f>
        <v>0.330059042355026</v>
      </c>
      <c r="VR47" s="247">
        <f t="shared" si="489"/>
        <v>-0.0818650974609463</v>
      </c>
      <c r="VS47" s="84"/>
      <c r="VT47" s="46"/>
      <c r="VU47" s="46"/>
    </row>
    <row r="48" ht="15.75" spans="1:1024 1025:16384">
      <c r="A48" s="46"/>
      <c r="B48" s="46"/>
      <c r="C48" s="302"/>
      <c r="D48" s="302"/>
      <c r="E48" s="302"/>
      <c r="F48" s="302"/>
      <c r="G48" s="302"/>
      <c r="H48" s="302"/>
      <c r="I48" s="302"/>
      <c r="J48" s="302"/>
      <c r="K48" s="302"/>
      <c r="L48" s="302"/>
      <c r="M48" s="302"/>
      <c r="N48" s="302"/>
      <c r="O48" s="302"/>
      <c r="P48" s="302"/>
      <c r="Q48" s="302"/>
      <c r="R48" s="302"/>
      <c r="S48" s="302"/>
      <c r="T48" s="302"/>
      <c r="U48" s="302"/>
      <c r="V48" s="302"/>
      <c r="W48" s="302"/>
      <c r="X48" s="302"/>
      <c r="Y48" s="302"/>
      <c r="Z48" s="302"/>
      <c r="AA48" s="302"/>
      <c r="AB48" s="302"/>
      <c r="AC48" s="302"/>
      <c r="AD48" s="302"/>
      <c r="AE48" s="302"/>
      <c r="AF48" s="302"/>
      <c r="AG48" s="302"/>
      <c r="AH48" s="302"/>
      <c r="AI48" s="53"/>
      <c r="AJ48" s="302"/>
      <c r="AK48" s="302"/>
      <c r="AL48" s="302"/>
      <c r="AM48" s="302"/>
      <c r="AN48" s="302"/>
      <c r="AO48" s="302"/>
      <c r="AP48" s="302"/>
      <c r="AQ48" s="302"/>
      <c r="AR48" s="302"/>
      <c r="AS48" s="302"/>
      <c r="AT48" s="302"/>
      <c r="AU48" s="302"/>
      <c r="AV48" s="302"/>
      <c r="AW48" s="302"/>
      <c r="AX48" s="302"/>
      <c r="AY48" s="302"/>
      <c r="AZ48" s="302"/>
      <c r="BA48" s="302"/>
      <c r="BB48" s="302"/>
      <c r="BC48" s="302"/>
      <c r="BD48" s="302"/>
      <c r="BE48" s="302"/>
      <c r="BF48" s="302"/>
      <c r="BG48" s="302"/>
      <c r="BH48" s="302"/>
      <c r="BI48" s="302"/>
      <c r="BJ48" s="302"/>
      <c r="BK48" s="302"/>
      <c r="BL48" s="302"/>
      <c r="BM48" s="302"/>
      <c r="BN48" s="302"/>
      <c r="BO48" s="302"/>
      <c r="BP48" s="46"/>
      <c r="BQ48" s="302"/>
      <c r="BR48" s="302"/>
      <c r="BS48" s="302"/>
      <c r="BT48" s="302"/>
      <c r="BU48" s="302"/>
      <c r="BV48" s="302"/>
      <c r="BW48" s="302"/>
      <c r="BX48" s="302"/>
      <c r="BY48" s="302"/>
      <c r="BZ48" s="302"/>
      <c r="CA48" s="302"/>
      <c r="CB48" s="302"/>
      <c r="CC48" s="302"/>
      <c r="CD48" s="302"/>
      <c r="CE48" s="302"/>
      <c r="CF48" s="302"/>
      <c r="CG48" s="302"/>
      <c r="CH48" s="302"/>
      <c r="CI48" s="302"/>
      <c r="CJ48" s="302"/>
      <c r="CK48" s="302"/>
      <c r="CL48" s="302"/>
      <c r="CM48" s="302"/>
      <c r="CN48" s="302"/>
      <c r="CO48" s="302"/>
      <c r="CP48" s="302"/>
      <c r="CQ48" s="302"/>
      <c r="CR48" s="302"/>
      <c r="CS48" s="302"/>
      <c r="CT48" s="302"/>
      <c r="CU48" s="302"/>
      <c r="CV48" s="302"/>
      <c r="CW48" s="46"/>
      <c r="CX48" s="302"/>
      <c r="CY48" s="302"/>
      <c r="CZ48" s="302"/>
      <c r="DA48" s="302"/>
      <c r="DB48" s="302"/>
      <c r="DC48" s="302"/>
      <c r="DD48" s="302"/>
      <c r="DE48" s="302"/>
      <c r="DF48" s="302"/>
      <c r="DG48" s="302"/>
      <c r="DH48" s="302"/>
      <c r="DI48" s="302"/>
      <c r="DJ48" s="302"/>
      <c r="DK48" s="302"/>
      <c r="DL48" s="302"/>
      <c r="DM48" s="302"/>
      <c r="DN48" s="302"/>
      <c r="DO48" s="302"/>
      <c r="DP48" s="302"/>
      <c r="DQ48" s="302"/>
      <c r="DR48" s="302"/>
      <c r="DS48" s="302"/>
      <c r="DT48" s="302"/>
      <c r="DU48" s="302"/>
      <c r="DV48" s="302"/>
      <c r="DW48" s="302"/>
      <c r="DX48" s="302"/>
      <c r="DY48" s="302"/>
      <c r="DZ48" s="302"/>
      <c r="EA48" s="302"/>
      <c r="EB48" s="302"/>
      <c r="EC48" s="302"/>
      <c r="ED48" s="46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46"/>
      <c r="FL48" s="46"/>
      <c r="FM48" s="46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46"/>
      <c r="GU48" s="46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46"/>
      <c r="IC48" s="46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46"/>
      <c r="JK48" s="46"/>
      <c r="JL48" s="3"/>
      <c r="JM48" s="3"/>
      <c r="JN48" s="3"/>
      <c r="JO48" s="3"/>
      <c r="JP48" s="3"/>
      <c r="JQ48" s="3"/>
      <c r="JR48" s="3"/>
      <c r="JS48" s="3"/>
      <c r="JT48" s="3"/>
      <c r="JU48" s="3"/>
      <c r="JV48" s="3"/>
      <c r="JW48" s="3"/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11"/>
      <c r="KR48" s="46"/>
      <c r="KS48" s="46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11"/>
      <c r="LE48" s="11"/>
      <c r="LF48" s="11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11"/>
      <c r="LZ48" s="3"/>
      <c r="MA48" s="3"/>
      <c r="MB48" s="3"/>
      <c r="MC48" s="11"/>
      <c r="MD48" s="11"/>
      <c r="ME48" s="11"/>
      <c r="MF48" s="11"/>
      <c r="MG48" s="11"/>
      <c r="MH48" s="11"/>
      <c r="MI48" s="11"/>
      <c r="MJ48" s="11"/>
      <c r="MK48" s="11"/>
      <c r="MO48" s="11"/>
      <c r="MP48" s="11"/>
      <c r="MQ48" s="11"/>
      <c r="MR48" s="11"/>
      <c r="MS48" s="11"/>
      <c r="MT48" s="11"/>
      <c r="MU48" s="11"/>
      <c r="MV48" s="11"/>
      <c r="MW48" s="11"/>
      <c r="MX48" s="11"/>
      <c r="MY48" s="11"/>
      <c r="MZ48" s="11"/>
      <c r="NA48" s="11"/>
      <c r="NB48" s="11"/>
      <c r="NC48" s="11"/>
      <c r="ND48" s="11"/>
      <c r="NE48" s="11"/>
      <c r="NF48" s="11"/>
      <c r="NG48" s="11"/>
      <c r="NH48" s="46"/>
      <c r="NI48" s="46"/>
      <c r="NJ48" s="142"/>
      <c r="NK48" s="46"/>
      <c r="NL48" s="46"/>
      <c r="NM48" s="46"/>
      <c r="NN48" s="46"/>
      <c r="NO48" s="46"/>
      <c r="NP48" s="46"/>
      <c r="NQ48" s="46"/>
      <c r="NR48" s="46"/>
      <c r="NS48" s="46"/>
      <c r="NT48" s="46"/>
      <c r="NU48" s="46"/>
      <c r="NV48" s="46"/>
      <c r="NW48" s="46"/>
      <c r="NX48" s="46"/>
      <c r="NY48" s="46"/>
      <c r="NZ48" s="46"/>
      <c r="OA48" s="46"/>
      <c r="OB48" s="46"/>
      <c r="OC48" s="46"/>
      <c r="OD48" s="46"/>
      <c r="OE48" s="46"/>
      <c r="OF48" s="46"/>
      <c r="OG48" s="46"/>
      <c r="OH48" s="46"/>
      <c r="OI48" s="46"/>
      <c r="OJ48" s="46"/>
      <c r="OK48" s="46"/>
      <c r="OL48" s="46"/>
      <c r="OM48" s="46"/>
      <c r="ON48" s="46"/>
      <c r="OO48" s="46"/>
      <c r="OP48" s="46"/>
      <c r="OQ48" s="46"/>
      <c r="OR48" s="46"/>
      <c r="OS48" s="144"/>
      <c r="OT48" s="144"/>
      <c r="OU48" s="144"/>
      <c r="OV48" s="144"/>
      <c r="OW48" s="144"/>
      <c r="OX48" s="144"/>
      <c r="OY48" s="144"/>
      <c r="OZ48" s="144"/>
      <c r="PA48" s="144"/>
      <c r="PB48" s="144"/>
      <c r="PC48" s="144"/>
      <c r="PD48" s="144"/>
      <c r="PE48" s="144"/>
      <c r="PF48" s="144"/>
      <c r="PG48" s="144"/>
      <c r="PH48" s="144"/>
      <c r="PI48" s="144"/>
      <c r="PJ48" s="144"/>
      <c r="PK48" s="144"/>
      <c r="PL48" s="144"/>
      <c r="PM48" s="144"/>
      <c r="PN48" s="144"/>
      <c r="PO48" s="144"/>
      <c r="PP48" s="144"/>
      <c r="PQ48" s="144"/>
      <c r="PR48" s="144"/>
      <c r="PS48" s="144"/>
      <c r="PT48" s="146"/>
      <c r="PU48" s="146"/>
      <c r="PV48" s="146"/>
      <c r="PW48" s="146"/>
      <c r="PX48" s="146"/>
      <c r="PY48" s="146"/>
      <c r="PZ48" s="146"/>
      <c r="QA48" s="146"/>
      <c r="QB48" s="146"/>
      <c r="QC48" s="146"/>
      <c r="QD48" s="146"/>
      <c r="QE48" s="146"/>
      <c r="QF48" s="146"/>
      <c r="QG48" s="146"/>
      <c r="QH48" s="146"/>
      <c r="QI48" s="146"/>
      <c r="QJ48" s="146"/>
      <c r="QK48" s="146"/>
      <c r="QL48" s="146"/>
      <c r="QM48" s="146"/>
      <c r="QN48" s="146"/>
      <c r="QO48" s="146"/>
      <c r="QP48" s="146"/>
      <c r="QQ48" s="146"/>
      <c r="QR48" s="146"/>
      <c r="QS48" s="144"/>
      <c r="QT48" s="144"/>
      <c r="QU48" s="144"/>
      <c r="QV48" s="144"/>
      <c r="QW48" s="144"/>
      <c r="QX48" s="144"/>
      <c r="QY48" s="144"/>
      <c r="QZ48" s="144"/>
      <c r="RA48" s="144"/>
      <c r="RB48" s="144"/>
      <c r="RC48" s="144"/>
      <c r="RD48" s="144"/>
      <c r="RE48" s="144"/>
      <c r="RF48" s="144"/>
      <c r="RG48" s="144"/>
      <c r="RH48" s="144"/>
      <c r="RI48" s="144"/>
      <c r="RJ48" s="144"/>
      <c r="RK48" s="144"/>
      <c r="RL48" s="144"/>
      <c r="RM48" s="144"/>
      <c r="RN48" s="144"/>
      <c r="RO48" s="144"/>
      <c r="RP48" s="144"/>
      <c r="RQ48" s="144"/>
      <c r="RR48" s="144"/>
      <c r="RS48" s="144"/>
      <c r="RT48" s="144"/>
      <c r="RU48" s="144"/>
      <c r="RV48" s="144"/>
      <c r="RW48" s="144"/>
      <c r="RX48" s="144"/>
      <c r="RY48" s="144"/>
      <c r="RZ48" s="144"/>
      <c r="SA48" s="144"/>
      <c r="SB48" s="144"/>
      <c r="SC48" s="144"/>
      <c r="SD48" s="144"/>
      <c r="SE48" s="144"/>
      <c r="SF48" s="144"/>
      <c r="SG48" s="144"/>
      <c r="SH48" s="144"/>
      <c r="SI48" s="144"/>
      <c r="SJ48" s="144"/>
      <c r="SK48" s="144"/>
      <c r="SL48" s="144"/>
      <c r="SM48" s="84"/>
      <c r="SN48" s="84"/>
      <c r="SO48" s="154"/>
      <c r="SP48" s="154"/>
      <c r="SQ48" s="154"/>
      <c r="SR48" s="154"/>
      <c r="SS48" s="154"/>
      <c r="ST48" s="154"/>
      <c r="SU48" s="155"/>
      <c r="SV48" s="154"/>
      <c r="SW48" s="154"/>
      <c r="SX48" s="155"/>
      <c r="SY48" s="155"/>
      <c r="SZ48" s="155"/>
      <c r="TA48" s="155"/>
      <c r="TB48" s="155"/>
      <c r="TC48" s="155"/>
      <c r="TD48" s="155"/>
      <c r="TE48" s="156"/>
      <c r="TF48" s="144"/>
      <c r="TG48" s="84"/>
      <c r="TH48" s="144"/>
      <c r="TI48" s="144"/>
      <c r="TJ48" s="144"/>
      <c r="TK48" s="144"/>
      <c r="TL48" s="157"/>
      <c r="TM48" s="157"/>
      <c r="TN48" s="157"/>
      <c r="TO48" s="157"/>
      <c r="TP48" s="157"/>
      <c r="TQ48" s="157"/>
      <c r="TR48" s="157"/>
      <c r="TS48" s="157"/>
      <c r="TT48" s="157"/>
      <c r="TU48" s="158"/>
      <c r="TV48" s="157"/>
      <c r="TW48" s="158"/>
      <c r="TX48" s="144"/>
      <c r="TY48" s="144"/>
      <c r="TZ48" s="144"/>
      <c r="UA48" s="84"/>
      <c r="UB48" s="144"/>
      <c r="UC48" s="144"/>
      <c r="UD48" s="144"/>
      <c r="UE48" s="144"/>
      <c r="UF48" s="157"/>
      <c r="UG48" s="157"/>
      <c r="UH48" s="157"/>
      <c r="UI48" s="157"/>
      <c r="UJ48" s="157"/>
      <c r="UK48" s="157"/>
      <c r="UL48" s="157"/>
      <c r="UM48" s="157"/>
      <c r="UN48" s="157"/>
      <c r="UO48" s="157"/>
      <c r="UP48" s="157"/>
      <c r="UQ48" s="158"/>
      <c r="UR48" s="157"/>
      <c r="US48" s="158"/>
      <c r="UT48" s="144"/>
      <c r="UU48" s="144"/>
      <c r="UV48" s="144"/>
      <c r="UW48" s="144"/>
      <c r="UX48" s="144"/>
      <c r="UY48" s="144"/>
      <c r="UZ48" s="144"/>
      <c r="VA48" s="144"/>
      <c r="VB48" s="157"/>
      <c r="VC48" s="157"/>
      <c r="VD48" s="157"/>
      <c r="VE48" s="157"/>
      <c r="VF48" s="157"/>
      <c r="VG48" s="157"/>
      <c r="VH48" s="157"/>
      <c r="VI48" s="157"/>
      <c r="VJ48" s="157"/>
      <c r="VK48" s="157"/>
      <c r="VL48" s="157"/>
      <c r="VM48" s="157"/>
      <c r="VN48" s="157"/>
      <c r="VO48" s="157"/>
      <c r="VP48" s="144"/>
      <c r="VQ48" s="144"/>
      <c r="VR48" s="84"/>
      <c r="VS48" s="84"/>
      <c r="VT48" s="46"/>
      <c r="VU48" s="46"/>
    </row>
    <row r="49" ht="15.75" spans="1:593">
      <c r="A49" s="53"/>
      <c r="B49" s="53"/>
      <c r="C49" s="319" t="s">
        <v>207</v>
      </c>
      <c r="D49" s="320"/>
      <c r="E49" s="320"/>
      <c r="F49" s="320"/>
      <c r="G49" s="320"/>
      <c r="H49" s="320"/>
      <c r="I49" s="320"/>
      <c r="J49" s="320"/>
      <c r="K49" s="320"/>
      <c r="L49" s="320"/>
      <c r="M49" s="320"/>
      <c r="N49" s="293"/>
      <c r="O49" s="293"/>
      <c r="P49" s="293"/>
      <c r="Q49" s="293"/>
      <c r="R49" s="293"/>
      <c r="S49" s="293"/>
      <c r="T49" s="293"/>
      <c r="U49" s="293"/>
      <c r="V49" s="293"/>
      <c r="W49" s="293"/>
      <c r="X49" s="293"/>
      <c r="Y49" s="293"/>
      <c r="Z49" s="293"/>
      <c r="AA49" s="293"/>
      <c r="AB49" s="293"/>
      <c r="AC49" s="293"/>
      <c r="AD49" s="293"/>
      <c r="AE49" s="293"/>
      <c r="AF49" s="293"/>
      <c r="AG49" s="293"/>
      <c r="AH49" s="293"/>
      <c r="AI49" s="53"/>
      <c r="AJ49" s="319" t="s">
        <v>208</v>
      </c>
      <c r="AK49" s="320"/>
      <c r="AL49" s="320"/>
      <c r="AM49" s="320"/>
      <c r="AN49" s="320"/>
      <c r="AO49" s="320"/>
      <c r="AP49" s="320"/>
      <c r="AQ49" s="320"/>
      <c r="AR49" s="320"/>
      <c r="AS49" s="320"/>
      <c r="AT49" s="320"/>
      <c r="AU49" s="293"/>
      <c r="AV49" s="293"/>
      <c r="AW49" s="293"/>
      <c r="AX49" s="293"/>
      <c r="AY49" s="293"/>
      <c r="AZ49" s="293"/>
      <c r="BA49" s="293"/>
      <c r="BB49" s="293"/>
      <c r="BC49" s="293"/>
      <c r="BD49" s="293"/>
      <c r="BE49" s="293"/>
      <c r="BF49" s="293"/>
      <c r="BG49" s="293"/>
      <c r="BH49" s="293"/>
      <c r="BI49" s="293"/>
      <c r="BJ49" s="293"/>
      <c r="BK49" s="293"/>
      <c r="BL49" s="293"/>
      <c r="BM49" s="293"/>
      <c r="BN49" s="293"/>
      <c r="BO49" s="293"/>
      <c r="BP49" s="53"/>
      <c r="BQ49" s="319" t="s">
        <v>209</v>
      </c>
      <c r="BR49" s="320"/>
      <c r="BS49" s="320"/>
      <c r="BT49" s="320"/>
      <c r="BU49" s="320"/>
      <c r="BV49" s="320"/>
      <c r="BW49" s="320"/>
      <c r="BX49" s="320"/>
      <c r="BY49" s="320"/>
      <c r="BZ49" s="320"/>
      <c r="CA49" s="320"/>
      <c r="CB49" s="293"/>
      <c r="CC49" s="293"/>
      <c r="CD49" s="293"/>
      <c r="CE49" s="293"/>
      <c r="CF49" s="293"/>
      <c r="CG49" s="293"/>
      <c r="CH49" s="293"/>
      <c r="CI49" s="293"/>
      <c r="CJ49" s="293"/>
      <c r="CK49" s="293"/>
      <c r="CL49" s="293"/>
      <c r="CM49" s="293"/>
      <c r="CN49" s="293"/>
      <c r="CO49" s="293"/>
      <c r="CP49" s="293"/>
      <c r="CQ49" s="293"/>
      <c r="CR49" s="293"/>
      <c r="CS49" s="293"/>
      <c r="CT49" s="293"/>
      <c r="CU49" s="293"/>
      <c r="CV49" s="293"/>
      <c r="CW49" s="53"/>
      <c r="CX49" s="319" t="s">
        <v>210</v>
      </c>
      <c r="CY49" s="320"/>
      <c r="CZ49" s="320"/>
      <c r="DA49" s="320"/>
      <c r="DB49" s="320"/>
      <c r="DC49" s="320"/>
      <c r="DD49" s="320"/>
      <c r="DE49" s="320"/>
      <c r="DF49" s="320"/>
      <c r="DG49" s="320"/>
      <c r="DH49" s="320"/>
      <c r="DI49" s="293"/>
      <c r="DJ49" s="293"/>
      <c r="DK49" s="293"/>
      <c r="DL49" s="293"/>
      <c r="DM49" s="293"/>
      <c r="DN49" s="293"/>
      <c r="DO49" s="293"/>
      <c r="DP49" s="293"/>
      <c r="DQ49" s="293"/>
      <c r="DR49" s="293"/>
      <c r="DS49" s="293"/>
      <c r="DT49" s="293"/>
      <c r="DU49" s="293"/>
      <c r="DV49" s="293"/>
      <c r="DW49" s="293"/>
      <c r="DX49" s="293"/>
      <c r="DY49" s="293"/>
      <c r="DZ49" s="293"/>
      <c r="EA49" s="293"/>
      <c r="EB49" s="293"/>
      <c r="EC49" s="293"/>
      <c r="ED49" s="53"/>
      <c r="EE49" s="321" t="s">
        <v>211</v>
      </c>
      <c r="EF49" s="321"/>
      <c r="EG49" s="321"/>
      <c r="EH49" s="321"/>
      <c r="EI49" s="321"/>
      <c r="EJ49" s="321"/>
      <c r="EK49" s="321"/>
      <c r="EL49" s="321"/>
      <c r="EM49" s="321"/>
      <c r="EN49" s="321"/>
      <c r="EO49" s="321"/>
      <c r="EP49" s="53"/>
      <c r="EQ49" s="53"/>
      <c r="ER49" s="241"/>
      <c r="ES49" s="241"/>
      <c r="ET49" s="241"/>
      <c r="EU49" s="3"/>
      <c r="EV49" s="3"/>
      <c r="EW49" s="241"/>
      <c r="EX49" s="241"/>
      <c r="EY49" s="241"/>
      <c r="EZ49" s="322"/>
      <c r="FA49" s="241"/>
      <c r="FB49" s="241"/>
      <c r="FC49" s="241"/>
      <c r="FD49" s="241"/>
      <c r="FE49" s="241"/>
      <c r="FF49" s="241"/>
      <c r="FG49" s="241"/>
      <c r="FH49" s="241"/>
      <c r="FI49" s="241"/>
      <c r="FJ49" s="241"/>
      <c r="FK49" s="53"/>
      <c r="FL49" s="53"/>
      <c r="FM49" s="53"/>
      <c r="FN49" s="321" t="s">
        <v>212</v>
      </c>
      <c r="FO49" s="321"/>
      <c r="FP49" s="321"/>
      <c r="FQ49" s="321"/>
      <c r="FR49" s="321"/>
      <c r="FS49" s="321"/>
      <c r="FT49" s="321"/>
      <c r="FU49" s="321"/>
      <c r="FV49" s="321"/>
      <c r="FW49" s="321"/>
      <c r="FX49" s="321"/>
      <c r="FY49" s="53"/>
      <c r="FZ49" s="241"/>
      <c r="GA49" s="241"/>
      <c r="GB49" s="241"/>
      <c r="GC49" s="241"/>
      <c r="GD49" s="3"/>
      <c r="GE49" s="3"/>
      <c r="GF49" s="241"/>
      <c r="GG49" s="241"/>
      <c r="GH49" s="241"/>
      <c r="GI49" s="322"/>
      <c r="GJ49" s="241"/>
      <c r="GK49" s="241"/>
      <c r="GL49" s="241"/>
      <c r="GM49" s="241"/>
      <c r="GN49" s="241"/>
      <c r="GO49" s="241"/>
      <c r="GP49" s="241"/>
      <c r="GQ49" s="241"/>
      <c r="GR49" s="241"/>
      <c r="GS49" s="241"/>
      <c r="GT49" s="53"/>
      <c r="GU49" s="53"/>
      <c r="GV49" s="323" t="s">
        <v>213</v>
      </c>
      <c r="GW49" s="324"/>
      <c r="GX49" s="324"/>
      <c r="GY49" s="324"/>
      <c r="GZ49" s="324"/>
      <c r="HA49" s="324"/>
      <c r="HB49" s="324"/>
      <c r="HC49" s="324"/>
      <c r="HD49" s="324"/>
      <c r="HE49" s="324"/>
      <c r="HF49" s="325"/>
      <c r="HI49" s="241"/>
      <c r="HJ49" s="241"/>
      <c r="HK49" s="241"/>
      <c r="HL49" s="3"/>
      <c r="HM49" s="3"/>
      <c r="HN49" s="241"/>
      <c r="HO49" s="241"/>
      <c r="HP49" s="241"/>
      <c r="HQ49" s="322"/>
      <c r="HR49" s="241"/>
      <c r="HS49" s="241"/>
      <c r="HT49" s="241"/>
      <c r="HU49" s="241"/>
      <c r="HV49" s="241"/>
      <c r="HW49" s="241"/>
      <c r="HX49" s="241"/>
      <c r="HY49" s="241"/>
      <c r="HZ49" s="241"/>
      <c r="IA49" s="241"/>
      <c r="IB49" s="53"/>
      <c r="IC49" s="53"/>
      <c r="ID49" s="323" t="s">
        <v>214</v>
      </c>
      <c r="IE49" s="324"/>
      <c r="IF49" s="324"/>
      <c r="IG49" s="324"/>
      <c r="IH49" s="324"/>
      <c r="II49" s="324"/>
      <c r="IJ49" s="324"/>
      <c r="IK49" s="324"/>
      <c r="IL49" s="324"/>
      <c r="IM49" s="324"/>
      <c r="IN49" s="325"/>
      <c r="IP49" s="11"/>
      <c r="IQ49" s="241"/>
      <c r="IR49" s="241"/>
      <c r="IS49" s="241"/>
      <c r="IT49" s="241"/>
      <c r="IU49" s="241"/>
      <c r="IV49" s="241"/>
      <c r="IW49" s="241"/>
      <c r="IX49" s="241"/>
      <c r="IY49" s="241"/>
      <c r="IZ49" s="241"/>
      <c r="JA49" s="241"/>
      <c r="JB49" s="241"/>
      <c r="JC49" s="241"/>
      <c r="JD49" s="241"/>
      <c r="JE49" s="241"/>
      <c r="JF49" s="241"/>
      <c r="JG49" s="241"/>
      <c r="JH49" s="241"/>
      <c r="JI49" s="241"/>
      <c r="JJ49" s="53"/>
      <c r="JK49" s="53"/>
      <c r="JL49" s="323" t="s">
        <v>215</v>
      </c>
      <c r="JM49" s="324"/>
      <c r="JN49" s="324"/>
      <c r="JO49" s="324"/>
      <c r="JP49" s="324"/>
      <c r="JQ49" s="324"/>
      <c r="JR49" s="324"/>
      <c r="JS49" s="324"/>
      <c r="JT49" s="324"/>
      <c r="JU49" s="324"/>
      <c r="JV49" s="192"/>
      <c r="JW49" s="192"/>
      <c r="JX49" s="241"/>
      <c r="JY49" s="241"/>
      <c r="JZ49" s="241"/>
      <c r="KA49" s="241"/>
      <c r="KB49" s="241"/>
      <c r="KC49" s="241"/>
      <c r="KD49" s="241"/>
      <c r="KE49" s="241"/>
      <c r="KF49" s="241"/>
      <c r="KG49" s="241"/>
      <c r="KH49" s="241"/>
      <c r="KI49" s="241"/>
      <c r="KJ49" s="241"/>
      <c r="KK49" s="241"/>
      <c r="KL49" s="241"/>
      <c r="KM49" s="241"/>
      <c r="KN49" s="241"/>
      <c r="KO49" s="241"/>
      <c r="KP49" s="241"/>
      <c r="KQ49" s="241"/>
      <c r="KR49" s="53"/>
      <c r="KS49" s="53"/>
      <c r="KT49" s="321" t="s">
        <v>216</v>
      </c>
      <c r="KU49" s="321"/>
      <c r="KV49" s="321"/>
      <c r="KW49" s="321"/>
      <c r="KX49" s="321"/>
      <c r="KY49" s="321"/>
      <c r="KZ49" s="321"/>
      <c r="LA49" s="321"/>
      <c r="LB49" s="321"/>
      <c r="LC49" s="321"/>
      <c r="LD49" s="11"/>
      <c r="LE49" s="11"/>
      <c r="LF49" s="11"/>
      <c r="LG49" s="241"/>
      <c r="LH49" s="241"/>
      <c r="LI49" s="241"/>
      <c r="LJ49" s="241"/>
      <c r="LK49" s="241"/>
      <c r="LL49" s="241"/>
      <c r="LM49" s="241"/>
      <c r="LN49" s="241"/>
      <c r="LO49" s="241"/>
      <c r="LP49" s="241"/>
      <c r="LQ49" s="241"/>
      <c r="LR49" s="241"/>
      <c r="LS49" s="241"/>
      <c r="LT49" s="241"/>
      <c r="LU49" s="241"/>
      <c r="LV49" s="241"/>
      <c r="LW49" s="241"/>
      <c r="LX49" s="241"/>
      <c r="LY49" s="241"/>
      <c r="LZ49" s="241"/>
      <c r="MA49" s="241"/>
      <c r="MB49" s="321" t="s">
        <v>217</v>
      </c>
      <c r="MC49" s="321"/>
      <c r="MD49" s="321"/>
      <c r="ME49" s="321"/>
      <c r="MF49" s="321"/>
      <c r="MG49" s="321"/>
      <c r="MH49" s="321"/>
      <c r="MI49" s="321"/>
      <c r="MJ49" s="321"/>
      <c r="MK49" s="321"/>
      <c r="MO49" s="241"/>
      <c r="MP49" s="241"/>
      <c r="MQ49" s="241"/>
      <c r="MR49" s="241"/>
      <c r="MS49" s="241"/>
      <c r="MT49" s="241"/>
      <c r="MU49" s="241"/>
      <c r="MV49" s="241"/>
      <c r="MW49" s="241"/>
      <c r="MX49" s="241"/>
      <c r="MY49" s="241"/>
      <c r="MZ49" s="241"/>
      <c r="NA49" s="241"/>
      <c r="NB49" s="241"/>
      <c r="NC49" s="241"/>
      <c r="ND49" s="241"/>
      <c r="NE49" s="241"/>
      <c r="NF49" s="241"/>
      <c r="NG49" s="241"/>
      <c r="NH49" s="53"/>
      <c r="NI49" s="53"/>
      <c r="NJ49" s="321" t="s">
        <v>218</v>
      </c>
      <c r="NK49" s="321"/>
      <c r="NL49" s="321"/>
      <c r="NM49" s="321"/>
      <c r="NN49" s="321"/>
      <c r="NO49" s="321"/>
      <c r="NP49" s="321"/>
      <c r="NQ49" s="321"/>
      <c r="NR49" s="321"/>
      <c r="NS49" s="321"/>
      <c r="NT49" s="46"/>
      <c r="NU49" s="46"/>
      <c r="NV49" s="46"/>
      <c r="NW49" s="53"/>
      <c r="NX49" s="53"/>
      <c r="NY49" s="53"/>
      <c r="NZ49" s="53"/>
      <c r="OA49" s="53"/>
      <c r="OB49" s="53"/>
      <c r="OC49" s="53"/>
      <c r="OD49" s="53"/>
      <c r="OE49" s="53"/>
      <c r="OF49" s="53"/>
      <c r="OG49" s="53"/>
      <c r="OH49" s="53"/>
      <c r="OI49" s="53"/>
      <c r="OJ49" s="53"/>
      <c r="OK49" s="53"/>
      <c r="OL49" s="53"/>
      <c r="OM49" s="53"/>
      <c r="ON49" s="53"/>
      <c r="OO49" s="53"/>
      <c r="OP49" s="53"/>
      <c r="OQ49" s="53"/>
      <c r="OR49" s="53"/>
      <c r="OS49" s="321" t="s">
        <v>207</v>
      </c>
      <c r="OT49" s="113"/>
      <c r="OU49" s="113"/>
      <c r="OV49" s="113"/>
      <c r="OW49" s="113"/>
      <c r="OX49" s="113"/>
      <c r="OY49" s="113"/>
      <c r="OZ49" s="113"/>
      <c r="PA49" s="113"/>
      <c r="PB49" s="114"/>
      <c r="PC49" s="144"/>
      <c r="PD49" s="144"/>
      <c r="PE49" s="144"/>
      <c r="PF49" s="144"/>
      <c r="PG49" s="144"/>
      <c r="PH49" s="144"/>
      <c r="PI49" s="144"/>
      <c r="PJ49" s="144"/>
      <c r="PK49" s="144"/>
      <c r="PL49" s="144"/>
      <c r="PM49" s="144"/>
      <c r="PN49" s="144"/>
      <c r="PO49" s="144"/>
      <c r="PP49" s="144"/>
      <c r="PQ49" s="144"/>
      <c r="PR49" s="144"/>
      <c r="PS49" s="144"/>
      <c r="PT49" s="146"/>
      <c r="PU49" s="321" t="s">
        <v>208</v>
      </c>
      <c r="PV49" s="113"/>
      <c r="PW49" s="113"/>
      <c r="PX49" s="113"/>
      <c r="PY49" s="113"/>
      <c r="PZ49" s="113"/>
      <c r="QA49" s="113"/>
      <c r="QB49" s="113"/>
      <c r="QC49" s="113"/>
      <c r="QD49" s="114"/>
      <c r="QE49" s="146"/>
      <c r="QF49" s="146"/>
      <c r="QG49" s="146"/>
      <c r="QH49" s="146"/>
      <c r="QI49" s="146"/>
      <c r="QJ49" s="146"/>
      <c r="QK49" s="146"/>
      <c r="QL49" s="146"/>
      <c r="QM49" s="146"/>
      <c r="QN49" s="146"/>
      <c r="QO49" s="146"/>
      <c r="QP49" s="146"/>
      <c r="QQ49" s="146"/>
      <c r="QR49" s="146"/>
      <c r="QS49" s="144"/>
      <c r="QT49" s="144"/>
      <c r="QU49" s="144"/>
      <c r="QV49" s="144"/>
      <c r="QW49" s="144"/>
      <c r="QX49" s="144"/>
      <c r="QY49" s="144"/>
      <c r="QZ49" s="144"/>
      <c r="RA49" s="144"/>
      <c r="RB49" s="144"/>
      <c r="RC49" s="144"/>
      <c r="RD49" s="144"/>
      <c r="RE49" s="144"/>
      <c r="RF49" s="144"/>
      <c r="RG49" s="144"/>
      <c r="RH49" s="144"/>
      <c r="RI49" s="144"/>
      <c r="RJ49" s="144"/>
      <c r="RK49" s="144"/>
      <c r="RL49" s="144"/>
      <c r="RM49" s="144"/>
      <c r="RN49" s="144"/>
      <c r="RO49" s="144"/>
      <c r="RP49" s="144"/>
      <c r="RQ49" s="144"/>
      <c r="RR49" s="144"/>
      <c r="RS49" s="144"/>
      <c r="RT49" s="144"/>
      <c r="RU49" s="144"/>
      <c r="RV49" s="144"/>
      <c r="RW49" s="144"/>
      <c r="RX49" s="144"/>
      <c r="RY49" s="144"/>
      <c r="RZ49" s="144"/>
      <c r="SA49" s="144"/>
      <c r="SB49" s="144"/>
      <c r="SC49" s="144"/>
      <c r="SD49" s="144"/>
      <c r="SE49" s="144"/>
      <c r="SF49" s="144"/>
      <c r="SG49" s="144"/>
      <c r="SH49" s="144"/>
      <c r="SI49" s="144"/>
      <c r="SJ49" s="144"/>
      <c r="SK49" s="144"/>
      <c r="SL49" s="144"/>
      <c r="SM49" s="84"/>
      <c r="SN49" s="84"/>
      <c r="SO49" s="154"/>
      <c r="SP49" s="154"/>
      <c r="SQ49" s="154"/>
      <c r="SR49" s="154"/>
      <c r="SS49" s="154"/>
      <c r="ST49" s="154"/>
      <c r="SU49" s="155"/>
      <c r="SV49" s="154"/>
      <c r="SW49" s="154"/>
      <c r="SX49" s="155"/>
      <c r="SY49" s="155"/>
      <c r="SZ49" s="155"/>
      <c r="TA49" s="155"/>
      <c r="TB49" s="155"/>
      <c r="TC49" s="155"/>
      <c r="TD49" s="155"/>
      <c r="TE49" s="156"/>
      <c r="TF49" s="144"/>
      <c r="TG49" s="84"/>
      <c r="TH49" s="144"/>
      <c r="TI49" s="144"/>
      <c r="TJ49" s="144"/>
      <c r="TK49" s="144"/>
      <c r="TL49" s="157"/>
      <c r="TM49" s="157"/>
      <c r="TN49" s="157"/>
      <c r="TO49" s="157"/>
      <c r="TP49" s="157"/>
      <c r="TQ49" s="157"/>
      <c r="TR49" s="157"/>
      <c r="TS49" s="157"/>
      <c r="TT49" s="157"/>
      <c r="TU49" s="158"/>
      <c r="TV49" s="157"/>
      <c r="TW49" s="158"/>
      <c r="TX49" s="144"/>
      <c r="TY49" s="144"/>
      <c r="TZ49" s="144"/>
      <c r="UA49" s="84"/>
      <c r="UB49" s="144"/>
      <c r="UC49" s="144"/>
      <c r="UD49" s="144"/>
      <c r="UE49" s="144"/>
      <c r="UF49" s="157"/>
      <c r="UG49" s="157"/>
      <c r="UH49" s="157"/>
      <c r="UI49" s="157"/>
      <c r="UJ49" s="157"/>
      <c r="UK49" s="157"/>
      <c r="UL49" s="157"/>
      <c r="UM49" s="157"/>
      <c r="UN49" s="157"/>
      <c r="UO49" s="157"/>
      <c r="UP49" s="157"/>
      <c r="UQ49" s="158"/>
      <c r="UR49" s="157"/>
      <c r="US49" s="158"/>
      <c r="UT49" s="144"/>
      <c r="UU49" s="144"/>
      <c r="UV49" s="144"/>
      <c r="UW49" s="144"/>
      <c r="UX49" s="144"/>
      <c r="UY49" s="144"/>
      <c r="UZ49" s="144"/>
      <c r="VA49" s="144"/>
      <c r="VB49" s="157"/>
      <c r="VC49" s="157"/>
      <c r="VD49" s="157"/>
      <c r="VE49" s="157"/>
      <c r="VF49" s="157"/>
      <c r="VG49" s="157"/>
      <c r="VH49" s="157"/>
      <c r="VI49" s="157"/>
      <c r="VJ49" s="157"/>
      <c r="VK49" s="157"/>
      <c r="VL49" s="157"/>
      <c r="VM49" s="157"/>
      <c r="VN49" s="157"/>
      <c r="VO49" s="157"/>
      <c r="VP49" s="144"/>
      <c r="VQ49" s="144"/>
      <c r="VR49" s="84"/>
      <c r="VS49" s="84"/>
      <c r="VT49" s="53"/>
      <c r="VU49" s="53"/>
    </row>
    <row r="50" ht="15.75" spans="1:593">
      <c r="A50" s="53"/>
      <c r="B50" s="53"/>
      <c r="C50" s="162" t="s">
        <v>20</v>
      </c>
      <c r="D50" s="162" t="s">
        <v>21</v>
      </c>
      <c r="E50" s="162" t="s">
        <v>154</v>
      </c>
      <c r="F50" s="162" t="s">
        <v>23</v>
      </c>
      <c r="G50" s="162" t="s">
        <v>219</v>
      </c>
      <c r="H50" s="162" t="s">
        <v>27</v>
      </c>
      <c r="I50" s="162" t="s">
        <v>28</v>
      </c>
      <c r="J50" s="162" t="s">
        <v>29</v>
      </c>
      <c r="K50" s="162" t="s">
        <v>32</v>
      </c>
      <c r="L50" s="162" t="s">
        <v>220</v>
      </c>
      <c r="M50" s="162" t="s">
        <v>157</v>
      </c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53"/>
      <c r="AJ50" s="162" t="s">
        <v>20</v>
      </c>
      <c r="AK50" s="162" t="s">
        <v>21</v>
      </c>
      <c r="AL50" s="162" t="s">
        <v>154</v>
      </c>
      <c r="AM50" s="162" t="s">
        <v>23</v>
      </c>
      <c r="AN50" s="162" t="s">
        <v>219</v>
      </c>
      <c r="AO50" s="162" t="s">
        <v>27</v>
      </c>
      <c r="AP50" s="162" t="s">
        <v>28</v>
      </c>
      <c r="AQ50" s="162" t="s">
        <v>29</v>
      </c>
      <c r="AR50" s="162" t="s">
        <v>32</v>
      </c>
      <c r="AS50" s="162" t="s">
        <v>220</v>
      </c>
      <c r="AT50" s="162" t="s">
        <v>157</v>
      </c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3"/>
      <c r="BI50" s="293"/>
      <c r="BJ50" s="293"/>
      <c r="BK50" s="293"/>
      <c r="BL50" s="293"/>
      <c r="BM50" s="293"/>
      <c r="BN50" s="293"/>
      <c r="BO50" s="293"/>
      <c r="BP50" s="53"/>
      <c r="BQ50" s="162" t="s">
        <v>20</v>
      </c>
      <c r="BR50" s="162" t="s">
        <v>21</v>
      </c>
      <c r="BS50" s="162" t="s">
        <v>154</v>
      </c>
      <c r="BT50" s="162" t="s">
        <v>23</v>
      </c>
      <c r="BU50" s="162" t="s">
        <v>219</v>
      </c>
      <c r="BV50" s="162" t="s">
        <v>27</v>
      </c>
      <c r="BW50" s="162" t="s">
        <v>28</v>
      </c>
      <c r="BX50" s="162" t="s">
        <v>29</v>
      </c>
      <c r="BY50" s="162" t="s">
        <v>32</v>
      </c>
      <c r="BZ50" s="162" t="s">
        <v>220</v>
      </c>
      <c r="CA50" s="162" t="s">
        <v>157</v>
      </c>
      <c r="CB50" s="293"/>
      <c r="CC50" s="293"/>
      <c r="CD50" s="293"/>
      <c r="CE50" s="293"/>
      <c r="CF50" s="293"/>
      <c r="CG50" s="293"/>
      <c r="CH50" s="293"/>
      <c r="CI50" s="293"/>
      <c r="CJ50" s="293"/>
      <c r="CK50" s="293"/>
      <c r="CL50" s="293"/>
      <c r="CM50" s="293"/>
      <c r="CN50" s="293"/>
      <c r="CO50" s="293"/>
      <c r="CP50" s="293"/>
      <c r="CQ50" s="293"/>
      <c r="CR50" s="293"/>
      <c r="CS50" s="293"/>
      <c r="CT50" s="293"/>
      <c r="CU50" s="293"/>
      <c r="CV50" s="293"/>
      <c r="CW50" s="53"/>
      <c r="CX50" s="162" t="s">
        <v>20</v>
      </c>
      <c r="CY50" s="162" t="s">
        <v>21</v>
      </c>
      <c r="CZ50" s="162" t="s">
        <v>154</v>
      </c>
      <c r="DA50" s="162" t="s">
        <v>23</v>
      </c>
      <c r="DB50" s="162" t="s">
        <v>219</v>
      </c>
      <c r="DC50" s="162" t="s">
        <v>27</v>
      </c>
      <c r="DD50" s="162" t="s">
        <v>28</v>
      </c>
      <c r="DE50" s="162" t="s">
        <v>29</v>
      </c>
      <c r="DF50" s="162" t="s">
        <v>32</v>
      </c>
      <c r="DG50" s="162" t="s">
        <v>220</v>
      </c>
      <c r="DH50" s="162" t="s">
        <v>157</v>
      </c>
      <c r="DI50" s="293"/>
      <c r="DJ50" s="293"/>
      <c r="DK50" s="293"/>
      <c r="DL50" s="293"/>
      <c r="DM50" s="293"/>
      <c r="DN50" s="293"/>
      <c r="DO50" s="293"/>
      <c r="DP50" s="293"/>
      <c r="DQ50" s="293"/>
      <c r="DR50" s="293"/>
      <c r="DS50" s="293"/>
      <c r="DT50" s="293"/>
      <c r="DU50" s="293"/>
      <c r="DV50" s="293"/>
      <c r="DW50" s="293"/>
      <c r="DX50" s="293"/>
      <c r="DY50" s="293"/>
      <c r="DZ50" s="293"/>
      <c r="EA50" s="293"/>
      <c r="EB50" s="293"/>
      <c r="EC50" s="293"/>
      <c r="ED50" s="53"/>
      <c r="EE50" s="326" t="s">
        <v>20</v>
      </c>
      <c r="EF50" s="326" t="s">
        <v>21</v>
      </c>
      <c r="EG50" s="326" t="s">
        <v>154</v>
      </c>
      <c r="EH50" s="326" t="s">
        <v>23</v>
      </c>
      <c r="EI50" s="326" t="s">
        <v>219</v>
      </c>
      <c r="EJ50" s="326" t="s">
        <v>27</v>
      </c>
      <c r="EK50" s="326" t="s">
        <v>28</v>
      </c>
      <c r="EL50" s="326" t="s">
        <v>29</v>
      </c>
      <c r="EM50" s="326" t="s">
        <v>32</v>
      </c>
      <c r="EN50" s="326" t="s">
        <v>220</v>
      </c>
      <c r="EO50" s="326" t="s">
        <v>157</v>
      </c>
      <c r="EP50" s="53"/>
      <c r="EQ50" s="53"/>
      <c r="ER50" s="192"/>
      <c r="ES50" s="192"/>
      <c r="ET50" s="192"/>
      <c r="EU50" s="192"/>
      <c r="EV50" s="192"/>
      <c r="EW50" s="192"/>
      <c r="EX50" s="192"/>
      <c r="EY50" s="192"/>
      <c r="EZ50" s="192"/>
      <c r="FA50" s="192"/>
      <c r="FB50" s="192"/>
      <c r="FC50" s="192"/>
      <c r="FD50" s="192"/>
      <c r="FE50" s="192"/>
      <c r="FF50" s="192"/>
      <c r="FG50" s="192"/>
      <c r="FH50" s="192"/>
      <c r="FI50" s="192"/>
      <c r="FJ50" s="192"/>
      <c r="FK50" s="53"/>
      <c r="FL50" s="53"/>
      <c r="FM50" s="53"/>
      <c r="FN50" s="326" t="s">
        <v>20</v>
      </c>
      <c r="FO50" s="326" t="s">
        <v>21</v>
      </c>
      <c r="FP50" s="326" t="s">
        <v>154</v>
      </c>
      <c r="FQ50" s="326" t="s">
        <v>23</v>
      </c>
      <c r="FR50" s="326" t="s">
        <v>219</v>
      </c>
      <c r="FS50" s="326" t="s">
        <v>27</v>
      </c>
      <c r="FT50" s="326" t="s">
        <v>28</v>
      </c>
      <c r="FU50" s="326" t="s">
        <v>29</v>
      </c>
      <c r="FV50" s="326" t="s">
        <v>32</v>
      </c>
      <c r="FW50" s="326" t="s">
        <v>220</v>
      </c>
      <c r="FX50" s="326" t="s">
        <v>157</v>
      </c>
      <c r="FY50" s="53"/>
      <c r="FZ50" s="192"/>
      <c r="GA50" s="192"/>
      <c r="GB50" s="192"/>
      <c r="GC50" s="192"/>
      <c r="GD50" s="192"/>
      <c r="GE50" s="192"/>
      <c r="GF50" s="192"/>
      <c r="GG50" s="192"/>
      <c r="GH50" s="192"/>
      <c r="GI50" s="192"/>
      <c r="GJ50" s="192"/>
      <c r="GK50" s="192"/>
      <c r="GL50" s="192"/>
      <c r="GM50" s="192"/>
      <c r="GN50" s="192"/>
      <c r="GO50" s="192"/>
      <c r="GP50" s="192"/>
      <c r="GQ50" s="192"/>
      <c r="GR50" s="192"/>
      <c r="GS50" s="192"/>
      <c r="GT50" s="53"/>
      <c r="GU50" s="53"/>
      <c r="GV50" s="326" t="s">
        <v>20</v>
      </c>
      <c r="GW50" s="326" t="s">
        <v>21</v>
      </c>
      <c r="GX50" s="326" t="s">
        <v>154</v>
      </c>
      <c r="GY50" s="326" t="s">
        <v>23</v>
      </c>
      <c r="GZ50" s="326" t="s">
        <v>36</v>
      </c>
      <c r="HA50" s="326" t="s">
        <v>37</v>
      </c>
      <c r="HB50" s="326" t="s">
        <v>221</v>
      </c>
      <c r="HC50" s="326" t="s">
        <v>222</v>
      </c>
      <c r="HD50" s="326" t="s">
        <v>223</v>
      </c>
      <c r="HE50" s="326" t="s">
        <v>224</v>
      </c>
      <c r="HF50" s="326" t="s">
        <v>225</v>
      </c>
      <c r="HI50" s="192"/>
      <c r="HJ50" s="192"/>
      <c r="HK50" s="192"/>
      <c r="HL50" s="192"/>
      <c r="HM50" s="192"/>
      <c r="HN50" s="192"/>
      <c r="HO50" s="192"/>
      <c r="HP50" s="192"/>
      <c r="HQ50" s="192"/>
      <c r="HR50" s="192"/>
      <c r="HS50" s="192"/>
      <c r="HT50" s="192"/>
      <c r="HU50" s="192"/>
      <c r="HV50" s="192"/>
      <c r="HW50" s="192"/>
      <c r="HX50" s="192"/>
      <c r="HY50" s="192"/>
      <c r="HZ50" s="192"/>
      <c r="IA50" s="192"/>
      <c r="IB50" s="53"/>
      <c r="IC50" s="53"/>
      <c r="ID50" s="326" t="s">
        <v>20</v>
      </c>
      <c r="IE50" s="326" t="s">
        <v>21</v>
      </c>
      <c r="IF50" s="326" t="s">
        <v>22</v>
      </c>
      <c r="IG50" s="326" t="s">
        <v>23</v>
      </c>
      <c r="IH50" s="326" t="s">
        <v>219</v>
      </c>
      <c r="II50" s="326" t="s">
        <v>27</v>
      </c>
      <c r="IJ50" s="326" t="s">
        <v>159</v>
      </c>
      <c r="IK50" s="326" t="s">
        <v>29</v>
      </c>
      <c r="IL50" s="326" t="s">
        <v>32</v>
      </c>
      <c r="IM50" s="326" t="s">
        <v>220</v>
      </c>
      <c r="IN50" s="326" t="s">
        <v>157</v>
      </c>
      <c r="IP50" s="11"/>
      <c r="IQ50" s="192"/>
      <c r="IR50" s="192"/>
      <c r="IS50" s="192"/>
      <c r="IT50" s="192"/>
      <c r="IU50" s="192"/>
      <c r="IV50" s="192"/>
      <c r="IW50" s="192"/>
      <c r="IX50" s="192"/>
      <c r="IY50" s="192"/>
      <c r="IZ50" s="192"/>
      <c r="JA50" s="192"/>
      <c r="JB50" s="192"/>
      <c r="JC50" s="192"/>
      <c r="JD50" s="192"/>
      <c r="JE50" s="192"/>
      <c r="JF50" s="192"/>
      <c r="JG50" s="192"/>
      <c r="JH50" s="192"/>
      <c r="JI50" s="192"/>
      <c r="JJ50" s="53"/>
      <c r="JK50" s="53"/>
      <c r="JL50" s="326" t="s">
        <v>20</v>
      </c>
      <c r="JM50" s="326" t="s">
        <v>21</v>
      </c>
      <c r="JN50" s="326" t="s">
        <v>23</v>
      </c>
      <c r="JO50" s="326" t="s">
        <v>219</v>
      </c>
      <c r="JP50" s="326" t="s">
        <v>27</v>
      </c>
      <c r="JQ50" s="326" t="s">
        <v>159</v>
      </c>
      <c r="JR50" s="326" t="s">
        <v>29</v>
      </c>
      <c r="JS50" s="326" t="s">
        <v>32</v>
      </c>
      <c r="JT50" s="326" t="s">
        <v>220</v>
      </c>
      <c r="JU50" s="326" t="s">
        <v>157</v>
      </c>
      <c r="JV50" s="192"/>
      <c r="JW50" s="192"/>
      <c r="JX50" s="192"/>
      <c r="JY50" s="192"/>
      <c r="JZ50" s="192"/>
      <c r="KA50" s="192"/>
      <c r="KB50" s="192"/>
      <c r="KC50" s="192"/>
      <c r="KD50" s="192"/>
      <c r="KE50" s="192"/>
      <c r="KF50" s="192"/>
      <c r="KG50" s="192"/>
      <c r="KH50" s="192"/>
      <c r="KI50" s="192"/>
      <c r="KJ50" s="192"/>
      <c r="KK50" s="192"/>
      <c r="KL50" s="192"/>
      <c r="KM50" s="192"/>
      <c r="KN50" s="192"/>
      <c r="KO50" s="192"/>
      <c r="KP50" s="192"/>
      <c r="KQ50" s="192"/>
      <c r="KR50" s="53"/>
      <c r="KS50" s="53"/>
      <c r="KT50" s="326" t="s">
        <v>20</v>
      </c>
      <c r="KU50" s="326" t="s">
        <v>21</v>
      </c>
      <c r="KV50" s="326" t="s">
        <v>23</v>
      </c>
      <c r="KW50" s="326" t="s">
        <v>219</v>
      </c>
      <c r="KX50" s="326" t="s">
        <v>27</v>
      </c>
      <c r="KY50" s="326" t="s">
        <v>159</v>
      </c>
      <c r="KZ50" s="326" t="s">
        <v>29</v>
      </c>
      <c r="LA50" s="326" t="s">
        <v>32</v>
      </c>
      <c r="LB50" s="326" t="s">
        <v>220</v>
      </c>
      <c r="LC50" s="326" t="s">
        <v>157</v>
      </c>
      <c r="LD50" s="11"/>
      <c r="LE50" s="11"/>
      <c r="LF50" s="11"/>
      <c r="LG50" s="192"/>
      <c r="LH50" s="192"/>
      <c r="LI50" s="192"/>
      <c r="LJ50" s="192"/>
      <c r="LK50" s="192"/>
      <c r="LL50" s="192"/>
      <c r="LM50" s="192"/>
      <c r="LN50" s="192"/>
      <c r="LO50" s="192"/>
      <c r="LP50" s="192"/>
      <c r="LQ50" s="192"/>
      <c r="LR50" s="192"/>
      <c r="LS50" s="192"/>
      <c r="LT50" s="192"/>
      <c r="LU50" s="192"/>
      <c r="LV50" s="192"/>
      <c r="LW50" s="192"/>
      <c r="LX50" s="192"/>
      <c r="LY50" s="192"/>
      <c r="LZ50" s="192"/>
      <c r="MA50" s="192"/>
      <c r="MB50" s="326" t="s">
        <v>20</v>
      </c>
      <c r="MC50" s="326" t="s">
        <v>21</v>
      </c>
      <c r="MD50" s="326" t="s">
        <v>23</v>
      </c>
      <c r="ME50" s="326" t="s">
        <v>219</v>
      </c>
      <c r="MF50" s="326" t="s">
        <v>27</v>
      </c>
      <c r="MG50" s="326" t="s">
        <v>159</v>
      </c>
      <c r="MH50" s="326" t="s">
        <v>29</v>
      </c>
      <c r="MI50" s="326" t="s">
        <v>32</v>
      </c>
      <c r="MJ50" s="326" t="s">
        <v>220</v>
      </c>
      <c r="MK50" s="326" t="s">
        <v>157</v>
      </c>
      <c r="MO50" s="192"/>
      <c r="MP50" s="192"/>
      <c r="MQ50" s="192"/>
      <c r="MR50" s="192"/>
      <c r="MS50" s="192"/>
      <c r="MT50" s="192"/>
      <c r="MU50" s="192"/>
      <c r="MV50" s="192"/>
      <c r="MW50" s="192"/>
      <c r="MX50" s="192"/>
      <c r="MY50" s="192"/>
      <c r="MZ50" s="192"/>
      <c r="NA50" s="192"/>
      <c r="NB50" s="192"/>
      <c r="NC50" s="192"/>
      <c r="ND50" s="192"/>
      <c r="NE50" s="192"/>
      <c r="NF50" s="192"/>
      <c r="NG50" s="192"/>
      <c r="NH50" s="53"/>
      <c r="NI50" s="53"/>
      <c r="NJ50" s="326" t="s">
        <v>20</v>
      </c>
      <c r="NK50" s="326" t="s">
        <v>21</v>
      </c>
      <c r="NL50" s="326" t="s">
        <v>23</v>
      </c>
      <c r="NM50" s="326" t="s">
        <v>219</v>
      </c>
      <c r="NN50" s="326" t="s">
        <v>27</v>
      </c>
      <c r="NO50" s="326" t="s">
        <v>159</v>
      </c>
      <c r="NP50" s="326" t="s">
        <v>29</v>
      </c>
      <c r="NQ50" s="326" t="s">
        <v>32</v>
      </c>
      <c r="NR50" s="326" t="s">
        <v>220</v>
      </c>
      <c r="NS50" s="326" t="s">
        <v>157</v>
      </c>
      <c r="NT50" s="46"/>
      <c r="NU50" s="46"/>
      <c r="NV50" s="46"/>
      <c r="NW50" s="53"/>
      <c r="NX50" s="53"/>
      <c r="NY50" s="53"/>
      <c r="NZ50" s="53"/>
      <c r="OA50" s="53"/>
      <c r="OB50" s="53"/>
      <c r="OC50" s="53"/>
      <c r="OD50" s="53"/>
      <c r="OE50" s="53"/>
      <c r="OF50" s="53"/>
      <c r="OG50" s="53"/>
      <c r="OH50" s="53"/>
      <c r="OI50" s="53"/>
      <c r="OJ50" s="53"/>
      <c r="OK50" s="53"/>
      <c r="OL50" s="53"/>
      <c r="OM50" s="53"/>
      <c r="ON50" s="53"/>
      <c r="OO50" s="53"/>
      <c r="OP50" s="53"/>
      <c r="OQ50" s="53"/>
      <c r="OR50" s="53"/>
      <c r="OS50" s="170" t="s">
        <v>20</v>
      </c>
      <c r="OT50" s="170" t="s">
        <v>21</v>
      </c>
      <c r="OU50" s="170" t="s">
        <v>23</v>
      </c>
      <c r="OV50" s="170" t="s">
        <v>219</v>
      </c>
      <c r="OW50" s="170" t="s">
        <v>27</v>
      </c>
      <c r="OX50" s="170" t="s">
        <v>159</v>
      </c>
      <c r="OY50" s="170" t="s">
        <v>29</v>
      </c>
      <c r="OZ50" s="170" t="s">
        <v>32</v>
      </c>
      <c r="PA50" s="170" t="s">
        <v>220</v>
      </c>
      <c r="PB50" s="170" t="s">
        <v>157</v>
      </c>
      <c r="PC50" s="144"/>
      <c r="PD50" s="144"/>
      <c r="PE50" s="144"/>
      <c r="PF50" s="144"/>
      <c r="PG50" s="144"/>
      <c r="PH50" s="144"/>
      <c r="PI50" s="144"/>
      <c r="PJ50" s="144"/>
      <c r="PK50" s="144"/>
      <c r="PL50" s="144"/>
      <c r="PM50" s="144"/>
      <c r="PN50" s="144"/>
      <c r="PO50" s="144"/>
      <c r="PP50" s="144"/>
      <c r="PQ50" s="144"/>
      <c r="PR50" s="144"/>
      <c r="PS50" s="144"/>
      <c r="PT50" s="146"/>
      <c r="PU50" s="170" t="s">
        <v>20</v>
      </c>
      <c r="PV50" s="170" t="s">
        <v>21</v>
      </c>
      <c r="PW50" s="170" t="s">
        <v>23</v>
      </c>
      <c r="PX50" s="170" t="s">
        <v>219</v>
      </c>
      <c r="PY50" s="170" t="s">
        <v>27</v>
      </c>
      <c r="PZ50" s="170" t="s">
        <v>56</v>
      </c>
      <c r="QA50" s="170" t="s">
        <v>57</v>
      </c>
      <c r="QB50" s="170" t="s">
        <v>32</v>
      </c>
      <c r="QC50" s="170" t="s">
        <v>220</v>
      </c>
      <c r="QD50" s="170" t="s">
        <v>157</v>
      </c>
      <c r="QE50" s="146"/>
      <c r="QF50" s="146"/>
      <c r="QG50" s="146"/>
      <c r="QH50" s="146"/>
      <c r="QI50" s="146"/>
      <c r="QJ50" s="146"/>
      <c r="QK50" s="146"/>
      <c r="QL50" s="146"/>
      <c r="QM50" s="146"/>
      <c r="QN50" s="146"/>
      <c r="QO50" s="146"/>
      <c r="QP50" s="146"/>
      <c r="QQ50" s="146"/>
      <c r="QR50" s="146"/>
      <c r="QS50" s="144"/>
      <c r="QT50" s="144"/>
      <c r="QU50" s="144"/>
      <c r="QV50" s="144"/>
      <c r="QW50" s="144"/>
      <c r="QX50" s="144"/>
      <c r="QY50" s="144"/>
      <c r="QZ50" s="144"/>
      <c r="RA50" s="144"/>
      <c r="RB50" s="144"/>
      <c r="RC50" s="144"/>
      <c r="RD50" s="144"/>
      <c r="RE50" s="144"/>
      <c r="RF50" s="144"/>
      <c r="RG50" s="144"/>
      <c r="RH50" s="144"/>
      <c r="RI50" s="144"/>
      <c r="RJ50" s="144"/>
      <c r="RK50" s="144"/>
      <c r="RL50" s="144"/>
      <c r="RM50" s="144"/>
      <c r="RN50" s="144"/>
      <c r="RO50" s="144"/>
      <c r="RP50" s="144"/>
      <c r="RQ50" s="144"/>
      <c r="RR50" s="144"/>
      <c r="RS50" s="144"/>
      <c r="RT50" s="144"/>
      <c r="RU50" s="144"/>
      <c r="RV50" s="144"/>
      <c r="RW50" s="144"/>
      <c r="RX50" s="144"/>
      <c r="RY50" s="144"/>
      <c r="RZ50" s="144"/>
      <c r="SA50" s="144"/>
      <c r="SB50" s="144"/>
      <c r="SC50" s="144"/>
      <c r="SD50" s="144"/>
      <c r="SE50" s="144"/>
      <c r="SF50" s="144"/>
      <c r="SG50" s="144"/>
      <c r="SH50" s="144"/>
      <c r="SI50" s="144"/>
      <c r="SJ50" s="144"/>
      <c r="SK50" s="144"/>
      <c r="SL50" s="144"/>
      <c r="SM50" s="84"/>
      <c r="SN50" s="84"/>
      <c r="SO50" s="154"/>
      <c r="SP50" s="154"/>
      <c r="SQ50" s="154"/>
      <c r="SR50" s="154"/>
      <c r="SS50" s="154"/>
      <c r="ST50" s="154"/>
      <c r="SU50" s="155"/>
      <c r="SV50" s="154"/>
      <c r="SW50" s="154"/>
      <c r="SX50" s="155"/>
      <c r="SY50" s="155"/>
      <c r="SZ50" s="155"/>
      <c r="TA50" s="155"/>
      <c r="TB50" s="155"/>
      <c r="TC50" s="155"/>
      <c r="TD50" s="155"/>
      <c r="TE50" s="156"/>
      <c r="TF50" s="144"/>
      <c r="TG50" s="84"/>
      <c r="TH50" s="144"/>
      <c r="TI50" s="144"/>
      <c r="TJ50" s="144"/>
      <c r="TK50" s="144"/>
      <c r="TL50" s="157"/>
      <c r="TM50" s="157"/>
      <c r="TN50" s="157"/>
      <c r="TO50" s="157"/>
      <c r="TP50" s="157"/>
      <c r="TQ50" s="157"/>
      <c r="TR50" s="157"/>
      <c r="TS50" s="157"/>
      <c r="TT50" s="157"/>
      <c r="TU50" s="158"/>
      <c r="TV50" s="157"/>
      <c r="TW50" s="158"/>
      <c r="TX50" s="144"/>
      <c r="TY50" s="144"/>
      <c r="TZ50" s="144"/>
      <c r="UA50" s="84"/>
      <c r="UB50" s="144"/>
      <c r="UC50" s="144"/>
      <c r="UD50" s="144"/>
      <c r="UE50" s="144"/>
      <c r="UF50" s="157"/>
      <c r="UG50" s="157"/>
      <c r="UH50" s="157"/>
      <c r="UI50" s="157"/>
      <c r="UJ50" s="157"/>
      <c r="UK50" s="157"/>
      <c r="UL50" s="157"/>
      <c r="UM50" s="157"/>
      <c r="UN50" s="157"/>
      <c r="UO50" s="157"/>
      <c r="UP50" s="157"/>
      <c r="UQ50" s="158"/>
      <c r="UR50" s="157"/>
      <c r="US50" s="158"/>
      <c r="UT50" s="144"/>
      <c r="UU50" s="144"/>
      <c r="UV50" s="144"/>
      <c r="UW50" s="144"/>
      <c r="UX50" s="144"/>
      <c r="UY50" s="144"/>
      <c r="UZ50" s="144"/>
      <c r="VA50" s="144"/>
      <c r="VB50" s="157"/>
      <c r="VC50" s="157"/>
      <c r="VD50" s="157"/>
      <c r="VE50" s="157"/>
      <c r="VF50" s="157"/>
      <c r="VG50" s="157"/>
      <c r="VH50" s="157"/>
      <c r="VI50" s="157"/>
      <c r="VJ50" s="157"/>
      <c r="VK50" s="157"/>
      <c r="VL50" s="157"/>
      <c r="VM50" s="157"/>
      <c r="VN50" s="157"/>
      <c r="VO50" s="157"/>
      <c r="VP50" s="144"/>
      <c r="VQ50" s="144"/>
      <c r="VR50" s="84"/>
      <c r="VS50" s="84"/>
      <c r="VT50" s="53"/>
      <c r="VU50" s="53"/>
    </row>
    <row r="51" ht="15.75" spans="1:593">
      <c r="A51" s="53"/>
      <c r="B51" s="53"/>
      <c r="C51" s="327" t="s">
        <v>117</v>
      </c>
      <c r="D51" s="327">
        <f t="shared" ref="D51:D54" si="501">D4</f>
        <v>3</v>
      </c>
      <c r="E51" s="327">
        <f t="shared" ref="E51:E54" si="502">E4</f>
        <v>2</v>
      </c>
      <c r="F51" s="327">
        <f t="shared" ref="F51:F57" si="503">E4</f>
        <v>2</v>
      </c>
      <c r="G51" s="161">
        <f t="shared" ref="G51:J51" si="504">I4</f>
        <v>5476</v>
      </c>
      <c r="H51" s="161">
        <f t="shared" si="504"/>
        <v>829366</v>
      </c>
      <c r="I51" s="161">
        <f t="shared" si="504"/>
        <v>1150492</v>
      </c>
      <c r="J51" s="161">
        <f t="shared" si="504"/>
        <v>666493.12</v>
      </c>
      <c r="K51" s="179">
        <f t="shared" ref="K51:K54" si="505">I51-J51</f>
        <v>483998.88</v>
      </c>
      <c r="L51" s="328">
        <f t="shared" ref="L51:L54" si="506">K51/I51</f>
        <v>0.420688609742614</v>
      </c>
      <c r="M51" s="162">
        <f t="shared" ref="M51:M54" si="507">I51/G51</f>
        <v>210.097151205259</v>
      </c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93"/>
      <c r="AB51" s="293"/>
      <c r="AC51" s="293"/>
      <c r="AD51" s="293"/>
      <c r="AE51" s="293"/>
      <c r="AF51" s="293"/>
      <c r="AG51" s="293"/>
      <c r="AH51" s="293"/>
      <c r="AI51" s="53"/>
      <c r="AJ51" s="327" t="s">
        <v>117</v>
      </c>
      <c r="AK51" s="327">
        <f t="shared" ref="AK51:AK54" si="508">AK4</f>
        <v>1</v>
      </c>
      <c r="AL51" s="327">
        <f t="shared" ref="AL51:AL54" si="509">AL4</f>
        <v>2</v>
      </c>
      <c r="AM51" s="327">
        <f t="shared" ref="AM51:AM57" si="510">AL4</f>
        <v>2</v>
      </c>
      <c r="AN51" s="161">
        <f t="shared" ref="AN51:AQ51" si="511">AP4</f>
        <v>6062</v>
      </c>
      <c r="AO51" s="161">
        <f t="shared" si="511"/>
        <v>888457</v>
      </c>
      <c r="AP51" s="161">
        <f t="shared" si="511"/>
        <v>1207999</v>
      </c>
      <c r="AQ51" s="161">
        <f t="shared" si="511"/>
        <v>860977.4</v>
      </c>
      <c r="AR51" s="179">
        <f t="shared" ref="AR51:AR54" si="512">AP51-AQ51</f>
        <v>347021.6</v>
      </c>
      <c r="AS51" s="328">
        <f t="shared" ref="AS51:AS54" si="513">AR51/AP51</f>
        <v>0.287269774229946</v>
      </c>
      <c r="AT51" s="162">
        <f t="shared" ref="AT51:AT54" si="514">AP51/AN51</f>
        <v>199.274001979545</v>
      </c>
      <c r="AU51" s="293"/>
      <c r="AV51" s="293"/>
      <c r="AW51" s="293"/>
      <c r="AX51" s="293"/>
      <c r="AY51" s="293"/>
      <c r="AZ51" s="293"/>
      <c r="BA51" s="293"/>
      <c r="BB51" s="293"/>
      <c r="BC51" s="293"/>
      <c r="BD51" s="293"/>
      <c r="BE51" s="293"/>
      <c r="BF51" s="293"/>
      <c r="BG51" s="293"/>
      <c r="BH51" s="293"/>
      <c r="BI51" s="293"/>
      <c r="BJ51" s="293"/>
      <c r="BK51" s="293"/>
      <c r="BL51" s="293"/>
      <c r="BM51" s="293"/>
      <c r="BN51" s="293"/>
      <c r="BO51" s="293"/>
      <c r="BP51" s="53"/>
      <c r="BQ51" s="327" t="s">
        <v>117</v>
      </c>
      <c r="BR51" s="327">
        <f t="shared" ref="BR51:BT51" si="515">BR4</f>
        <v>1</v>
      </c>
      <c r="BS51" s="327">
        <f t="shared" si="515"/>
        <v>2</v>
      </c>
      <c r="BT51" s="327">
        <f t="shared" si="515"/>
        <v>68</v>
      </c>
      <c r="BU51" s="161">
        <f t="shared" ref="BU51:BX51" si="516">BW4</f>
        <v>4842</v>
      </c>
      <c r="BV51" s="161">
        <f t="shared" si="516"/>
        <v>770219</v>
      </c>
      <c r="BW51" s="161">
        <f t="shared" si="516"/>
        <v>1085316</v>
      </c>
      <c r="BX51" s="161">
        <f t="shared" si="516"/>
        <v>742565.75</v>
      </c>
      <c r="BY51" s="179">
        <f t="shared" ref="BY51:BY54" si="517">BW51-BX51</f>
        <v>342750.25</v>
      </c>
      <c r="BZ51" s="328">
        <f t="shared" ref="BZ51:BZ54" si="518">BY51/BW51</f>
        <v>0.315806870994254</v>
      </c>
      <c r="CA51" s="162">
        <f t="shared" ref="CA51:CA54" si="519">BW51/BU51</f>
        <v>224.146220570012</v>
      </c>
      <c r="CB51" s="293"/>
      <c r="CC51" s="293"/>
      <c r="CD51" s="293"/>
      <c r="CE51" s="293"/>
      <c r="CF51" s="293"/>
      <c r="CG51" s="293"/>
      <c r="CH51" s="293"/>
      <c r="CI51" s="293"/>
      <c r="CJ51" s="293"/>
      <c r="CK51" s="293"/>
      <c r="CL51" s="293"/>
      <c r="CM51" s="293"/>
      <c r="CN51" s="293"/>
      <c r="CO51" s="293"/>
      <c r="CP51" s="293"/>
      <c r="CQ51" s="293"/>
      <c r="CR51" s="293"/>
      <c r="CS51" s="293"/>
      <c r="CT51" s="293"/>
      <c r="CU51" s="293"/>
      <c r="CV51" s="293"/>
      <c r="CW51" s="53"/>
      <c r="CX51" s="327" t="s">
        <v>117</v>
      </c>
      <c r="CY51" s="327" t="str">
        <f t="shared" ref="CY51:DA51" si="520">CX4</f>
        <v>PH09</v>
      </c>
      <c r="CZ51" s="327">
        <f t="shared" si="520"/>
        <v>1</v>
      </c>
      <c r="DA51" s="327">
        <f t="shared" si="520"/>
        <v>0</v>
      </c>
      <c r="DB51" s="161">
        <f t="shared" ref="DB51:DE51" si="521">DD4</f>
        <v>4754</v>
      </c>
      <c r="DC51" s="161">
        <f t="shared" si="521"/>
        <v>679684</v>
      </c>
      <c r="DD51" s="161">
        <f t="shared" si="521"/>
        <v>900282</v>
      </c>
      <c r="DE51" s="161">
        <f t="shared" si="521"/>
        <v>557096.5</v>
      </c>
      <c r="DF51" s="179">
        <f t="shared" ref="DF51:DF54" si="522">DD51-DE51</f>
        <v>343185.5</v>
      </c>
      <c r="DG51" s="328">
        <f t="shared" ref="DG51:DG54" si="523">DF51/DD51</f>
        <v>0.381197780251077</v>
      </c>
      <c r="DH51" s="162">
        <f t="shared" ref="DH51:DH54" si="524">DD51/DB51</f>
        <v>189.373580143037</v>
      </c>
      <c r="DI51" s="293"/>
      <c r="DJ51" s="293"/>
      <c r="DK51" s="293"/>
      <c r="DL51" s="293"/>
      <c r="DM51" s="293"/>
      <c r="DN51" s="293"/>
      <c r="DO51" s="293"/>
      <c r="DP51" s="293"/>
      <c r="DQ51" s="293"/>
      <c r="DR51" s="293"/>
      <c r="DS51" s="293"/>
      <c r="DT51" s="293"/>
      <c r="DU51" s="293"/>
      <c r="DV51" s="293"/>
      <c r="DW51" s="293"/>
      <c r="DX51" s="293"/>
      <c r="DY51" s="293"/>
      <c r="DZ51" s="293"/>
      <c r="EA51" s="293"/>
      <c r="EB51" s="293"/>
      <c r="EC51" s="293"/>
      <c r="ED51" s="53"/>
      <c r="EE51" s="329" t="s">
        <v>117</v>
      </c>
      <c r="EF51" s="329">
        <f t="shared" ref="EF51:EH51" si="525">EF4</f>
        <v>2</v>
      </c>
      <c r="EG51" s="329">
        <f t="shared" si="525"/>
        <v>0</v>
      </c>
      <c r="EH51" s="329">
        <f t="shared" si="525"/>
        <v>56</v>
      </c>
      <c r="EI51" s="330">
        <f t="shared" ref="EI51:EL51" si="526">EK4</f>
        <v>6732</v>
      </c>
      <c r="EJ51" s="330">
        <f t="shared" si="526"/>
        <v>999267</v>
      </c>
      <c r="EK51" s="330">
        <f t="shared" si="526"/>
        <v>1357410</v>
      </c>
      <c r="EL51" s="330">
        <f t="shared" si="526"/>
        <v>830117.5</v>
      </c>
      <c r="EM51" s="331">
        <f t="shared" ref="EM51:EM54" si="527">EK51-EL51</f>
        <v>527292.5</v>
      </c>
      <c r="EN51" s="332">
        <f t="shared" ref="EN51:EN54" si="528">EM51/EK51</f>
        <v>0.388454851518701</v>
      </c>
      <c r="EO51" s="333">
        <f t="shared" ref="EO51:EO54" si="529">EK51/EI51</f>
        <v>201.635472370766</v>
      </c>
      <c r="EP51" s="53"/>
      <c r="EQ51" s="53"/>
      <c r="ER51" s="192"/>
      <c r="ES51" s="192"/>
      <c r="ET51" s="192"/>
      <c r="EU51" s="192"/>
      <c r="EV51" s="192"/>
      <c r="EW51" s="192"/>
      <c r="EX51" s="192"/>
      <c r="EY51" s="192"/>
      <c r="EZ51" s="192"/>
      <c r="FA51" s="192"/>
      <c r="FB51" s="192"/>
      <c r="FC51" s="192"/>
      <c r="FD51" s="192"/>
      <c r="FE51" s="192"/>
      <c r="FF51" s="192"/>
      <c r="FG51" s="192"/>
      <c r="FH51" s="192"/>
      <c r="FI51" s="192"/>
      <c r="FJ51" s="192"/>
      <c r="FK51" s="53"/>
      <c r="FL51" s="53"/>
      <c r="FM51" s="53"/>
      <c r="FN51" s="329" t="s">
        <v>117</v>
      </c>
      <c r="FO51" s="329">
        <f t="shared" ref="FO51:FQ51" si="530">FO4</f>
        <v>2</v>
      </c>
      <c r="FP51" s="329">
        <f t="shared" si="530"/>
        <v>2</v>
      </c>
      <c r="FQ51" s="329">
        <f t="shared" si="530"/>
        <v>91</v>
      </c>
      <c r="FR51" s="330">
        <f t="shared" ref="FR51:FU51" si="531">FT4</f>
        <v>8247</v>
      </c>
      <c r="FS51" s="330">
        <f t="shared" si="531"/>
        <v>1265120</v>
      </c>
      <c r="FT51" s="330">
        <f t="shared" si="531"/>
        <v>1814282</v>
      </c>
      <c r="FU51" s="330">
        <f t="shared" si="531"/>
        <v>1247205</v>
      </c>
      <c r="FV51" s="331">
        <f t="shared" ref="FV51:FV54" si="532">FT51-FU51</f>
        <v>567077</v>
      </c>
      <c r="FW51" s="332">
        <f t="shared" ref="FW51:FW54" si="533">FV51/FT51</f>
        <v>0.312562765876529</v>
      </c>
      <c r="FX51" s="333">
        <f t="shared" ref="FX51:FX54" si="534">FT51/FR51</f>
        <v>219.992967139566</v>
      </c>
      <c r="FY51" s="53"/>
      <c r="FZ51" s="192"/>
      <c r="GA51" s="192"/>
      <c r="GB51" s="192"/>
      <c r="GC51" s="192"/>
      <c r="GD51" s="192"/>
      <c r="GE51" s="192"/>
      <c r="GF51" s="192"/>
      <c r="GG51" s="192"/>
      <c r="GH51" s="192"/>
      <c r="GI51" s="192"/>
      <c r="GJ51" s="192"/>
      <c r="GK51" s="192"/>
      <c r="GL51" s="192"/>
      <c r="GM51" s="192"/>
      <c r="GN51" s="192"/>
      <c r="GO51" s="192"/>
      <c r="GP51" s="192"/>
      <c r="GQ51" s="192"/>
      <c r="GR51" s="192"/>
      <c r="GS51" s="192"/>
      <c r="GT51" s="53"/>
      <c r="GU51" s="53"/>
      <c r="GV51" s="329" t="s">
        <v>117</v>
      </c>
      <c r="GW51" s="329">
        <f t="shared" ref="GW51:GY51" si="535">GW4</f>
        <v>2</v>
      </c>
      <c r="GX51" s="329">
        <f t="shared" si="535"/>
        <v>2</v>
      </c>
      <c r="GY51" s="329">
        <f t="shared" si="535"/>
        <v>58</v>
      </c>
      <c r="GZ51" s="330">
        <f t="shared" ref="GZ51:HC51" si="536">HB4</f>
        <v>7941</v>
      </c>
      <c r="HA51" s="330">
        <f t="shared" si="536"/>
        <v>1238681</v>
      </c>
      <c r="HB51" s="330">
        <f t="shared" si="536"/>
        <v>1831129</v>
      </c>
      <c r="HC51" s="330">
        <f t="shared" si="536"/>
        <v>1266189</v>
      </c>
      <c r="HD51" s="331">
        <f t="shared" ref="HD51:HD54" si="537">HB51-HC51</f>
        <v>564940</v>
      </c>
      <c r="HE51" s="332">
        <f t="shared" ref="HE51:HE54" si="538">HD51/HB51</f>
        <v>0.308520044191316</v>
      </c>
      <c r="HF51" s="333">
        <f t="shared" ref="HF51:HF54" si="539">HB51/GZ51</f>
        <v>230.591739075683</v>
      </c>
      <c r="HI51" s="192"/>
      <c r="HJ51" s="192"/>
      <c r="HK51" s="192"/>
      <c r="HL51" s="192"/>
      <c r="HM51" s="192"/>
      <c r="HN51" s="192"/>
      <c r="HO51" s="192"/>
      <c r="HP51" s="192"/>
      <c r="HQ51" s="192"/>
      <c r="HR51" s="192"/>
      <c r="HS51" s="192"/>
      <c r="HT51" s="192"/>
      <c r="HU51" s="192"/>
      <c r="HV51" s="192"/>
      <c r="HW51" s="192"/>
      <c r="HX51" s="192"/>
      <c r="HY51" s="192"/>
      <c r="HZ51" s="192"/>
      <c r="IA51" s="192"/>
      <c r="IB51" s="53"/>
      <c r="IC51" s="53"/>
      <c r="ID51" s="329" t="s">
        <v>117</v>
      </c>
      <c r="IE51" s="329">
        <f t="shared" ref="IE51:IE54" si="540">IE4</f>
        <v>5</v>
      </c>
      <c r="IF51" s="329">
        <v>0</v>
      </c>
      <c r="IG51" s="329">
        <f t="shared" ref="IG51:IG61" si="541">IG4</f>
        <v>71</v>
      </c>
      <c r="IH51" s="330">
        <f t="shared" ref="IH51:IK51" si="542">IJ4</f>
        <v>9121</v>
      </c>
      <c r="II51" s="330">
        <f t="shared" si="542"/>
        <v>1451145</v>
      </c>
      <c r="IJ51" s="330">
        <f t="shared" si="542"/>
        <v>2090288</v>
      </c>
      <c r="IK51" s="330">
        <f t="shared" si="542"/>
        <v>1312613.56</v>
      </c>
      <c r="IL51" s="331">
        <f t="shared" ref="IL51:IL54" si="543">IJ51-IK51</f>
        <v>777674.44</v>
      </c>
      <c r="IM51" s="332">
        <f t="shared" ref="IM51:IM54" si="544">IL51/IJ51</f>
        <v>0.372041766493421</v>
      </c>
      <c r="IN51" s="333">
        <f t="shared" ref="IN51:IN54" si="545">IJ51/IH51</f>
        <v>229.173116982787</v>
      </c>
      <c r="IP51" s="11"/>
      <c r="IQ51" s="192"/>
      <c r="IR51" s="192"/>
      <c r="IS51" s="192"/>
      <c r="IT51" s="192"/>
      <c r="IU51" s="192"/>
      <c r="IV51" s="192"/>
      <c r="IW51" s="192"/>
      <c r="IX51" s="192"/>
      <c r="IY51" s="192"/>
      <c r="IZ51" s="192"/>
      <c r="JA51" s="192"/>
      <c r="JB51" s="192"/>
      <c r="JC51" s="192"/>
      <c r="JD51" s="192"/>
      <c r="JE51" s="192"/>
      <c r="JF51" s="192"/>
      <c r="JG51" s="192"/>
      <c r="JH51" s="192"/>
      <c r="JI51" s="192"/>
      <c r="JJ51" s="53"/>
      <c r="JK51" s="53"/>
      <c r="JL51" s="329" t="s">
        <v>117</v>
      </c>
      <c r="JM51" s="329">
        <f t="shared" ref="JM51:JM54" si="546">JM4</f>
        <v>6</v>
      </c>
      <c r="JN51" s="329">
        <f t="shared" ref="JN51:JN61" si="547">JN4</f>
        <v>0</v>
      </c>
      <c r="JO51" s="329">
        <f t="shared" ref="JO51:JR51" si="548">JR4</f>
        <v>6514</v>
      </c>
      <c r="JP51" s="330">
        <f t="shared" si="548"/>
        <v>1018622</v>
      </c>
      <c r="JQ51" s="330">
        <f t="shared" si="548"/>
        <v>1391848</v>
      </c>
      <c r="JR51" s="330">
        <f t="shared" si="548"/>
        <v>802364</v>
      </c>
      <c r="JS51" s="330">
        <f t="shared" ref="JS51:JS54" si="549">JQ51-JR51</f>
        <v>589484</v>
      </c>
      <c r="JT51" s="334">
        <f t="shared" ref="JT51:JT54" si="550">JS51/JQ51</f>
        <v>0.423526132163857</v>
      </c>
      <c r="JU51" s="335">
        <f t="shared" ref="JU51:JU54" si="551">JQ51/JO51</f>
        <v>213.670248695118</v>
      </c>
      <c r="JV51" s="192"/>
      <c r="JW51" s="192"/>
      <c r="JX51" s="192"/>
      <c r="JY51" s="192"/>
      <c r="JZ51" s="192"/>
      <c r="KA51" s="192"/>
      <c r="KB51" s="192"/>
      <c r="KC51" s="192"/>
      <c r="KD51" s="192"/>
      <c r="KE51" s="192"/>
      <c r="KF51" s="192"/>
      <c r="KG51" s="192"/>
      <c r="KH51" s="192"/>
      <c r="KI51" s="192"/>
      <c r="KJ51" s="192"/>
      <c r="KK51" s="192"/>
      <c r="KL51" s="192"/>
      <c r="KM51" s="192"/>
      <c r="KN51" s="192"/>
      <c r="KO51" s="192"/>
      <c r="KP51" s="192"/>
      <c r="KQ51" s="192"/>
      <c r="KR51" s="53"/>
      <c r="KS51" s="53"/>
      <c r="KT51" s="329" t="s">
        <v>117</v>
      </c>
      <c r="KU51" s="329">
        <v>6</v>
      </c>
      <c r="KV51" s="329">
        <v>231</v>
      </c>
      <c r="KW51" s="329">
        <v>12385</v>
      </c>
      <c r="KX51" s="330">
        <v>1916641</v>
      </c>
      <c r="KY51" s="330">
        <v>2855776</v>
      </c>
      <c r="KZ51" s="330">
        <v>1824188</v>
      </c>
      <c r="LA51" s="330">
        <v>1031588</v>
      </c>
      <c r="LB51" s="334">
        <v>0.36122861176787</v>
      </c>
      <c r="LC51" s="335">
        <v>230.583447719015</v>
      </c>
      <c r="LD51" s="11"/>
      <c r="LE51" s="11"/>
      <c r="LF51" s="11"/>
      <c r="LG51" s="192"/>
      <c r="LH51" s="192"/>
      <c r="LI51" s="192"/>
      <c r="LJ51" s="192"/>
      <c r="LK51" s="192"/>
      <c r="LL51" s="192"/>
      <c r="LM51" s="192"/>
      <c r="LN51" s="192"/>
      <c r="LO51" s="192"/>
      <c r="LP51" s="192"/>
      <c r="LQ51" s="192"/>
      <c r="LR51" s="192"/>
      <c r="LS51" s="192"/>
      <c r="LT51" s="192"/>
      <c r="LU51" s="192"/>
      <c r="LV51" s="192"/>
      <c r="LW51" s="192"/>
      <c r="LX51" s="192"/>
      <c r="LY51" s="192"/>
      <c r="LZ51" s="192"/>
      <c r="MA51" s="192"/>
      <c r="MB51" s="329" t="s">
        <v>117</v>
      </c>
      <c r="MC51" s="329">
        <f t="shared" ref="MC51:MC54" si="552">MC4</f>
        <v>7</v>
      </c>
      <c r="MD51" s="329">
        <f t="shared" ref="MD51:MD61" si="553">ME4</f>
        <v>306</v>
      </c>
      <c r="ME51" s="329">
        <f t="shared" ref="ME51:MH51" si="554">MH4</f>
        <v>23426</v>
      </c>
      <c r="MF51" s="330">
        <f t="shared" si="554"/>
        <v>3480755</v>
      </c>
      <c r="MG51" s="330">
        <f t="shared" si="554"/>
        <v>5384982</v>
      </c>
      <c r="MH51" s="330">
        <f t="shared" si="554"/>
        <v>3595018</v>
      </c>
      <c r="MI51" s="330">
        <f t="shared" ref="MI51:MI54" si="555">MG51-MH51</f>
        <v>1789964</v>
      </c>
      <c r="MJ51" s="334">
        <f t="shared" ref="MJ51:MJ54" si="556">MI51/MG51</f>
        <v>0.332399254073644</v>
      </c>
      <c r="MK51" s="335">
        <f t="shared" ref="MK51:MK54" si="557">MG51/ME51</f>
        <v>229.872022539059</v>
      </c>
      <c r="MO51" s="192"/>
      <c r="MP51" s="192"/>
      <c r="MQ51" s="192"/>
      <c r="MR51" s="192"/>
      <c r="MS51" s="192"/>
      <c r="MT51" s="192"/>
      <c r="MU51" s="192"/>
      <c r="MV51" s="192"/>
      <c r="MW51" s="192"/>
      <c r="MX51" s="192"/>
      <c r="MY51" s="192"/>
      <c r="MZ51" s="192"/>
      <c r="NA51" s="192"/>
      <c r="NB51" s="192"/>
      <c r="NC51" s="192"/>
      <c r="ND51" s="192"/>
      <c r="NE51" s="192"/>
      <c r="NF51" s="192"/>
      <c r="NG51" s="192"/>
      <c r="NH51" s="53"/>
      <c r="NI51" s="53"/>
      <c r="NJ51" s="329" t="s">
        <v>117</v>
      </c>
      <c r="NK51" s="329">
        <f t="shared" ref="NK51:NK54" si="558">NK4</f>
        <v>7</v>
      </c>
      <c r="NL51" s="329">
        <f t="shared" ref="NL51:NL60" si="559">NM4</f>
        <v>247</v>
      </c>
      <c r="NM51" s="329">
        <f t="shared" ref="NM51:NP51" si="560">NP4</f>
        <v>23359</v>
      </c>
      <c r="NN51" s="330">
        <f t="shared" si="560"/>
        <v>3334508</v>
      </c>
      <c r="NO51" s="330">
        <f t="shared" si="560"/>
        <v>5051782</v>
      </c>
      <c r="NP51" s="330">
        <f t="shared" si="560"/>
        <v>3245513</v>
      </c>
      <c r="NQ51" s="330">
        <f t="shared" ref="NQ51:NQ54" si="561">NO51-NP51</f>
        <v>1806269</v>
      </c>
      <c r="NR51" s="334">
        <f t="shared" ref="NR51:NR62" si="562">NQ51/NO51</f>
        <v>0.357550860270693</v>
      </c>
      <c r="NS51" s="335">
        <f t="shared" ref="NS51:NS62" si="563">NO51/NM51</f>
        <v>216.267049103129</v>
      </c>
      <c r="NT51" s="46"/>
      <c r="NU51" s="46"/>
      <c r="NV51" s="46"/>
      <c r="NW51" s="53"/>
      <c r="NX51" s="53"/>
      <c r="NY51" s="53"/>
      <c r="NZ51" s="53"/>
      <c r="OA51" s="53"/>
      <c r="OB51" s="53"/>
      <c r="OC51" s="53"/>
      <c r="OD51" s="53"/>
      <c r="OE51" s="53"/>
      <c r="OF51" s="53"/>
      <c r="OG51" s="53"/>
      <c r="OH51" s="53"/>
      <c r="OI51" s="53"/>
      <c r="OJ51" s="53"/>
      <c r="OK51" s="53"/>
      <c r="OL51" s="53"/>
      <c r="OM51" s="53"/>
      <c r="ON51" s="53"/>
      <c r="OO51" s="53"/>
      <c r="OP51" s="53"/>
      <c r="OQ51" s="53"/>
      <c r="OR51" s="53"/>
      <c r="OS51" s="336" t="s">
        <v>117</v>
      </c>
      <c r="OT51" s="336">
        <f t="shared" ref="OT51:OT60" si="564">OT4</f>
        <v>7</v>
      </c>
      <c r="OU51" s="336">
        <f t="shared" ref="OU51:OU60" si="565">OU4</f>
        <v>365</v>
      </c>
      <c r="OV51" s="172">
        <f t="shared" ref="OV51:OY51" si="566">OW4</f>
        <v>37089</v>
      </c>
      <c r="OW51" s="172">
        <f t="shared" si="566"/>
        <v>5193519</v>
      </c>
      <c r="OX51" s="172">
        <f t="shared" si="566"/>
        <v>7227060</v>
      </c>
      <c r="OY51" s="172">
        <f t="shared" si="566"/>
        <v>4253474</v>
      </c>
      <c r="OZ51" s="171">
        <f t="shared" ref="OZ51:OZ60" si="567">OX51-OY51</f>
        <v>2973586</v>
      </c>
      <c r="PA51" s="337">
        <f t="shared" ref="PA51:PA60" si="568">OZ51/OX51</f>
        <v>0.411451682980354</v>
      </c>
      <c r="PB51" s="170">
        <f t="shared" ref="PB51:PB60" si="569">OX51/OV51</f>
        <v>194.857235298876</v>
      </c>
      <c r="PC51" s="144"/>
      <c r="PD51" s="144"/>
      <c r="PE51" s="144"/>
      <c r="PF51" s="144"/>
      <c r="PG51" s="144"/>
      <c r="PH51" s="144"/>
      <c r="PI51" s="144"/>
      <c r="PJ51" s="144"/>
      <c r="PK51" s="144"/>
      <c r="PL51" s="144"/>
      <c r="PM51" s="144"/>
      <c r="PN51" s="144"/>
      <c r="PO51" s="144"/>
      <c r="PP51" s="144"/>
      <c r="PQ51" s="144"/>
      <c r="PR51" s="144"/>
      <c r="PS51" s="144"/>
      <c r="PT51" s="146"/>
      <c r="PU51" s="336" t="s">
        <v>117</v>
      </c>
      <c r="PV51" s="336">
        <f t="shared" ref="PV51:PV60" si="570">PV4</f>
        <v>7</v>
      </c>
      <c r="PW51" s="336">
        <f t="shared" ref="PW51:PW60" si="571">PW4</f>
        <v>523</v>
      </c>
      <c r="PX51" s="172">
        <f t="shared" ref="PX51:QA51" si="572">PY4</f>
        <v>36534</v>
      </c>
      <c r="PY51" s="172">
        <f t="shared" si="572"/>
        <v>5261580</v>
      </c>
      <c r="PZ51" s="172">
        <f t="shared" si="572"/>
        <v>7247298</v>
      </c>
      <c r="QA51" s="172">
        <f t="shared" si="572"/>
        <v>4224782</v>
      </c>
      <c r="QB51" s="171">
        <f t="shared" ref="QB51:QB54" si="573">PZ51-QA51</f>
        <v>3022516</v>
      </c>
      <c r="QC51" s="337">
        <f t="shared" ref="QC51:QC61" si="574">QB51/PZ51</f>
        <v>0.417054190403099</v>
      </c>
      <c r="QD51" s="170">
        <f t="shared" ref="QD51:QD61" si="575">PZ51/PX51</f>
        <v>198.371325340778</v>
      </c>
      <c r="QE51" s="146"/>
      <c r="QF51" s="146"/>
      <c r="QG51" s="146"/>
      <c r="QH51" s="146"/>
      <c r="QI51" s="146"/>
      <c r="QJ51" s="146"/>
      <c r="QK51" s="146"/>
      <c r="QL51" s="146"/>
      <c r="QM51" s="146"/>
      <c r="QN51" s="146"/>
      <c r="QO51" s="146"/>
      <c r="QP51" s="146"/>
      <c r="QQ51" s="146"/>
      <c r="QR51" s="146"/>
      <c r="QS51" s="144"/>
      <c r="QT51" s="144"/>
      <c r="QU51" s="144"/>
      <c r="QV51" s="144"/>
      <c r="QW51" s="144"/>
      <c r="QX51" s="144"/>
      <c r="QY51" s="144"/>
      <c r="QZ51" s="144"/>
      <c r="RA51" s="144"/>
      <c r="RB51" s="144"/>
      <c r="RC51" s="144"/>
      <c r="RD51" s="144"/>
      <c r="RE51" s="144"/>
      <c r="RF51" s="144"/>
      <c r="RG51" s="144"/>
      <c r="RH51" s="144"/>
      <c r="RI51" s="144"/>
      <c r="RJ51" s="144"/>
      <c r="RK51" s="144"/>
      <c r="RL51" s="144"/>
      <c r="RM51" s="144"/>
      <c r="RN51" s="144"/>
      <c r="RO51" s="144"/>
      <c r="RP51" s="144"/>
      <c r="RQ51" s="144"/>
      <c r="RR51" s="144"/>
      <c r="RS51" s="144"/>
      <c r="RT51" s="144"/>
      <c r="RU51" s="144"/>
      <c r="RV51" s="144"/>
      <c r="RW51" s="144"/>
      <c r="RX51" s="144"/>
      <c r="RY51" s="144"/>
      <c r="RZ51" s="144"/>
      <c r="SA51" s="144"/>
      <c r="SB51" s="144"/>
      <c r="SC51" s="144"/>
      <c r="SD51" s="144"/>
      <c r="SE51" s="144"/>
      <c r="SF51" s="144"/>
      <c r="SG51" s="144"/>
      <c r="SH51" s="144"/>
      <c r="SI51" s="144"/>
      <c r="SJ51" s="144"/>
      <c r="SK51" s="144"/>
      <c r="SL51" s="144"/>
      <c r="SM51" s="84"/>
      <c r="SN51" s="84"/>
      <c r="SO51" s="154"/>
      <c r="SP51" s="154"/>
      <c r="SQ51" s="154"/>
      <c r="SR51" s="154"/>
      <c r="SS51" s="154"/>
      <c r="ST51" s="154"/>
      <c r="SU51" s="155"/>
      <c r="SV51" s="154"/>
      <c r="SW51" s="154"/>
      <c r="SX51" s="155"/>
      <c r="SY51" s="155"/>
      <c r="SZ51" s="155"/>
      <c r="TA51" s="155"/>
      <c r="TB51" s="155"/>
      <c r="TC51" s="155"/>
      <c r="TD51" s="155"/>
      <c r="TE51" s="156"/>
      <c r="TF51" s="144"/>
      <c r="TG51" s="84"/>
      <c r="TH51" s="144"/>
      <c r="TI51" s="144"/>
      <c r="TJ51" s="144"/>
      <c r="TK51" s="144"/>
      <c r="TL51" s="157"/>
      <c r="TM51" s="157"/>
      <c r="TN51" s="157"/>
      <c r="TO51" s="157"/>
      <c r="TP51" s="157"/>
      <c r="TQ51" s="157"/>
      <c r="TR51" s="157"/>
      <c r="TS51" s="157"/>
      <c r="TT51" s="157"/>
      <c r="TU51" s="158"/>
      <c r="TV51" s="157"/>
      <c r="TW51" s="158"/>
      <c r="TX51" s="144"/>
      <c r="TY51" s="144"/>
      <c r="TZ51" s="144"/>
      <c r="UA51" s="84"/>
      <c r="UB51" s="144"/>
      <c r="UC51" s="144"/>
      <c r="UD51" s="144"/>
      <c r="UE51" s="144"/>
      <c r="UF51" s="157"/>
      <c r="UG51" s="157"/>
      <c r="UH51" s="157"/>
      <c r="UI51" s="157"/>
      <c r="UJ51" s="157"/>
      <c r="UK51" s="157"/>
      <c r="UL51" s="157"/>
      <c r="UM51" s="157"/>
      <c r="UN51" s="157"/>
      <c r="UO51" s="157"/>
      <c r="UP51" s="157"/>
      <c r="UQ51" s="158"/>
      <c r="UR51" s="157"/>
      <c r="US51" s="158"/>
      <c r="UT51" s="144"/>
      <c r="UU51" s="144"/>
      <c r="UV51" s="144"/>
      <c r="UW51" s="144"/>
      <c r="UX51" s="144"/>
      <c r="UY51" s="144"/>
      <c r="UZ51" s="144"/>
      <c r="VA51" s="144"/>
      <c r="VB51" s="157"/>
      <c r="VC51" s="157"/>
      <c r="VD51" s="157"/>
      <c r="VE51" s="157"/>
      <c r="VF51" s="157"/>
      <c r="VG51" s="157"/>
      <c r="VH51" s="157"/>
      <c r="VI51" s="157"/>
      <c r="VJ51" s="157"/>
      <c r="VK51" s="157"/>
      <c r="VL51" s="157"/>
      <c r="VM51" s="157"/>
      <c r="VN51" s="157"/>
      <c r="VO51" s="157"/>
      <c r="VP51" s="144"/>
      <c r="VQ51" s="144"/>
      <c r="VR51" s="84"/>
      <c r="VS51" s="84"/>
      <c r="VT51" s="53"/>
      <c r="VU51" s="53"/>
    </row>
    <row r="52" ht="15.75" hidden="1" spans="1:593">
      <c r="A52" s="53"/>
      <c r="B52" s="53"/>
      <c r="C52" s="327" t="s">
        <v>120</v>
      </c>
      <c r="D52" s="327"/>
      <c r="E52" s="327"/>
      <c r="F52" s="327"/>
      <c r="G52" s="161"/>
      <c r="H52" s="161"/>
      <c r="I52" s="161"/>
      <c r="J52" s="161"/>
      <c r="K52" s="179"/>
      <c r="L52" s="328"/>
      <c r="M52" s="162"/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93"/>
      <c r="AB52" s="293"/>
      <c r="AC52" s="293"/>
      <c r="AD52" s="293"/>
      <c r="AE52" s="293"/>
      <c r="AF52" s="293"/>
      <c r="AG52" s="293"/>
      <c r="AH52" s="293"/>
      <c r="AI52" s="53"/>
      <c r="AJ52" s="327" t="s">
        <v>120</v>
      </c>
      <c r="AK52" s="327"/>
      <c r="AL52" s="327"/>
      <c r="AM52" s="327"/>
      <c r="AN52" s="161"/>
      <c r="AO52" s="161"/>
      <c r="AP52" s="161"/>
      <c r="AQ52" s="161"/>
      <c r="AR52" s="179"/>
      <c r="AS52" s="328"/>
      <c r="AT52" s="162"/>
      <c r="AU52" s="293"/>
      <c r="AV52" s="293"/>
      <c r="AW52" s="293"/>
      <c r="AX52" s="293"/>
      <c r="AY52" s="293"/>
      <c r="AZ52" s="293"/>
      <c r="BA52" s="293"/>
      <c r="BB52" s="293"/>
      <c r="BC52" s="293"/>
      <c r="BD52" s="293"/>
      <c r="BE52" s="293"/>
      <c r="BF52" s="293"/>
      <c r="BG52" s="293"/>
      <c r="BH52" s="293"/>
      <c r="BI52" s="293"/>
      <c r="BJ52" s="293"/>
      <c r="BK52" s="293"/>
      <c r="BL52" s="293"/>
      <c r="BM52" s="293"/>
      <c r="BN52" s="293"/>
      <c r="BO52" s="293"/>
      <c r="BP52" s="53"/>
      <c r="BQ52" s="327" t="s">
        <v>120</v>
      </c>
      <c r="BR52" s="327" t="str">
        <f t="shared" ref="BR52:BT52" si="576">BQ5</f>
        <v>PH09-2</v>
      </c>
      <c r="BS52" s="327">
        <f t="shared" si="576"/>
        <v>1</v>
      </c>
      <c r="BT52" s="327">
        <f t="shared" si="576"/>
        <v>2</v>
      </c>
      <c r="BU52" s="161">
        <f t="shared" ref="BU52:BX52" si="577">BW5</f>
        <v>496</v>
      </c>
      <c r="BV52" s="161">
        <f t="shared" si="577"/>
        <v>74657</v>
      </c>
      <c r="BW52" s="161">
        <f t="shared" si="577"/>
        <v>770219</v>
      </c>
      <c r="BX52" s="161">
        <f t="shared" si="577"/>
        <v>80032</v>
      </c>
      <c r="BY52" s="179">
        <f t="shared" si="517"/>
        <v>690187</v>
      </c>
      <c r="BZ52" s="328">
        <f t="shared" si="518"/>
        <v>0.896091890747956</v>
      </c>
      <c r="CA52" s="162">
        <f t="shared" si="519"/>
        <v>1552.86088709677</v>
      </c>
      <c r="CB52" s="293"/>
      <c r="CC52" s="293"/>
      <c r="CD52" s="293"/>
      <c r="CE52" s="293"/>
      <c r="CF52" s="293"/>
      <c r="CG52" s="293"/>
      <c r="CH52" s="293"/>
      <c r="CI52" s="293"/>
      <c r="CJ52" s="293"/>
      <c r="CK52" s="293"/>
      <c r="CL52" s="293"/>
      <c r="CM52" s="293"/>
      <c r="CN52" s="293"/>
      <c r="CO52" s="293"/>
      <c r="CP52" s="293"/>
      <c r="CQ52" s="293"/>
      <c r="CR52" s="293"/>
      <c r="CS52" s="293"/>
      <c r="CT52" s="293"/>
      <c r="CU52" s="293"/>
      <c r="CV52" s="293"/>
      <c r="CW52" s="53"/>
      <c r="CX52" s="327" t="s">
        <v>120</v>
      </c>
      <c r="CY52" s="327" t="str">
        <f t="shared" ref="CY52:DA52" si="578">CX5</f>
        <v>PH09-2</v>
      </c>
      <c r="CZ52" s="327">
        <f t="shared" si="578"/>
        <v>1</v>
      </c>
      <c r="DA52" s="327">
        <f t="shared" si="578"/>
        <v>2</v>
      </c>
      <c r="DB52" s="161">
        <f t="shared" ref="DB52:DE52" si="579">DD5</f>
        <v>804</v>
      </c>
      <c r="DC52" s="161">
        <f t="shared" si="579"/>
        <v>133621</v>
      </c>
      <c r="DD52" s="161">
        <f t="shared" si="579"/>
        <v>679684</v>
      </c>
      <c r="DE52" s="161">
        <f t="shared" si="579"/>
        <v>119260.95</v>
      </c>
      <c r="DF52" s="179">
        <f t="shared" si="522"/>
        <v>560423.05</v>
      </c>
      <c r="DG52" s="328">
        <f t="shared" si="523"/>
        <v>0.824534710247703</v>
      </c>
      <c r="DH52" s="162">
        <f t="shared" si="524"/>
        <v>845.378109452736</v>
      </c>
      <c r="DI52" s="293"/>
      <c r="DJ52" s="293"/>
      <c r="DK52" s="293"/>
      <c r="DL52" s="293"/>
      <c r="DM52" s="293"/>
      <c r="DN52" s="293"/>
      <c r="DO52" s="293"/>
      <c r="DP52" s="293"/>
      <c r="DQ52" s="293"/>
      <c r="DR52" s="293"/>
      <c r="DS52" s="293"/>
      <c r="DT52" s="293"/>
      <c r="DU52" s="293"/>
      <c r="DV52" s="293"/>
      <c r="DW52" s="293"/>
      <c r="DX52" s="293"/>
      <c r="DY52" s="293"/>
      <c r="DZ52" s="293"/>
      <c r="EA52" s="293"/>
      <c r="EB52" s="293"/>
      <c r="EC52" s="293"/>
      <c r="ED52" s="53"/>
      <c r="EE52" s="329" t="s">
        <v>120</v>
      </c>
      <c r="EF52" s="329">
        <f t="shared" ref="EF52:EH52" si="580">EF5</f>
        <v>2</v>
      </c>
      <c r="EG52" s="329">
        <f t="shared" si="580"/>
        <v>2</v>
      </c>
      <c r="EH52" s="329">
        <f t="shared" si="580"/>
        <v>35</v>
      </c>
      <c r="EI52" s="330">
        <f t="shared" ref="EI52:EL52" si="581">EK5</f>
        <v>2376</v>
      </c>
      <c r="EJ52" s="330">
        <f t="shared" si="581"/>
        <v>353665</v>
      </c>
      <c r="EK52" s="330">
        <f t="shared" si="581"/>
        <v>999267</v>
      </c>
      <c r="EL52" s="330">
        <f t="shared" si="581"/>
        <v>266444</v>
      </c>
      <c r="EM52" s="331">
        <f t="shared" si="527"/>
        <v>732823</v>
      </c>
      <c r="EN52" s="332">
        <f t="shared" si="528"/>
        <v>0.733360553285558</v>
      </c>
      <c r="EO52" s="333">
        <f t="shared" si="529"/>
        <v>420.566919191919</v>
      </c>
      <c r="EP52" s="53"/>
      <c r="EQ52" s="53"/>
      <c r="ER52" s="192"/>
      <c r="ES52" s="192"/>
      <c r="ET52" s="192"/>
      <c r="EU52" s="192"/>
      <c r="EV52" s="192"/>
      <c r="EW52" s="192"/>
      <c r="EX52" s="192"/>
      <c r="EY52" s="192"/>
      <c r="EZ52" s="192"/>
      <c r="FA52" s="192"/>
      <c r="FB52" s="192"/>
      <c r="FC52" s="192"/>
      <c r="FD52" s="192"/>
      <c r="FE52" s="192"/>
      <c r="FF52" s="192"/>
      <c r="FG52" s="192"/>
      <c r="FH52" s="192"/>
      <c r="FI52" s="192"/>
      <c r="FJ52" s="192"/>
      <c r="FK52" s="53"/>
      <c r="FL52" s="53"/>
      <c r="FM52" s="53"/>
      <c r="FN52" s="329" t="s">
        <v>120</v>
      </c>
      <c r="FO52" s="329">
        <f t="shared" ref="FO52:FQ52" si="582">FO5</f>
        <v>2</v>
      </c>
      <c r="FP52" s="329">
        <f t="shared" si="582"/>
        <v>2</v>
      </c>
      <c r="FQ52" s="329">
        <f t="shared" si="582"/>
        <v>83</v>
      </c>
      <c r="FR52" s="330">
        <f t="shared" ref="FR52:FU52" si="583">FT5</f>
        <v>3307</v>
      </c>
      <c r="FS52" s="330">
        <f t="shared" si="583"/>
        <v>498795</v>
      </c>
      <c r="FT52" s="330">
        <f t="shared" si="583"/>
        <v>1265120</v>
      </c>
      <c r="FU52" s="330">
        <f t="shared" si="583"/>
        <v>453577</v>
      </c>
      <c r="FV52" s="331">
        <f t="shared" si="532"/>
        <v>811543</v>
      </c>
      <c r="FW52" s="332">
        <f t="shared" si="533"/>
        <v>0.64147511698495</v>
      </c>
      <c r="FX52" s="333">
        <f t="shared" si="534"/>
        <v>382.558209857877</v>
      </c>
      <c r="FY52" s="53"/>
      <c r="FZ52" s="192"/>
      <c r="GA52" s="192"/>
      <c r="GB52" s="192"/>
      <c r="GC52" s="192"/>
      <c r="GD52" s="192"/>
      <c r="GE52" s="192"/>
      <c r="GF52" s="192"/>
      <c r="GG52" s="192"/>
      <c r="GH52" s="192"/>
      <c r="GI52" s="192"/>
      <c r="GJ52" s="192"/>
      <c r="GK52" s="192"/>
      <c r="GL52" s="192"/>
      <c r="GM52" s="192"/>
      <c r="GN52" s="192"/>
      <c r="GO52" s="192"/>
      <c r="GP52" s="192"/>
      <c r="GQ52" s="192"/>
      <c r="GR52" s="192"/>
      <c r="GS52" s="192"/>
      <c r="GT52" s="53"/>
      <c r="GU52" s="53"/>
      <c r="GV52" s="329" t="s">
        <v>120</v>
      </c>
      <c r="GW52" s="329">
        <f t="shared" ref="GW52:GY52" si="584">GW5</f>
        <v>2</v>
      </c>
      <c r="GX52" s="329">
        <f t="shared" si="584"/>
        <v>2</v>
      </c>
      <c r="GY52" s="329">
        <f t="shared" si="584"/>
        <v>36</v>
      </c>
      <c r="GZ52" s="330">
        <f t="shared" ref="GZ52:HC52" si="585">HB5</f>
        <v>1578</v>
      </c>
      <c r="HA52" s="330">
        <f t="shared" si="585"/>
        <v>255690.2182</v>
      </c>
      <c r="HB52" s="330">
        <f t="shared" si="585"/>
        <v>305587</v>
      </c>
      <c r="HC52" s="330">
        <f t="shared" si="585"/>
        <v>194082</v>
      </c>
      <c r="HD52" s="331">
        <f t="shared" si="537"/>
        <v>111505</v>
      </c>
      <c r="HE52" s="332">
        <f t="shared" si="538"/>
        <v>0.364887904262943</v>
      </c>
      <c r="HF52" s="333">
        <f t="shared" si="539"/>
        <v>193.654626108999</v>
      </c>
      <c r="HI52" s="192"/>
      <c r="HJ52" s="192"/>
      <c r="HK52" s="192"/>
      <c r="HL52" s="192"/>
      <c r="HM52" s="192"/>
      <c r="HN52" s="192"/>
      <c r="HO52" s="192"/>
      <c r="HP52" s="192"/>
      <c r="HQ52" s="192"/>
      <c r="HR52" s="192"/>
      <c r="HS52" s="192"/>
      <c r="HT52" s="192"/>
      <c r="HU52" s="192"/>
      <c r="HV52" s="192"/>
      <c r="HW52" s="192"/>
      <c r="HX52" s="192"/>
      <c r="HY52" s="192"/>
      <c r="HZ52" s="192"/>
      <c r="IA52" s="192"/>
      <c r="IB52" s="53"/>
      <c r="IC52" s="53"/>
      <c r="ID52" s="329" t="s">
        <v>120</v>
      </c>
      <c r="IE52" s="329">
        <f t="shared" si="540"/>
        <v>3</v>
      </c>
      <c r="IF52" s="329">
        <v>0</v>
      </c>
      <c r="IG52" s="329">
        <f t="shared" si="541"/>
        <v>12</v>
      </c>
      <c r="IH52" s="330">
        <f t="shared" ref="IH52:IK52" si="586">IJ5</f>
        <v>1052</v>
      </c>
      <c r="II52" s="330">
        <f t="shared" si="586"/>
        <v>147230</v>
      </c>
      <c r="IJ52" s="330">
        <f t="shared" si="586"/>
        <v>205763</v>
      </c>
      <c r="IK52" s="330">
        <f t="shared" si="586"/>
        <v>125749</v>
      </c>
      <c r="IL52" s="331">
        <f t="shared" si="543"/>
        <v>80014</v>
      </c>
      <c r="IM52" s="332">
        <f t="shared" si="544"/>
        <v>0.388864859085453</v>
      </c>
      <c r="IN52" s="333">
        <f t="shared" si="545"/>
        <v>195.592205323194</v>
      </c>
      <c r="IP52" s="11"/>
      <c r="IQ52" s="192"/>
      <c r="IR52" s="192"/>
      <c r="IS52" s="192"/>
      <c r="IT52" s="192"/>
      <c r="IU52" s="192"/>
      <c r="IV52" s="192"/>
      <c r="IW52" s="192"/>
      <c r="IX52" s="192"/>
      <c r="IY52" s="192"/>
      <c r="IZ52" s="192"/>
      <c r="JA52" s="192"/>
      <c r="JB52" s="192"/>
      <c r="JC52" s="192"/>
      <c r="JD52" s="192"/>
      <c r="JE52" s="192"/>
      <c r="JF52" s="192"/>
      <c r="JG52" s="192"/>
      <c r="JH52" s="192"/>
      <c r="JI52" s="192"/>
      <c r="JJ52" s="53"/>
      <c r="JK52" s="53"/>
      <c r="JL52" s="329" t="s">
        <v>120</v>
      </c>
      <c r="JM52" s="329">
        <f t="shared" si="546"/>
        <v>3</v>
      </c>
      <c r="JN52" s="329">
        <f t="shared" si="547"/>
        <v>20</v>
      </c>
      <c r="JO52" s="329">
        <f t="shared" ref="JO52:JR52" si="587">JR5</f>
        <v>678</v>
      </c>
      <c r="JP52" s="330">
        <f t="shared" si="587"/>
        <v>95981</v>
      </c>
      <c r="JQ52" s="330">
        <f t="shared" si="587"/>
        <v>133890</v>
      </c>
      <c r="JR52" s="330">
        <f t="shared" si="587"/>
        <v>164430</v>
      </c>
      <c r="JS52" s="330">
        <f t="shared" si="549"/>
        <v>-30540</v>
      </c>
      <c r="JT52" s="334">
        <f t="shared" si="550"/>
        <v>-0.228097692135335</v>
      </c>
      <c r="JU52" s="335">
        <f t="shared" si="551"/>
        <v>197.477876106195</v>
      </c>
      <c r="JV52" s="192"/>
      <c r="JW52" s="192"/>
      <c r="JX52" s="192"/>
      <c r="JY52" s="192"/>
      <c r="JZ52" s="192"/>
      <c r="KA52" s="192"/>
      <c r="KB52" s="192"/>
      <c r="KC52" s="192"/>
      <c r="KD52" s="192"/>
      <c r="KE52" s="192"/>
      <c r="KF52" s="192"/>
      <c r="KG52" s="192"/>
      <c r="KH52" s="192"/>
      <c r="KI52" s="192"/>
      <c r="KJ52" s="192"/>
      <c r="KK52" s="192"/>
      <c r="KL52" s="192"/>
      <c r="KM52" s="192"/>
      <c r="KN52" s="192"/>
      <c r="KO52" s="192"/>
      <c r="KP52" s="192"/>
      <c r="KQ52" s="192"/>
      <c r="KR52" s="53"/>
      <c r="KS52" s="53"/>
      <c r="KT52" s="329" t="s">
        <v>120</v>
      </c>
      <c r="KU52" s="329">
        <v>3</v>
      </c>
      <c r="KV52" s="329">
        <v>71</v>
      </c>
      <c r="KW52" s="329">
        <v>1502</v>
      </c>
      <c r="KX52" s="330">
        <v>229851</v>
      </c>
      <c r="KY52" s="330">
        <v>331889</v>
      </c>
      <c r="KZ52" s="330">
        <v>202390</v>
      </c>
      <c r="LA52" s="330">
        <v>129499</v>
      </c>
      <c r="LB52" s="334">
        <v>0.390187683231442</v>
      </c>
      <c r="LC52" s="335">
        <v>220.964713715047</v>
      </c>
      <c r="LD52" s="11"/>
      <c r="LE52" s="11"/>
      <c r="LF52" s="11"/>
      <c r="LG52" s="192"/>
      <c r="LH52" s="192"/>
      <c r="LI52" s="192"/>
      <c r="LJ52" s="192"/>
      <c r="LK52" s="192"/>
      <c r="LL52" s="192"/>
      <c r="LM52" s="192"/>
      <c r="LN52" s="192"/>
      <c r="LO52" s="192"/>
      <c r="LP52" s="192"/>
      <c r="LQ52" s="192"/>
      <c r="LR52" s="192"/>
      <c r="LS52" s="192"/>
      <c r="LT52" s="192"/>
      <c r="LU52" s="192"/>
      <c r="LV52" s="192"/>
      <c r="LW52" s="192"/>
      <c r="LX52" s="192"/>
      <c r="LY52" s="192"/>
      <c r="LZ52" s="192"/>
      <c r="MA52" s="192"/>
      <c r="MB52" s="329" t="s">
        <v>120</v>
      </c>
      <c r="MC52" s="329">
        <f t="shared" si="552"/>
        <v>3</v>
      </c>
      <c r="MD52" s="329">
        <f t="shared" si="553"/>
        <v>67</v>
      </c>
      <c r="ME52" s="329">
        <f t="shared" ref="ME52:MH52" si="588">MH5</f>
        <v>2314</v>
      </c>
      <c r="MF52" s="330">
        <f t="shared" si="588"/>
        <v>333138</v>
      </c>
      <c r="MG52" s="330">
        <f t="shared" si="588"/>
        <v>487443</v>
      </c>
      <c r="MH52" s="330">
        <f t="shared" si="588"/>
        <v>333562</v>
      </c>
      <c r="MI52" s="330">
        <f t="shared" si="555"/>
        <v>153881</v>
      </c>
      <c r="MJ52" s="334">
        <f t="shared" si="556"/>
        <v>0.315690244808111</v>
      </c>
      <c r="MK52" s="335">
        <f t="shared" si="557"/>
        <v>210.649524632671</v>
      </c>
      <c r="MO52" s="192"/>
      <c r="MP52" s="192"/>
      <c r="MQ52" s="192"/>
      <c r="MR52" s="192"/>
      <c r="MS52" s="192"/>
      <c r="MT52" s="192"/>
      <c r="MU52" s="192"/>
      <c r="MV52" s="192"/>
      <c r="MW52" s="192"/>
      <c r="MX52" s="192"/>
      <c r="MY52" s="192"/>
      <c r="MZ52" s="192"/>
      <c r="NA52" s="192"/>
      <c r="NB52" s="192"/>
      <c r="NC52" s="192"/>
      <c r="ND52" s="192"/>
      <c r="NE52" s="192"/>
      <c r="NF52" s="192"/>
      <c r="NG52" s="192"/>
      <c r="NH52" s="53"/>
      <c r="NI52" s="53"/>
      <c r="NJ52" s="329" t="s">
        <v>120</v>
      </c>
      <c r="NK52" s="329">
        <f t="shared" si="558"/>
        <v>4</v>
      </c>
      <c r="NL52" s="329">
        <f t="shared" si="559"/>
        <v>41</v>
      </c>
      <c r="NM52" s="329">
        <f t="shared" ref="NM52:NP52" si="589">NP5</f>
        <v>2745</v>
      </c>
      <c r="NN52" s="330">
        <f t="shared" si="589"/>
        <v>390205</v>
      </c>
      <c r="NO52" s="330">
        <f t="shared" si="589"/>
        <v>518864</v>
      </c>
      <c r="NP52" s="330">
        <f t="shared" si="589"/>
        <v>347208</v>
      </c>
      <c r="NQ52" s="330">
        <f t="shared" si="561"/>
        <v>171656</v>
      </c>
      <c r="NR52" s="334">
        <f t="shared" si="562"/>
        <v>0.330830429553794</v>
      </c>
      <c r="NS52" s="335">
        <f t="shared" si="563"/>
        <v>189.021493624772</v>
      </c>
      <c r="NT52" s="46"/>
      <c r="NU52" s="46"/>
      <c r="NV52" s="46"/>
      <c r="NW52" s="53"/>
      <c r="NX52" s="53"/>
      <c r="NY52" s="53"/>
      <c r="NZ52" s="53"/>
      <c r="OA52" s="53"/>
      <c r="OB52" s="53"/>
      <c r="OC52" s="53"/>
      <c r="OD52" s="53"/>
      <c r="OE52" s="53"/>
      <c r="OF52" s="53"/>
      <c r="OG52" s="53"/>
      <c r="OH52" s="53"/>
      <c r="OI52" s="53"/>
      <c r="OJ52" s="53"/>
      <c r="OK52" s="53"/>
      <c r="OL52" s="53"/>
      <c r="OM52" s="53"/>
      <c r="ON52" s="53"/>
      <c r="OO52" s="53"/>
      <c r="OP52" s="53"/>
      <c r="OQ52" s="53"/>
      <c r="OR52" s="53"/>
      <c r="OS52" s="336" t="s">
        <v>120</v>
      </c>
      <c r="OT52" s="336">
        <f t="shared" si="564"/>
        <v>2</v>
      </c>
      <c r="OU52" s="336">
        <f t="shared" si="565"/>
        <v>57</v>
      </c>
      <c r="OV52" s="172">
        <f t="shared" ref="OV52:OY52" si="590">OW5</f>
        <v>3511</v>
      </c>
      <c r="OW52" s="172">
        <f t="shared" si="590"/>
        <v>508500</v>
      </c>
      <c r="OX52" s="172">
        <f t="shared" si="590"/>
        <v>693167</v>
      </c>
      <c r="OY52" s="172">
        <f t="shared" si="590"/>
        <v>439928</v>
      </c>
      <c r="OZ52" s="171">
        <f t="shared" si="567"/>
        <v>253239</v>
      </c>
      <c r="PA52" s="337">
        <f t="shared" si="568"/>
        <v>0.365336203252607</v>
      </c>
      <c r="PB52" s="170">
        <f t="shared" si="569"/>
        <v>197.427228709769</v>
      </c>
      <c r="PC52" s="144"/>
      <c r="PD52" s="144"/>
      <c r="PE52" s="144"/>
      <c r="PF52" s="144"/>
      <c r="PG52" s="144"/>
      <c r="PH52" s="144"/>
      <c r="PI52" s="144"/>
      <c r="PJ52" s="144"/>
      <c r="PK52" s="144"/>
      <c r="PL52" s="144"/>
      <c r="PM52" s="144"/>
      <c r="PN52" s="144"/>
      <c r="PO52" s="144"/>
      <c r="PP52" s="144"/>
      <c r="PQ52" s="144"/>
      <c r="PR52" s="144"/>
      <c r="PS52" s="144"/>
      <c r="PT52" s="146"/>
      <c r="PU52" s="336" t="s">
        <v>120</v>
      </c>
      <c r="PV52" s="336">
        <f t="shared" si="570"/>
        <v>2</v>
      </c>
      <c r="PW52" s="336">
        <f t="shared" si="571"/>
        <v>53</v>
      </c>
      <c r="PX52" s="172">
        <f t="shared" ref="PX52:QA52" si="591">PY5</f>
        <v>2554</v>
      </c>
      <c r="PY52" s="172">
        <f t="shared" si="591"/>
        <v>385053</v>
      </c>
      <c r="PZ52" s="172">
        <f t="shared" si="591"/>
        <v>499804</v>
      </c>
      <c r="QA52" s="172">
        <f t="shared" si="591"/>
        <v>294573</v>
      </c>
      <c r="QB52" s="171">
        <f t="shared" si="573"/>
        <v>205231</v>
      </c>
      <c r="QC52" s="337">
        <f t="shared" si="574"/>
        <v>0.410622964201967</v>
      </c>
      <c r="QD52" s="170">
        <f t="shared" si="575"/>
        <v>195.694596711041</v>
      </c>
      <c r="QE52" s="146"/>
      <c r="QF52" s="146"/>
      <c r="QG52" s="146"/>
      <c r="QH52" s="146"/>
      <c r="QI52" s="146"/>
      <c r="QJ52" s="146"/>
      <c r="QK52" s="146"/>
      <c r="QL52" s="146"/>
      <c r="QM52" s="146"/>
      <c r="QN52" s="146"/>
      <c r="QO52" s="146"/>
      <c r="QP52" s="146"/>
      <c r="QQ52" s="146"/>
      <c r="QR52" s="146"/>
      <c r="QS52" s="144"/>
      <c r="QT52" s="144"/>
      <c r="QU52" s="144"/>
      <c r="QV52" s="144"/>
      <c r="QW52" s="144"/>
      <c r="QX52" s="144"/>
      <c r="QY52" s="144"/>
      <c r="QZ52" s="144"/>
      <c r="RA52" s="144"/>
      <c r="RB52" s="144"/>
      <c r="RC52" s="144"/>
      <c r="RD52" s="144"/>
      <c r="RE52" s="144"/>
      <c r="RF52" s="144"/>
      <c r="RG52" s="144"/>
      <c r="RH52" s="144"/>
      <c r="RI52" s="144"/>
      <c r="RJ52" s="144"/>
      <c r="RK52" s="144"/>
      <c r="RL52" s="144"/>
      <c r="RM52" s="144"/>
      <c r="RN52" s="144"/>
      <c r="RO52" s="144"/>
      <c r="RP52" s="144"/>
      <c r="RQ52" s="144"/>
      <c r="RR52" s="144"/>
      <c r="RS52" s="144"/>
      <c r="RT52" s="144"/>
      <c r="RU52" s="144"/>
      <c r="RV52" s="144"/>
      <c r="RW52" s="144"/>
      <c r="RX52" s="144"/>
      <c r="RY52" s="144"/>
      <c r="RZ52" s="144"/>
      <c r="SA52" s="144"/>
      <c r="SB52" s="144"/>
      <c r="SC52" s="144"/>
      <c r="SD52" s="144"/>
      <c r="SE52" s="144"/>
      <c r="SF52" s="144"/>
      <c r="SG52" s="144"/>
      <c r="SH52" s="144"/>
      <c r="SI52" s="144"/>
      <c r="SJ52" s="144"/>
      <c r="SK52" s="144"/>
      <c r="SL52" s="144"/>
      <c r="SM52" s="84"/>
      <c r="SN52" s="84"/>
      <c r="SO52" s="154"/>
      <c r="SP52" s="154"/>
      <c r="SQ52" s="154"/>
      <c r="SR52" s="154"/>
      <c r="SS52" s="154"/>
      <c r="ST52" s="154"/>
      <c r="SU52" s="155"/>
      <c r="SV52" s="154"/>
      <c r="SW52" s="154"/>
      <c r="SX52" s="155"/>
      <c r="SY52" s="155"/>
      <c r="SZ52" s="155"/>
      <c r="TA52" s="155"/>
      <c r="TB52" s="155"/>
      <c r="TC52" s="155"/>
      <c r="TD52" s="155"/>
      <c r="TE52" s="156"/>
      <c r="TF52" s="144"/>
      <c r="TG52" s="84"/>
      <c r="TH52" s="144"/>
      <c r="TI52" s="144"/>
      <c r="TJ52" s="144"/>
      <c r="TK52" s="144"/>
      <c r="TL52" s="157"/>
      <c r="TM52" s="157"/>
      <c r="TN52" s="157"/>
      <c r="TO52" s="157"/>
      <c r="TP52" s="157"/>
      <c r="TQ52" s="157"/>
      <c r="TR52" s="157"/>
      <c r="TS52" s="157"/>
      <c r="TT52" s="157"/>
      <c r="TU52" s="158"/>
      <c r="TV52" s="157"/>
      <c r="TW52" s="158"/>
      <c r="TX52" s="144"/>
      <c r="TY52" s="144"/>
      <c r="TZ52" s="144"/>
      <c r="UA52" s="84"/>
      <c r="UB52" s="144"/>
      <c r="UC52" s="144"/>
      <c r="UD52" s="144"/>
      <c r="UE52" s="144"/>
      <c r="UF52" s="157"/>
      <c r="UG52" s="157"/>
      <c r="UH52" s="157"/>
      <c r="UI52" s="157"/>
      <c r="UJ52" s="157"/>
      <c r="UK52" s="157"/>
      <c r="UL52" s="157"/>
      <c r="UM52" s="157"/>
      <c r="UN52" s="157"/>
      <c r="UO52" s="157"/>
      <c r="UP52" s="157"/>
      <c r="UQ52" s="158"/>
      <c r="UR52" s="157"/>
      <c r="US52" s="158"/>
      <c r="UT52" s="144"/>
      <c r="UU52" s="144"/>
      <c r="UV52" s="144"/>
      <c r="UW52" s="144"/>
      <c r="UX52" s="144"/>
      <c r="UY52" s="144"/>
      <c r="UZ52" s="144"/>
      <c r="VA52" s="144"/>
      <c r="VB52" s="157"/>
      <c r="VC52" s="157"/>
      <c r="VD52" s="157"/>
      <c r="VE52" s="157"/>
      <c r="VF52" s="157"/>
      <c r="VG52" s="157"/>
      <c r="VH52" s="157"/>
      <c r="VI52" s="157"/>
      <c r="VJ52" s="157"/>
      <c r="VK52" s="157"/>
      <c r="VL52" s="157"/>
      <c r="VM52" s="157"/>
      <c r="VN52" s="157"/>
      <c r="VO52" s="157"/>
      <c r="VP52" s="144"/>
      <c r="VQ52" s="144"/>
      <c r="VR52" s="84"/>
      <c r="VS52" s="84"/>
      <c r="VT52" s="53"/>
      <c r="VU52" s="53"/>
    </row>
    <row r="53" ht="15.75" spans="1:593">
      <c r="A53" s="53"/>
      <c r="B53" s="53"/>
      <c r="C53" s="327" t="s">
        <v>124</v>
      </c>
      <c r="D53" s="327">
        <f t="shared" si="501"/>
        <v>2</v>
      </c>
      <c r="E53" s="327">
        <f t="shared" si="502"/>
        <v>4</v>
      </c>
      <c r="F53" s="327">
        <f t="shared" si="503"/>
        <v>4</v>
      </c>
      <c r="G53" s="161">
        <f t="shared" ref="G53:J53" si="592">I6</f>
        <v>2532</v>
      </c>
      <c r="H53" s="161">
        <f t="shared" si="592"/>
        <v>395999</v>
      </c>
      <c r="I53" s="161">
        <f t="shared" si="592"/>
        <v>571810</v>
      </c>
      <c r="J53" s="161">
        <f t="shared" si="592"/>
        <v>367848.8</v>
      </c>
      <c r="K53" s="179">
        <f t="shared" si="505"/>
        <v>203961.2</v>
      </c>
      <c r="L53" s="328">
        <f t="shared" si="506"/>
        <v>0.356694006750494</v>
      </c>
      <c r="M53" s="162">
        <f t="shared" si="507"/>
        <v>225.833333333333</v>
      </c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  <c r="AG53" s="293"/>
      <c r="AH53" s="293"/>
      <c r="AI53" s="53"/>
      <c r="AJ53" s="327" t="s">
        <v>124</v>
      </c>
      <c r="AK53" s="327">
        <f t="shared" si="508"/>
        <v>1</v>
      </c>
      <c r="AL53" s="327">
        <f t="shared" si="509"/>
        <v>4</v>
      </c>
      <c r="AM53" s="327">
        <f t="shared" si="510"/>
        <v>4</v>
      </c>
      <c r="AN53" s="161">
        <f t="shared" ref="AN53:AQ53" si="593">AP6</f>
        <v>3119</v>
      </c>
      <c r="AO53" s="161">
        <f t="shared" si="593"/>
        <v>453158</v>
      </c>
      <c r="AP53" s="161">
        <f t="shared" si="593"/>
        <v>645933</v>
      </c>
      <c r="AQ53" s="161">
        <f t="shared" si="593"/>
        <v>387840.71</v>
      </c>
      <c r="AR53" s="179">
        <f t="shared" si="512"/>
        <v>258092.29</v>
      </c>
      <c r="AS53" s="328">
        <f t="shared" si="513"/>
        <v>0.399565109694039</v>
      </c>
      <c r="AT53" s="162">
        <f t="shared" si="514"/>
        <v>207.096184674575</v>
      </c>
      <c r="AU53" s="293"/>
      <c r="AV53" s="293"/>
      <c r="AW53" s="293"/>
      <c r="AX53" s="293"/>
      <c r="AY53" s="293"/>
      <c r="AZ53" s="293"/>
      <c r="BA53" s="293"/>
      <c r="BB53" s="293"/>
      <c r="BC53" s="293"/>
      <c r="BD53" s="293"/>
      <c r="BE53" s="293"/>
      <c r="BF53" s="293"/>
      <c r="BG53" s="293"/>
      <c r="BH53" s="293"/>
      <c r="BI53" s="293"/>
      <c r="BJ53" s="293"/>
      <c r="BK53" s="293"/>
      <c r="BL53" s="293"/>
      <c r="BM53" s="293"/>
      <c r="BN53" s="293"/>
      <c r="BO53" s="293"/>
      <c r="BP53" s="53"/>
      <c r="BQ53" s="327" t="s">
        <v>124</v>
      </c>
      <c r="BR53" s="327">
        <f t="shared" ref="BR53:BT53" si="594">BR6</f>
        <v>1</v>
      </c>
      <c r="BS53" s="327">
        <f t="shared" si="594"/>
        <v>4</v>
      </c>
      <c r="BT53" s="327">
        <f t="shared" si="594"/>
        <v>106</v>
      </c>
      <c r="BU53" s="161">
        <f t="shared" ref="BU53:BX53" si="595">BW6</f>
        <v>2275</v>
      </c>
      <c r="BV53" s="161">
        <f t="shared" si="595"/>
        <v>347172</v>
      </c>
      <c r="BW53" s="161">
        <f t="shared" si="595"/>
        <v>486170</v>
      </c>
      <c r="BX53" s="161">
        <f t="shared" si="595"/>
        <v>267943.25</v>
      </c>
      <c r="BY53" s="179">
        <f t="shared" si="517"/>
        <v>218226.75</v>
      </c>
      <c r="BZ53" s="328">
        <f t="shared" si="518"/>
        <v>0.448869222699879</v>
      </c>
      <c r="CA53" s="162">
        <f t="shared" si="519"/>
        <v>213.701098901099</v>
      </c>
      <c r="CB53" s="293"/>
      <c r="CC53" s="293"/>
      <c r="CD53" s="293"/>
      <c r="CE53" s="293"/>
      <c r="CF53" s="293"/>
      <c r="CG53" s="293"/>
      <c r="CH53" s="293"/>
      <c r="CI53" s="293"/>
      <c r="CJ53" s="293"/>
      <c r="CK53" s="293"/>
      <c r="CL53" s="293"/>
      <c r="CM53" s="293"/>
      <c r="CN53" s="293"/>
      <c r="CO53" s="293"/>
      <c r="CP53" s="293"/>
      <c r="CQ53" s="293"/>
      <c r="CR53" s="293"/>
      <c r="CS53" s="293"/>
      <c r="CT53" s="293"/>
      <c r="CU53" s="293"/>
      <c r="CV53" s="293"/>
      <c r="CW53" s="53"/>
      <c r="CX53" s="327" t="s">
        <v>124</v>
      </c>
      <c r="CY53" s="327" t="str">
        <f t="shared" ref="CY53:DA53" si="596">CX6</f>
        <v>PH25</v>
      </c>
      <c r="CZ53" s="327">
        <f t="shared" si="596"/>
        <v>0</v>
      </c>
      <c r="DA53" s="327">
        <f t="shared" si="596"/>
        <v>4</v>
      </c>
      <c r="DB53" s="161">
        <f t="shared" ref="DB53:DE53" si="597">DD6</f>
        <v>1528</v>
      </c>
      <c r="DC53" s="161">
        <f t="shared" si="597"/>
        <v>242580</v>
      </c>
      <c r="DD53" s="161">
        <f t="shared" si="597"/>
        <v>329527</v>
      </c>
      <c r="DE53" s="161">
        <f t="shared" si="597"/>
        <v>150434</v>
      </c>
      <c r="DF53" s="179">
        <f t="shared" si="522"/>
        <v>179093</v>
      </c>
      <c r="DG53" s="328">
        <f t="shared" si="523"/>
        <v>0.543485055852783</v>
      </c>
      <c r="DH53" s="162">
        <f t="shared" si="524"/>
        <v>215.659031413613</v>
      </c>
      <c r="DI53" s="293"/>
      <c r="DJ53" s="293"/>
      <c r="DK53" s="293"/>
      <c r="DL53" s="293"/>
      <c r="DM53" s="293"/>
      <c r="DN53" s="293"/>
      <c r="DO53" s="293"/>
      <c r="DP53" s="293"/>
      <c r="DQ53" s="293"/>
      <c r="DR53" s="293"/>
      <c r="DS53" s="293"/>
      <c r="DT53" s="293"/>
      <c r="DU53" s="293"/>
      <c r="DV53" s="293"/>
      <c r="DW53" s="293"/>
      <c r="DX53" s="293"/>
      <c r="DY53" s="293"/>
      <c r="DZ53" s="293"/>
      <c r="EA53" s="293"/>
      <c r="EB53" s="293"/>
      <c r="EC53" s="293"/>
      <c r="ED53" s="53"/>
      <c r="EE53" s="329" t="s">
        <v>124</v>
      </c>
      <c r="EF53" s="329">
        <f t="shared" ref="EF53:EH53" si="598">EF6</f>
        <v>0</v>
      </c>
      <c r="EG53" s="329">
        <f t="shared" si="598"/>
        <v>4</v>
      </c>
      <c r="EH53" s="329">
        <f t="shared" si="598"/>
        <v>111</v>
      </c>
      <c r="EI53" s="330">
        <f t="shared" ref="EI53:EL53" si="599">EK6</f>
        <v>3558</v>
      </c>
      <c r="EJ53" s="330">
        <f t="shared" si="599"/>
        <v>555272</v>
      </c>
      <c r="EK53" s="330">
        <f t="shared" si="599"/>
        <v>811949</v>
      </c>
      <c r="EL53" s="330">
        <f t="shared" si="599"/>
        <v>461373.36</v>
      </c>
      <c r="EM53" s="331">
        <f t="shared" si="527"/>
        <v>350575.64</v>
      </c>
      <c r="EN53" s="332">
        <f t="shared" si="528"/>
        <v>0.431770517606401</v>
      </c>
      <c r="EO53" s="333">
        <f t="shared" si="529"/>
        <v>228.203766160764</v>
      </c>
      <c r="EP53" s="53"/>
      <c r="EQ53" s="53"/>
      <c r="ER53" s="192"/>
      <c r="ES53" s="192"/>
      <c r="ET53" s="192"/>
      <c r="EU53" s="192"/>
      <c r="EV53" s="192"/>
      <c r="EW53" s="192"/>
      <c r="EX53" s="192"/>
      <c r="EY53" s="192"/>
      <c r="EZ53" s="192"/>
      <c r="FA53" s="192"/>
      <c r="FB53" s="192"/>
      <c r="FC53" s="192"/>
      <c r="FD53" s="192"/>
      <c r="FE53" s="192"/>
      <c r="FF53" s="192"/>
      <c r="FG53" s="192"/>
      <c r="FH53" s="192"/>
      <c r="FI53" s="192"/>
      <c r="FJ53" s="192"/>
      <c r="FK53" s="53"/>
      <c r="FL53" s="53"/>
      <c r="FM53" s="53"/>
      <c r="FN53" s="329" t="s">
        <v>124</v>
      </c>
      <c r="FO53" s="329">
        <f t="shared" ref="FO53:FQ53" si="600">FO6</f>
        <v>0</v>
      </c>
      <c r="FP53" s="329">
        <f t="shared" si="600"/>
        <v>5</v>
      </c>
      <c r="FQ53" s="329">
        <f t="shared" si="600"/>
        <v>134</v>
      </c>
      <c r="FR53" s="330">
        <f t="shared" ref="FR53:FU53" si="601">FT6</f>
        <v>3757</v>
      </c>
      <c r="FS53" s="330">
        <f t="shared" si="601"/>
        <v>634256</v>
      </c>
      <c r="FT53" s="330">
        <f t="shared" si="601"/>
        <v>909212</v>
      </c>
      <c r="FU53" s="330">
        <f t="shared" si="601"/>
        <v>551697.2</v>
      </c>
      <c r="FV53" s="331">
        <f t="shared" si="532"/>
        <v>357514.8</v>
      </c>
      <c r="FW53" s="332">
        <f t="shared" si="533"/>
        <v>0.393213903907999</v>
      </c>
      <c r="FX53" s="333">
        <f t="shared" si="534"/>
        <v>242.004791056694</v>
      </c>
      <c r="FY53" s="53"/>
      <c r="FZ53" s="192"/>
      <c r="GA53" s="192"/>
      <c r="GB53" s="192"/>
      <c r="GC53" s="192"/>
      <c r="GD53" s="192"/>
      <c r="GE53" s="192"/>
      <c r="GF53" s="192"/>
      <c r="GG53" s="192"/>
      <c r="GH53" s="192"/>
      <c r="GI53" s="192"/>
      <c r="GJ53" s="192"/>
      <c r="GK53" s="192"/>
      <c r="GL53" s="192"/>
      <c r="GM53" s="192"/>
      <c r="GN53" s="192"/>
      <c r="GO53" s="192"/>
      <c r="GP53" s="192"/>
      <c r="GQ53" s="192"/>
      <c r="GR53" s="192"/>
      <c r="GS53" s="192"/>
      <c r="GT53" s="53"/>
      <c r="GU53" s="53"/>
      <c r="GV53" s="329" t="s">
        <v>124</v>
      </c>
      <c r="GW53" s="329">
        <f t="shared" ref="GW53:GY53" si="602">GW6</f>
        <v>1</v>
      </c>
      <c r="GX53" s="329">
        <f t="shared" si="602"/>
        <v>4</v>
      </c>
      <c r="GY53" s="329">
        <f t="shared" si="602"/>
        <v>110</v>
      </c>
      <c r="GZ53" s="330">
        <f t="shared" ref="GZ53:HC53" si="603">HB6</f>
        <v>2891</v>
      </c>
      <c r="HA53" s="330">
        <f t="shared" si="603"/>
        <v>460409</v>
      </c>
      <c r="HB53" s="330">
        <f t="shared" si="603"/>
        <v>661223</v>
      </c>
      <c r="HC53" s="330">
        <f t="shared" si="603"/>
        <v>421698</v>
      </c>
      <c r="HD53" s="331">
        <f t="shared" si="537"/>
        <v>239525</v>
      </c>
      <c r="HE53" s="332">
        <f t="shared" si="538"/>
        <v>0.362245414935657</v>
      </c>
      <c r="HF53" s="333">
        <f t="shared" si="539"/>
        <v>228.717744725009</v>
      </c>
      <c r="HI53" s="192"/>
      <c r="HJ53" s="192"/>
      <c r="HK53" s="192"/>
      <c r="HL53" s="192"/>
      <c r="HM53" s="192"/>
      <c r="HN53" s="192"/>
      <c r="HO53" s="192"/>
      <c r="HP53" s="192"/>
      <c r="HQ53" s="192"/>
      <c r="HR53" s="192"/>
      <c r="HS53" s="192"/>
      <c r="HT53" s="192"/>
      <c r="HU53" s="192"/>
      <c r="HV53" s="192"/>
      <c r="HW53" s="192"/>
      <c r="HX53" s="192"/>
      <c r="HY53" s="192"/>
      <c r="HZ53" s="192"/>
      <c r="IA53" s="192"/>
      <c r="IB53" s="53"/>
      <c r="IC53" s="53"/>
      <c r="ID53" s="329" t="s">
        <v>124</v>
      </c>
      <c r="IE53" s="329">
        <f t="shared" si="540"/>
        <v>5</v>
      </c>
      <c r="IF53" s="329">
        <v>0</v>
      </c>
      <c r="IG53" s="329">
        <f t="shared" si="541"/>
        <v>104</v>
      </c>
      <c r="IH53" s="330">
        <f t="shared" ref="IH53:IK53" si="604">IJ6</f>
        <v>3537</v>
      </c>
      <c r="II53" s="330">
        <f t="shared" si="604"/>
        <v>540964.95</v>
      </c>
      <c r="IJ53" s="330">
        <f t="shared" si="604"/>
        <v>849098.95</v>
      </c>
      <c r="IK53" s="330">
        <f t="shared" si="604"/>
        <v>533234</v>
      </c>
      <c r="IL53" s="331">
        <f t="shared" si="543"/>
        <v>315864.95</v>
      </c>
      <c r="IM53" s="332">
        <f t="shared" si="544"/>
        <v>0.372000165587297</v>
      </c>
      <c r="IN53" s="333">
        <f t="shared" si="545"/>
        <v>240.061902742437</v>
      </c>
      <c r="IP53" s="11"/>
      <c r="IQ53" s="192"/>
      <c r="IR53" s="192"/>
      <c r="IS53" s="192"/>
      <c r="IT53" s="192"/>
      <c r="IU53" s="192"/>
      <c r="IV53" s="192"/>
      <c r="IW53" s="192"/>
      <c r="IX53" s="192"/>
      <c r="IY53" s="192"/>
      <c r="IZ53" s="192"/>
      <c r="JA53" s="192"/>
      <c r="JB53" s="192"/>
      <c r="JC53" s="192"/>
      <c r="JD53" s="192"/>
      <c r="JE53" s="192"/>
      <c r="JF53" s="192"/>
      <c r="JG53" s="192"/>
      <c r="JH53" s="192"/>
      <c r="JI53" s="192"/>
      <c r="JJ53" s="53"/>
      <c r="JK53" s="53"/>
      <c r="JL53" s="329" t="s">
        <v>124</v>
      </c>
      <c r="JM53" s="329">
        <f t="shared" si="546"/>
        <v>5</v>
      </c>
      <c r="JN53" s="329">
        <f t="shared" si="547"/>
        <v>0</v>
      </c>
      <c r="JO53" s="329">
        <f t="shared" ref="JO53:JR53" si="605">JR6</f>
        <v>3156</v>
      </c>
      <c r="JP53" s="330">
        <f t="shared" si="605"/>
        <v>461749</v>
      </c>
      <c r="JQ53" s="330">
        <f t="shared" si="605"/>
        <v>685804</v>
      </c>
      <c r="JR53" s="330">
        <f t="shared" si="605"/>
        <v>460636</v>
      </c>
      <c r="JS53" s="330">
        <f t="shared" si="549"/>
        <v>225168</v>
      </c>
      <c r="JT53" s="334">
        <f t="shared" si="550"/>
        <v>0.328327043878426</v>
      </c>
      <c r="JU53" s="335">
        <f t="shared" si="551"/>
        <v>217.30164765526</v>
      </c>
      <c r="JV53" s="192"/>
      <c r="JW53" s="192"/>
      <c r="JX53" s="192"/>
      <c r="JY53" s="192"/>
      <c r="JZ53" s="192"/>
      <c r="KA53" s="192"/>
      <c r="KB53" s="192"/>
      <c r="KC53" s="192"/>
      <c r="KD53" s="192"/>
      <c r="KE53" s="192"/>
      <c r="KF53" s="192"/>
      <c r="KG53" s="192"/>
      <c r="KH53" s="192"/>
      <c r="KI53" s="192"/>
      <c r="KJ53" s="192"/>
      <c r="KK53" s="192"/>
      <c r="KL53" s="192"/>
      <c r="KM53" s="192"/>
      <c r="KN53" s="192"/>
      <c r="KO53" s="192"/>
      <c r="KP53" s="192"/>
      <c r="KQ53" s="192"/>
      <c r="KR53" s="53"/>
      <c r="KS53" s="53"/>
      <c r="KT53" s="329" t="s">
        <v>124</v>
      </c>
      <c r="KU53" s="329">
        <v>5</v>
      </c>
      <c r="KV53" s="329">
        <v>155</v>
      </c>
      <c r="KW53" s="329">
        <v>4299</v>
      </c>
      <c r="KX53" s="330">
        <v>607818</v>
      </c>
      <c r="KY53" s="330">
        <v>901094</v>
      </c>
      <c r="KZ53" s="330">
        <v>649885.48</v>
      </c>
      <c r="LA53" s="330">
        <v>251208.52</v>
      </c>
      <c r="LB53" s="334">
        <v>0.278781703129751</v>
      </c>
      <c r="LC53" s="335">
        <v>209.605489648756</v>
      </c>
      <c r="LD53" s="11"/>
      <c r="LE53" s="11"/>
      <c r="LF53" s="11"/>
      <c r="LG53" s="192"/>
      <c r="LH53" s="192"/>
      <c r="LI53" s="192"/>
      <c r="LJ53" s="192"/>
      <c r="LK53" s="192"/>
      <c r="LL53" s="192"/>
      <c r="LM53" s="192"/>
      <c r="LN53" s="192"/>
      <c r="LO53" s="192"/>
      <c r="LP53" s="192"/>
      <c r="LQ53" s="192"/>
      <c r="LR53" s="192"/>
      <c r="LS53" s="192"/>
      <c r="LT53" s="192"/>
      <c r="LU53" s="192"/>
      <c r="LV53" s="192"/>
      <c r="LW53" s="192"/>
      <c r="LX53" s="192"/>
      <c r="LY53" s="192"/>
      <c r="LZ53" s="192"/>
      <c r="MA53" s="192"/>
      <c r="MB53" s="329" t="s">
        <v>124</v>
      </c>
      <c r="MC53" s="329">
        <f t="shared" si="552"/>
        <v>5</v>
      </c>
      <c r="MD53" s="329">
        <f t="shared" si="553"/>
        <v>131</v>
      </c>
      <c r="ME53" s="329">
        <f t="shared" ref="ME53:MH53" si="606">MH6</f>
        <v>6054</v>
      </c>
      <c r="MF53" s="330">
        <f t="shared" si="606"/>
        <v>873944</v>
      </c>
      <c r="MG53" s="330">
        <f t="shared" si="606"/>
        <v>1257282</v>
      </c>
      <c r="MH53" s="330">
        <f t="shared" si="606"/>
        <v>869933</v>
      </c>
      <c r="MI53" s="330">
        <f t="shared" si="555"/>
        <v>387349</v>
      </c>
      <c r="MJ53" s="334">
        <f t="shared" si="556"/>
        <v>0.308084423383139</v>
      </c>
      <c r="MK53" s="335">
        <f t="shared" si="557"/>
        <v>207.677898909812</v>
      </c>
      <c r="MO53" s="192"/>
      <c r="MP53" s="192"/>
      <c r="MQ53" s="192"/>
      <c r="MR53" s="192"/>
      <c r="MS53" s="192"/>
      <c r="MT53" s="192"/>
      <c r="MU53" s="192"/>
      <c r="MV53" s="192"/>
      <c r="MW53" s="192"/>
      <c r="MX53" s="192"/>
      <c r="MY53" s="192"/>
      <c r="MZ53" s="192"/>
      <c r="NA53" s="192"/>
      <c r="NB53" s="192"/>
      <c r="NC53" s="192"/>
      <c r="ND53" s="192"/>
      <c r="NE53" s="192"/>
      <c r="NF53" s="192"/>
      <c r="NG53" s="192"/>
      <c r="NH53" s="53"/>
      <c r="NI53" s="53"/>
      <c r="NJ53" s="329" t="s">
        <v>124</v>
      </c>
      <c r="NK53" s="329">
        <f t="shared" si="558"/>
        <v>5</v>
      </c>
      <c r="NL53" s="329">
        <f t="shared" si="559"/>
        <v>123</v>
      </c>
      <c r="NM53" s="329">
        <f t="shared" ref="NM53:NP53" si="607">NP6</f>
        <v>7424</v>
      </c>
      <c r="NN53" s="330">
        <f t="shared" si="607"/>
        <v>1051397</v>
      </c>
      <c r="NO53" s="330">
        <f t="shared" si="607"/>
        <v>1494151</v>
      </c>
      <c r="NP53" s="330">
        <f t="shared" si="607"/>
        <v>889205</v>
      </c>
      <c r="NQ53" s="330">
        <f t="shared" si="561"/>
        <v>604946</v>
      </c>
      <c r="NR53" s="334">
        <f t="shared" si="562"/>
        <v>0.404876080128448</v>
      </c>
      <c r="NS53" s="335">
        <f t="shared" si="563"/>
        <v>201.259563577586</v>
      </c>
      <c r="NT53" s="46"/>
      <c r="NU53" s="46"/>
      <c r="NV53" s="46"/>
      <c r="NW53" s="53"/>
      <c r="NX53" s="53"/>
      <c r="NY53" s="53"/>
      <c r="NZ53" s="53"/>
      <c r="OA53" s="53"/>
      <c r="OB53" s="53"/>
      <c r="OC53" s="53"/>
      <c r="OD53" s="53"/>
      <c r="OE53" s="53"/>
      <c r="OF53" s="53"/>
      <c r="OG53" s="53"/>
      <c r="OH53" s="53"/>
      <c r="OI53" s="53"/>
      <c r="OJ53" s="53"/>
      <c r="OK53" s="53"/>
      <c r="OL53" s="53"/>
      <c r="OM53" s="53"/>
      <c r="ON53" s="53"/>
      <c r="OO53" s="53"/>
      <c r="OP53" s="53"/>
      <c r="OQ53" s="53"/>
      <c r="OR53" s="53"/>
      <c r="OS53" s="336" t="s">
        <v>124</v>
      </c>
      <c r="OT53" s="336">
        <f t="shared" si="564"/>
        <v>5</v>
      </c>
      <c r="OU53" s="336">
        <f t="shared" si="565"/>
        <v>93</v>
      </c>
      <c r="OV53" s="172">
        <f t="shared" ref="OV53:OY53" si="608">OW6</f>
        <v>8174</v>
      </c>
      <c r="OW53" s="172">
        <f t="shared" si="608"/>
        <v>1137991</v>
      </c>
      <c r="OX53" s="172">
        <f t="shared" si="608"/>
        <v>1579435</v>
      </c>
      <c r="OY53" s="172">
        <f t="shared" si="608"/>
        <v>1082183</v>
      </c>
      <c r="OZ53" s="171">
        <f t="shared" si="567"/>
        <v>497252</v>
      </c>
      <c r="PA53" s="337">
        <f t="shared" si="568"/>
        <v>0.31482903696575</v>
      </c>
      <c r="PB53" s="170">
        <f t="shared" si="569"/>
        <v>193.226694396868</v>
      </c>
      <c r="PC53" s="144"/>
      <c r="PD53" s="144"/>
      <c r="PE53" s="144"/>
      <c r="PF53" s="144"/>
      <c r="PG53" s="144"/>
      <c r="PH53" s="144"/>
      <c r="PI53" s="144"/>
      <c r="PJ53" s="144"/>
      <c r="PK53" s="144"/>
      <c r="PL53" s="144"/>
      <c r="PM53" s="144"/>
      <c r="PN53" s="144"/>
      <c r="PO53" s="144"/>
      <c r="PP53" s="144"/>
      <c r="PQ53" s="144"/>
      <c r="PR53" s="144"/>
      <c r="PS53" s="144"/>
      <c r="PT53" s="146"/>
      <c r="PU53" s="336" t="s">
        <v>124</v>
      </c>
      <c r="PV53" s="336">
        <f t="shared" si="570"/>
        <v>5</v>
      </c>
      <c r="PW53" s="336">
        <f t="shared" si="571"/>
        <v>74</v>
      </c>
      <c r="PX53" s="172">
        <f t="shared" ref="PX53:QA53" si="609">PY6</f>
        <v>2154</v>
      </c>
      <c r="PY53" s="172">
        <f t="shared" si="609"/>
        <v>325352</v>
      </c>
      <c r="PZ53" s="172">
        <f t="shared" si="609"/>
        <v>433141</v>
      </c>
      <c r="QA53" s="172">
        <f t="shared" si="609"/>
        <v>243203</v>
      </c>
      <c r="QB53" s="171">
        <f t="shared" si="573"/>
        <v>189938</v>
      </c>
      <c r="QC53" s="337">
        <f t="shared" si="574"/>
        <v>0.438513093888595</v>
      </c>
      <c r="QD53" s="170">
        <f t="shared" si="575"/>
        <v>201.086815227484</v>
      </c>
      <c r="QE53" s="146"/>
      <c r="QF53" s="146"/>
      <c r="QG53" s="146"/>
      <c r="QH53" s="146"/>
      <c r="QI53" s="146"/>
      <c r="QJ53" s="146"/>
      <c r="QK53" s="146"/>
      <c r="QL53" s="146"/>
      <c r="QM53" s="146"/>
      <c r="QN53" s="146"/>
      <c r="QO53" s="146"/>
      <c r="QP53" s="146"/>
      <c r="QQ53" s="146"/>
      <c r="QR53" s="146"/>
      <c r="QS53" s="144"/>
      <c r="QT53" s="144"/>
      <c r="QU53" s="144"/>
      <c r="QV53" s="144"/>
      <c r="QW53" s="144"/>
      <c r="QX53" s="144"/>
      <c r="QY53" s="144"/>
      <c r="QZ53" s="144"/>
      <c r="RA53" s="144"/>
      <c r="RB53" s="144"/>
      <c r="RC53" s="144"/>
      <c r="RD53" s="144"/>
      <c r="RE53" s="144"/>
      <c r="RF53" s="144"/>
      <c r="RG53" s="144"/>
      <c r="RH53" s="144"/>
      <c r="RI53" s="144"/>
      <c r="RJ53" s="144"/>
      <c r="RK53" s="144"/>
      <c r="RL53" s="144"/>
      <c r="RM53" s="144"/>
      <c r="RN53" s="144"/>
      <c r="RO53" s="144"/>
      <c r="RP53" s="144"/>
      <c r="RQ53" s="144"/>
      <c r="RR53" s="144"/>
      <c r="RS53" s="144"/>
      <c r="RT53" s="144"/>
      <c r="RU53" s="144"/>
      <c r="RV53" s="144"/>
      <c r="RW53" s="144"/>
      <c r="RX53" s="144"/>
      <c r="RY53" s="144"/>
      <c r="RZ53" s="144"/>
      <c r="SA53" s="144"/>
      <c r="SB53" s="144"/>
      <c r="SC53" s="144"/>
      <c r="SD53" s="144"/>
      <c r="SE53" s="144"/>
      <c r="SF53" s="144"/>
      <c r="SG53" s="144"/>
      <c r="SH53" s="144"/>
      <c r="SI53" s="144"/>
      <c r="SJ53" s="144"/>
      <c r="SK53" s="144"/>
      <c r="SL53" s="144"/>
      <c r="SM53" s="84"/>
      <c r="SN53" s="84"/>
      <c r="SO53" s="154"/>
      <c r="SP53" s="154"/>
      <c r="SQ53" s="154"/>
      <c r="SR53" s="154"/>
      <c r="SS53" s="154"/>
      <c r="ST53" s="154"/>
      <c r="SU53" s="155"/>
      <c r="SV53" s="154"/>
      <c r="SW53" s="154"/>
      <c r="SX53" s="155"/>
      <c r="SY53" s="155"/>
      <c r="SZ53" s="155"/>
      <c r="TA53" s="155"/>
      <c r="TB53" s="155"/>
      <c r="TC53" s="155"/>
      <c r="TD53" s="155"/>
      <c r="TE53" s="156"/>
      <c r="TF53" s="144"/>
      <c r="TG53" s="84"/>
      <c r="TH53" s="144"/>
      <c r="TI53" s="144"/>
      <c r="TJ53" s="144"/>
      <c r="TK53" s="144"/>
      <c r="TL53" s="157"/>
      <c r="TM53" s="157"/>
      <c r="TN53" s="157"/>
      <c r="TO53" s="157"/>
      <c r="TP53" s="157"/>
      <c r="TQ53" s="157"/>
      <c r="TR53" s="157"/>
      <c r="TS53" s="157"/>
      <c r="TT53" s="157"/>
      <c r="TU53" s="158"/>
      <c r="TV53" s="157"/>
      <c r="TW53" s="158"/>
      <c r="TX53" s="144"/>
      <c r="TY53" s="144"/>
      <c r="TZ53" s="144"/>
      <c r="UA53" s="84"/>
      <c r="UB53" s="144"/>
      <c r="UC53" s="144"/>
      <c r="UD53" s="144"/>
      <c r="UE53" s="144"/>
      <c r="UF53" s="157"/>
      <c r="UG53" s="157"/>
      <c r="UH53" s="157"/>
      <c r="UI53" s="157"/>
      <c r="UJ53" s="157"/>
      <c r="UK53" s="157"/>
      <c r="UL53" s="157"/>
      <c r="UM53" s="157"/>
      <c r="UN53" s="157"/>
      <c r="UO53" s="157"/>
      <c r="UP53" s="157"/>
      <c r="UQ53" s="158"/>
      <c r="UR53" s="157"/>
      <c r="US53" s="158"/>
      <c r="UT53" s="144"/>
      <c r="UU53" s="144"/>
      <c r="UV53" s="144"/>
      <c r="UW53" s="144"/>
      <c r="UX53" s="144"/>
      <c r="UY53" s="144"/>
      <c r="UZ53" s="144"/>
      <c r="VA53" s="144"/>
      <c r="VB53" s="157"/>
      <c r="VC53" s="157"/>
      <c r="VD53" s="157"/>
      <c r="VE53" s="157"/>
      <c r="VF53" s="157"/>
      <c r="VG53" s="157"/>
      <c r="VH53" s="157"/>
      <c r="VI53" s="157"/>
      <c r="VJ53" s="157"/>
      <c r="VK53" s="157"/>
      <c r="VL53" s="157"/>
      <c r="VM53" s="157"/>
      <c r="VN53" s="157"/>
      <c r="VO53" s="157"/>
      <c r="VP53" s="144"/>
      <c r="VQ53" s="144"/>
      <c r="VR53" s="84"/>
      <c r="VS53" s="84"/>
      <c r="VT53" s="53"/>
      <c r="VU53" s="53"/>
    </row>
    <row r="54" ht="15.75" spans="1:593">
      <c r="A54" s="53"/>
      <c r="B54" s="53"/>
      <c r="C54" s="327" t="s">
        <v>127</v>
      </c>
      <c r="D54" s="327">
        <f t="shared" si="501"/>
        <v>3</v>
      </c>
      <c r="E54" s="327">
        <f t="shared" si="502"/>
        <v>2</v>
      </c>
      <c r="F54" s="327">
        <f t="shared" si="503"/>
        <v>2</v>
      </c>
      <c r="G54" s="161">
        <f t="shared" ref="G54:J54" si="610">I7</f>
        <v>2264</v>
      </c>
      <c r="H54" s="161">
        <f t="shared" si="610"/>
        <v>351982</v>
      </c>
      <c r="I54" s="161">
        <f t="shared" si="610"/>
        <v>489755</v>
      </c>
      <c r="J54" s="161">
        <f t="shared" si="610"/>
        <v>405034.16</v>
      </c>
      <c r="K54" s="179">
        <f t="shared" si="505"/>
        <v>84720.84</v>
      </c>
      <c r="L54" s="328">
        <f t="shared" si="506"/>
        <v>0.172986166552664</v>
      </c>
      <c r="M54" s="162">
        <f t="shared" si="507"/>
        <v>216.322879858657</v>
      </c>
      <c r="N54" s="338"/>
      <c r="O54" s="338"/>
      <c r="P54" s="338"/>
      <c r="Q54" s="338"/>
      <c r="R54" s="293"/>
      <c r="S54" s="293"/>
      <c r="T54" s="293"/>
      <c r="U54" s="293"/>
      <c r="V54" s="293"/>
      <c r="W54" s="293"/>
      <c r="X54" s="293"/>
      <c r="Y54" s="293"/>
      <c r="Z54" s="293"/>
      <c r="AA54" s="293"/>
      <c r="AB54" s="293"/>
      <c r="AC54" s="293"/>
      <c r="AD54" s="293"/>
      <c r="AE54" s="293"/>
      <c r="AF54" s="293"/>
      <c r="AG54" s="293"/>
      <c r="AH54" s="293"/>
      <c r="AI54" s="53"/>
      <c r="AJ54" s="327" t="s">
        <v>127</v>
      </c>
      <c r="AK54" s="327">
        <f t="shared" si="508"/>
        <v>3</v>
      </c>
      <c r="AL54" s="327">
        <f t="shared" si="509"/>
        <v>2</v>
      </c>
      <c r="AM54" s="327">
        <f t="shared" si="510"/>
        <v>2</v>
      </c>
      <c r="AN54" s="161">
        <f t="shared" ref="AN54:AQ54" si="611">AP7</f>
        <v>2248</v>
      </c>
      <c r="AO54" s="161">
        <f t="shared" si="611"/>
        <v>386665</v>
      </c>
      <c r="AP54" s="161">
        <f t="shared" si="611"/>
        <v>1101256</v>
      </c>
      <c r="AQ54" s="161">
        <f t="shared" si="611"/>
        <v>312535.11</v>
      </c>
      <c r="AR54" s="179">
        <f t="shared" si="512"/>
        <v>788720.89</v>
      </c>
      <c r="AS54" s="328">
        <f t="shared" si="513"/>
        <v>0.716201219335014</v>
      </c>
      <c r="AT54" s="162">
        <f t="shared" si="514"/>
        <v>489.88256227758</v>
      </c>
      <c r="AU54" s="338"/>
      <c r="AV54" s="338"/>
      <c r="AW54" s="338"/>
      <c r="AX54" s="338"/>
      <c r="AY54" s="293"/>
      <c r="AZ54" s="293"/>
      <c r="BA54" s="293"/>
      <c r="BB54" s="293"/>
      <c r="BC54" s="293"/>
      <c r="BD54" s="293"/>
      <c r="BE54" s="293"/>
      <c r="BF54" s="293"/>
      <c r="BG54" s="293"/>
      <c r="BH54" s="293"/>
      <c r="BI54" s="293"/>
      <c r="BJ54" s="293"/>
      <c r="BK54" s="293"/>
      <c r="BL54" s="293"/>
      <c r="BM54" s="293"/>
      <c r="BN54" s="293"/>
      <c r="BO54" s="293"/>
      <c r="BP54" s="53"/>
      <c r="BQ54" s="327" t="s">
        <v>127</v>
      </c>
      <c r="BR54" s="327">
        <f t="shared" ref="BR54:BT54" si="612">BR7</f>
        <v>2</v>
      </c>
      <c r="BS54" s="327">
        <f t="shared" si="612"/>
        <v>1</v>
      </c>
      <c r="BT54" s="327">
        <f t="shared" si="612"/>
        <v>48</v>
      </c>
      <c r="BU54" s="161">
        <f t="shared" ref="BU54:BX54" si="613">BW7</f>
        <v>1181</v>
      </c>
      <c r="BV54" s="161">
        <f t="shared" si="613"/>
        <v>177747.4</v>
      </c>
      <c r="BW54" s="161">
        <f t="shared" si="613"/>
        <v>262660</v>
      </c>
      <c r="BX54" s="161">
        <f t="shared" si="613"/>
        <v>152117</v>
      </c>
      <c r="BY54" s="179">
        <f t="shared" si="517"/>
        <v>110543</v>
      </c>
      <c r="BZ54" s="328">
        <f t="shared" si="518"/>
        <v>0.420859666488997</v>
      </c>
      <c r="CA54" s="162">
        <f t="shared" si="519"/>
        <v>222.404741744285</v>
      </c>
      <c r="CB54" s="338"/>
      <c r="CC54" s="338"/>
      <c r="CD54" s="338"/>
      <c r="CE54" s="338"/>
      <c r="CF54" s="293"/>
      <c r="CG54" s="293"/>
      <c r="CH54" s="293"/>
      <c r="CI54" s="293"/>
      <c r="CJ54" s="293"/>
      <c r="CK54" s="293"/>
      <c r="CL54" s="293"/>
      <c r="CM54" s="293"/>
      <c r="CN54" s="293"/>
      <c r="CO54" s="293"/>
      <c r="CP54" s="293"/>
      <c r="CQ54" s="293"/>
      <c r="CR54" s="293"/>
      <c r="CS54" s="293"/>
      <c r="CT54" s="293"/>
      <c r="CU54" s="293"/>
      <c r="CV54" s="293"/>
      <c r="CW54" s="53"/>
      <c r="CX54" s="327" t="s">
        <v>127</v>
      </c>
      <c r="CY54" s="327" t="str">
        <f t="shared" ref="CY54:DA54" si="614">CX7</f>
        <v>PH18</v>
      </c>
      <c r="CZ54" s="327">
        <f t="shared" si="614"/>
        <v>2</v>
      </c>
      <c r="DA54" s="327">
        <f t="shared" si="614"/>
        <v>1</v>
      </c>
      <c r="DB54" s="161">
        <f t="shared" ref="DB54:DE54" si="615">DD7</f>
        <v>1395</v>
      </c>
      <c r="DC54" s="161">
        <f t="shared" si="615"/>
        <v>212835</v>
      </c>
      <c r="DD54" s="161">
        <f t="shared" si="615"/>
        <v>291643</v>
      </c>
      <c r="DE54" s="161">
        <f t="shared" si="615"/>
        <v>168420.4</v>
      </c>
      <c r="DF54" s="179">
        <f t="shared" si="522"/>
        <v>123222.6</v>
      </c>
      <c r="DG54" s="328">
        <f t="shared" si="523"/>
        <v>0.422511769526442</v>
      </c>
      <c r="DH54" s="162">
        <f t="shared" si="524"/>
        <v>209.063082437276</v>
      </c>
      <c r="DI54" s="338"/>
      <c r="DJ54" s="338"/>
      <c r="DK54" s="338"/>
      <c r="DL54" s="338"/>
      <c r="DM54" s="293"/>
      <c r="DN54" s="293"/>
      <c r="DO54" s="293"/>
      <c r="DP54" s="293"/>
      <c r="DQ54" s="293"/>
      <c r="DR54" s="293"/>
      <c r="DS54" s="293"/>
      <c r="DT54" s="293"/>
      <c r="DU54" s="293"/>
      <c r="DV54" s="293"/>
      <c r="DW54" s="293"/>
      <c r="DX54" s="293"/>
      <c r="DY54" s="293"/>
      <c r="DZ54" s="293"/>
      <c r="EA54" s="293"/>
      <c r="EB54" s="293"/>
      <c r="EC54" s="293"/>
      <c r="ED54" s="53"/>
      <c r="EE54" s="329" t="s">
        <v>127</v>
      </c>
      <c r="EF54" s="329">
        <f t="shared" ref="EF54:EH54" si="616">EF7</f>
        <v>2</v>
      </c>
      <c r="EG54" s="329">
        <f t="shared" si="616"/>
        <v>1</v>
      </c>
      <c r="EH54" s="329">
        <f t="shared" si="616"/>
        <v>40</v>
      </c>
      <c r="EI54" s="330">
        <f t="shared" ref="EI54:EL54" si="617">EK7</f>
        <v>2461</v>
      </c>
      <c r="EJ54" s="330">
        <f t="shared" si="617"/>
        <v>393279.41</v>
      </c>
      <c r="EK54" s="330">
        <f t="shared" si="617"/>
        <v>532568.41</v>
      </c>
      <c r="EL54" s="330">
        <f t="shared" si="617"/>
        <v>323728.38</v>
      </c>
      <c r="EM54" s="331">
        <f t="shared" si="527"/>
        <v>208840.03</v>
      </c>
      <c r="EN54" s="332">
        <f t="shared" si="528"/>
        <v>0.392137472066734</v>
      </c>
      <c r="EO54" s="333">
        <f t="shared" si="529"/>
        <v>216.403254774482</v>
      </c>
      <c r="EP54" s="53"/>
      <c r="EQ54" s="53"/>
      <c r="ER54" s="192"/>
      <c r="ES54" s="192"/>
      <c r="ET54" s="192"/>
      <c r="EU54" s="192"/>
      <c r="EV54" s="192"/>
      <c r="EW54" s="192"/>
      <c r="EX54" s="192"/>
      <c r="EY54" s="192"/>
      <c r="EZ54" s="192"/>
      <c r="FA54" s="192"/>
      <c r="FB54" s="192"/>
      <c r="FC54" s="192"/>
      <c r="FD54" s="192"/>
      <c r="FE54" s="192"/>
      <c r="FF54" s="192"/>
      <c r="FG54" s="192"/>
      <c r="FH54" s="192"/>
      <c r="FI54" s="192"/>
      <c r="FJ54" s="192"/>
      <c r="FK54" s="53"/>
      <c r="FL54" s="53"/>
      <c r="FM54" s="53"/>
      <c r="FN54" s="329" t="s">
        <v>127</v>
      </c>
      <c r="FO54" s="329">
        <f t="shared" ref="FO54:FQ54" si="618">FO7</f>
        <v>2</v>
      </c>
      <c r="FP54" s="329">
        <f t="shared" si="618"/>
        <v>1</v>
      </c>
      <c r="FQ54" s="329">
        <f t="shared" si="618"/>
        <v>62</v>
      </c>
      <c r="FR54" s="330">
        <f t="shared" ref="FR54:FU54" si="619">FT7</f>
        <v>2207</v>
      </c>
      <c r="FS54" s="330">
        <f t="shared" si="619"/>
        <v>373153.07</v>
      </c>
      <c r="FT54" s="330">
        <f t="shared" si="619"/>
        <v>521188.07</v>
      </c>
      <c r="FU54" s="330">
        <f t="shared" si="619"/>
        <v>344679</v>
      </c>
      <c r="FV54" s="331">
        <f t="shared" si="532"/>
        <v>176509.07</v>
      </c>
      <c r="FW54" s="332">
        <f t="shared" si="533"/>
        <v>0.338666750372855</v>
      </c>
      <c r="FX54" s="333">
        <f t="shared" si="534"/>
        <v>236.152274580879</v>
      </c>
      <c r="FY54" s="53"/>
      <c r="FZ54" s="192"/>
      <c r="GA54" s="192"/>
      <c r="GB54" s="192"/>
      <c r="GC54" s="192"/>
      <c r="GD54" s="192"/>
      <c r="GE54" s="192"/>
      <c r="GF54" s="192"/>
      <c r="GG54" s="192"/>
      <c r="GH54" s="192"/>
      <c r="GI54" s="192"/>
      <c r="GJ54" s="192"/>
      <c r="GK54" s="192"/>
      <c r="GL54" s="192"/>
      <c r="GM54" s="192"/>
      <c r="GN54" s="192"/>
      <c r="GO54" s="192"/>
      <c r="GP54" s="192"/>
      <c r="GQ54" s="192"/>
      <c r="GR54" s="192"/>
      <c r="GS54" s="192"/>
      <c r="GT54" s="53"/>
      <c r="GU54" s="53"/>
      <c r="GV54" s="329" t="s">
        <v>127</v>
      </c>
      <c r="GW54" s="329">
        <f t="shared" ref="GW54:GY54" si="620">GW7</f>
        <v>2</v>
      </c>
      <c r="GX54" s="329">
        <f t="shared" si="620"/>
        <v>1</v>
      </c>
      <c r="GY54" s="329">
        <f t="shared" si="620"/>
        <v>50</v>
      </c>
      <c r="GZ54" s="330">
        <f t="shared" ref="GZ54:HC54" si="621">HB7</f>
        <v>2920</v>
      </c>
      <c r="HA54" s="330">
        <f t="shared" si="621"/>
        <v>444871</v>
      </c>
      <c r="HB54" s="330">
        <f t="shared" si="621"/>
        <v>607365</v>
      </c>
      <c r="HC54" s="330">
        <f t="shared" si="621"/>
        <v>419779</v>
      </c>
      <c r="HD54" s="331">
        <f t="shared" si="537"/>
        <v>187586</v>
      </c>
      <c r="HE54" s="332">
        <f t="shared" si="538"/>
        <v>0.308852172910853</v>
      </c>
      <c r="HF54" s="333">
        <f t="shared" si="539"/>
        <v>208.001712328767</v>
      </c>
      <c r="HI54" s="192"/>
      <c r="HJ54" s="192"/>
      <c r="HK54" s="192"/>
      <c r="HL54" s="192"/>
      <c r="HM54" s="192"/>
      <c r="HN54" s="192"/>
      <c r="HO54" s="192"/>
      <c r="HP54" s="192"/>
      <c r="HQ54" s="192"/>
      <c r="HR54" s="192"/>
      <c r="HS54" s="192"/>
      <c r="HT54" s="192"/>
      <c r="HU54" s="192"/>
      <c r="HV54" s="192"/>
      <c r="HW54" s="192"/>
      <c r="HX54" s="192"/>
      <c r="HY54" s="192"/>
      <c r="HZ54" s="192"/>
      <c r="IA54" s="192"/>
      <c r="IB54" s="53"/>
      <c r="IC54" s="53"/>
      <c r="ID54" s="329" t="s">
        <v>127</v>
      </c>
      <c r="IE54" s="329">
        <f t="shared" si="540"/>
        <v>3</v>
      </c>
      <c r="IF54" s="329">
        <v>0</v>
      </c>
      <c r="IG54" s="329">
        <f t="shared" si="541"/>
        <v>58</v>
      </c>
      <c r="IH54" s="330">
        <f t="shared" ref="IH54:IK54" si="622">IJ7</f>
        <v>5498</v>
      </c>
      <c r="II54" s="330">
        <f t="shared" si="622"/>
        <v>816908</v>
      </c>
      <c r="IJ54" s="330">
        <f t="shared" si="622"/>
        <v>1173968.89</v>
      </c>
      <c r="IK54" s="330">
        <f t="shared" si="622"/>
        <v>735381</v>
      </c>
      <c r="IL54" s="331">
        <f t="shared" si="543"/>
        <v>438587.89</v>
      </c>
      <c r="IM54" s="332">
        <f t="shared" si="544"/>
        <v>0.373594133316429</v>
      </c>
      <c r="IN54" s="333">
        <f t="shared" si="545"/>
        <v>213.526535103674</v>
      </c>
      <c r="IP54" s="11"/>
      <c r="IQ54" s="192"/>
      <c r="IR54" s="192"/>
      <c r="IS54" s="192"/>
      <c r="IT54" s="192"/>
      <c r="IU54" s="192"/>
      <c r="IV54" s="192"/>
      <c r="IW54" s="192"/>
      <c r="IX54" s="192"/>
      <c r="IY54" s="192"/>
      <c r="IZ54" s="192"/>
      <c r="JA54" s="192"/>
      <c r="JB54" s="192"/>
      <c r="JC54" s="192"/>
      <c r="JD54" s="192"/>
      <c r="JE54" s="192"/>
      <c r="JF54" s="192"/>
      <c r="JG54" s="192"/>
      <c r="JH54" s="192"/>
      <c r="JI54" s="192"/>
      <c r="JJ54" s="53"/>
      <c r="JK54" s="53"/>
      <c r="JL54" s="329" t="s">
        <v>127</v>
      </c>
      <c r="JM54" s="329">
        <f t="shared" si="546"/>
        <v>5</v>
      </c>
      <c r="JN54" s="329">
        <f t="shared" si="547"/>
        <v>0</v>
      </c>
      <c r="JO54" s="329">
        <f t="shared" ref="JO54:JR54" si="623">JR7</f>
        <v>4001</v>
      </c>
      <c r="JP54" s="330">
        <f t="shared" si="623"/>
        <v>586063</v>
      </c>
      <c r="JQ54" s="330">
        <f t="shared" si="623"/>
        <v>833665</v>
      </c>
      <c r="JR54" s="330">
        <f t="shared" si="623"/>
        <v>454778</v>
      </c>
      <c r="JS54" s="330">
        <f t="shared" si="549"/>
        <v>378887</v>
      </c>
      <c r="JT54" s="334">
        <f t="shared" si="550"/>
        <v>0.454483515560807</v>
      </c>
      <c r="JU54" s="335">
        <f t="shared" si="551"/>
        <v>208.36415896026</v>
      </c>
      <c r="JV54" s="192"/>
      <c r="JW54" s="192"/>
      <c r="JX54" s="192"/>
      <c r="JY54" s="192"/>
      <c r="JZ54" s="192"/>
      <c r="KA54" s="192"/>
      <c r="KB54" s="192"/>
      <c r="KC54" s="192"/>
      <c r="KD54" s="192"/>
      <c r="KE54" s="192"/>
      <c r="KF54" s="192"/>
      <c r="KG54" s="192"/>
      <c r="KH54" s="192"/>
      <c r="KI54" s="192"/>
      <c r="KJ54" s="192"/>
      <c r="KK54" s="192"/>
      <c r="KL54" s="192"/>
      <c r="KM54" s="192"/>
      <c r="KN54" s="192"/>
      <c r="KO54" s="192"/>
      <c r="KP54" s="192"/>
      <c r="KQ54" s="192"/>
      <c r="KR54" s="53"/>
      <c r="KS54" s="53"/>
      <c r="KT54" s="329" t="s">
        <v>127</v>
      </c>
      <c r="KU54" s="329">
        <v>5</v>
      </c>
      <c r="KV54" s="329">
        <v>125</v>
      </c>
      <c r="KW54" s="329">
        <v>5545</v>
      </c>
      <c r="KX54" s="330">
        <v>841950</v>
      </c>
      <c r="KY54" s="330">
        <v>1279811</v>
      </c>
      <c r="KZ54" s="330">
        <v>811336</v>
      </c>
      <c r="LA54" s="330">
        <v>468475</v>
      </c>
      <c r="LB54" s="334">
        <v>0.366050143341478</v>
      </c>
      <c r="LC54" s="335">
        <v>230.804508566276</v>
      </c>
      <c r="LF54" s="11"/>
      <c r="LG54" s="192"/>
      <c r="LH54" s="192"/>
      <c r="LI54" s="192"/>
      <c r="LJ54" s="192"/>
      <c r="LK54" s="192"/>
      <c r="LL54" s="192"/>
      <c r="LM54" s="192"/>
      <c r="LN54" s="192"/>
      <c r="LO54" s="192"/>
      <c r="LP54" s="192"/>
      <c r="LQ54" s="192"/>
      <c r="LR54" s="192"/>
      <c r="LS54" s="192"/>
      <c r="LT54" s="192"/>
      <c r="LU54" s="192"/>
      <c r="LV54" s="192"/>
      <c r="LW54" s="192"/>
      <c r="LX54" s="192"/>
      <c r="LY54" s="192"/>
      <c r="LZ54" s="192"/>
      <c r="MA54" s="192"/>
      <c r="MB54" s="329" t="s">
        <v>127</v>
      </c>
      <c r="MC54" s="329">
        <f t="shared" si="552"/>
        <v>5</v>
      </c>
      <c r="MD54" s="329">
        <f t="shared" si="553"/>
        <v>142</v>
      </c>
      <c r="ME54" s="329">
        <f t="shared" ref="ME54:MH54" si="624">MH7</f>
        <v>6646</v>
      </c>
      <c r="MF54" s="330">
        <f t="shared" si="624"/>
        <v>1089920.44</v>
      </c>
      <c r="MG54" s="330">
        <f t="shared" si="624"/>
        <v>1740947</v>
      </c>
      <c r="MH54" s="330">
        <f t="shared" si="624"/>
        <v>1093491</v>
      </c>
      <c r="MI54" s="330">
        <f t="shared" si="555"/>
        <v>647456</v>
      </c>
      <c r="MJ54" s="334">
        <f t="shared" si="556"/>
        <v>0.371898742466026</v>
      </c>
      <c r="MK54" s="335">
        <f t="shared" si="557"/>
        <v>261.954107733975</v>
      </c>
      <c r="MO54" s="192"/>
      <c r="MP54" s="192"/>
      <c r="MQ54" s="192"/>
      <c r="MR54" s="192"/>
      <c r="MS54" s="192"/>
      <c r="MT54" s="192"/>
      <c r="MU54" s="192"/>
      <c r="MV54" s="192"/>
      <c r="MW54" s="192"/>
      <c r="MX54" s="192"/>
      <c r="MY54" s="192"/>
      <c r="MZ54" s="192"/>
      <c r="NA54" s="192"/>
      <c r="NB54" s="192"/>
      <c r="NC54" s="192"/>
      <c r="ND54" s="192"/>
      <c r="NE54" s="192"/>
      <c r="NF54" s="192"/>
      <c r="NG54" s="192"/>
      <c r="NH54" s="53"/>
      <c r="NI54" s="53"/>
      <c r="NJ54" s="329" t="s">
        <v>127</v>
      </c>
      <c r="NK54" s="329">
        <f t="shared" si="558"/>
        <v>7</v>
      </c>
      <c r="NL54" s="329">
        <f t="shared" si="559"/>
        <v>145</v>
      </c>
      <c r="NM54" s="329">
        <f t="shared" ref="NM54:NP54" si="625">NP7</f>
        <v>9960</v>
      </c>
      <c r="NN54" s="330">
        <f t="shared" si="625"/>
        <v>1429557</v>
      </c>
      <c r="NO54" s="330">
        <f t="shared" si="625"/>
        <v>1999654</v>
      </c>
      <c r="NP54" s="330">
        <f t="shared" si="625"/>
        <v>1448096</v>
      </c>
      <c r="NQ54" s="330">
        <f t="shared" si="561"/>
        <v>551558</v>
      </c>
      <c r="NR54" s="334">
        <f t="shared" si="562"/>
        <v>0.275826718022218</v>
      </c>
      <c r="NS54" s="335">
        <f t="shared" si="563"/>
        <v>200.768473895582</v>
      </c>
      <c r="NT54" s="46"/>
      <c r="NU54" s="46"/>
      <c r="NV54" s="46"/>
      <c r="NW54" s="53"/>
      <c r="NX54" s="53"/>
      <c r="NY54" s="53"/>
      <c r="NZ54" s="53"/>
      <c r="OA54" s="53"/>
      <c r="OB54" s="53"/>
      <c r="OC54" s="53"/>
      <c r="OD54" s="53"/>
      <c r="OE54" s="53"/>
      <c r="OF54" s="53"/>
      <c r="OG54" s="53"/>
      <c r="OH54" s="53"/>
      <c r="OI54" s="53"/>
      <c r="OJ54" s="53"/>
      <c r="OK54" s="53"/>
      <c r="OL54" s="53"/>
      <c r="OM54" s="53"/>
      <c r="ON54" s="53"/>
      <c r="OO54" s="53"/>
      <c r="OP54" s="53"/>
      <c r="OQ54" s="53"/>
      <c r="OR54" s="53"/>
      <c r="OS54" s="336" t="s">
        <v>127</v>
      </c>
      <c r="OT54" s="336">
        <f t="shared" si="564"/>
        <v>6</v>
      </c>
      <c r="OU54" s="336">
        <f t="shared" si="565"/>
        <v>175</v>
      </c>
      <c r="OV54" s="172">
        <f t="shared" ref="OV54:OY54" si="626">OW7</f>
        <v>11483</v>
      </c>
      <c r="OW54" s="172">
        <f t="shared" si="626"/>
        <v>1676707</v>
      </c>
      <c r="OX54" s="172">
        <f t="shared" si="626"/>
        <v>2217047</v>
      </c>
      <c r="OY54" s="172">
        <f t="shared" si="626"/>
        <v>1487147</v>
      </c>
      <c r="OZ54" s="171">
        <f t="shared" si="567"/>
        <v>729900</v>
      </c>
      <c r="PA54" s="337">
        <f t="shared" si="568"/>
        <v>0.329221707974617</v>
      </c>
      <c r="PB54" s="170">
        <f t="shared" si="569"/>
        <v>193.072106592354</v>
      </c>
      <c r="PC54" s="144"/>
      <c r="PD54" s="144"/>
      <c r="PE54" s="144"/>
      <c r="PF54" s="144"/>
      <c r="PG54" s="144"/>
      <c r="PH54" s="144"/>
      <c r="PI54" s="144"/>
      <c r="PJ54" s="144"/>
      <c r="PK54" s="144"/>
      <c r="PL54" s="144"/>
      <c r="PM54" s="144"/>
      <c r="PN54" s="144"/>
      <c r="PO54" s="144"/>
      <c r="PP54" s="144"/>
      <c r="PQ54" s="144"/>
      <c r="PR54" s="144"/>
      <c r="PS54" s="144"/>
      <c r="PT54" s="146"/>
      <c r="PU54" s="336" t="s">
        <v>127</v>
      </c>
      <c r="PV54" s="336">
        <f t="shared" si="570"/>
        <v>6</v>
      </c>
      <c r="PW54" s="336">
        <f t="shared" si="571"/>
        <v>196</v>
      </c>
      <c r="PX54" s="172">
        <f t="shared" ref="PX54:QA54" si="627">PY7</f>
        <v>8791</v>
      </c>
      <c r="PY54" s="172">
        <f t="shared" si="627"/>
        <v>1329954</v>
      </c>
      <c r="PZ54" s="172">
        <f t="shared" si="627"/>
        <v>1808204</v>
      </c>
      <c r="QA54" s="172">
        <f t="shared" si="627"/>
        <v>1066383</v>
      </c>
      <c r="QB54" s="171">
        <f t="shared" si="573"/>
        <v>741821</v>
      </c>
      <c r="QC54" s="337">
        <f t="shared" si="574"/>
        <v>0.410252936062524</v>
      </c>
      <c r="QD54" s="170">
        <f t="shared" si="575"/>
        <v>205.68809009214</v>
      </c>
      <c r="QE54" s="146"/>
      <c r="QF54" s="146"/>
      <c r="QG54" s="146"/>
      <c r="QH54" s="146"/>
      <c r="QI54" s="146"/>
      <c r="QJ54" s="146"/>
      <c r="QK54" s="146"/>
      <c r="QL54" s="146"/>
      <c r="QM54" s="146"/>
      <c r="QN54" s="146"/>
      <c r="QO54" s="146"/>
      <c r="QP54" s="146"/>
      <c r="QQ54" s="146"/>
      <c r="QR54" s="146"/>
      <c r="QS54" s="144"/>
      <c r="QT54" s="144"/>
      <c r="QU54" s="144"/>
      <c r="QV54" s="144"/>
      <c r="QW54" s="144"/>
      <c r="QX54" s="144"/>
      <c r="QY54" s="144"/>
      <c r="QZ54" s="144"/>
      <c r="RA54" s="157"/>
      <c r="RB54" s="144"/>
      <c r="RC54" s="144"/>
      <c r="RD54" s="144"/>
      <c r="RE54" s="144"/>
      <c r="RF54" s="144"/>
      <c r="RG54" s="144"/>
      <c r="RH54" s="144"/>
      <c r="RI54" s="144"/>
      <c r="RJ54" s="144"/>
      <c r="RK54" s="144"/>
      <c r="RL54" s="144"/>
      <c r="RM54" s="144"/>
      <c r="RN54" s="144"/>
      <c r="RO54" s="144"/>
      <c r="RP54" s="144"/>
      <c r="RQ54" s="144"/>
      <c r="RR54" s="144"/>
      <c r="RS54" s="144"/>
      <c r="RT54" s="144"/>
      <c r="RU54" s="144"/>
      <c r="RV54" s="144"/>
      <c r="RW54" s="144"/>
      <c r="RX54" s="144"/>
      <c r="RY54" s="144"/>
      <c r="RZ54" s="144"/>
      <c r="SA54" s="144"/>
      <c r="SB54" s="144"/>
      <c r="SC54" s="144"/>
      <c r="SD54" s="144"/>
      <c r="SE54" s="144"/>
      <c r="SF54" s="144"/>
      <c r="SG54" s="144"/>
      <c r="SH54" s="144"/>
      <c r="SI54" s="144"/>
      <c r="SJ54" s="144"/>
      <c r="SK54" s="144"/>
      <c r="SL54" s="144"/>
      <c r="SM54" s="84"/>
      <c r="SN54" s="84"/>
      <c r="SO54" s="154"/>
      <c r="SP54" s="154"/>
      <c r="SQ54" s="154"/>
      <c r="SR54" s="154"/>
      <c r="SS54" s="154"/>
      <c r="ST54" s="154"/>
      <c r="SU54" s="155"/>
      <c r="SV54" s="154"/>
      <c r="SW54" s="154"/>
      <c r="SX54" s="155"/>
      <c r="SY54" s="155"/>
      <c r="SZ54" s="155"/>
      <c r="TA54" s="155"/>
      <c r="TB54" s="155"/>
      <c r="TC54" s="155"/>
      <c r="TD54" s="155"/>
      <c r="TE54" s="156"/>
      <c r="TF54" s="144"/>
      <c r="TG54" s="84"/>
      <c r="TH54" s="144"/>
      <c r="TI54" s="144"/>
      <c r="TJ54" s="144"/>
      <c r="TK54" s="144"/>
      <c r="TL54" s="157"/>
      <c r="TM54" s="157"/>
      <c r="TN54" s="157"/>
      <c r="TO54" s="157"/>
      <c r="TP54" s="157"/>
      <c r="TQ54" s="157"/>
      <c r="TR54" s="157"/>
      <c r="TS54" s="157"/>
      <c r="TT54" s="157"/>
      <c r="TU54" s="158"/>
      <c r="TV54" s="157"/>
      <c r="TW54" s="158"/>
      <c r="TX54" s="144"/>
      <c r="TY54" s="144"/>
      <c r="TZ54" s="144"/>
      <c r="UA54" s="84"/>
      <c r="UB54" s="144"/>
      <c r="UC54" s="144"/>
      <c r="UD54" s="144"/>
      <c r="UE54" s="144"/>
      <c r="UF54" s="157"/>
      <c r="UG54" s="157"/>
      <c r="UH54" s="157"/>
      <c r="UI54" s="157"/>
      <c r="UJ54" s="157"/>
      <c r="UK54" s="157"/>
      <c r="UL54" s="157"/>
      <c r="UM54" s="157"/>
      <c r="UN54" s="157"/>
      <c r="UO54" s="157"/>
      <c r="UP54" s="157"/>
      <c r="UQ54" s="158"/>
      <c r="UR54" s="157"/>
      <c r="US54" s="158"/>
      <c r="UT54" s="144"/>
      <c r="UU54" s="144"/>
      <c r="UV54" s="144"/>
      <c r="UW54" s="144"/>
      <c r="UX54" s="144"/>
      <c r="UY54" s="144"/>
      <c r="UZ54" s="144"/>
      <c r="VA54" s="144"/>
      <c r="VB54" s="157"/>
      <c r="VC54" s="157"/>
      <c r="VD54" s="157"/>
      <c r="VE54" s="157"/>
      <c r="VF54" s="157"/>
      <c r="VG54" s="157"/>
      <c r="VH54" s="157"/>
      <c r="VI54" s="157"/>
      <c r="VJ54" s="157"/>
      <c r="VK54" s="157"/>
      <c r="VL54" s="157"/>
      <c r="VM54" s="157"/>
      <c r="VN54" s="157"/>
      <c r="VO54" s="157"/>
      <c r="VP54" s="144"/>
      <c r="VQ54" s="144"/>
      <c r="VR54" s="84"/>
      <c r="VS54" s="84"/>
      <c r="VT54" s="53"/>
      <c r="VU54" s="53"/>
    </row>
    <row r="55" ht="15.75" hidden="1" spans="1:593">
      <c r="A55" s="53"/>
      <c r="B55" s="53"/>
      <c r="C55" s="327" t="s">
        <v>130</v>
      </c>
      <c r="D55" s="327"/>
      <c r="E55" s="327"/>
      <c r="F55" s="327">
        <f t="shared" si="503"/>
        <v>0</v>
      </c>
      <c r="G55" s="161"/>
      <c r="H55" s="161"/>
      <c r="I55" s="161"/>
      <c r="J55" s="161"/>
      <c r="K55" s="179"/>
      <c r="L55" s="328"/>
      <c r="M55" s="162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  <c r="AA55" s="293"/>
      <c r="AB55" s="293"/>
      <c r="AC55" s="293"/>
      <c r="AD55" s="293"/>
      <c r="AE55" s="293"/>
      <c r="AF55" s="293"/>
      <c r="AG55" s="293"/>
      <c r="AH55" s="293"/>
      <c r="AI55" s="53"/>
      <c r="AJ55" s="327" t="s">
        <v>130</v>
      </c>
      <c r="AK55" s="327"/>
      <c r="AL55" s="327"/>
      <c r="AM55" s="327">
        <f t="shared" si="510"/>
        <v>0</v>
      </c>
      <c r="AN55" s="161"/>
      <c r="AO55" s="161"/>
      <c r="AP55" s="161"/>
      <c r="AQ55" s="161"/>
      <c r="AR55" s="179"/>
      <c r="AS55" s="328"/>
      <c r="AT55" s="162"/>
      <c r="AU55" s="293"/>
      <c r="AV55" s="293"/>
      <c r="AW55" s="293"/>
      <c r="AX55" s="293"/>
      <c r="AY55" s="293"/>
      <c r="AZ55" s="293"/>
      <c r="BA55" s="293"/>
      <c r="BB55" s="293"/>
      <c r="BC55" s="293"/>
      <c r="BD55" s="293"/>
      <c r="BE55" s="293"/>
      <c r="BF55" s="293"/>
      <c r="BG55" s="293"/>
      <c r="BH55" s="293"/>
      <c r="BI55" s="293"/>
      <c r="BJ55" s="293"/>
      <c r="BK55" s="293"/>
      <c r="BL55" s="293"/>
      <c r="BM55" s="293"/>
      <c r="BN55" s="293"/>
      <c r="BO55" s="293"/>
      <c r="BP55" s="53"/>
      <c r="BQ55" s="327" t="s">
        <v>130</v>
      </c>
      <c r="BR55" s="327"/>
      <c r="BS55" s="327"/>
      <c r="BT55" s="327">
        <f t="shared" ref="BT55:BT61" si="628">BS8</f>
        <v>0</v>
      </c>
      <c r="BU55" s="161"/>
      <c r="BV55" s="161"/>
      <c r="BW55" s="161"/>
      <c r="BX55" s="161"/>
      <c r="BY55" s="179"/>
      <c r="BZ55" s="328"/>
      <c r="CA55" s="162"/>
      <c r="CB55" s="293"/>
      <c r="CC55" s="293"/>
      <c r="CD55" s="293"/>
      <c r="CE55" s="293"/>
      <c r="CF55" s="293"/>
      <c r="CG55" s="293"/>
      <c r="CH55" s="293"/>
      <c r="CI55" s="293"/>
      <c r="CJ55" s="293"/>
      <c r="CK55" s="293"/>
      <c r="CL55" s="293"/>
      <c r="CM55" s="293"/>
      <c r="CN55" s="293"/>
      <c r="CO55" s="293"/>
      <c r="CP55" s="293"/>
      <c r="CQ55" s="293"/>
      <c r="CR55" s="293"/>
      <c r="CS55" s="293"/>
      <c r="CT55" s="293"/>
      <c r="CU55" s="293"/>
      <c r="CV55" s="293"/>
      <c r="CW55" s="53"/>
      <c r="CX55" s="327" t="s">
        <v>130</v>
      </c>
      <c r="CY55" s="327"/>
      <c r="CZ55" s="327"/>
      <c r="DA55" s="327">
        <f t="shared" ref="DA55:DA61" si="629">CZ8</f>
        <v>0</v>
      </c>
      <c r="DB55" s="161"/>
      <c r="DC55" s="161"/>
      <c r="DD55" s="161"/>
      <c r="DE55" s="161"/>
      <c r="DF55" s="179"/>
      <c r="DG55" s="328"/>
      <c r="DH55" s="162"/>
      <c r="DI55" s="293"/>
      <c r="DJ55" s="293"/>
      <c r="DK55" s="293"/>
      <c r="DL55" s="293"/>
      <c r="DM55" s="293"/>
      <c r="DN55" s="293"/>
      <c r="DO55" s="293"/>
      <c r="DP55" s="293"/>
      <c r="DQ55" s="293"/>
      <c r="DR55" s="293"/>
      <c r="DS55" s="293"/>
      <c r="DT55" s="293"/>
      <c r="DU55" s="293"/>
      <c r="DV55" s="293"/>
      <c r="DW55" s="293"/>
      <c r="DX55" s="293"/>
      <c r="DY55" s="293"/>
      <c r="DZ55" s="293"/>
      <c r="EA55" s="293"/>
      <c r="EB55" s="293"/>
      <c r="EC55" s="293"/>
      <c r="ED55" s="53"/>
      <c r="EE55" s="329" t="s">
        <v>130</v>
      </c>
      <c r="EF55" s="329"/>
      <c r="EG55" s="329"/>
      <c r="EH55" s="329">
        <f t="shared" ref="EH55:EH61" si="630">EH8</f>
        <v>0</v>
      </c>
      <c r="EI55" s="330"/>
      <c r="EJ55" s="330"/>
      <c r="EK55" s="330"/>
      <c r="EL55" s="330"/>
      <c r="EM55" s="331"/>
      <c r="EN55" s="332"/>
      <c r="EO55" s="333"/>
      <c r="EP55" s="53"/>
      <c r="EQ55" s="53"/>
      <c r="ER55" s="192"/>
      <c r="ES55" s="192"/>
      <c r="ET55" s="192"/>
      <c r="EU55" s="192"/>
      <c r="EV55" s="192"/>
      <c r="EW55" s="192"/>
      <c r="EX55" s="192"/>
      <c r="EY55" s="192"/>
      <c r="EZ55" s="192"/>
      <c r="FA55" s="192"/>
      <c r="FB55" s="192"/>
      <c r="FC55" s="192"/>
      <c r="FD55" s="192"/>
      <c r="FE55" s="192"/>
      <c r="FF55" s="192"/>
      <c r="FG55" s="192"/>
      <c r="FH55" s="192"/>
      <c r="FI55" s="192"/>
      <c r="FJ55" s="192"/>
      <c r="FK55" s="53"/>
      <c r="FL55" s="53"/>
      <c r="FM55" s="53"/>
      <c r="FN55" s="329" t="s">
        <v>130</v>
      </c>
      <c r="FO55" s="329"/>
      <c r="FP55" s="329"/>
      <c r="FQ55" s="329">
        <f t="shared" ref="FQ55:FQ61" si="631">FQ8</f>
        <v>0</v>
      </c>
      <c r="FR55" s="330"/>
      <c r="FS55" s="330"/>
      <c r="FT55" s="330"/>
      <c r="FU55" s="330"/>
      <c r="FV55" s="331"/>
      <c r="FW55" s="332"/>
      <c r="FX55" s="333"/>
      <c r="FY55" s="53"/>
      <c r="FZ55" s="192"/>
      <c r="GA55" s="192"/>
      <c r="GB55" s="192"/>
      <c r="GC55" s="192"/>
      <c r="GD55" s="192"/>
      <c r="GE55" s="192"/>
      <c r="GF55" s="192"/>
      <c r="GG55" s="192"/>
      <c r="GH55" s="192"/>
      <c r="GI55" s="192"/>
      <c r="GJ55" s="192"/>
      <c r="GK55" s="192"/>
      <c r="GL55" s="192"/>
      <c r="GM55" s="192"/>
      <c r="GN55" s="192"/>
      <c r="GO55" s="192"/>
      <c r="GP55" s="192"/>
      <c r="GQ55" s="192"/>
      <c r="GR55" s="192"/>
      <c r="GS55" s="192"/>
      <c r="GT55" s="53"/>
      <c r="GU55" s="53"/>
      <c r="GV55" s="329" t="s">
        <v>130</v>
      </c>
      <c r="GW55" s="329"/>
      <c r="GX55" s="329"/>
      <c r="GY55" s="329">
        <f t="shared" ref="GY55:GY61" si="632">GY8</f>
        <v>0</v>
      </c>
      <c r="GZ55" s="330"/>
      <c r="HA55" s="330"/>
      <c r="HB55" s="330"/>
      <c r="HC55" s="330"/>
      <c r="HD55" s="331"/>
      <c r="HE55" s="332"/>
      <c r="HF55" s="333"/>
      <c r="HI55" s="192"/>
      <c r="HJ55" s="192"/>
      <c r="HK55" s="192"/>
      <c r="HL55" s="192"/>
      <c r="HM55" s="192"/>
      <c r="HN55" s="192"/>
      <c r="HO55" s="192"/>
      <c r="HP55" s="192"/>
      <c r="HQ55" s="192"/>
      <c r="HR55" s="192"/>
      <c r="HS55" s="192"/>
      <c r="HT55" s="192"/>
      <c r="HU55" s="192"/>
      <c r="HV55" s="192"/>
      <c r="HW55" s="192"/>
      <c r="HX55" s="192"/>
      <c r="HY55" s="192"/>
      <c r="HZ55" s="192"/>
      <c r="IA55" s="192"/>
      <c r="IB55" s="53"/>
      <c r="IC55" s="53"/>
      <c r="ID55" s="329" t="s">
        <v>130</v>
      </c>
      <c r="IE55" s="329"/>
      <c r="IF55" s="329"/>
      <c r="IG55" s="329"/>
      <c r="IH55" s="330"/>
      <c r="II55" s="330"/>
      <c r="IJ55" s="330"/>
      <c r="IK55" s="330"/>
      <c r="IL55" s="331"/>
      <c r="IM55" s="332"/>
      <c r="IN55" s="333"/>
      <c r="IP55" s="11"/>
      <c r="IQ55" s="192"/>
      <c r="IR55" s="192"/>
      <c r="IS55" s="192"/>
      <c r="IT55" s="192"/>
      <c r="IU55" s="192"/>
      <c r="IV55" s="192"/>
      <c r="IW55" s="192"/>
      <c r="IX55" s="192"/>
      <c r="IY55" s="192"/>
      <c r="IZ55" s="192"/>
      <c r="JA55" s="192"/>
      <c r="JB55" s="192"/>
      <c r="JC55" s="192"/>
      <c r="JD55" s="192"/>
      <c r="JE55" s="192"/>
      <c r="JF55" s="192"/>
      <c r="JG55" s="192"/>
      <c r="JH55" s="192"/>
      <c r="JI55" s="192"/>
      <c r="JJ55" s="53"/>
      <c r="JK55" s="53"/>
      <c r="JL55" s="329" t="s">
        <v>130</v>
      </c>
      <c r="JM55" s="329"/>
      <c r="JN55" s="329">
        <f t="shared" si="547"/>
        <v>0</v>
      </c>
      <c r="JO55" s="329"/>
      <c r="JP55" s="330"/>
      <c r="JQ55" s="330"/>
      <c r="JR55" s="330"/>
      <c r="JS55" s="330"/>
      <c r="JT55" s="331"/>
      <c r="JU55" s="335"/>
      <c r="JV55" s="192"/>
      <c r="JW55" s="192"/>
      <c r="JX55" s="192"/>
      <c r="JY55" s="192"/>
      <c r="JZ55" s="192"/>
      <c r="KA55" s="192"/>
      <c r="KB55" s="192"/>
      <c r="KC55" s="192"/>
      <c r="KD55" s="192"/>
      <c r="KE55" s="192"/>
      <c r="KF55" s="192"/>
      <c r="KG55" s="192"/>
      <c r="KH55" s="192"/>
      <c r="KI55" s="192"/>
      <c r="KJ55" s="192"/>
      <c r="KK55" s="192"/>
      <c r="KL55" s="192"/>
      <c r="KM55" s="192"/>
      <c r="KN55" s="192"/>
      <c r="KO55" s="192"/>
      <c r="KP55" s="192"/>
      <c r="KQ55" s="192"/>
      <c r="KR55" s="53"/>
      <c r="KS55" s="53"/>
      <c r="KT55" s="329" t="s">
        <v>130</v>
      </c>
      <c r="KU55" s="329"/>
      <c r="KV55" s="329">
        <v>0</v>
      </c>
      <c r="KW55" s="329"/>
      <c r="KX55" s="330"/>
      <c r="KY55" s="330"/>
      <c r="KZ55" s="330"/>
      <c r="LA55" s="330"/>
      <c r="LB55" s="334"/>
      <c r="LC55" s="335"/>
      <c r="LF55" s="11"/>
      <c r="LG55" s="192"/>
      <c r="LH55" s="192"/>
      <c r="LI55" s="192"/>
      <c r="LJ55" s="192"/>
      <c r="LK55" s="192"/>
      <c r="LL55" s="192"/>
      <c r="LM55" s="192"/>
      <c r="LN55" s="192"/>
      <c r="LO55" s="192"/>
      <c r="LP55" s="192"/>
      <c r="LQ55" s="192"/>
      <c r="LR55" s="192"/>
      <c r="LS55" s="192"/>
      <c r="LT55" s="192"/>
      <c r="LU55" s="192"/>
      <c r="LV55" s="192"/>
      <c r="LW55" s="192"/>
      <c r="LX55" s="192"/>
      <c r="LY55" s="192"/>
      <c r="LZ55" s="192"/>
      <c r="MA55" s="192"/>
      <c r="MB55" s="329" t="s">
        <v>130</v>
      </c>
      <c r="MC55" s="329"/>
      <c r="MD55" s="329">
        <f t="shared" si="553"/>
        <v>0</v>
      </c>
      <c r="ME55" s="329"/>
      <c r="MF55" s="330"/>
      <c r="MG55" s="330"/>
      <c r="MH55" s="330"/>
      <c r="MI55" s="330"/>
      <c r="MJ55" s="334"/>
      <c r="MK55" s="335"/>
      <c r="MO55" s="192"/>
      <c r="MP55" s="192"/>
      <c r="MQ55" s="192"/>
      <c r="MR55" s="192"/>
      <c r="MS55" s="192"/>
      <c r="MT55" s="192"/>
      <c r="MU55" s="192"/>
      <c r="MV55" s="192"/>
      <c r="MW55" s="192"/>
      <c r="MX55" s="192"/>
      <c r="MY55" s="192"/>
      <c r="MZ55" s="192"/>
      <c r="NA55" s="192"/>
      <c r="NB55" s="192"/>
      <c r="NC55" s="192"/>
      <c r="ND55" s="192"/>
      <c r="NE55" s="192"/>
      <c r="NF55" s="192"/>
      <c r="NG55" s="192"/>
      <c r="NH55" s="53"/>
      <c r="NI55" s="53"/>
      <c r="NJ55" s="329" t="s">
        <v>130</v>
      </c>
      <c r="NK55" s="329"/>
      <c r="NL55" s="329">
        <f t="shared" si="559"/>
        <v>0</v>
      </c>
      <c r="NM55" s="329"/>
      <c r="NN55" s="330"/>
      <c r="NO55" s="330">
        <f t="shared" ref="NO55:NO61" si="633">NR8</f>
        <v>0</v>
      </c>
      <c r="NP55" s="330">
        <f t="shared" ref="NP55:NP61" si="634">NS8</f>
        <v>0</v>
      </c>
      <c r="NQ55" s="330"/>
      <c r="NR55" s="334" t="e">
        <f t="shared" si="562"/>
        <v>#DIV/0!</v>
      </c>
      <c r="NS55" s="335" t="e">
        <f t="shared" si="563"/>
        <v>#DIV/0!</v>
      </c>
      <c r="NT55" s="46"/>
      <c r="NU55" s="46"/>
      <c r="NV55" s="46"/>
      <c r="NW55" s="53"/>
      <c r="NX55" s="53"/>
      <c r="NY55" s="53"/>
      <c r="NZ55" s="53"/>
      <c r="OA55" s="53"/>
      <c r="OB55" s="53"/>
      <c r="OC55" s="53"/>
      <c r="OD55" s="53"/>
      <c r="OE55" s="53"/>
      <c r="OF55" s="53"/>
      <c r="OG55" s="53"/>
      <c r="OH55" s="53"/>
      <c r="OI55" s="53"/>
      <c r="OJ55" s="53"/>
      <c r="OK55" s="53"/>
      <c r="OL55" s="53"/>
      <c r="OM55" s="53"/>
      <c r="ON55" s="53"/>
      <c r="OO55" s="53"/>
      <c r="OP55" s="53"/>
      <c r="OQ55" s="53"/>
      <c r="OR55" s="53"/>
      <c r="OS55" s="336" t="s">
        <v>130</v>
      </c>
      <c r="OT55" s="336">
        <f t="shared" si="564"/>
        <v>0</v>
      </c>
      <c r="OU55" s="336">
        <f t="shared" si="565"/>
        <v>0</v>
      </c>
      <c r="OV55" s="172">
        <f t="shared" ref="OV55:OY55" si="635">OW8</f>
        <v>0</v>
      </c>
      <c r="OW55" s="172">
        <f t="shared" si="635"/>
        <v>0</v>
      </c>
      <c r="OX55" s="172">
        <f t="shared" si="635"/>
        <v>0</v>
      </c>
      <c r="OY55" s="172">
        <f t="shared" si="635"/>
        <v>0</v>
      </c>
      <c r="OZ55" s="171">
        <f t="shared" si="567"/>
        <v>0</v>
      </c>
      <c r="PA55" s="337" t="e">
        <f t="shared" si="568"/>
        <v>#DIV/0!</v>
      </c>
      <c r="PB55" s="170" t="e">
        <f t="shared" si="569"/>
        <v>#DIV/0!</v>
      </c>
      <c r="PC55" s="144"/>
      <c r="PD55" s="144"/>
      <c r="PE55" s="144"/>
      <c r="PF55" s="144"/>
      <c r="PG55" s="144"/>
      <c r="PH55" s="144"/>
      <c r="PI55" s="144"/>
      <c r="PJ55" s="144"/>
      <c r="PK55" s="144"/>
      <c r="PL55" s="144"/>
      <c r="PM55" s="144"/>
      <c r="PN55" s="144"/>
      <c r="PO55" s="144"/>
      <c r="PP55" s="144"/>
      <c r="PQ55" s="144"/>
      <c r="PR55" s="144"/>
      <c r="PS55" s="144"/>
      <c r="PT55" s="146"/>
      <c r="PU55" s="336" t="s">
        <v>130</v>
      </c>
      <c r="PV55" s="336">
        <f t="shared" si="570"/>
        <v>0</v>
      </c>
      <c r="PW55" s="336">
        <f t="shared" si="571"/>
        <v>0</v>
      </c>
      <c r="PX55" s="172">
        <f t="shared" ref="PX55:QA55" si="636">PY8</f>
        <v>0</v>
      </c>
      <c r="PY55" s="172">
        <f t="shared" si="636"/>
        <v>0</v>
      </c>
      <c r="PZ55" s="172">
        <f t="shared" si="636"/>
        <v>0</v>
      </c>
      <c r="QA55" s="172">
        <f t="shared" si="636"/>
        <v>0</v>
      </c>
      <c r="QB55" s="171"/>
      <c r="QC55" s="337" t="e">
        <f t="shared" si="574"/>
        <v>#DIV/0!</v>
      </c>
      <c r="QD55" s="170" t="e">
        <f t="shared" si="575"/>
        <v>#DIV/0!</v>
      </c>
      <c r="QE55" s="146"/>
      <c r="QF55" s="146"/>
      <c r="QG55" s="146"/>
      <c r="QH55" s="146"/>
      <c r="QI55" s="146"/>
      <c r="QJ55" s="146"/>
      <c r="QK55" s="146"/>
      <c r="QL55" s="146"/>
      <c r="QM55" s="146"/>
      <c r="QN55" s="146"/>
      <c r="QO55" s="146"/>
      <c r="QP55" s="146"/>
      <c r="QQ55" s="146"/>
      <c r="QR55" s="146"/>
      <c r="QS55" s="144"/>
      <c r="QT55" s="144"/>
      <c r="QU55" s="144"/>
      <c r="QV55" s="144"/>
      <c r="QW55" s="144"/>
      <c r="QX55" s="144"/>
      <c r="QY55" s="144"/>
      <c r="QZ55" s="144"/>
      <c r="RA55" s="144"/>
      <c r="RB55" s="144"/>
      <c r="RC55" s="144"/>
      <c r="RD55" s="144"/>
      <c r="RE55" s="144"/>
      <c r="RF55" s="144"/>
      <c r="RG55" s="144"/>
      <c r="RH55" s="144"/>
      <c r="RI55" s="144"/>
      <c r="RJ55" s="144"/>
      <c r="RK55" s="144"/>
      <c r="RL55" s="144"/>
      <c r="RM55" s="144"/>
      <c r="RN55" s="144"/>
      <c r="RO55" s="144"/>
      <c r="RP55" s="144"/>
      <c r="RQ55" s="144"/>
      <c r="RR55" s="144"/>
      <c r="RS55" s="144"/>
      <c r="RT55" s="144"/>
      <c r="RU55" s="144"/>
      <c r="RV55" s="144"/>
      <c r="RW55" s="144"/>
      <c r="RX55" s="144"/>
      <c r="RY55" s="144"/>
      <c r="RZ55" s="144"/>
      <c r="SA55" s="144"/>
      <c r="SB55" s="144"/>
      <c r="SC55" s="144"/>
      <c r="SD55" s="144"/>
      <c r="SE55" s="144"/>
      <c r="SF55" s="144"/>
      <c r="SG55" s="144"/>
      <c r="SH55" s="144"/>
      <c r="SI55" s="144"/>
      <c r="SJ55" s="144"/>
      <c r="SK55" s="144"/>
      <c r="SL55" s="144"/>
      <c r="SM55" s="84"/>
      <c r="SN55" s="84"/>
      <c r="SO55" s="154"/>
      <c r="SP55" s="154"/>
      <c r="SQ55" s="154"/>
      <c r="SR55" s="154"/>
      <c r="SS55" s="154"/>
      <c r="ST55" s="154"/>
      <c r="SU55" s="155"/>
      <c r="SV55" s="154"/>
      <c r="SW55" s="154"/>
      <c r="SX55" s="155"/>
      <c r="SY55" s="155"/>
      <c r="SZ55" s="155"/>
      <c r="TA55" s="155"/>
      <c r="TB55" s="155"/>
      <c r="TC55" s="155"/>
      <c r="TD55" s="155"/>
      <c r="TE55" s="156"/>
      <c r="TF55" s="144"/>
      <c r="TG55" s="84"/>
      <c r="TH55" s="144"/>
      <c r="TI55" s="144"/>
      <c r="TJ55" s="144"/>
      <c r="TK55" s="144"/>
      <c r="TL55" s="157"/>
      <c r="TM55" s="157"/>
      <c r="TN55" s="157"/>
      <c r="TO55" s="157"/>
      <c r="TP55" s="157"/>
      <c r="TQ55" s="157"/>
      <c r="TR55" s="157"/>
      <c r="TS55" s="157"/>
      <c r="TT55" s="157"/>
      <c r="TU55" s="158"/>
      <c r="TV55" s="157"/>
      <c r="TW55" s="158"/>
      <c r="TX55" s="144"/>
      <c r="TY55" s="144"/>
      <c r="TZ55" s="144"/>
      <c r="UA55" s="84"/>
      <c r="UB55" s="144"/>
      <c r="UC55" s="144"/>
      <c r="UD55" s="144"/>
      <c r="UE55" s="144"/>
      <c r="UF55" s="157"/>
      <c r="UG55" s="157"/>
      <c r="UH55" s="157"/>
      <c r="UI55" s="157"/>
      <c r="UJ55" s="157"/>
      <c r="UK55" s="157"/>
      <c r="UL55" s="157"/>
      <c r="UM55" s="157"/>
      <c r="UN55" s="157"/>
      <c r="UO55" s="157"/>
      <c r="UP55" s="157"/>
      <c r="UQ55" s="158"/>
      <c r="UR55" s="157"/>
      <c r="US55" s="158"/>
      <c r="UT55" s="144"/>
      <c r="UU55" s="144"/>
      <c r="UV55" s="144"/>
      <c r="UW55" s="144"/>
      <c r="UX55" s="144"/>
      <c r="UY55" s="144"/>
      <c r="UZ55" s="144"/>
      <c r="VA55" s="144"/>
      <c r="VB55" s="157"/>
      <c r="VC55" s="157"/>
      <c r="VD55" s="157"/>
      <c r="VE55" s="157"/>
      <c r="VF55" s="157"/>
      <c r="VG55" s="157"/>
      <c r="VH55" s="157"/>
      <c r="VI55" s="157"/>
      <c r="VJ55" s="157"/>
      <c r="VK55" s="157"/>
      <c r="VL55" s="157"/>
      <c r="VM55" s="157"/>
      <c r="VN55" s="157"/>
      <c r="VO55" s="157"/>
      <c r="VP55" s="144"/>
      <c r="VQ55" s="144"/>
      <c r="VR55" s="84"/>
      <c r="VS55" s="84"/>
      <c r="VT55" s="53"/>
      <c r="VU55" s="53"/>
    </row>
    <row r="56" ht="15.75" hidden="1" spans="1:593">
      <c r="A56" s="53"/>
      <c r="B56" s="53"/>
      <c r="C56" s="327" t="s">
        <v>133</v>
      </c>
      <c r="D56" s="327"/>
      <c r="E56" s="327"/>
      <c r="F56" s="327">
        <f t="shared" si="503"/>
        <v>0</v>
      </c>
      <c r="G56" s="161"/>
      <c r="H56" s="161"/>
      <c r="I56" s="161"/>
      <c r="J56" s="161"/>
      <c r="K56" s="179"/>
      <c r="L56" s="328"/>
      <c r="M56" s="162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3"/>
      <c r="AB56" s="293"/>
      <c r="AC56" s="293"/>
      <c r="AD56" s="293"/>
      <c r="AE56" s="293"/>
      <c r="AF56" s="293"/>
      <c r="AG56" s="293"/>
      <c r="AH56" s="293"/>
      <c r="AI56" s="53"/>
      <c r="AJ56" s="327" t="s">
        <v>133</v>
      </c>
      <c r="AK56" s="327"/>
      <c r="AL56" s="327"/>
      <c r="AM56" s="327">
        <f t="shared" si="510"/>
        <v>0</v>
      </c>
      <c r="AN56" s="161"/>
      <c r="AO56" s="161"/>
      <c r="AP56" s="161"/>
      <c r="AQ56" s="161"/>
      <c r="AR56" s="179"/>
      <c r="AS56" s="328"/>
      <c r="AT56" s="162"/>
      <c r="AU56" s="293"/>
      <c r="AV56" s="293"/>
      <c r="AW56" s="293"/>
      <c r="AX56" s="293"/>
      <c r="AY56" s="293"/>
      <c r="AZ56" s="293"/>
      <c r="BA56" s="293"/>
      <c r="BB56" s="293"/>
      <c r="BC56" s="293"/>
      <c r="BD56" s="293"/>
      <c r="BE56" s="293"/>
      <c r="BF56" s="293"/>
      <c r="BG56" s="293"/>
      <c r="BH56" s="293"/>
      <c r="BI56" s="293"/>
      <c r="BJ56" s="293"/>
      <c r="BK56" s="293"/>
      <c r="BL56" s="293"/>
      <c r="BM56" s="293"/>
      <c r="BN56" s="293"/>
      <c r="BO56" s="293"/>
      <c r="BP56" s="53"/>
      <c r="BQ56" s="327" t="s">
        <v>133</v>
      </c>
      <c r="BR56" s="327"/>
      <c r="BS56" s="327"/>
      <c r="BT56" s="327">
        <f t="shared" si="628"/>
        <v>0</v>
      </c>
      <c r="BU56" s="161"/>
      <c r="BV56" s="161"/>
      <c r="BW56" s="161"/>
      <c r="BX56" s="161"/>
      <c r="BY56" s="179"/>
      <c r="BZ56" s="328"/>
      <c r="CA56" s="162"/>
      <c r="CB56" s="293"/>
      <c r="CC56" s="293"/>
      <c r="CD56" s="293"/>
      <c r="CE56" s="293"/>
      <c r="CF56" s="293"/>
      <c r="CG56" s="293"/>
      <c r="CH56" s="293"/>
      <c r="CI56" s="293"/>
      <c r="CJ56" s="293"/>
      <c r="CK56" s="293"/>
      <c r="CL56" s="293"/>
      <c r="CM56" s="293"/>
      <c r="CN56" s="293"/>
      <c r="CO56" s="293"/>
      <c r="CP56" s="293"/>
      <c r="CQ56" s="293"/>
      <c r="CR56" s="293"/>
      <c r="CS56" s="293"/>
      <c r="CT56" s="293"/>
      <c r="CU56" s="293"/>
      <c r="CV56" s="293"/>
      <c r="CW56" s="53"/>
      <c r="CX56" s="327" t="s">
        <v>133</v>
      </c>
      <c r="CY56" s="327"/>
      <c r="CZ56" s="327"/>
      <c r="DA56" s="327">
        <f t="shared" si="629"/>
        <v>0</v>
      </c>
      <c r="DB56" s="161"/>
      <c r="DC56" s="161"/>
      <c r="DD56" s="161"/>
      <c r="DE56" s="161"/>
      <c r="DF56" s="179"/>
      <c r="DG56" s="328"/>
      <c r="DH56" s="162"/>
      <c r="DI56" s="293"/>
      <c r="DJ56" s="293"/>
      <c r="DK56" s="293"/>
      <c r="DL56" s="293"/>
      <c r="DM56" s="293"/>
      <c r="DN56" s="293"/>
      <c r="DO56" s="293"/>
      <c r="DP56" s="293"/>
      <c r="DQ56" s="293"/>
      <c r="DR56" s="293"/>
      <c r="DS56" s="293"/>
      <c r="DT56" s="293"/>
      <c r="DU56" s="293"/>
      <c r="DV56" s="293"/>
      <c r="DW56" s="293"/>
      <c r="DX56" s="293"/>
      <c r="DY56" s="293"/>
      <c r="DZ56" s="293"/>
      <c r="EA56" s="293"/>
      <c r="EB56" s="293"/>
      <c r="EC56" s="293"/>
      <c r="ED56" s="53"/>
      <c r="EE56" s="329" t="s">
        <v>133</v>
      </c>
      <c r="EF56" s="329"/>
      <c r="EG56" s="329"/>
      <c r="EH56" s="329">
        <f t="shared" si="630"/>
        <v>0</v>
      </c>
      <c r="EI56" s="330"/>
      <c r="EJ56" s="330"/>
      <c r="EK56" s="330"/>
      <c r="EL56" s="330"/>
      <c r="EM56" s="331"/>
      <c r="EN56" s="332"/>
      <c r="EO56" s="333"/>
      <c r="EP56" s="53"/>
      <c r="EQ56" s="53"/>
      <c r="ER56" s="192"/>
      <c r="ES56" s="192"/>
      <c r="ET56" s="192"/>
      <c r="EU56" s="192"/>
      <c r="EV56" s="192"/>
      <c r="EW56" s="192"/>
      <c r="EX56" s="192"/>
      <c r="EY56" s="192"/>
      <c r="EZ56" s="192"/>
      <c r="FA56" s="192"/>
      <c r="FB56" s="192"/>
      <c r="FC56" s="192"/>
      <c r="FD56" s="192"/>
      <c r="FE56" s="192"/>
      <c r="FF56" s="192"/>
      <c r="FG56" s="192"/>
      <c r="FH56" s="192"/>
      <c r="FI56" s="192"/>
      <c r="FJ56" s="192"/>
      <c r="FK56" s="53"/>
      <c r="FL56" s="53"/>
      <c r="FM56" s="53"/>
      <c r="FN56" s="329" t="s">
        <v>133</v>
      </c>
      <c r="FO56" s="329"/>
      <c r="FP56" s="329"/>
      <c r="FQ56" s="329">
        <f t="shared" si="631"/>
        <v>0</v>
      </c>
      <c r="FR56" s="330"/>
      <c r="FS56" s="330"/>
      <c r="FT56" s="330"/>
      <c r="FU56" s="330"/>
      <c r="FV56" s="331"/>
      <c r="FW56" s="332"/>
      <c r="FX56" s="333"/>
      <c r="FY56" s="53"/>
      <c r="FZ56" s="192"/>
      <c r="GA56" s="192"/>
      <c r="GB56" s="192"/>
      <c r="GC56" s="192"/>
      <c r="GD56" s="192"/>
      <c r="GE56" s="192"/>
      <c r="GF56" s="192"/>
      <c r="GG56" s="192"/>
      <c r="GH56" s="192"/>
      <c r="GI56" s="192"/>
      <c r="GJ56" s="192"/>
      <c r="GK56" s="192"/>
      <c r="GL56" s="192"/>
      <c r="GM56" s="192"/>
      <c r="GN56" s="192"/>
      <c r="GO56" s="192"/>
      <c r="GP56" s="192"/>
      <c r="GQ56" s="192"/>
      <c r="GR56" s="192"/>
      <c r="GS56" s="192"/>
      <c r="GT56" s="53"/>
      <c r="GU56" s="53"/>
      <c r="GV56" s="329" t="s">
        <v>133</v>
      </c>
      <c r="GW56" s="329"/>
      <c r="GX56" s="329"/>
      <c r="GY56" s="329">
        <f t="shared" si="632"/>
        <v>0</v>
      </c>
      <c r="GZ56" s="330"/>
      <c r="HA56" s="330"/>
      <c r="HB56" s="330"/>
      <c r="HC56" s="330"/>
      <c r="HD56" s="331"/>
      <c r="HE56" s="332"/>
      <c r="HF56" s="333"/>
      <c r="HI56" s="192"/>
      <c r="HJ56" s="192"/>
      <c r="HK56" s="192"/>
      <c r="HL56" s="192"/>
      <c r="HM56" s="192"/>
      <c r="HN56" s="192"/>
      <c r="HO56" s="192"/>
      <c r="HP56" s="192"/>
      <c r="HQ56" s="192"/>
      <c r="HR56" s="192"/>
      <c r="HS56" s="192"/>
      <c r="HT56" s="192"/>
      <c r="HU56" s="192"/>
      <c r="HV56" s="192"/>
      <c r="HW56" s="192"/>
      <c r="HX56" s="192"/>
      <c r="HY56" s="192"/>
      <c r="HZ56" s="192"/>
      <c r="IA56" s="192"/>
      <c r="IB56" s="53"/>
      <c r="IC56" s="53"/>
      <c r="ID56" s="329" t="s">
        <v>133</v>
      </c>
      <c r="IE56" s="329"/>
      <c r="IF56" s="329"/>
      <c r="IG56" s="329"/>
      <c r="IH56" s="330"/>
      <c r="II56" s="330"/>
      <c r="IJ56" s="330"/>
      <c r="IK56" s="330"/>
      <c r="IL56" s="331"/>
      <c r="IM56" s="332"/>
      <c r="IN56" s="333"/>
      <c r="IP56" s="11"/>
      <c r="IQ56" s="192"/>
      <c r="IR56" s="192"/>
      <c r="IS56" s="192"/>
      <c r="IT56" s="192"/>
      <c r="IU56" s="192"/>
      <c r="IV56" s="192"/>
      <c r="IW56" s="192"/>
      <c r="IX56" s="192"/>
      <c r="IY56" s="192"/>
      <c r="IZ56" s="192"/>
      <c r="JA56" s="192"/>
      <c r="JB56" s="192"/>
      <c r="JC56" s="192"/>
      <c r="JD56" s="192"/>
      <c r="JE56" s="192"/>
      <c r="JF56" s="192"/>
      <c r="JG56" s="192"/>
      <c r="JH56" s="192"/>
      <c r="JI56" s="192"/>
      <c r="JJ56" s="53"/>
      <c r="JK56" s="53"/>
      <c r="JL56" s="329" t="s">
        <v>133</v>
      </c>
      <c r="JM56" s="329"/>
      <c r="JN56" s="329">
        <f t="shared" si="547"/>
        <v>0</v>
      </c>
      <c r="JO56" s="329"/>
      <c r="JP56" s="330"/>
      <c r="JQ56" s="330"/>
      <c r="JR56" s="330"/>
      <c r="JS56" s="330"/>
      <c r="JT56" s="331"/>
      <c r="JU56" s="335"/>
      <c r="JX56" s="192"/>
      <c r="JY56" s="192"/>
      <c r="JZ56" s="192"/>
      <c r="KA56" s="192"/>
      <c r="KB56" s="192"/>
      <c r="KC56" s="192"/>
      <c r="KD56" s="192"/>
      <c r="KE56" s="192"/>
      <c r="KF56" s="192"/>
      <c r="KG56" s="192"/>
      <c r="KH56" s="192"/>
      <c r="KI56" s="192"/>
      <c r="KJ56" s="192"/>
      <c r="KK56" s="192"/>
      <c r="KL56" s="192"/>
      <c r="KM56" s="192"/>
      <c r="KN56" s="192"/>
      <c r="KO56" s="192"/>
      <c r="KP56" s="192"/>
      <c r="KQ56" s="192"/>
      <c r="KR56" s="53"/>
      <c r="KS56" s="53"/>
      <c r="KT56" s="329" t="s">
        <v>133</v>
      </c>
      <c r="KU56" s="329"/>
      <c r="KV56" s="329">
        <v>0</v>
      </c>
      <c r="KW56" s="329"/>
      <c r="KX56" s="330"/>
      <c r="KY56" s="330"/>
      <c r="KZ56" s="330"/>
      <c r="LA56" s="330"/>
      <c r="LB56" s="334"/>
      <c r="LC56" s="335"/>
      <c r="LF56" s="11"/>
      <c r="LG56" s="192"/>
      <c r="LH56" s="192"/>
      <c r="LI56" s="192"/>
      <c r="LJ56" s="192"/>
      <c r="LK56" s="192"/>
      <c r="LL56" s="192"/>
      <c r="LM56" s="192"/>
      <c r="LN56" s="192"/>
      <c r="LO56" s="192"/>
      <c r="LP56" s="192"/>
      <c r="LQ56" s="192"/>
      <c r="LR56" s="192"/>
      <c r="LS56" s="192"/>
      <c r="LT56" s="192"/>
      <c r="LU56" s="192"/>
      <c r="LV56" s="192"/>
      <c r="LW56" s="192"/>
      <c r="LX56" s="192"/>
      <c r="LY56" s="192"/>
      <c r="LZ56" s="192"/>
      <c r="MA56" s="192"/>
      <c r="MB56" s="329" t="s">
        <v>133</v>
      </c>
      <c r="MC56" s="329"/>
      <c r="MD56" s="329">
        <f t="shared" si="553"/>
        <v>0</v>
      </c>
      <c r="ME56" s="329"/>
      <c r="MF56" s="330"/>
      <c r="MG56" s="330"/>
      <c r="MH56" s="330"/>
      <c r="MI56" s="330"/>
      <c r="MJ56" s="334"/>
      <c r="MK56" s="335"/>
      <c r="MO56" s="192"/>
      <c r="MP56" s="192"/>
      <c r="MQ56" s="192"/>
      <c r="MR56" s="192"/>
      <c r="MS56" s="192"/>
      <c r="MT56" s="192"/>
      <c r="MU56" s="192"/>
      <c r="MV56" s="192"/>
      <c r="MW56" s="192"/>
      <c r="MX56" s="192"/>
      <c r="MY56" s="192"/>
      <c r="MZ56" s="192"/>
      <c r="NA56" s="192"/>
      <c r="NB56" s="192"/>
      <c r="NC56" s="192"/>
      <c r="ND56" s="192"/>
      <c r="NE56" s="192"/>
      <c r="NF56" s="192"/>
      <c r="NG56" s="192"/>
      <c r="NH56" s="53"/>
      <c r="NI56" s="53"/>
      <c r="NJ56" s="329" t="s">
        <v>133</v>
      </c>
      <c r="NK56" s="329"/>
      <c r="NL56" s="329">
        <f t="shared" si="559"/>
        <v>0</v>
      </c>
      <c r="NM56" s="329"/>
      <c r="NN56" s="330"/>
      <c r="NO56" s="330">
        <f t="shared" si="633"/>
        <v>0</v>
      </c>
      <c r="NP56" s="330">
        <f t="shared" si="634"/>
        <v>0</v>
      </c>
      <c r="NQ56" s="330"/>
      <c r="NR56" s="334" t="e">
        <f t="shared" si="562"/>
        <v>#DIV/0!</v>
      </c>
      <c r="NS56" s="335" t="e">
        <f t="shared" si="563"/>
        <v>#DIV/0!</v>
      </c>
      <c r="NT56" s="46"/>
      <c r="NU56" s="46"/>
      <c r="NV56" s="46"/>
      <c r="NW56" s="53"/>
      <c r="NX56" s="53"/>
      <c r="NY56" s="53"/>
      <c r="NZ56" s="53"/>
      <c r="OA56" s="53"/>
      <c r="OB56" s="53"/>
      <c r="OC56" s="53"/>
      <c r="OD56" s="53"/>
      <c r="OE56" s="53"/>
      <c r="OF56" s="53"/>
      <c r="OG56" s="53"/>
      <c r="OH56" s="53"/>
      <c r="OI56" s="53"/>
      <c r="OJ56" s="53"/>
      <c r="OK56" s="53"/>
      <c r="OL56" s="53"/>
      <c r="OM56" s="53"/>
      <c r="ON56" s="53"/>
      <c r="OO56" s="53"/>
      <c r="OP56" s="53"/>
      <c r="OQ56" s="53"/>
      <c r="OR56" s="53"/>
      <c r="OS56" s="336" t="s">
        <v>133</v>
      </c>
      <c r="OT56" s="336">
        <f t="shared" si="564"/>
        <v>0</v>
      </c>
      <c r="OU56" s="336">
        <f t="shared" si="565"/>
        <v>0</v>
      </c>
      <c r="OV56" s="172">
        <f t="shared" ref="OV56:OY56" si="637">OW9</f>
        <v>0</v>
      </c>
      <c r="OW56" s="172">
        <f t="shared" si="637"/>
        <v>0</v>
      </c>
      <c r="OX56" s="172">
        <f t="shared" si="637"/>
        <v>0</v>
      </c>
      <c r="OY56" s="172">
        <f t="shared" si="637"/>
        <v>0</v>
      </c>
      <c r="OZ56" s="171">
        <f t="shared" si="567"/>
        <v>0</v>
      </c>
      <c r="PA56" s="337" t="e">
        <f t="shared" si="568"/>
        <v>#DIV/0!</v>
      </c>
      <c r="PB56" s="170" t="e">
        <f t="shared" si="569"/>
        <v>#DIV/0!</v>
      </c>
      <c r="PC56" s="144"/>
      <c r="PD56" s="144"/>
      <c r="PE56" s="144"/>
      <c r="PF56" s="144"/>
      <c r="PG56" s="144"/>
      <c r="PH56" s="144"/>
      <c r="PI56" s="144"/>
      <c r="PJ56" s="144"/>
      <c r="PK56" s="144"/>
      <c r="PL56" s="144"/>
      <c r="PM56" s="144"/>
      <c r="PN56" s="144"/>
      <c r="PO56" s="144"/>
      <c r="PP56" s="144"/>
      <c r="PQ56" s="144"/>
      <c r="PR56" s="144"/>
      <c r="PS56" s="144"/>
      <c r="PT56" s="146"/>
      <c r="PU56" s="336" t="s">
        <v>133</v>
      </c>
      <c r="PV56" s="336">
        <f t="shared" si="570"/>
        <v>0</v>
      </c>
      <c r="PW56" s="336">
        <f t="shared" si="571"/>
        <v>0</v>
      </c>
      <c r="PX56" s="172">
        <f t="shared" ref="PX56:QA56" si="638">PY9</f>
        <v>0</v>
      </c>
      <c r="PY56" s="172">
        <f t="shared" si="638"/>
        <v>0</v>
      </c>
      <c r="PZ56" s="172">
        <f t="shared" si="638"/>
        <v>0</v>
      </c>
      <c r="QA56" s="172">
        <f t="shared" si="638"/>
        <v>0</v>
      </c>
      <c r="QB56" s="171"/>
      <c r="QC56" s="337" t="e">
        <f t="shared" si="574"/>
        <v>#DIV/0!</v>
      </c>
      <c r="QD56" s="170" t="e">
        <f t="shared" si="575"/>
        <v>#DIV/0!</v>
      </c>
      <c r="QE56" s="146"/>
      <c r="QF56" s="146"/>
      <c r="QG56" s="146"/>
      <c r="QH56" s="146"/>
      <c r="QI56" s="146"/>
      <c r="QJ56" s="146"/>
      <c r="QK56" s="146"/>
      <c r="QL56" s="146"/>
      <c r="QM56" s="146"/>
      <c r="QN56" s="146"/>
      <c r="QO56" s="146"/>
      <c r="QP56" s="146"/>
      <c r="QQ56" s="146"/>
      <c r="QR56" s="146"/>
      <c r="QS56" s="144"/>
      <c r="QT56" s="144"/>
      <c r="QU56" s="144"/>
      <c r="QV56" s="144"/>
      <c r="QW56" s="144"/>
      <c r="QX56" s="144"/>
      <c r="QY56" s="144"/>
      <c r="QZ56" s="144"/>
      <c r="RA56" s="144"/>
      <c r="RB56" s="144"/>
      <c r="RC56" s="144"/>
      <c r="RD56" s="144"/>
      <c r="RE56" s="144"/>
      <c r="RF56" s="144"/>
      <c r="RG56" s="144"/>
      <c r="RH56" s="144"/>
      <c r="RI56" s="144"/>
      <c r="RJ56" s="144"/>
      <c r="RK56" s="144"/>
      <c r="RL56" s="144"/>
      <c r="RM56" s="144"/>
      <c r="RN56" s="144"/>
      <c r="RO56" s="144"/>
      <c r="RP56" s="144"/>
      <c r="RQ56" s="144"/>
      <c r="RR56" s="144"/>
      <c r="RS56" s="144"/>
      <c r="RT56" s="144"/>
      <c r="RU56" s="144"/>
      <c r="RV56" s="144"/>
      <c r="RW56" s="144"/>
      <c r="RX56" s="144"/>
      <c r="RY56" s="144"/>
      <c r="RZ56" s="144"/>
      <c r="SA56" s="144"/>
      <c r="SB56" s="144"/>
      <c r="SC56" s="144"/>
      <c r="SD56" s="144"/>
      <c r="SE56" s="144"/>
      <c r="SF56" s="144"/>
      <c r="SG56" s="144"/>
      <c r="SH56" s="144"/>
      <c r="SI56" s="144"/>
      <c r="SJ56" s="144"/>
      <c r="SK56" s="144"/>
      <c r="SL56" s="144"/>
      <c r="SM56" s="84"/>
      <c r="SN56" s="84"/>
      <c r="SO56" s="154"/>
      <c r="SP56" s="154"/>
      <c r="SQ56" s="154"/>
      <c r="SR56" s="154"/>
      <c r="SS56" s="154"/>
      <c r="ST56" s="154"/>
      <c r="SU56" s="155"/>
      <c r="SV56" s="154"/>
      <c r="SW56" s="154"/>
      <c r="SX56" s="155"/>
      <c r="SY56" s="155"/>
      <c r="SZ56" s="155"/>
      <c r="TA56" s="155"/>
      <c r="TB56" s="155"/>
      <c r="TC56" s="155"/>
      <c r="TD56" s="155"/>
      <c r="TE56" s="156"/>
      <c r="TF56" s="144"/>
      <c r="TG56" s="84"/>
      <c r="TH56" s="144"/>
      <c r="TI56" s="144"/>
      <c r="TJ56" s="144"/>
      <c r="TK56" s="144"/>
      <c r="TL56" s="157"/>
      <c r="TM56" s="157"/>
      <c r="TN56" s="157"/>
      <c r="TO56" s="157"/>
      <c r="TP56" s="157"/>
      <c r="TQ56" s="157"/>
      <c r="TR56" s="157"/>
      <c r="TS56" s="157"/>
      <c r="TT56" s="157"/>
      <c r="TU56" s="158"/>
      <c r="TV56" s="157"/>
      <c r="TW56" s="158"/>
      <c r="TX56" s="144"/>
      <c r="TY56" s="144"/>
      <c r="TZ56" s="144"/>
      <c r="UA56" s="84"/>
      <c r="UB56" s="144"/>
      <c r="UC56" s="144"/>
      <c r="UD56" s="144"/>
      <c r="UE56" s="144"/>
      <c r="UF56" s="157"/>
      <c r="UG56" s="157"/>
      <c r="UH56" s="157"/>
      <c r="UI56" s="157"/>
      <c r="UJ56" s="157"/>
      <c r="UK56" s="157"/>
      <c r="UL56" s="157"/>
      <c r="UM56" s="157"/>
      <c r="UN56" s="157"/>
      <c r="UO56" s="157"/>
      <c r="UP56" s="157"/>
      <c r="UQ56" s="158"/>
      <c r="UR56" s="157"/>
      <c r="US56" s="158"/>
      <c r="UT56" s="144"/>
      <c r="UU56" s="144"/>
      <c r="UV56" s="144"/>
      <c r="UW56" s="144"/>
      <c r="UX56" s="144"/>
      <c r="UY56" s="144"/>
      <c r="UZ56" s="144"/>
      <c r="VA56" s="144"/>
      <c r="VB56" s="157"/>
      <c r="VC56" s="157"/>
      <c r="VD56" s="157"/>
      <c r="VE56" s="157"/>
      <c r="VF56" s="157"/>
      <c r="VG56" s="157"/>
      <c r="VH56" s="157"/>
      <c r="VI56" s="157"/>
      <c r="VJ56" s="157"/>
      <c r="VK56" s="157"/>
      <c r="VL56" s="157"/>
      <c r="VM56" s="157"/>
      <c r="VN56" s="157"/>
      <c r="VO56" s="157"/>
      <c r="VP56" s="144"/>
      <c r="VQ56" s="144"/>
      <c r="VR56" s="84"/>
      <c r="VS56" s="84"/>
      <c r="VT56" s="53"/>
      <c r="VU56" s="53"/>
    </row>
    <row r="57" ht="15.75" spans="1:593">
      <c r="A57" s="53"/>
      <c r="B57" s="53"/>
      <c r="C57" s="327" t="s">
        <v>137</v>
      </c>
      <c r="D57" s="327">
        <f>D10</f>
        <v>3</v>
      </c>
      <c r="E57" s="327">
        <f>E10</f>
        <v>1</v>
      </c>
      <c r="F57" s="327">
        <f t="shared" si="503"/>
        <v>1</v>
      </c>
      <c r="G57" s="161">
        <f t="shared" ref="G57:J57" si="639">I10</f>
        <v>3661</v>
      </c>
      <c r="H57" s="161">
        <f t="shared" si="639"/>
        <v>626598</v>
      </c>
      <c r="I57" s="161">
        <f t="shared" si="639"/>
        <v>853882</v>
      </c>
      <c r="J57" s="161">
        <f t="shared" si="639"/>
        <v>586999</v>
      </c>
      <c r="K57" s="179">
        <f>I57-J57</f>
        <v>266883</v>
      </c>
      <c r="L57" s="328">
        <f>K57/I57</f>
        <v>0.312552554099981</v>
      </c>
      <c r="M57" s="162">
        <f>I57/G57</f>
        <v>233.237366839661</v>
      </c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93"/>
      <c r="AB57" s="293"/>
      <c r="AC57" s="293"/>
      <c r="AD57" s="293"/>
      <c r="AE57" s="293"/>
      <c r="AF57" s="293"/>
      <c r="AG57" s="293"/>
      <c r="AH57" s="293"/>
      <c r="AI57" s="53"/>
      <c r="AJ57" s="327" t="s">
        <v>137</v>
      </c>
      <c r="AK57" s="327">
        <f>AK10</f>
        <v>3</v>
      </c>
      <c r="AL57" s="327">
        <f>AL10</f>
        <v>2</v>
      </c>
      <c r="AM57" s="327">
        <f t="shared" si="510"/>
        <v>2</v>
      </c>
      <c r="AN57" s="161">
        <f t="shared" ref="AN57:AQ57" si="640">AP10</f>
        <v>4119</v>
      </c>
      <c r="AO57" s="161">
        <f t="shared" si="640"/>
        <v>681374</v>
      </c>
      <c r="AP57" s="161">
        <f t="shared" si="640"/>
        <v>938494</v>
      </c>
      <c r="AQ57" s="161">
        <f t="shared" si="640"/>
        <v>642351.26</v>
      </c>
      <c r="AR57" s="179">
        <f>AP57-AQ57</f>
        <v>296142.74</v>
      </c>
      <c r="AS57" s="328">
        <f>AR57/AP57</f>
        <v>0.315551021104024</v>
      </c>
      <c r="AT57" s="162">
        <f>AP57/AN57</f>
        <v>227.845108035931</v>
      </c>
      <c r="AU57" s="293"/>
      <c r="AV57" s="293"/>
      <c r="AW57" s="293"/>
      <c r="AX57" s="293"/>
      <c r="AY57" s="293"/>
      <c r="AZ57" s="293"/>
      <c r="BA57" s="293"/>
      <c r="BB57" s="293"/>
      <c r="BC57" s="293"/>
      <c r="BD57" s="293"/>
      <c r="BE57" s="293"/>
      <c r="BF57" s="293"/>
      <c r="BG57" s="293"/>
      <c r="BH57" s="293"/>
      <c r="BI57" s="293"/>
      <c r="BJ57" s="293"/>
      <c r="BK57" s="293"/>
      <c r="BL57" s="293"/>
      <c r="BM57" s="293"/>
      <c r="BN57" s="293"/>
      <c r="BO57" s="293"/>
      <c r="BP57" s="53"/>
      <c r="BQ57" s="327" t="s">
        <v>137</v>
      </c>
      <c r="BR57" s="327">
        <f t="shared" ref="BR57:BT57" si="641">BR10</f>
        <v>3</v>
      </c>
      <c r="BS57" s="327">
        <f t="shared" si="641"/>
        <v>2</v>
      </c>
      <c r="BT57" s="327">
        <f t="shared" si="641"/>
        <v>78</v>
      </c>
      <c r="BU57" s="161">
        <f t="shared" ref="BU57:BX57" si="642">BW10</f>
        <v>2531</v>
      </c>
      <c r="BV57" s="161">
        <f t="shared" si="642"/>
        <v>401310</v>
      </c>
      <c r="BW57" s="161">
        <f t="shared" si="642"/>
        <v>593602.7</v>
      </c>
      <c r="BX57" s="161">
        <f t="shared" si="642"/>
        <v>381596.96</v>
      </c>
      <c r="BY57" s="179">
        <f t="shared" ref="BY57:BY61" si="643">BW57-BX57</f>
        <v>212005.74</v>
      </c>
      <c r="BZ57" s="328">
        <f t="shared" ref="BZ57:BZ61" si="644">BY57/BW57</f>
        <v>0.357150902447041</v>
      </c>
      <c r="CA57" s="162">
        <f t="shared" ref="CA57:CA61" si="645">BW57/BU57</f>
        <v>234.532872382457</v>
      </c>
      <c r="CB57" s="293"/>
      <c r="CC57" s="293"/>
      <c r="CD57" s="293"/>
      <c r="CE57" s="293"/>
      <c r="CF57" s="293"/>
      <c r="CG57" s="293"/>
      <c r="CH57" s="293"/>
      <c r="CI57" s="293"/>
      <c r="CJ57" s="293"/>
      <c r="CK57" s="293"/>
      <c r="CL57" s="293"/>
      <c r="CM57" s="293"/>
      <c r="CN57" s="293"/>
      <c r="CO57" s="293"/>
      <c r="CP57" s="293"/>
      <c r="CQ57" s="293"/>
      <c r="CR57" s="293"/>
      <c r="CS57" s="293"/>
      <c r="CT57" s="293"/>
      <c r="CU57" s="293"/>
      <c r="CV57" s="293"/>
      <c r="CW57" s="53"/>
      <c r="CX57" s="327" t="s">
        <v>137</v>
      </c>
      <c r="CY57" s="327" t="str">
        <f t="shared" ref="CY57:CY60" si="646">CX10</f>
        <v>PH30</v>
      </c>
      <c r="CZ57" s="327">
        <f t="shared" ref="CZ57:CZ60" si="647">CY10</f>
        <v>4</v>
      </c>
      <c r="DA57" s="327">
        <f t="shared" si="629"/>
        <v>1</v>
      </c>
      <c r="DB57" s="161">
        <f t="shared" ref="DB57:DE57" si="648">DD10</f>
        <v>2794</v>
      </c>
      <c r="DC57" s="161">
        <f t="shared" si="648"/>
        <v>427287</v>
      </c>
      <c r="DD57" s="161">
        <f t="shared" si="648"/>
        <v>607568</v>
      </c>
      <c r="DE57" s="161">
        <f t="shared" si="648"/>
        <v>423570.41</v>
      </c>
      <c r="DF57" s="179">
        <f t="shared" ref="DF57:DF61" si="649">DD57-DE57</f>
        <v>183997.59</v>
      </c>
      <c r="DG57" s="328">
        <f t="shared" ref="DG57:DG61" si="650">DF57/DD57</f>
        <v>0.302842792905485</v>
      </c>
      <c r="DH57" s="162">
        <f t="shared" ref="DH57:DH61" si="651">DD57/DB57</f>
        <v>217.454545454545</v>
      </c>
      <c r="DI57" s="293"/>
      <c r="DJ57" s="293"/>
      <c r="DK57" s="293"/>
      <c r="DL57" s="293"/>
      <c r="DM57" s="293"/>
      <c r="DN57" s="293"/>
      <c r="DO57" s="293"/>
      <c r="DP57" s="293"/>
      <c r="DQ57" s="293"/>
      <c r="DR57" s="293"/>
      <c r="DS57" s="293"/>
      <c r="DT57" s="293"/>
      <c r="DU57" s="293"/>
      <c r="DV57" s="293"/>
      <c r="DW57" s="293"/>
      <c r="DX57" s="293"/>
      <c r="DY57" s="293"/>
      <c r="DZ57" s="293"/>
      <c r="EA57" s="293"/>
      <c r="EB57" s="293"/>
      <c r="EC57" s="293"/>
      <c r="ED57" s="53"/>
      <c r="EE57" s="329" t="s">
        <v>137</v>
      </c>
      <c r="EF57" s="329">
        <f t="shared" ref="EF57:EF60" si="652">EF10</f>
        <v>4</v>
      </c>
      <c r="EG57" s="329">
        <f t="shared" ref="EG57:EG60" si="653">EG10</f>
        <v>1</v>
      </c>
      <c r="EH57" s="329">
        <f t="shared" si="630"/>
        <v>58</v>
      </c>
      <c r="EI57" s="330">
        <f t="shared" ref="EI57:EL57" si="654">EK10</f>
        <v>3584</v>
      </c>
      <c r="EJ57" s="330">
        <f t="shared" si="654"/>
        <v>588067.1</v>
      </c>
      <c r="EK57" s="330">
        <f t="shared" si="654"/>
        <v>833381.1</v>
      </c>
      <c r="EL57" s="330">
        <f t="shared" si="654"/>
        <v>521183.3</v>
      </c>
      <c r="EM57" s="331">
        <f t="shared" ref="EM57:EM61" si="655">EK57-EL57</f>
        <v>312197.8</v>
      </c>
      <c r="EN57" s="332">
        <f t="shared" ref="EN57:EN61" si="656">EM57/EK57</f>
        <v>0.374615887017356</v>
      </c>
      <c r="EO57" s="333">
        <f t="shared" ref="EO57:EO61" si="657">EK57/EI57</f>
        <v>232.528208705357</v>
      </c>
      <c r="EP57" s="53"/>
      <c r="EQ57" s="53"/>
      <c r="ER57" s="192"/>
      <c r="ES57" s="192"/>
      <c r="ET57" s="192"/>
      <c r="EU57" s="192"/>
      <c r="EV57" s="192"/>
      <c r="EW57" s="192"/>
      <c r="EX57" s="192"/>
      <c r="EY57" s="192"/>
      <c r="EZ57" s="192"/>
      <c r="FA57" s="192"/>
      <c r="FB57" s="192"/>
      <c r="FC57" s="192"/>
      <c r="FD57" s="192"/>
      <c r="FE57" s="192"/>
      <c r="FF57" s="192"/>
      <c r="FG57" s="192"/>
      <c r="FH57" s="192"/>
      <c r="FI57" s="192"/>
      <c r="FJ57" s="192"/>
      <c r="FK57" s="53"/>
      <c r="FL57" s="53"/>
      <c r="FM57" s="53"/>
      <c r="FN57" s="329" t="s">
        <v>137</v>
      </c>
      <c r="FO57" s="329">
        <f t="shared" ref="FO57:FO60" si="658">FO10</f>
        <v>4</v>
      </c>
      <c r="FP57" s="329">
        <f t="shared" ref="FP57:FP60" si="659">FP10</f>
        <v>1</v>
      </c>
      <c r="FQ57" s="329">
        <f t="shared" si="631"/>
        <v>82</v>
      </c>
      <c r="FR57" s="330">
        <f t="shared" ref="FR57:FU57" si="660">FT10</f>
        <v>3637</v>
      </c>
      <c r="FS57" s="330">
        <f t="shared" si="660"/>
        <v>570979.14</v>
      </c>
      <c r="FT57" s="330">
        <f t="shared" si="660"/>
        <v>948007.14</v>
      </c>
      <c r="FU57" s="330">
        <f t="shared" si="660"/>
        <v>796441</v>
      </c>
      <c r="FV57" s="331">
        <f t="shared" ref="FV57:FV61" si="661">FT57-FU57</f>
        <v>151566.14</v>
      </c>
      <c r="FW57" s="332">
        <f t="shared" ref="FW57:FW61" si="662">FV57/FT57</f>
        <v>0.159878690365138</v>
      </c>
      <c r="FX57" s="333">
        <f t="shared" ref="FX57:FX61" si="663">FT57/FR57</f>
        <v>260.656348638988</v>
      </c>
      <c r="FY57" s="53"/>
      <c r="FZ57" s="192"/>
      <c r="GA57" s="192"/>
      <c r="GB57" s="192"/>
      <c r="GC57" s="192"/>
      <c r="GD57" s="192"/>
      <c r="GE57" s="192"/>
      <c r="GF57" s="192"/>
      <c r="GG57" s="192"/>
      <c r="GH57" s="192"/>
      <c r="GI57" s="192"/>
      <c r="GJ57" s="192"/>
      <c r="GK57" s="192"/>
      <c r="GL57" s="192"/>
      <c r="GM57" s="192"/>
      <c r="GN57" s="192"/>
      <c r="GO57" s="192"/>
      <c r="GP57" s="192"/>
      <c r="GQ57" s="192"/>
      <c r="GR57" s="192"/>
      <c r="GS57" s="192"/>
      <c r="GT57" s="53"/>
      <c r="GU57" s="53"/>
      <c r="GV57" s="329" t="s">
        <v>137</v>
      </c>
      <c r="GW57" s="329">
        <f t="shared" ref="GW57:GW60" si="664">GW10</f>
        <v>4</v>
      </c>
      <c r="GX57" s="329">
        <f t="shared" ref="GX57:GX60" si="665">GX10</f>
        <v>1</v>
      </c>
      <c r="GY57" s="329">
        <f t="shared" si="632"/>
        <v>80</v>
      </c>
      <c r="GZ57" s="330">
        <f t="shared" ref="GZ57:HC57" si="666">HB10</f>
        <v>3880</v>
      </c>
      <c r="HA57" s="330">
        <f t="shared" si="666"/>
        <v>615384.89</v>
      </c>
      <c r="HB57" s="330">
        <f t="shared" si="666"/>
        <v>950093.89</v>
      </c>
      <c r="HC57" s="330">
        <f t="shared" si="666"/>
        <v>703586</v>
      </c>
      <c r="HD57" s="331">
        <f t="shared" ref="HD57:HD61" si="667">HB57-HC57</f>
        <v>246507.89</v>
      </c>
      <c r="HE57" s="332">
        <f t="shared" ref="HE57:HE61" si="668">HD57/HB57</f>
        <v>0.259456346993243</v>
      </c>
      <c r="HF57" s="333">
        <f t="shared" ref="HF57:HF61" si="669">HB57/GZ57</f>
        <v>244.869559278351</v>
      </c>
      <c r="HI57" s="192"/>
      <c r="HJ57" s="192"/>
      <c r="HK57" s="192"/>
      <c r="HL57" s="192"/>
      <c r="HM57" s="192"/>
      <c r="HN57" s="192"/>
      <c r="HO57" s="192"/>
      <c r="HP57" s="192"/>
      <c r="HQ57" s="192"/>
      <c r="HR57" s="192"/>
      <c r="HS57" s="192"/>
      <c r="HT57" s="192"/>
      <c r="HU57" s="192"/>
      <c r="HV57" s="192"/>
      <c r="HW57" s="192"/>
      <c r="HX57" s="192"/>
      <c r="HY57" s="192"/>
      <c r="HZ57" s="192"/>
      <c r="IA57" s="192"/>
      <c r="IB57" s="53"/>
      <c r="IC57" s="53"/>
      <c r="ID57" s="329" t="s">
        <v>137</v>
      </c>
      <c r="IE57" s="329">
        <f t="shared" ref="IE57:IE60" si="670">IE10</f>
        <v>5</v>
      </c>
      <c r="IF57" s="329">
        <v>0</v>
      </c>
      <c r="IG57" s="329">
        <f t="shared" si="541"/>
        <v>84</v>
      </c>
      <c r="IH57" s="330">
        <f t="shared" ref="IH57:IK57" si="671">IJ10</f>
        <v>7815</v>
      </c>
      <c r="II57" s="330">
        <f t="shared" si="671"/>
        <v>1227907.9</v>
      </c>
      <c r="IJ57" s="330">
        <f t="shared" si="671"/>
        <v>1819238</v>
      </c>
      <c r="IK57" s="330">
        <f t="shared" si="671"/>
        <v>1230077</v>
      </c>
      <c r="IL57" s="331">
        <f t="shared" ref="IL57:IL61" si="672">IJ57-IK57</f>
        <v>589161</v>
      </c>
      <c r="IM57" s="332">
        <f t="shared" ref="IM57:IM61" si="673">IL57/IJ57</f>
        <v>0.32385042528795</v>
      </c>
      <c r="IN57" s="333">
        <f t="shared" ref="IN57:IN61" si="674">IJ57/IH57</f>
        <v>232.787971849008</v>
      </c>
      <c r="IP57" s="11"/>
      <c r="IQ57" s="192"/>
      <c r="IR57" s="192"/>
      <c r="IS57" s="192"/>
      <c r="IT57" s="192"/>
      <c r="IU57" s="192"/>
      <c r="IV57" s="192"/>
      <c r="IW57" s="192"/>
      <c r="IX57" s="192"/>
      <c r="IY57" s="192"/>
      <c r="IZ57" s="192"/>
      <c r="JA57" s="192"/>
      <c r="JB57" s="192"/>
      <c r="JC57" s="192"/>
      <c r="JD57" s="192"/>
      <c r="JE57" s="192"/>
      <c r="JF57" s="192"/>
      <c r="JG57" s="192"/>
      <c r="JH57" s="192"/>
      <c r="JI57" s="192"/>
      <c r="JJ57" s="53"/>
      <c r="JK57" s="53"/>
      <c r="JL57" s="329" t="s">
        <v>137</v>
      </c>
      <c r="JM57" s="329">
        <f t="shared" ref="JM57:JM60" si="675">JM10</f>
        <v>6</v>
      </c>
      <c r="JN57" s="329">
        <f t="shared" si="547"/>
        <v>0</v>
      </c>
      <c r="JO57" s="329">
        <f t="shared" ref="JO57:JR57" si="676">JR10</f>
        <v>5929</v>
      </c>
      <c r="JP57" s="330">
        <f t="shared" si="676"/>
        <v>905154</v>
      </c>
      <c r="JQ57" s="330">
        <f t="shared" si="676"/>
        <v>1374700</v>
      </c>
      <c r="JR57" s="330">
        <f t="shared" si="676"/>
        <v>1000285</v>
      </c>
      <c r="JS57" s="330">
        <f t="shared" ref="JS57:JS61" si="677">JQ57-JR57</f>
        <v>374415</v>
      </c>
      <c r="JT57" s="334">
        <f t="shared" ref="JT57:JT61" si="678">JS57/JQ57</f>
        <v>0.272361242452899</v>
      </c>
      <c r="JU57" s="335">
        <f t="shared" ref="JU57:JU61" si="679">JQ57/JO57</f>
        <v>231.860347444763</v>
      </c>
      <c r="JX57" s="192"/>
      <c r="JY57" s="192"/>
      <c r="JZ57" s="192"/>
      <c r="KA57" s="192"/>
      <c r="KB57" s="192"/>
      <c r="KC57" s="192"/>
      <c r="KD57" s="192"/>
      <c r="KE57" s="192"/>
      <c r="KF57" s="192"/>
      <c r="KG57" s="192"/>
      <c r="KH57" s="192"/>
      <c r="KI57" s="192"/>
      <c r="KJ57" s="192"/>
      <c r="KK57" s="192"/>
      <c r="KL57" s="192"/>
      <c r="KM57" s="192"/>
      <c r="KN57" s="192"/>
      <c r="KO57" s="192"/>
      <c r="KP57" s="192"/>
      <c r="KQ57" s="192"/>
      <c r="KR57" s="53"/>
      <c r="KS57" s="53"/>
      <c r="KT57" s="329" t="s">
        <v>137</v>
      </c>
      <c r="KU57" s="329">
        <v>6</v>
      </c>
      <c r="KV57" s="329">
        <v>206</v>
      </c>
      <c r="KW57" s="329">
        <v>10357</v>
      </c>
      <c r="KX57" s="330">
        <v>1527739</v>
      </c>
      <c r="KY57" s="330">
        <v>2283614</v>
      </c>
      <c r="KZ57" s="330">
        <v>1538293</v>
      </c>
      <c r="LA57" s="330">
        <v>745321</v>
      </c>
      <c r="LB57" s="334">
        <v>0.326377837935833</v>
      </c>
      <c r="LC57" s="335">
        <v>220.489910205658</v>
      </c>
      <c r="LF57" s="11"/>
      <c r="LG57" s="192"/>
      <c r="LH57" s="192"/>
      <c r="LI57" s="192"/>
      <c r="LJ57" s="192"/>
      <c r="LK57" s="192"/>
      <c r="LL57" s="192"/>
      <c r="LM57" s="192"/>
      <c r="LN57" s="192"/>
      <c r="LO57" s="192"/>
      <c r="LP57" s="192"/>
      <c r="LQ57" s="192"/>
      <c r="LR57" s="192"/>
      <c r="LS57" s="192"/>
      <c r="LT57" s="192"/>
      <c r="LU57" s="192"/>
      <c r="LV57" s="192"/>
      <c r="LW57" s="192"/>
      <c r="LX57" s="192"/>
      <c r="LY57" s="192"/>
      <c r="LZ57" s="192"/>
      <c r="MA57" s="192"/>
      <c r="MB57" s="329" t="s">
        <v>137</v>
      </c>
      <c r="MC57" s="329">
        <f t="shared" ref="MC57:MC60" si="680">MC10</f>
        <v>6</v>
      </c>
      <c r="MD57" s="329">
        <f t="shared" si="553"/>
        <v>247</v>
      </c>
      <c r="ME57" s="329">
        <f t="shared" ref="ME57:MH57" si="681">MH10</f>
        <v>16456</v>
      </c>
      <c r="MF57" s="330">
        <f t="shared" si="681"/>
        <v>2405187</v>
      </c>
      <c r="MG57" s="330">
        <f t="shared" si="681"/>
        <v>3660286</v>
      </c>
      <c r="MH57" s="330">
        <f t="shared" si="681"/>
        <v>2398859</v>
      </c>
      <c r="MI57" s="330">
        <f t="shared" ref="MI57:MI61" si="682">MG57-MH57</f>
        <v>1261427</v>
      </c>
      <c r="MJ57" s="334">
        <f t="shared" ref="MJ57:MJ61" si="683">MI57/MG57</f>
        <v>0.344625256059226</v>
      </c>
      <c r="MK57" s="335">
        <f t="shared" ref="MK57:MK61" si="684">MG57/ME57</f>
        <v>222.428658240156</v>
      </c>
      <c r="MO57" s="192"/>
      <c r="MP57" s="192"/>
      <c r="MQ57" s="192"/>
      <c r="MR57" s="192"/>
      <c r="MS57" s="192"/>
      <c r="MT57" s="192"/>
      <c r="MU57" s="192"/>
      <c r="MV57" s="192"/>
      <c r="MW57" s="192"/>
      <c r="MX57" s="192"/>
      <c r="MY57" s="192"/>
      <c r="MZ57" s="192"/>
      <c r="NA57" s="192"/>
      <c r="NB57" s="192"/>
      <c r="NC57" s="192"/>
      <c r="ND57" s="192"/>
      <c r="NE57" s="192"/>
      <c r="NF57" s="192"/>
      <c r="NG57" s="192"/>
      <c r="NH57" s="53"/>
      <c r="NI57" s="53"/>
      <c r="NJ57" s="329" t="s">
        <v>137</v>
      </c>
      <c r="NK57" s="329">
        <f t="shared" ref="NK57:NK60" si="685">NK10</f>
        <v>6</v>
      </c>
      <c r="NL57" s="329">
        <f t="shared" si="559"/>
        <v>149</v>
      </c>
      <c r="NM57" s="329">
        <f t="shared" ref="NM57:NM61" si="686">NP10</f>
        <v>17428</v>
      </c>
      <c r="NN57" s="330">
        <f t="shared" ref="NN57:NN61" si="687">NQ10</f>
        <v>2569058.02</v>
      </c>
      <c r="NO57" s="330">
        <f t="shared" si="633"/>
        <v>3950690.22</v>
      </c>
      <c r="NP57" s="330">
        <f t="shared" si="634"/>
        <v>2589014</v>
      </c>
      <c r="NQ57" s="330">
        <f t="shared" ref="NQ57:NQ61" si="688">NO57-NP57</f>
        <v>1361676.22</v>
      </c>
      <c r="NR57" s="334">
        <f t="shared" si="562"/>
        <v>0.344667929949719</v>
      </c>
      <c r="NS57" s="335">
        <f t="shared" si="563"/>
        <v>226.686379389488</v>
      </c>
      <c r="NT57" s="46"/>
      <c r="NU57" s="46"/>
      <c r="NV57" s="46"/>
      <c r="NW57" s="53"/>
      <c r="NX57" s="53"/>
      <c r="NY57" s="53"/>
      <c r="NZ57" s="53"/>
      <c r="OA57" s="53"/>
      <c r="OB57" s="53"/>
      <c r="OC57" s="53"/>
      <c r="OD57" s="53"/>
      <c r="OE57" s="53"/>
      <c r="OF57" s="53"/>
      <c r="OG57" s="53"/>
      <c r="OH57" s="53"/>
      <c r="OI57" s="53"/>
      <c r="OJ57" s="53"/>
      <c r="OK57" s="53"/>
      <c r="OL57" s="53"/>
      <c r="OM57" s="53"/>
      <c r="ON57" s="53"/>
      <c r="OO57" s="53"/>
      <c r="OP57" s="53"/>
      <c r="OQ57" s="53"/>
      <c r="OR57" s="53"/>
      <c r="OS57" s="336" t="s">
        <v>137</v>
      </c>
      <c r="OT57" s="336">
        <f t="shared" si="564"/>
        <v>5</v>
      </c>
      <c r="OU57" s="336">
        <f t="shared" si="565"/>
        <v>201</v>
      </c>
      <c r="OV57" s="172">
        <f t="shared" ref="OV57:OY57" si="689">OW10</f>
        <v>15365</v>
      </c>
      <c r="OW57" s="172">
        <f t="shared" si="689"/>
        <v>2279914.86</v>
      </c>
      <c r="OX57" s="172">
        <f t="shared" si="689"/>
        <v>3229963</v>
      </c>
      <c r="OY57" s="172">
        <f t="shared" si="689"/>
        <v>2099225</v>
      </c>
      <c r="OZ57" s="171">
        <f t="shared" si="567"/>
        <v>1130738</v>
      </c>
      <c r="PA57" s="337">
        <f t="shared" si="568"/>
        <v>0.35007769438845</v>
      </c>
      <c r="PB57" s="170">
        <f t="shared" si="569"/>
        <v>210.215619915392</v>
      </c>
      <c r="PC57" s="144"/>
      <c r="PD57" s="144"/>
      <c r="PE57" s="144"/>
      <c r="PF57" s="144"/>
      <c r="PG57" s="144"/>
      <c r="PH57" s="144"/>
      <c r="PI57" s="144"/>
      <c r="PJ57" s="144"/>
      <c r="PK57" s="144"/>
      <c r="PL57" s="144"/>
      <c r="PM57" s="144"/>
      <c r="PN57" s="144"/>
      <c r="PO57" s="144"/>
      <c r="PP57" s="144"/>
      <c r="PQ57" s="144"/>
      <c r="PR57" s="144"/>
      <c r="PS57" s="144"/>
      <c r="PT57" s="146"/>
      <c r="PU57" s="336" t="s">
        <v>137</v>
      </c>
      <c r="PV57" s="336">
        <f t="shared" si="570"/>
        <v>4</v>
      </c>
      <c r="PW57" s="336">
        <f t="shared" si="571"/>
        <v>157</v>
      </c>
      <c r="PX57" s="172">
        <f t="shared" ref="PX57:QA57" si="690">PY10</f>
        <v>11647</v>
      </c>
      <c r="PY57" s="172">
        <f t="shared" si="690"/>
        <v>1985281.5</v>
      </c>
      <c r="PZ57" s="172">
        <f t="shared" si="690"/>
        <v>1808737</v>
      </c>
      <c r="QA57" s="172">
        <f t="shared" si="690"/>
        <v>1066392</v>
      </c>
      <c r="QB57" s="171">
        <f t="shared" ref="QB57:QB61" si="691">PZ57-QA57</f>
        <v>742345</v>
      </c>
      <c r="QC57" s="337">
        <f t="shared" si="574"/>
        <v>0.410421747329767</v>
      </c>
      <c r="QD57" s="170">
        <f t="shared" si="575"/>
        <v>155.296385335279</v>
      </c>
      <c r="QE57" s="146"/>
      <c r="QF57" s="146"/>
      <c r="QG57" s="146"/>
      <c r="QH57" s="146"/>
      <c r="QI57" s="146"/>
      <c r="QJ57" s="146"/>
      <c r="QK57" s="146"/>
      <c r="QL57" s="146"/>
      <c r="QM57" s="146"/>
      <c r="QN57" s="146"/>
      <c r="QO57" s="146"/>
      <c r="QP57" s="146"/>
      <c r="QQ57" s="146"/>
      <c r="QR57" s="146"/>
      <c r="QS57" s="144"/>
      <c r="QT57" s="144"/>
      <c r="QU57" s="144"/>
      <c r="QV57" s="144"/>
      <c r="QW57" s="144"/>
      <c r="QX57" s="144"/>
      <c r="QY57" s="144"/>
      <c r="QZ57" s="144"/>
      <c r="RA57" s="144"/>
      <c r="RB57" s="144"/>
      <c r="RC57" s="144"/>
      <c r="RD57" s="144"/>
      <c r="RE57" s="144"/>
      <c r="RF57" s="144"/>
      <c r="RG57" s="144"/>
      <c r="RH57" s="144"/>
      <c r="RI57" s="144"/>
      <c r="RJ57" s="144"/>
      <c r="RK57" s="144"/>
      <c r="RL57" s="144"/>
      <c r="RM57" s="144"/>
      <c r="RN57" s="144"/>
      <c r="RO57" s="144"/>
      <c r="RP57" s="144"/>
      <c r="RQ57" s="144"/>
      <c r="RR57" s="144"/>
      <c r="RS57" s="144"/>
      <c r="RT57" s="144"/>
      <c r="RU57" s="144"/>
      <c r="RV57" s="144"/>
      <c r="RW57" s="144"/>
      <c r="RX57" s="144"/>
      <c r="RY57" s="144"/>
      <c r="RZ57" s="144"/>
      <c r="SA57" s="144"/>
      <c r="SB57" s="144"/>
      <c r="SC57" s="144"/>
      <c r="SD57" s="144"/>
      <c r="SE57" s="144"/>
      <c r="SF57" s="144"/>
      <c r="SG57" s="144"/>
      <c r="SH57" s="144"/>
      <c r="SI57" s="144"/>
      <c r="SJ57" s="144"/>
      <c r="SK57" s="144"/>
      <c r="SL57" s="144"/>
      <c r="SM57" s="84"/>
      <c r="SN57" s="84"/>
      <c r="SO57" s="154"/>
      <c r="SP57" s="154"/>
      <c r="SQ57" s="154"/>
      <c r="SR57" s="154"/>
      <c r="SS57" s="154"/>
      <c r="ST57" s="154"/>
      <c r="SU57" s="155"/>
      <c r="SV57" s="154"/>
      <c r="SW57" s="154"/>
      <c r="SX57" s="155"/>
      <c r="SY57" s="155"/>
      <c r="SZ57" s="155"/>
      <c r="TA57" s="155"/>
      <c r="TB57" s="155"/>
      <c r="TC57" s="155"/>
      <c r="TD57" s="155"/>
      <c r="TE57" s="156"/>
      <c r="TF57" s="144"/>
      <c r="TG57" s="84"/>
      <c r="TH57" s="144"/>
      <c r="TI57" s="144"/>
      <c r="TJ57" s="144"/>
      <c r="TK57" s="144"/>
      <c r="TL57" s="157"/>
      <c r="TM57" s="157"/>
      <c r="TN57" s="157"/>
      <c r="TO57" s="157"/>
      <c r="TP57" s="157"/>
      <c r="TQ57" s="157"/>
      <c r="TR57" s="157"/>
      <c r="TS57" s="157"/>
      <c r="TT57" s="157"/>
      <c r="TU57" s="158"/>
      <c r="TV57" s="157"/>
      <c r="TW57" s="158"/>
      <c r="TX57" s="144"/>
      <c r="TY57" s="144"/>
      <c r="TZ57" s="144"/>
      <c r="UA57" s="84"/>
      <c r="UB57" s="144"/>
      <c r="UC57" s="144"/>
      <c r="UD57" s="144"/>
      <c r="UE57" s="144"/>
      <c r="UF57" s="157"/>
      <c r="UG57" s="157"/>
      <c r="UH57" s="157"/>
      <c r="UI57" s="157"/>
      <c r="UJ57" s="157"/>
      <c r="UK57" s="157"/>
      <c r="UL57" s="157"/>
      <c r="UM57" s="157"/>
      <c r="UN57" s="157"/>
      <c r="UO57" s="157"/>
      <c r="UP57" s="157"/>
      <c r="UQ57" s="158"/>
      <c r="UR57" s="157"/>
      <c r="US57" s="158"/>
      <c r="UT57" s="144"/>
      <c r="UU57" s="144"/>
      <c r="UV57" s="144"/>
      <c r="UW57" s="144"/>
      <c r="UX57" s="144"/>
      <c r="UY57" s="144"/>
      <c r="UZ57" s="144"/>
      <c r="VA57" s="144"/>
      <c r="VB57" s="157"/>
      <c r="VC57" s="157"/>
      <c r="VD57" s="157"/>
      <c r="VE57" s="157"/>
      <c r="VF57" s="157"/>
      <c r="VG57" s="157"/>
      <c r="VH57" s="157"/>
      <c r="VI57" s="157"/>
      <c r="VJ57" s="157"/>
      <c r="VK57" s="157"/>
      <c r="VL57" s="157"/>
      <c r="VM57" s="157"/>
      <c r="VN57" s="157"/>
      <c r="VO57" s="157"/>
      <c r="VP57" s="144"/>
      <c r="VQ57" s="144"/>
      <c r="VR57" s="84"/>
      <c r="VS57" s="84"/>
      <c r="VT57" s="53"/>
      <c r="VU57" s="53"/>
    </row>
    <row r="58" ht="15.75" hidden="1" spans="1:593">
      <c r="A58" s="53"/>
      <c r="B58" s="53"/>
      <c r="C58" s="327" t="s">
        <v>140</v>
      </c>
      <c r="D58" s="327"/>
      <c r="E58" s="327"/>
      <c r="F58" s="327"/>
      <c r="G58" s="161"/>
      <c r="H58" s="161"/>
      <c r="I58" s="161"/>
      <c r="J58" s="161"/>
      <c r="K58" s="179"/>
      <c r="L58" s="328"/>
      <c r="M58" s="162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93"/>
      <c r="AB58" s="293"/>
      <c r="AC58" s="293"/>
      <c r="AD58" s="293"/>
      <c r="AE58" s="293"/>
      <c r="AF58" s="293"/>
      <c r="AG58" s="293"/>
      <c r="AH58" s="293"/>
      <c r="AI58" s="53"/>
      <c r="AJ58" s="327" t="s">
        <v>140</v>
      </c>
      <c r="AK58" s="327"/>
      <c r="AL58" s="327"/>
      <c r="AM58" s="327"/>
      <c r="AN58" s="161"/>
      <c r="AO58" s="161"/>
      <c r="AP58" s="161"/>
      <c r="AQ58" s="161"/>
      <c r="AR58" s="179"/>
      <c r="AS58" s="328"/>
      <c r="AT58" s="162"/>
      <c r="AU58" s="293"/>
      <c r="AV58" s="293"/>
      <c r="AW58" s="293"/>
      <c r="AX58" s="293"/>
      <c r="AY58" s="293"/>
      <c r="AZ58" s="293"/>
      <c r="BA58" s="293"/>
      <c r="BB58" s="293"/>
      <c r="BC58" s="293"/>
      <c r="BD58" s="293"/>
      <c r="BE58" s="293"/>
      <c r="BF58" s="293"/>
      <c r="BG58" s="293"/>
      <c r="BH58" s="293"/>
      <c r="BI58" s="293"/>
      <c r="BJ58" s="293"/>
      <c r="BK58" s="293"/>
      <c r="BL58" s="293"/>
      <c r="BM58" s="293"/>
      <c r="BN58" s="293"/>
      <c r="BO58" s="293"/>
      <c r="BP58" s="53"/>
      <c r="BQ58" s="327" t="s">
        <v>140</v>
      </c>
      <c r="BR58" s="327" t="str">
        <f>BQ11</f>
        <v>PH05</v>
      </c>
      <c r="BS58" s="327">
        <f>BR11</f>
        <v>0</v>
      </c>
      <c r="BT58" s="327">
        <f t="shared" si="628"/>
        <v>0</v>
      </c>
      <c r="BU58" s="161">
        <f t="shared" ref="BU58:BX58" si="692">BW11</f>
        <v>1036</v>
      </c>
      <c r="BV58" s="161">
        <f t="shared" si="692"/>
        <v>153506</v>
      </c>
      <c r="BW58" s="161">
        <f t="shared" si="692"/>
        <v>215789</v>
      </c>
      <c r="BX58" s="161">
        <f t="shared" si="692"/>
        <v>161636</v>
      </c>
      <c r="BY58" s="179">
        <f t="shared" si="643"/>
        <v>54153</v>
      </c>
      <c r="BZ58" s="328">
        <f t="shared" si="644"/>
        <v>0.250953477702756</v>
      </c>
      <c r="CA58" s="162">
        <f t="shared" si="645"/>
        <v>208.290540540541</v>
      </c>
      <c r="CB58" s="293"/>
      <c r="CC58" s="293"/>
      <c r="CD58" s="293"/>
      <c r="CE58" s="293"/>
      <c r="CF58" s="293"/>
      <c r="CG58" s="293"/>
      <c r="CH58" s="293"/>
      <c r="CI58" s="293"/>
      <c r="CJ58" s="293"/>
      <c r="CK58" s="293"/>
      <c r="CL58" s="293"/>
      <c r="CM58" s="293"/>
      <c r="CN58" s="293"/>
      <c r="CO58" s="293"/>
      <c r="CP58" s="293"/>
      <c r="CQ58" s="293"/>
      <c r="CR58" s="293"/>
      <c r="CS58" s="293"/>
      <c r="CT58" s="293"/>
      <c r="CU58" s="293"/>
      <c r="CV58" s="293"/>
      <c r="CW58" s="53"/>
      <c r="CX58" s="327" t="s">
        <v>140</v>
      </c>
      <c r="CY58" s="327" t="str">
        <f t="shared" si="646"/>
        <v>PH05</v>
      </c>
      <c r="CZ58" s="327">
        <f t="shared" si="647"/>
        <v>1</v>
      </c>
      <c r="DA58" s="327">
        <f t="shared" si="629"/>
        <v>1</v>
      </c>
      <c r="DB58" s="161">
        <f t="shared" ref="DB58:DE58" si="693">DD11</f>
        <v>2061</v>
      </c>
      <c r="DC58" s="161">
        <f t="shared" si="693"/>
        <v>287293</v>
      </c>
      <c r="DD58" s="161">
        <f t="shared" si="693"/>
        <v>426962</v>
      </c>
      <c r="DE58" s="161">
        <f t="shared" si="693"/>
        <v>318943.18</v>
      </c>
      <c r="DF58" s="179">
        <f t="shared" si="649"/>
        <v>108018.82</v>
      </c>
      <c r="DG58" s="328">
        <f t="shared" si="650"/>
        <v>0.252993990097479</v>
      </c>
      <c r="DH58" s="162">
        <f t="shared" si="651"/>
        <v>207.162542455119</v>
      </c>
      <c r="DI58" s="293"/>
      <c r="DJ58" s="293"/>
      <c r="DK58" s="293"/>
      <c r="DL58" s="293"/>
      <c r="DM58" s="293"/>
      <c r="DN58" s="293"/>
      <c r="DO58" s="293"/>
      <c r="DP58" s="293"/>
      <c r="DQ58" s="293"/>
      <c r="DR58" s="293"/>
      <c r="DS58" s="293"/>
      <c r="DT58" s="293"/>
      <c r="DU58" s="293"/>
      <c r="DV58" s="293"/>
      <c r="DW58" s="293"/>
      <c r="DX58" s="293"/>
      <c r="DY58" s="293"/>
      <c r="DZ58" s="293"/>
      <c r="EA58" s="293"/>
      <c r="EB58" s="293"/>
      <c r="EC58" s="293"/>
      <c r="ED58" s="53"/>
      <c r="EE58" s="329" t="s">
        <v>140</v>
      </c>
      <c r="EF58" s="329">
        <f t="shared" si="652"/>
        <v>1</v>
      </c>
      <c r="EG58" s="329">
        <f t="shared" si="653"/>
        <v>1</v>
      </c>
      <c r="EH58" s="329">
        <f t="shared" si="630"/>
        <v>92</v>
      </c>
      <c r="EI58" s="330">
        <f t="shared" ref="EI58:EL58" si="694">EK11</f>
        <v>2546</v>
      </c>
      <c r="EJ58" s="330">
        <f t="shared" si="694"/>
        <v>411337</v>
      </c>
      <c r="EK58" s="330">
        <f t="shared" si="694"/>
        <v>586658</v>
      </c>
      <c r="EL58" s="330">
        <f t="shared" si="694"/>
        <v>377740</v>
      </c>
      <c r="EM58" s="331">
        <f t="shared" si="655"/>
        <v>208918</v>
      </c>
      <c r="EN58" s="332">
        <f t="shared" si="656"/>
        <v>0.35611548806971</v>
      </c>
      <c r="EO58" s="333">
        <f t="shared" si="657"/>
        <v>230.423409269442</v>
      </c>
      <c r="EP58" s="53"/>
      <c r="EQ58" s="53"/>
      <c r="ER58" s="192"/>
      <c r="ES58" s="192"/>
      <c r="ET58" s="192"/>
      <c r="EU58" s="192"/>
      <c r="EV58" s="192"/>
      <c r="EW58" s="192"/>
      <c r="EX58" s="192"/>
      <c r="EY58" s="192"/>
      <c r="EZ58" s="192"/>
      <c r="FA58" s="192"/>
      <c r="FB58" s="192"/>
      <c r="FC58" s="192"/>
      <c r="FD58" s="192"/>
      <c r="FE58" s="192"/>
      <c r="FF58" s="192"/>
      <c r="FG58" s="192"/>
      <c r="FH58" s="192"/>
      <c r="FI58" s="192"/>
      <c r="FJ58" s="192"/>
      <c r="FK58" s="53"/>
      <c r="FL58" s="53"/>
      <c r="FM58" s="53"/>
      <c r="FN58" s="329" t="s">
        <v>140</v>
      </c>
      <c r="FO58" s="329">
        <f t="shared" si="658"/>
        <v>1</v>
      </c>
      <c r="FP58" s="329">
        <f t="shared" si="659"/>
        <v>1</v>
      </c>
      <c r="FQ58" s="329">
        <f t="shared" si="631"/>
        <v>66</v>
      </c>
      <c r="FR58" s="330">
        <f t="shared" ref="FR58:FU58" si="695">FT11</f>
        <v>1950</v>
      </c>
      <c r="FS58" s="330">
        <f t="shared" si="695"/>
        <v>284359</v>
      </c>
      <c r="FT58" s="330">
        <f t="shared" si="695"/>
        <v>405955</v>
      </c>
      <c r="FU58" s="330">
        <f t="shared" si="695"/>
        <v>193969</v>
      </c>
      <c r="FV58" s="331">
        <f t="shared" si="661"/>
        <v>211986</v>
      </c>
      <c r="FW58" s="332">
        <f t="shared" si="662"/>
        <v>0.522190883225973</v>
      </c>
      <c r="FX58" s="333">
        <f t="shared" si="663"/>
        <v>208.182051282051</v>
      </c>
      <c r="FY58" s="53"/>
      <c r="FZ58" s="192"/>
      <c r="GA58" s="192"/>
      <c r="GB58" s="192"/>
      <c r="GC58" s="192"/>
      <c r="GD58" s="192"/>
      <c r="GE58" s="192"/>
      <c r="GF58" s="192"/>
      <c r="GG58" s="192"/>
      <c r="GH58" s="192"/>
      <c r="GI58" s="192"/>
      <c r="GJ58" s="192"/>
      <c r="GK58" s="192"/>
      <c r="GL58" s="192"/>
      <c r="GM58" s="192"/>
      <c r="GN58" s="192"/>
      <c r="GO58" s="192"/>
      <c r="GP58" s="192"/>
      <c r="GQ58" s="192"/>
      <c r="GR58" s="192"/>
      <c r="GS58" s="192"/>
      <c r="GT58" s="53"/>
      <c r="GU58" s="53"/>
      <c r="GV58" s="329" t="s">
        <v>140</v>
      </c>
      <c r="GW58" s="329">
        <f t="shared" si="664"/>
        <v>1</v>
      </c>
      <c r="GX58" s="329">
        <f t="shared" si="665"/>
        <v>1</v>
      </c>
      <c r="GY58" s="329">
        <f t="shared" si="632"/>
        <v>62</v>
      </c>
      <c r="GZ58" s="330">
        <f t="shared" ref="GZ58:HC58" si="696">HB11</f>
        <v>1526</v>
      </c>
      <c r="HA58" s="330">
        <f t="shared" si="696"/>
        <v>238604</v>
      </c>
      <c r="HB58" s="330">
        <f t="shared" si="696"/>
        <v>341712</v>
      </c>
      <c r="HC58" s="330">
        <f t="shared" si="696"/>
        <v>249618</v>
      </c>
      <c r="HD58" s="331">
        <f t="shared" si="667"/>
        <v>92094</v>
      </c>
      <c r="HE58" s="332">
        <f t="shared" si="668"/>
        <v>0.269507655569602</v>
      </c>
      <c r="HF58" s="333">
        <f t="shared" si="669"/>
        <v>223.926605504587</v>
      </c>
      <c r="HI58" s="192"/>
      <c r="HJ58" s="192"/>
      <c r="HK58" s="192"/>
      <c r="HL58" s="192"/>
      <c r="HM58" s="192"/>
      <c r="HN58" s="192"/>
      <c r="HO58" s="192"/>
      <c r="HP58" s="192"/>
      <c r="HQ58" s="192"/>
      <c r="HR58" s="192"/>
      <c r="HS58" s="192"/>
      <c r="HT58" s="192"/>
      <c r="HU58" s="192"/>
      <c r="HV58" s="192"/>
      <c r="HW58" s="192"/>
      <c r="HX58" s="192"/>
      <c r="HY58" s="192"/>
      <c r="HZ58" s="192"/>
      <c r="IA58" s="192"/>
      <c r="IB58" s="53"/>
      <c r="IC58" s="53"/>
      <c r="ID58" s="329" t="s">
        <v>140</v>
      </c>
      <c r="IE58" s="329">
        <f t="shared" si="670"/>
        <v>2</v>
      </c>
      <c r="IF58" s="329">
        <v>0</v>
      </c>
      <c r="IG58" s="329">
        <f t="shared" si="541"/>
        <v>44</v>
      </c>
      <c r="IH58" s="330">
        <f t="shared" ref="IH58:IK58" si="697">IJ11</f>
        <v>2393</v>
      </c>
      <c r="II58" s="330">
        <f t="shared" si="697"/>
        <v>361538</v>
      </c>
      <c r="IJ58" s="330">
        <f t="shared" si="697"/>
        <v>512935</v>
      </c>
      <c r="IK58" s="330">
        <f t="shared" si="697"/>
        <v>306657</v>
      </c>
      <c r="IL58" s="331">
        <f t="shared" si="672"/>
        <v>206278</v>
      </c>
      <c r="IM58" s="332">
        <f t="shared" si="673"/>
        <v>0.402152319494673</v>
      </c>
      <c r="IN58" s="333">
        <f t="shared" si="674"/>
        <v>214.348098620978</v>
      </c>
      <c r="IP58" s="11"/>
      <c r="IQ58" s="192"/>
      <c r="IR58" s="192"/>
      <c r="IS58" s="192"/>
      <c r="IT58" s="192"/>
      <c r="IU58" s="192"/>
      <c r="IV58" s="192"/>
      <c r="IW58" s="192"/>
      <c r="IX58" s="192"/>
      <c r="IY58" s="192"/>
      <c r="IZ58" s="192"/>
      <c r="JA58" s="192"/>
      <c r="JB58" s="192"/>
      <c r="JC58" s="192"/>
      <c r="JD58" s="192"/>
      <c r="JE58" s="192"/>
      <c r="JF58" s="192"/>
      <c r="JG58" s="192"/>
      <c r="JH58" s="192"/>
      <c r="JI58" s="192"/>
      <c r="JJ58" s="53"/>
      <c r="JK58" s="53"/>
      <c r="JL58" s="329" t="s">
        <v>140</v>
      </c>
      <c r="JM58" s="329">
        <f t="shared" si="675"/>
        <v>3</v>
      </c>
      <c r="JN58" s="329">
        <f t="shared" si="547"/>
        <v>44</v>
      </c>
      <c r="JO58" s="329">
        <f t="shared" ref="JO58:JR58" si="698">JR11</f>
        <v>2317</v>
      </c>
      <c r="JP58" s="330">
        <f t="shared" si="698"/>
        <v>388495</v>
      </c>
      <c r="JQ58" s="330">
        <f t="shared" si="698"/>
        <v>606875</v>
      </c>
      <c r="JR58" s="330">
        <f t="shared" si="698"/>
        <v>336456</v>
      </c>
      <c r="JS58" s="330">
        <f t="shared" si="677"/>
        <v>270419</v>
      </c>
      <c r="JT58" s="334">
        <f t="shared" si="678"/>
        <v>0.445592584963955</v>
      </c>
      <c r="JU58" s="335">
        <f t="shared" si="679"/>
        <v>261.922744928787</v>
      </c>
      <c r="JX58" s="192"/>
      <c r="JY58" s="192"/>
      <c r="JZ58" s="192"/>
      <c r="KA58" s="192"/>
      <c r="KB58" s="192"/>
      <c r="KC58" s="192"/>
      <c r="KD58" s="192"/>
      <c r="KE58" s="192"/>
      <c r="KF58" s="192"/>
      <c r="KG58" s="192"/>
      <c r="KH58" s="192"/>
      <c r="KI58" s="192"/>
      <c r="KJ58" s="192"/>
      <c r="KK58" s="192"/>
      <c r="KL58" s="192"/>
      <c r="KM58" s="192"/>
      <c r="KN58" s="192"/>
      <c r="KO58" s="192"/>
      <c r="KP58" s="192"/>
      <c r="KQ58" s="192"/>
      <c r="KR58" s="53"/>
      <c r="KS58" s="53"/>
      <c r="KT58" s="329" t="s">
        <v>140</v>
      </c>
      <c r="KU58" s="329">
        <v>3</v>
      </c>
      <c r="KV58" s="329">
        <v>92</v>
      </c>
      <c r="KW58" s="329">
        <v>5312</v>
      </c>
      <c r="KX58" s="330">
        <v>846736</v>
      </c>
      <c r="KY58" s="330">
        <v>1284876</v>
      </c>
      <c r="KZ58" s="330">
        <v>726381</v>
      </c>
      <c r="LA58" s="330">
        <v>558495</v>
      </c>
      <c r="LB58" s="334">
        <v>0.434668403799277</v>
      </c>
      <c r="LC58" s="335">
        <v>241.881777108434</v>
      </c>
      <c r="LF58" s="11"/>
      <c r="LG58" s="192"/>
      <c r="LH58" s="192"/>
      <c r="LI58" s="192"/>
      <c r="LJ58" s="192"/>
      <c r="LK58" s="192"/>
      <c r="LL58" s="192"/>
      <c r="LM58" s="192"/>
      <c r="LN58" s="192"/>
      <c r="LO58" s="192"/>
      <c r="LP58" s="192"/>
      <c r="LQ58" s="192"/>
      <c r="LR58" s="192"/>
      <c r="LS58" s="192"/>
      <c r="LT58" s="192"/>
      <c r="LU58" s="192"/>
      <c r="LV58" s="192"/>
      <c r="LW58" s="192"/>
      <c r="LX58" s="192"/>
      <c r="LY58" s="192"/>
      <c r="LZ58" s="192"/>
      <c r="MA58" s="192"/>
      <c r="MB58" s="329" t="s">
        <v>140</v>
      </c>
      <c r="MC58" s="329">
        <f t="shared" si="680"/>
        <v>3</v>
      </c>
      <c r="MD58" s="329">
        <f t="shared" si="553"/>
        <v>102</v>
      </c>
      <c r="ME58" s="329">
        <f t="shared" ref="ME58:MH58" si="699">MH11</f>
        <v>6336</v>
      </c>
      <c r="MF58" s="330">
        <f t="shared" si="699"/>
        <v>939556</v>
      </c>
      <c r="MG58" s="330">
        <f t="shared" si="699"/>
        <v>1465643</v>
      </c>
      <c r="MH58" s="330">
        <f t="shared" si="699"/>
        <v>1076080</v>
      </c>
      <c r="MI58" s="330">
        <f t="shared" si="682"/>
        <v>389563</v>
      </c>
      <c r="MJ58" s="334">
        <f t="shared" si="683"/>
        <v>0.26579665034391</v>
      </c>
      <c r="MK58" s="335">
        <f t="shared" si="684"/>
        <v>231.319917929293</v>
      </c>
      <c r="MO58" s="192"/>
      <c r="MP58" s="192"/>
      <c r="MQ58" s="192"/>
      <c r="MR58" s="192"/>
      <c r="MS58" s="192"/>
      <c r="MT58" s="192"/>
      <c r="MU58" s="192"/>
      <c r="MV58" s="192"/>
      <c r="MW58" s="192"/>
      <c r="MX58" s="192"/>
      <c r="MY58" s="192"/>
      <c r="MZ58" s="192"/>
      <c r="NA58" s="192"/>
      <c r="NB58" s="192"/>
      <c r="NC58" s="192"/>
      <c r="ND58" s="192"/>
      <c r="NE58" s="192"/>
      <c r="NF58" s="192"/>
      <c r="NG58" s="192"/>
      <c r="NH58" s="53"/>
      <c r="NI58" s="53"/>
      <c r="NJ58" s="329" t="s">
        <v>140</v>
      </c>
      <c r="NK58" s="329">
        <f t="shared" si="685"/>
        <v>3</v>
      </c>
      <c r="NL58" s="329">
        <f t="shared" si="559"/>
        <v>90</v>
      </c>
      <c r="NM58" s="329">
        <f t="shared" si="686"/>
        <v>7798</v>
      </c>
      <c r="NN58" s="330">
        <f t="shared" si="687"/>
        <v>1361848</v>
      </c>
      <c r="NO58" s="330">
        <f t="shared" si="633"/>
        <v>1704619</v>
      </c>
      <c r="NP58" s="330">
        <f t="shared" si="634"/>
        <v>1166683</v>
      </c>
      <c r="NQ58" s="330">
        <f t="shared" si="688"/>
        <v>537936</v>
      </c>
      <c r="NR58" s="334">
        <f t="shared" si="562"/>
        <v>0.315575503968922</v>
      </c>
      <c r="NS58" s="335">
        <f t="shared" si="563"/>
        <v>218.596947935368</v>
      </c>
      <c r="NT58" s="46"/>
      <c r="NU58" s="46"/>
      <c r="NV58" s="46"/>
      <c r="NW58" s="53"/>
      <c r="NX58" s="53"/>
      <c r="NY58" s="53"/>
      <c r="NZ58" s="53"/>
      <c r="OA58" s="53"/>
      <c r="OB58" s="53"/>
      <c r="OC58" s="53"/>
      <c r="OD58" s="53"/>
      <c r="OE58" s="53"/>
      <c r="OF58" s="53"/>
      <c r="OG58" s="53"/>
      <c r="OH58" s="53"/>
      <c r="OI58" s="53"/>
      <c r="OJ58" s="53"/>
      <c r="OK58" s="53"/>
      <c r="OL58" s="53"/>
      <c r="OM58" s="53"/>
      <c r="ON58" s="53"/>
      <c r="OO58" s="53"/>
      <c r="OP58" s="53"/>
      <c r="OQ58" s="53"/>
      <c r="OR58" s="53"/>
      <c r="OS58" s="336" t="s">
        <v>140</v>
      </c>
      <c r="OT58" s="336">
        <f t="shared" si="564"/>
        <v>3</v>
      </c>
      <c r="OU58" s="336">
        <f t="shared" si="565"/>
        <v>103</v>
      </c>
      <c r="OV58" s="172">
        <f t="shared" ref="OV58:OY58" si="700">OW11</f>
        <v>10454</v>
      </c>
      <c r="OW58" s="172">
        <f t="shared" si="700"/>
        <v>1411461</v>
      </c>
      <c r="OX58" s="172">
        <f t="shared" si="700"/>
        <v>1994026</v>
      </c>
      <c r="OY58" s="172">
        <f t="shared" si="700"/>
        <v>1210322</v>
      </c>
      <c r="OZ58" s="171">
        <f t="shared" si="567"/>
        <v>783704</v>
      </c>
      <c r="PA58" s="337">
        <f t="shared" si="568"/>
        <v>0.393025968568113</v>
      </c>
      <c r="PB58" s="170">
        <f t="shared" si="569"/>
        <v>190.742873541228</v>
      </c>
      <c r="PC58" s="144"/>
      <c r="PD58" s="144"/>
      <c r="PE58" s="144"/>
      <c r="PF58" s="144"/>
      <c r="PG58" s="144"/>
      <c r="PH58" s="144"/>
      <c r="PI58" s="144"/>
      <c r="PJ58" s="144"/>
      <c r="PK58" s="144"/>
      <c r="PL58" s="144"/>
      <c r="PM58" s="144"/>
      <c r="PN58" s="144"/>
      <c r="PO58" s="144"/>
      <c r="PP58" s="144"/>
      <c r="PQ58" s="144"/>
      <c r="PR58" s="144"/>
      <c r="PS58" s="144"/>
      <c r="PT58" s="146"/>
      <c r="PU58" s="336" t="s">
        <v>140</v>
      </c>
      <c r="PV58" s="336">
        <f t="shared" si="570"/>
        <v>3</v>
      </c>
      <c r="PW58" s="336">
        <f t="shared" si="571"/>
        <v>160</v>
      </c>
      <c r="PX58" s="172">
        <f t="shared" ref="PX58:QA58" si="701">PY11</f>
        <v>10387</v>
      </c>
      <c r="PY58" s="172">
        <f t="shared" si="701"/>
        <v>1499005</v>
      </c>
      <c r="PZ58" s="172">
        <f t="shared" si="701"/>
        <v>2100241</v>
      </c>
      <c r="QA58" s="172">
        <f t="shared" si="701"/>
        <v>1435241</v>
      </c>
      <c r="QB58" s="171">
        <f t="shared" si="691"/>
        <v>665000</v>
      </c>
      <c r="QC58" s="337">
        <f t="shared" si="574"/>
        <v>0.31663032956694</v>
      </c>
      <c r="QD58" s="170">
        <f t="shared" si="575"/>
        <v>202.198998748436</v>
      </c>
      <c r="QE58" s="146"/>
      <c r="QF58" s="146"/>
      <c r="QG58" s="146"/>
      <c r="QH58" s="146"/>
      <c r="QI58" s="146"/>
      <c r="QJ58" s="146"/>
      <c r="QK58" s="146"/>
      <c r="QL58" s="146"/>
      <c r="QM58" s="146"/>
      <c r="QN58" s="146"/>
      <c r="QO58" s="146"/>
      <c r="QP58" s="146"/>
      <c r="QQ58" s="146"/>
      <c r="QR58" s="146"/>
      <c r="QS58" s="144"/>
      <c r="QT58" s="144"/>
      <c r="QU58" s="144"/>
      <c r="QV58" s="144"/>
      <c r="QW58" s="144"/>
      <c r="QX58" s="144"/>
      <c r="QY58" s="144"/>
      <c r="QZ58" s="144"/>
      <c r="RA58" s="144"/>
      <c r="RB58" s="144"/>
      <c r="RC58" s="144"/>
      <c r="RD58" s="144"/>
      <c r="RE58" s="144"/>
      <c r="RF58" s="144"/>
      <c r="RG58" s="144"/>
      <c r="RH58" s="144"/>
      <c r="RI58" s="144"/>
      <c r="RJ58" s="144"/>
      <c r="RK58" s="144"/>
      <c r="RL58" s="144"/>
      <c r="RM58" s="144"/>
      <c r="RN58" s="144"/>
      <c r="RO58" s="144"/>
      <c r="RP58" s="144"/>
      <c r="RQ58" s="144"/>
      <c r="RR58" s="144"/>
      <c r="RS58" s="144"/>
      <c r="RT58" s="144"/>
      <c r="RU58" s="144"/>
      <c r="RV58" s="144"/>
      <c r="RW58" s="144"/>
      <c r="RX58" s="144"/>
      <c r="RY58" s="144"/>
      <c r="RZ58" s="144"/>
      <c r="SA58" s="144"/>
      <c r="SB58" s="144"/>
      <c r="SC58" s="144"/>
      <c r="SD58" s="144"/>
      <c r="SE58" s="144"/>
      <c r="SF58" s="144"/>
      <c r="SG58" s="144"/>
      <c r="SH58" s="144"/>
      <c r="SI58" s="144"/>
      <c r="SJ58" s="144"/>
      <c r="SK58" s="144"/>
      <c r="SL58" s="144"/>
      <c r="SM58" s="84"/>
      <c r="SN58" s="84"/>
      <c r="SO58" s="154"/>
      <c r="SP58" s="154"/>
      <c r="SQ58" s="154"/>
      <c r="SR58" s="154"/>
      <c r="SS58" s="154"/>
      <c r="ST58" s="154"/>
      <c r="SU58" s="155"/>
      <c r="SV58" s="154"/>
      <c r="SW58" s="154"/>
      <c r="SX58" s="155"/>
      <c r="SY58" s="155"/>
      <c r="SZ58" s="155"/>
      <c r="TA58" s="155"/>
      <c r="TB58" s="155"/>
      <c r="TC58" s="155"/>
      <c r="TD58" s="155"/>
      <c r="TE58" s="156"/>
      <c r="TF58" s="144"/>
      <c r="TG58" s="84"/>
      <c r="TH58" s="144"/>
      <c r="TI58" s="144"/>
      <c r="TJ58" s="144"/>
      <c r="TK58" s="144"/>
      <c r="TL58" s="157"/>
      <c r="TM58" s="157"/>
      <c r="TN58" s="157"/>
      <c r="TO58" s="157"/>
      <c r="TP58" s="157"/>
      <c r="TQ58" s="157"/>
      <c r="TR58" s="157"/>
      <c r="TS58" s="157"/>
      <c r="TT58" s="157"/>
      <c r="TU58" s="158"/>
      <c r="TV58" s="157"/>
      <c r="TW58" s="158"/>
      <c r="TX58" s="144"/>
      <c r="TY58" s="144"/>
      <c r="TZ58" s="144"/>
      <c r="UA58" s="84"/>
      <c r="UB58" s="144"/>
      <c r="UC58" s="144"/>
      <c r="UD58" s="144"/>
      <c r="UE58" s="144"/>
      <c r="UF58" s="157"/>
      <c r="UG58" s="157"/>
      <c r="UH58" s="157"/>
      <c r="UI58" s="157"/>
      <c r="UJ58" s="157"/>
      <c r="UK58" s="157"/>
      <c r="UL58" s="157"/>
      <c r="UM58" s="157"/>
      <c r="UN58" s="157"/>
      <c r="UO58" s="157"/>
      <c r="UP58" s="157"/>
      <c r="UQ58" s="158"/>
      <c r="UR58" s="157"/>
      <c r="US58" s="158"/>
      <c r="UT58" s="144"/>
      <c r="UU58" s="144"/>
      <c r="UV58" s="144"/>
      <c r="UW58" s="144"/>
      <c r="UX58" s="144"/>
      <c r="UY58" s="144"/>
      <c r="UZ58" s="144"/>
      <c r="VA58" s="144"/>
      <c r="VB58" s="157"/>
      <c r="VC58" s="157"/>
      <c r="VD58" s="157"/>
      <c r="VE58" s="157"/>
      <c r="VF58" s="157"/>
      <c r="VG58" s="157"/>
      <c r="VH58" s="157"/>
      <c r="VI58" s="157"/>
      <c r="VJ58" s="157"/>
      <c r="VK58" s="157"/>
      <c r="VL58" s="157"/>
      <c r="VM58" s="157"/>
      <c r="VN58" s="157"/>
      <c r="VO58" s="157"/>
      <c r="VP58" s="144"/>
      <c r="VQ58" s="144"/>
      <c r="VR58" s="84"/>
      <c r="VS58" s="84"/>
      <c r="VT58" s="53"/>
      <c r="VU58" s="53"/>
    </row>
    <row r="59" ht="15.75" hidden="1" spans="1:593">
      <c r="A59" s="53"/>
      <c r="B59" s="53"/>
      <c r="C59" s="327" t="s">
        <v>144</v>
      </c>
      <c r="D59" s="327"/>
      <c r="E59" s="327"/>
      <c r="F59" s="327"/>
      <c r="G59" s="161"/>
      <c r="H59" s="161"/>
      <c r="I59" s="161"/>
      <c r="J59" s="161"/>
      <c r="K59" s="179"/>
      <c r="L59" s="328"/>
      <c r="M59" s="162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93"/>
      <c r="AB59" s="293"/>
      <c r="AC59" s="293"/>
      <c r="AD59" s="293"/>
      <c r="AE59" s="293"/>
      <c r="AF59" s="293"/>
      <c r="AG59" s="293"/>
      <c r="AH59" s="293"/>
      <c r="AI59" s="53"/>
      <c r="AJ59" s="327" t="s">
        <v>144</v>
      </c>
      <c r="AK59" s="327"/>
      <c r="AL59" s="327"/>
      <c r="AM59" s="327">
        <f>AL12</f>
        <v>0</v>
      </c>
      <c r="AN59" s="161"/>
      <c r="AO59" s="161"/>
      <c r="AP59" s="161"/>
      <c r="AQ59" s="161"/>
      <c r="AR59" s="179"/>
      <c r="AS59" s="328"/>
      <c r="AT59" s="162"/>
      <c r="AU59" s="293"/>
      <c r="AV59" s="293"/>
      <c r="AW59" s="293"/>
      <c r="AX59" s="293"/>
      <c r="AY59" s="293"/>
      <c r="AZ59" s="293"/>
      <c r="BA59" s="293"/>
      <c r="BB59" s="293"/>
      <c r="BC59" s="293"/>
      <c r="BD59" s="293"/>
      <c r="BE59" s="293"/>
      <c r="BF59" s="293"/>
      <c r="BG59" s="293"/>
      <c r="BH59" s="293"/>
      <c r="BI59" s="293"/>
      <c r="BJ59" s="293"/>
      <c r="BK59" s="293"/>
      <c r="BL59" s="293"/>
      <c r="BM59" s="293"/>
      <c r="BN59" s="293"/>
      <c r="BO59" s="293"/>
      <c r="BP59" s="53"/>
      <c r="BQ59" s="327" t="s">
        <v>144</v>
      </c>
      <c r="BR59" s="327"/>
      <c r="BS59" s="327"/>
      <c r="BT59" s="327">
        <f t="shared" si="628"/>
        <v>0</v>
      </c>
      <c r="BU59" s="161"/>
      <c r="BV59" s="161"/>
      <c r="BW59" s="161"/>
      <c r="BX59" s="161"/>
      <c r="BY59" s="179"/>
      <c r="BZ59" s="328"/>
      <c r="CA59" s="162"/>
      <c r="CB59" s="293"/>
      <c r="CC59" s="293"/>
      <c r="CD59" s="293"/>
      <c r="CE59" s="293"/>
      <c r="CF59" s="293"/>
      <c r="CG59" s="293"/>
      <c r="CH59" s="293"/>
      <c r="CI59" s="293"/>
      <c r="CJ59" s="293"/>
      <c r="CK59" s="293"/>
      <c r="CL59" s="293"/>
      <c r="CM59" s="293"/>
      <c r="CN59" s="293"/>
      <c r="CO59" s="293"/>
      <c r="CP59" s="293"/>
      <c r="CQ59" s="293"/>
      <c r="CR59" s="293"/>
      <c r="CS59" s="293"/>
      <c r="CT59" s="293"/>
      <c r="CU59" s="293"/>
      <c r="CV59" s="293"/>
      <c r="CW59" s="53"/>
      <c r="CX59" s="327" t="s">
        <v>144</v>
      </c>
      <c r="CY59" s="327"/>
      <c r="CZ59" s="327"/>
      <c r="DA59" s="327">
        <f t="shared" si="629"/>
        <v>0</v>
      </c>
      <c r="DB59" s="161"/>
      <c r="DC59" s="161"/>
      <c r="DD59" s="161"/>
      <c r="DE59" s="161"/>
      <c r="DF59" s="179"/>
      <c r="DG59" s="328"/>
      <c r="DH59" s="162"/>
      <c r="DI59" s="293"/>
      <c r="DJ59" s="293"/>
      <c r="DK59" s="293"/>
      <c r="DL59" s="293"/>
      <c r="DM59" s="293"/>
      <c r="DN59" s="293"/>
      <c r="DO59" s="293"/>
      <c r="DP59" s="293"/>
      <c r="DQ59" s="293"/>
      <c r="DR59" s="293"/>
      <c r="DS59" s="293"/>
      <c r="DT59" s="293"/>
      <c r="DU59" s="293"/>
      <c r="DV59" s="293"/>
      <c r="DW59" s="293"/>
      <c r="DX59" s="293"/>
      <c r="DY59" s="293"/>
      <c r="DZ59" s="293"/>
      <c r="EA59" s="293"/>
      <c r="EB59" s="293"/>
      <c r="EC59" s="293"/>
      <c r="ED59" s="53"/>
      <c r="EE59" s="329" t="s">
        <v>144</v>
      </c>
      <c r="EF59" s="329"/>
      <c r="EG59" s="329"/>
      <c r="EH59" s="329">
        <f t="shared" si="630"/>
        <v>0</v>
      </c>
      <c r="EI59" s="330"/>
      <c r="EJ59" s="330"/>
      <c r="EK59" s="330"/>
      <c r="EL59" s="330"/>
      <c r="EM59" s="331"/>
      <c r="EN59" s="332"/>
      <c r="EO59" s="333"/>
      <c r="EP59" s="53"/>
      <c r="EQ59" s="53"/>
      <c r="ER59" s="192"/>
      <c r="ES59" s="192"/>
      <c r="ET59" s="192"/>
      <c r="EU59" s="192"/>
      <c r="EV59" s="192"/>
      <c r="EW59" s="192"/>
      <c r="EX59" s="192"/>
      <c r="EY59" s="192"/>
      <c r="EZ59" s="192"/>
      <c r="FA59" s="192"/>
      <c r="FB59" s="192"/>
      <c r="FC59" s="192"/>
      <c r="FD59" s="192"/>
      <c r="FE59" s="192"/>
      <c r="FF59" s="192"/>
      <c r="FG59" s="192"/>
      <c r="FH59" s="192"/>
      <c r="FI59" s="192"/>
      <c r="FJ59" s="192"/>
      <c r="FK59" s="53"/>
      <c r="FL59" s="53"/>
      <c r="FM59" s="53"/>
      <c r="FN59" s="329" t="s">
        <v>144</v>
      </c>
      <c r="FO59" s="329"/>
      <c r="FP59" s="329"/>
      <c r="FQ59" s="329">
        <f t="shared" si="631"/>
        <v>0</v>
      </c>
      <c r="FR59" s="330"/>
      <c r="FS59" s="330"/>
      <c r="FT59" s="330"/>
      <c r="FU59" s="330"/>
      <c r="FV59" s="331"/>
      <c r="FW59" s="332"/>
      <c r="FX59" s="333"/>
      <c r="FY59" s="53"/>
      <c r="FZ59" s="192"/>
      <c r="GA59" s="192"/>
      <c r="GB59" s="192"/>
      <c r="GC59" s="192"/>
      <c r="GD59" s="192"/>
      <c r="GE59" s="192"/>
      <c r="GF59" s="192"/>
      <c r="GG59" s="192"/>
      <c r="GH59" s="192"/>
      <c r="GI59" s="192"/>
      <c r="GJ59" s="192"/>
      <c r="GK59" s="192"/>
      <c r="GL59" s="192"/>
      <c r="GM59" s="192"/>
      <c r="GN59" s="192"/>
      <c r="GO59" s="192"/>
      <c r="GP59" s="192"/>
      <c r="GQ59" s="192"/>
      <c r="GR59" s="192"/>
      <c r="GS59" s="192"/>
      <c r="GT59" s="53"/>
      <c r="GU59" s="53"/>
      <c r="GV59" s="329" t="s">
        <v>144</v>
      </c>
      <c r="GW59" s="329"/>
      <c r="GX59" s="329"/>
      <c r="GY59" s="329">
        <f t="shared" si="632"/>
        <v>0</v>
      </c>
      <c r="GZ59" s="330"/>
      <c r="HA59" s="330"/>
      <c r="HB59" s="330"/>
      <c r="HC59" s="330"/>
      <c r="HD59" s="331"/>
      <c r="HE59" s="332"/>
      <c r="HF59" s="333"/>
      <c r="HI59" s="192"/>
      <c r="HJ59" s="192"/>
      <c r="HK59" s="192"/>
      <c r="HL59" s="192"/>
      <c r="HM59" s="192"/>
      <c r="HN59" s="192"/>
      <c r="HO59" s="192"/>
      <c r="HP59" s="192"/>
      <c r="HQ59" s="192"/>
      <c r="HR59" s="192"/>
      <c r="HS59" s="192"/>
      <c r="HT59" s="192"/>
      <c r="HU59" s="192"/>
      <c r="HV59" s="192"/>
      <c r="HW59" s="192"/>
      <c r="HX59" s="192"/>
      <c r="HY59" s="192"/>
      <c r="HZ59" s="192"/>
      <c r="IA59" s="192"/>
      <c r="IB59" s="53"/>
      <c r="IC59" s="53"/>
      <c r="ID59" s="329" t="s">
        <v>144</v>
      </c>
      <c r="IE59" s="329"/>
      <c r="IF59" s="329"/>
      <c r="IG59" s="329"/>
      <c r="IH59" s="330"/>
      <c r="II59" s="330"/>
      <c r="IJ59" s="330"/>
      <c r="IK59" s="330"/>
      <c r="IL59" s="331"/>
      <c r="IM59" s="332"/>
      <c r="IN59" s="333"/>
      <c r="IP59" s="11"/>
      <c r="IQ59" s="192"/>
      <c r="IR59" s="192"/>
      <c r="IS59" s="192"/>
      <c r="IT59" s="192"/>
      <c r="IU59" s="192"/>
      <c r="IV59" s="192"/>
      <c r="IW59" s="192"/>
      <c r="IX59" s="192"/>
      <c r="IY59" s="192"/>
      <c r="IZ59" s="192"/>
      <c r="JA59" s="192"/>
      <c r="JB59" s="192"/>
      <c r="JC59" s="192"/>
      <c r="JD59" s="192"/>
      <c r="JE59" s="192"/>
      <c r="JF59" s="192"/>
      <c r="JG59" s="192"/>
      <c r="JH59" s="192"/>
      <c r="JI59" s="192"/>
      <c r="JJ59" s="53"/>
      <c r="JK59" s="53"/>
      <c r="JL59" s="329" t="s">
        <v>144</v>
      </c>
      <c r="JM59" s="329"/>
      <c r="JN59" s="329">
        <f t="shared" si="547"/>
        <v>0</v>
      </c>
      <c r="JO59" s="329"/>
      <c r="JP59" s="330"/>
      <c r="JQ59" s="330"/>
      <c r="JR59" s="330"/>
      <c r="JS59" s="330"/>
      <c r="JT59" s="331"/>
      <c r="JU59" s="335"/>
      <c r="JX59" s="192"/>
      <c r="JY59" s="192"/>
      <c r="JZ59" s="192"/>
      <c r="KA59" s="192"/>
      <c r="KB59" s="192"/>
      <c r="KC59" s="192"/>
      <c r="KD59" s="192"/>
      <c r="KE59" s="192"/>
      <c r="KF59" s="192"/>
      <c r="KG59" s="192"/>
      <c r="KH59" s="192"/>
      <c r="KI59" s="192"/>
      <c r="KJ59" s="192"/>
      <c r="KK59" s="192"/>
      <c r="KL59" s="192"/>
      <c r="KM59" s="192"/>
      <c r="KN59" s="192"/>
      <c r="KO59" s="192"/>
      <c r="KP59" s="192"/>
      <c r="KQ59" s="192"/>
      <c r="KR59" s="53"/>
      <c r="KS59" s="53"/>
      <c r="KT59" s="329" t="s">
        <v>144</v>
      </c>
      <c r="KU59" s="329"/>
      <c r="KV59" s="329">
        <v>0</v>
      </c>
      <c r="KW59" s="329"/>
      <c r="KX59" s="330"/>
      <c r="KY59" s="330"/>
      <c r="KZ59" s="330"/>
      <c r="LA59" s="330"/>
      <c r="LB59" s="334"/>
      <c r="LC59" s="335"/>
      <c r="LF59" s="11"/>
      <c r="LG59" s="192"/>
      <c r="LH59" s="192"/>
      <c r="LI59" s="192"/>
      <c r="LJ59" s="192"/>
      <c r="LK59" s="192"/>
      <c r="LL59" s="192"/>
      <c r="LM59" s="192"/>
      <c r="LN59" s="192"/>
      <c r="LO59" s="192"/>
      <c r="LP59" s="192"/>
      <c r="LQ59" s="192"/>
      <c r="LR59" s="192"/>
      <c r="LS59" s="192"/>
      <c r="LT59" s="192"/>
      <c r="LU59" s="192"/>
      <c r="LV59" s="192"/>
      <c r="LW59" s="192"/>
      <c r="LX59" s="192"/>
      <c r="LY59" s="192"/>
      <c r="LZ59" s="192"/>
      <c r="MA59" s="192"/>
      <c r="MB59" s="329" t="s">
        <v>144</v>
      </c>
      <c r="MC59" s="329"/>
      <c r="MD59" s="329">
        <f t="shared" si="553"/>
        <v>0</v>
      </c>
      <c r="ME59" s="329"/>
      <c r="MF59" s="330"/>
      <c r="MG59" s="330"/>
      <c r="MH59" s="330"/>
      <c r="MI59" s="330"/>
      <c r="MJ59" s="334"/>
      <c r="MK59" s="335"/>
      <c r="MO59" s="192"/>
      <c r="MP59" s="192"/>
      <c r="MQ59" s="192"/>
      <c r="MR59" s="192"/>
      <c r="MS59" s="192"/>
      <c r="MT59" s="192"/>
      <c r="MU59" s="192"/>
      <c r="MV59" s="192"/>
      <c r="MW59" s="192"/>
      <c r="MX59" s="192"/>
      <c r="MY59" s="192"/>
      <c r="MZ59" s="192"/>
      <c r="NA59" s="192"/>
      <c r="NB59" s="192"/>
      <c r="NC59" s="192"/>
      <c r="ND59" s="192"/>
      <c r="NE59" s="192"/>
      <c r="NF59" s="192"/>
      <c r="NG59" s="192"/>
      <c r="NH59" s="53"/>
      <c r="NI59" s="53"/>
      <c r="NJ59" s="329" t="s">
        <v>144</v>
      </c>
      <c r="NK59" s="329"/>
      <c r="NL59" s="329">
        <f t="shared" si="559"/>
        <v>0</v>
      </c>
      <c r="NM59" s="329"/>
      <c r="NN59" s="330"/>
      <c r="NO59" s="330">
        <f t="shared" si="633"/>
        <v>0</v>
      </c>
      <c r="NP59" s="330">
        <f t="shared" si="634"/>
        <v>0</v>
      </c>
      <c r="NQ59" s="330"/>
      <c r="NR59" s="334" t="e">
        <f t="shared" si="562"/>
        <v>#DIV/0!</v>
      </c>
      <c r="NS59" s="335" t="e">
        <f t="shared" si="563"/>
        <v>#DIV/0!</v>
      </c>
      <c r="NT59" s="46"/>
      <c r="NU59" s="46"/>
      <c r="NV59" s="46"/>
      <c r="NW59" s="53"/>
      <c r="NX59" s="53"/>
      <c r="NY59" s="53"/>
      <c r="NZ59" s="53"/>
      <c r="OA59" s="53"/>
      <c r="OB59" s="53"/>
      <c r="OC59" s="53"/>
      <c r="OD59" s="53"/>
      <c r="OE59" s="53"/>
      <c r="OF59" s="53"/>
      <c r="OG59" s="53"/>
      <c r="OH59" s="53"/>
      <c r="OI59" s="53"/>
      <c r="OJ59" s="53"/>
      <c r="OK59" s="53"/>
      <c r="OL59" s="53"/>
      <c r="OM59" s="53"/>
      <c r="ON59" s="53"/>
      <c r="OO59" s="53"/>
      <c r="OP59" s="53"/>
      <c r="OQ59" s="53"/>
      <c r="OR59" s="53"/>
      <c r="OS59" s="336" t="s">
        <v>144</v>
      </c>
      <c r="OT59" s="336">
        <f t="shared" si="564"/>
        <v>0</v>
      </c>
      <c r="OU59" s="336">
        <f t="shared" si="565"/>
        <v>0</v>
      </c>
      <c r="OV59" s="172">
        <f t="shared" ref="OV59:OY59" si="702">OW12</f>
        <v>0</v>
      </c>
      <c r="OW59" s="172">
        <f t="shared" si="702"/>
        <v>0</v>
      </c>
      <c r="OX59" s="172">
        <f t="shared" si="702"/>
        <v>0</v>
      </c>
      <c r="OY59" s="172">
        <f t="shared" si="702"/>
        <v>0</v>
      </c>
      <c r="OZ59" s="171">
        <f t="shared" si="567"/>
        <v>0</v>
      </c>
      <c r="PA59" s="337" t="e">
        <f t="shared" si="568"/>
        <v>#DIV/0!</v>
      </c>
      <c r="PB59" s="170" t="e">
        <f t="shared" si="569"/>
        <v>#DIV/0!</v>
      </c>
      <c r="PC59" s="144"/>
      <c r="PD59" s="144"/>
      <c r="PE59" s="144"/>
      <c r="PF59" s="144"/>
      <c r="PG59" s="144"/>
      <c r="PH59" s="144"/>
      <c r="PI59" s="144"/>
      <c r="PJ59" s="144"/>
      <c r="PK59" s="144"/>
      <c r="PL59" s="144"/>
      <c r="PM59" s="144"/>
      <c r="PN59" s="144"/>
      <c r="PO59" s="144"/>
      <c r="PP59" s="144"/>
      <c r="PQ59" s="144"/>
      <c r="PR59" s="144"/>
      <c r="PS59" s="144"/>
      <c r="PT59" s="146"/>
      <c r="PU59" s="336" t="s">
        <v>144</v>
      </c>
      <c r="PV59" s="336">
        <f t="shared" si="570"/>
        <v>0</v>
      </c>
      <c r="PW59" s="336">
        <f t="shared" si="571"/>
        <v>0</v>
      </c>
      <c r="PX59" s="172">
        <f t="shared" ref="PX59:QA59" si="703">PY12</f>
        <v>0</v>
      </c>
      <c r="PY59" s="172">
        <f t="shared" si="703"/>
        <v>0</v>
      </c>
      <c r="PZ59" s="172">
        <f t="shared" si="703"/>
        <v>0</v>
      </c>
      <c r="QA59" s="172">
        <f t="shared" si="703"/>
        <v>0</v>
      </c>
      <c r="QB59" s="171"/>
      <c r="QC59" s="337" t="e">
        <f t="shared" si="574"/>
        <v>#DIV/0!</v>
      </c>
      <c r="QD59" s="170" t="e">
        <f t="shared" si="575"/>
        <v>#DIV/0!</v>
      </c>
      <c r="QE59" s="146"/>
      <c r="QF59" s="146"/>
      <c r="QG59" s="146"/>
      <c r="QH59" s="146"/>
      <c r="QI59" s="146"/>
      <c r="QJ59" s="146"/>
      <c r="QK59" s="146"/>
      <c r="QL59" s="146"/>
      <c r="QM59" s="146"/>
      <c r="QN59" s="146"/>
      <c r="QO59" s="146"/>
      <c r="QP59" s="146"/>
      <c r="QQ59" s="146"/>
      <c r="QR59" s="146"/>
      <c r="QS59" s="144"/>
      <c r="QT59" s="144"/>
      <c r="QU59" s="144"/>
      <c r="QV59" s="144"/>
      <c r="QW59" s="144"/>
      <c r="QX59" s="144"/>
      <c r="QY59" s="144"/>
      <c r="QZ59" s="144"/>
      <c r="RA59" s="144"/>
      <c r="RB59" s="144"/>
      <c r="RC59" s="144"/>
      <c r="RD59" s="144"/>
      <c r="RE59" s="144"/>
      <c r="RF59" s="144"/>
      <c r="RG59" s="144"/>
      <c r="RH59" s="144"/>
      <c r="RI59" s="144"/>
      <c r="RJ59" s="144"/>
      <c r="RK59" s="144"/>
      <c r="RL59" s="144"/>
      <c r="RM59" s="144"/>
      <c r="RN59" s="144"/>
      <c r="RO59" s="144"/>
      <c r="RP59" s="144"/>
      <c r="RQ59" s="144"/>
      <c r="RR59" s="144"/>
      <c r="RS59" s="144"/>
      <c r="RT59" s="144"/>
      <c r="RU59" s="144"/>
      <c r="RV59" s="144"/>
      <c r="RW59" s="144"/>
      <c r="RX59" s="144"/>
      <c r="RY59" s="144"/>
      <c r="RZ59" s="144"/>
      <c r="SA59" s="144"/>
      <c r="SB59" s="144"/>
      <c r="SC59" s="144"/>
      <c r="SD59" s="144"/>
      <c r="SE59" s="144"/>
      <c r="SF59" s="144"/>
      <c r="SG59" s="144"/>
      <c r="SH59" s="144"/>
      <c r="SI59" s="144"/>
      <c r="SJ59" s="144"/>
      <c r="SK59" s="144"/>
      <c r="SL59" s="144"/>
      <c r="SM59" s="84"/>
      <c r="SN59" s="84"/>
      <c r="SO59" s="154"/>
      <c r="SP59" s="154"/>
      <c r="SQ59" s="154"/>
      <c r="SR59" s="154"/>
      <c r="SS59" s="154"/>
      <c r="ST59" s="154"/>
      <c r="SU59" s="155"/>
      <c r="SV59" s="154"/>
      <c r="SW59" s="154"/>
      <c r="SX59" s="155"/>
      <c r="SY59" s="155"/>
      <c r="SZ59" s="155"/>
      <c r="TA59" s="155"/>
      <c r="TB59" s="155"/>
      <c r="TC59" s="155"/>
      <c r="TD59" s="155"/>
      <c r="TE59" s="156"/>
      <c r="TF59" s="144"/>
      <c r="TG59" s="84"/>
      <c r="TH59" s="144"/>
      <c r="TI59" s="144"/>
      <c r="TJ59" s="144"/>
      <c r="TK59" s="144"/>
      <c r="TL59" s="157"/>
      <c r="TM59" s="157"/>
      <c r="TN59" s="157"/>
      <c r="TO59" s="157"/>
      <c r="TP59" s="157"/>
      <c r="TQ59" s="157"/>
      <c r="TR59" s="157"/>
      <c r="TS59" s="157"/>
      <c r="TT59" s="157"/>
      <c r="TU59" s="158"/>
      <c r="TV59" s="157"/>
      <c r="TW59" s="158"/>
      <c r="TX59" s="144"/>
      <c r="TY59" s="144"/>
      <c r="TZ59" s="144"/>
      <c r="UA59" s="84"/>
      <c r="UB59" s="144"/>
      <c r="UC59" s="144"/>
      <c r="UD59" s="144"/>
      <c r="UE59" s="144"/>
      <c r="UF59" s="157"/>
      <c r="UG59" s="157"/>
      <c r="UH59" s="157"/>
      <c r="UI59" s="157"/>
      <c r="UJ59" s="157"/>
      <c r="UK59" s="157"/>
      <c r="UL59" s="157"/>
      <c r="UM59" s="157"/>
      <c r="UN59" s="157"/>
      <c r="UO59" s="157"/>
      <c r="UP59" s="157"/>
      <c r="UQ59" s="158"/>
      <c r="UR59" s="157"/>
      <c r="US59" s="158"/>
      <c r="UT59" s="144"/>
      <c r="UU59" s="144"/>
      <c r="UV59" s="144"/>
      <c r="UW59" s="144"/>
      <c r="UX59" s="144"/>
      <c r="UY59" s="144"/>
      <c r="UZ59" s="144"/>
      <c r="VA59" s="144"/>
      <c r="VB59" s="157"/>
      <c r="VC59" s="157"/>
      <c r="VD59" s="157"/>
      <c r="VE59" s="157"/>
      <c r="VF59" s="157"/>
      <c r="VG59" s="157"/>
      <c r="VH59" s="157"/>
      <c r="VI59" s="157"/>
      <c r="VJ59" s="157"/>
      <c r="VK59" s="157"/>
      <c r="VL59" s="157"/>
      <c r="VM59" s="157"/>
      <c r="VN59" s="157"/>
      <c r="VO59" s="157"/>
      <c r="VP59" s="144"/>
      <c r="VQ59" s="144"/>
      <c r="VR59" s="84"/>
      <c r="VS59" s="84"/>
      <c r="VT59" s="53"/>
      <c r="VU59" s="53"/>
    </row>
    <row r="60" ht="15.75" hidden="1" spans="1:593">
      <c r="A60" s="53"/>
      <c r="B60" s="53"/>
      <c r="C60" s="327" t="s">
        <v>147</v>
      </c>
      <c r="D60" s="327"/>
      <c r="E60" s="327"/>
      <c r="F60" s="327"/>
      <c r="G60" s="161"/>
      <c r="H60" s="161"/>
      <c r="I60" s="161"/>
      <c r="J60" s="161"/>
      <c r="K60" s="179"/>
      <c r="L60" s="328"/>
      <c r="M60" s="162"/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93"/>
      <c r="AB60" s="293"/>
      <c r="AC60" s="293"/>
      <c r="AD60" s="293"/>
      <c r="AE60" s="293"/>
      <c r="AF60" s="293"/>
      <c r="AG60" s="293"/>
      <c r="AH60" s="293"/>
      <c r="AI60" s="53"/>
      <c r="AJ60" s="327" t="s">
        <v>147</v>
      </c>
      <c r="AK60" s="327"/>
      <c r="AL60" s="327"/>
      <c r="AM60" s="327"/>
      <c r="AN60" s="161"/>
      <c r="AO60" s="161"/>
      <c r="AP60" s="161"/>
      <c r="AQ60" s="161"/>
      <c r="AR60" s="179"/>
      <c r="AS60" s="328"/>
      <c r="AT60" s="162"/>
      <c r="AU60" s="293"/>
      <c r="AV60" s="293"/>
      <c r="AW60" s="293"/>
      <c r="AX60" s="293"/>
      <c r="AY60" s="293"/>
      <c r="AZ60" s="293"/>
      <c r="BA60" s="293"/>
      <c r="BB60" s="293"/>
      <c r="BC60" s="293"/>
      <c r="BD60" s="293"/>
      <c r="BE60" s="293"/>
      <c r="BF60" s="293"/>
      <c r="BG60" s="293"/>
      <c r="BH60" s="293"/>
      <c r="BI60" s="293"/>
      <c r="BJ60" s="293"/>
      <c r="BK60" s="293"/>
      <c r="BL60" s="293"/>
      <c r="BM60" s="293"/>
      <c r="BN60" s="293"/>
      <c r="BO60" s="293"/>
      <c r="BP60" s="53"/>
      <c r="BQ60" s="327" t="s">
        <v>147</v>
      </c>
      <c r="BR60" s="327" t="str">
        <f>BQ13</f>
        <v>PH16</v>
      </c>
      <c r="BS60" s="327">
        <f>BR13</f>
        <v>1</v>
      </c>
      <c r="BT60" s="327">
        <f t="shared" si="628"/>
        <v>2</v>
      </c>
      <c r="BU60" s="161">
        <f t="shared" ref="BU60:BX60" si="704">BW13</f>
        <v>1834</v>
      </c>
      <c r="BV60" s="161">
        <f t="shared" si="704"/>
        <v>270293</v>
      </c>
      <c r="BW60" s="161">
        <f t="shared" si="704"/>
        <v>369409</v>
      </c>
      <c r="BX60" s="161">
        <f t="shared" si="704"/>
        <v>259756.76</v>
      </c>
      <c r="BY60" s="179">
        <f t="shared" si="643"/>
        <v>109652.24</v>
      </c>
      <c r="BZ60" s="328">
        <f t="shared" si="644"/>
        <v>0.296831533611796</v>
      </c>
      <c r="CA60" s="162">
        <f t="shared" si="645"/>
        <v>201.422573609596</v>
      </c>
      <c r="CB60" s="293"/>
      <c r="CC60" s="293"/>
      <c r="CD60" s="293"/>
      <c r="CE60" s="293"/>
      <c r="CF60" s="293"/>
      <c r="CG60" s="293"/>
      <c r="CH60" s="293"/>
      <c r="CI60" s="293"/>
      <c r="CJ60" s="293"/>
      <c r="CK60" s="293"/>
      <c r="CL60" s="293"/>
      <c r="CM60" s="293"/>
      <c r="CN60" s="293"/>
      <c r="CO60" s="293"/>
      <c r="CP60" s="293"/>
      <c r="CQ60" s="293"/>
      <c r="CR60" s="293"/>
      <c r="CS60" s="293"/>
      <c r="CT60" s="293"/>
      <c r="CU60" s="293"/>
      <c r="CV60" s="293"/>
      <c r="CW60" s="53"/>
      <c r="CX60" s="327" t="s">
        <v>147</v>
      </c>
      <c r="CY60" s="327" t="str">
        <f t="shared" si="646"/>
        <v>PH16</v>
      </c>
      <c r="CZ60" s="327">
        <f t="shared" si="647"/>
        <v>1</v>
      </c>
      <c r="DA60" s="327">
        <f t="shared" si="629"/>
        <v>2</v>
      </c>
      <c r="DB60" s="161">
        <f t="shared" ref="DB60:DE60" si="705">DD13</f>
        <v>1939</v>
      </c>
      <c r="DC60" s="161">
        <f t="shared" si="705"/>
        <v>292996</v>
      </c>
      <c r="DD60" s="161">
        <f t="shared" si="705"/>
        <v>415328</v>
      </c>
      <c r="DE60" s="161">
        <f t="shared" si="705"/>
        <v>332388.61</v>
      </c>
      <c r="DF60" s="179">
        <f t="shared" si="649"/>
        <v>82939.39</v>
      </c>
      <c r="DG60" s="328">
        <f t="shared" si="650"/>
        <v>0.199696119693351</v>
      </c>
      <c r="DH60" s="162">
        <f t="shared" si="651"/>
        <v>214.197008767406</v>
      </c>
      <c r="DI60" s="293"/>
      <c r="DJ60" s="293"/>
      <c r="DK60" s="293"/>
      <c r="DL60" s="293"/>
      <c r="DM60" s="293"/>
      <c r="DN60" s="293"/>
      <c r="DO60" s="293"/>
      <c r="DP60" s="293"/>
      <c r="DQ60" s="293"/>
      <c r="DR60" s="293"/>
      <c r="DS60" s="293"/>
      <c r="DT60" s="293"/>
      <c r="DU60" s="293"/>
      <c r="DV60" s="293"/>
      <c r="DW60" s="293"/>
      <c r="DX60" s="293"/>
      <c r="DY60" s="293"/>
      <c r="DZ60" s="293"/>
      <c r="EA60" s="293"/>
      <c r="EB60" s="293"/>
      <c r="EC60" s="293"/>
      <c r="ED60" s="53"/>
      <c r="EE60" s="329" t="s">
        <v>147</v>
      </c>
      <c r="EF60" s="329">
        <f t="shared" si="652"/>
        <v>1</v>
      </c>
      <c r="EG60" s="329">
        <f t="shared" si="653"/>
        <v>2</v>
      </c>
      <c r="EH60" s="329">
        <f t="shared" si="630"/>
        <v>25</v>
      </c>
      <c r="EI60" s="330">
        <f t="shared" ref="EI60:EL60" si="706">EK13</f>
        <v>2268</v>
      </c>
      <c r="EJ60" s="330">
        <f t="shared" si="706"/>
        <v>353322</v>
      </c>
      <c r="EK60" s="330">
        <f t="shared" si="706"/>
        <v>473242</v>
      </c>
      <c r="EL60" s="330">
        <f t="shared" si="706"/>
        <v>373187</v>
      </c>
      <c r="EM60" s="331">
        <f t="shared" si="655"/>
        <v>100055</v>
      </c>
      <c r="EN60" s="332">
        <f t="shared" si="656"/>
        <v>0.211424598831042</v>
      </c>
      <c r="EO60" s="333">
        <f t="shared" si="657"/>
        <v>208.660493827161</v>
      </c>
      <c r="EP60" s="53"/>
      <c r="EQ60" s="53"/>
      <c r="ER60" s="192"/>
      <c r="ES60" s="192"/>
      <c r="ET60" s="192"/>
      <c r="EU60" s="192"/>
      <c r="EV60" s="192"/>
      <c r="EW60" s="192"/>
      <c r="EX60" s="192"/>
      <c r="EY60" s="192"/>
      <c r="EZ60" s="192"/>
      <c r="FA60" s="192"/>
      <c r="FB60" s="192"/>
      <c r="FC60" s="192"/>
      <c r="FD60" s="192"/>
      <c r="FE60" s="192"/>
      <c r="FF60" s="192"/>
      <c r="FG60" s="192"/>
      <c r="FH60" s="192"/>
      <c r="FI60" s="192"/>
      <c r="FJ60" s="192"/>
      <c r="FK60" s="53"/>
      <c r="FL60" s="53"/>
      <c r="FM60" s="53"/>
      <c r="FN60" s="329" t="s">
        <v>147</v>
      </c>
      <c r="FO60" s="329">
        <f t="shared" si="658"/>
        <v>1</v>
      </c>
      <c r="FP60" s="329">
        <f t="shared" si="659"/>
        <v>2</v>
      </c>
      <c r="FQ60" s="329">
        <f t="shared" si="631"/>
        <v>32</v>
      </c>
      <c r="FR60" s="330">
        <f t="shared" ref="FR60:FU60" si="707">FT13</f>
        <v>1995</v>
      </c>
      <c r="FS60" s="330">
        <f t="shared" si="707"/>
        <v>296431</v>
      </c>
      <c r="FT60" s="330">
        <f t="shared" si="707"/>
        <v>426263</v>
      </c>
      <c r="FU60" s="330">
        <f t="shared" si="707"/>
        <v>258756</v>
      </c>
      <c r="FV60" s="331">
        <f t="shared" si="661"/>
        <v>167507</v>
      </c>
      <c r="FW60" s="332">
        <f t="shared" si="662"/>
        <v>0.392966314223848</v>
      </c>
      <c r="FX60" s="333">
        <f t="shared" si="663"/>
        <v>213.665664160401</v>
      </c>
      <c r="FY60" s="53"/>
      <c r="FZ60" s="192"/>
      <c r="GA60" s="192"/>
      <c r="GB60" s="192"/>
      <c r="GC60" s="192"/>
      <c r="GD60" s="192"/>
      <c r="GE60" s="192"/>
      <c r="GF60" s="192"/>
      <c r="GG60" s="192"/>
      <c r="GH60" s="192"/>
      <c r="GI60" s="192"/>
      <c r="GJ60" s="192"/>
      <c r="GK60" s="192"/>
      <c r="GL60" s="192"/>
      <c r="GM60" s="192"/>
      <c r="GN60" s="192"/>
      <c r="GO60" s="192"/>
      <c r="GP60" s="192"/>
      <c r="GQ60" s="192"/>
      <c r="GR60" s="192"/>
      <c r="GS60" s="192"/>
      <c r="GT60" s="53"/>
      <c r="GU60" s="53"/>
      <c r="GV60" s="329" t="s">
        <v>147</v>
      </c>
      <c r="GW60" s="329">
        <f t="shared" si="664"/>
        <v>1</v>
      </c>
      <c r="GX60" s="329">
        <f t="shared" si="665"/>
        <v>2</v>
      </c>
      <c r="GY60" s="329">
        <f t="shared" si="632"/>
        <v>21</v>
      </c>
      <c r="GZ60" s="330">
        <f t="shared" ref="GZ60:HC60" si="708">HB13</f>
        <v>1545</v>
      </c>
      <c r="HA60" s="330">
        <f t="shared" si="708"/>
        <v>240576</v>
      </c>
      <c r="HB60" s="330">
        <f t="shared" si="708"/>
        <v>320363</v>
      </c>
      <c r="HC60" s="330">
        <f t="shared" si="708"/>
        <v>175420</v>
      </c>
      <c r="HD60" s="331">
        <f t="shared" si="667"/>
        <v>144943</v>
      </c>
      <c r="HE60" s="332">
        <f t="shared" si="668"/>
        <v>0.452433645583291</v>
      </c>
      <c r="HF60" s="333">
        <f t="shared" si="669"/>
        <v>207.354692556634</v>
      </c>
      <c r="HI60" s="192"/>
      <c r="HJ60" s="192"/>
      <c r="HK60" s="192"/>
      <c r="HL60" s="192"/>
      <c r="HM60" s="192"/>
      <c r="HN60" s="192"/>
      <c r="HO60" s="192"/>
      <c r="HP60" s="192"/>
      <c r="HQ60" s="192"/>
      <c r="HR60" s="192"/>
      <c r="HS60" s="192"/>
      <c r="HT60" s="192"/>
      <c r="HU60" s="192"/>
      <c r="HV60" s="192"/>
      <c r="HW60" s="192"/>
      <c r="HX60" s="192"/>
      <c r="HY60" s="192"/>
      <c r="HZ60" s="192"/>
      <c r="IA60" s="192"/>
      <c r="IB60" s="53"/>
      <c r="IC60" s="53"/>
      <c r="ID60" s="329" t="s">
        <v>147</v>
      </c>
      <c r="IE60" s="329">
        <f t="shared" si="670"/>
        <v>3</v>
      </c>
      <c r="IF60" s="329">
        <v>0</v>
      </c>
      <c r="IG60" s="329">
        <f t="shared" si="541"/>
        <v>28</v>
      </c>
      <c r="IH60" s="330">
        <f t="shared" ref="IH60:IK60" si="709">IJ13</f>
        <v>2114</v>
      </c>
      <c r="II60" s="330">
        <f t="shared" si="709"/>
        <v>349028</v>
      </c>
      <c r="IJ60" s="330">
        <f t="shared" si="709"/>
        <v>518471</v>
      </c>
      <c r="IK60" s="330">
        <f t="shared" si="709"/>
        <v>348394</v>
      </c>
      <c r="IL60" s="331">
        <f t="shared" si="672"/>
        <v>170077</v>
      </c>
      <c r="IM60" s="332">
        <f t="shared" si="673"/>
        <v>0.328035704986393</v>
      </c>
      <c r="IN60" s="333">
        <f t="shared" si="674"/>
        <v>245.255912961211</v>
      </c>
      <c r="IP60" s="11"/>
      <c r="IQ60" s="192"/>
      <c r="IR60" s="192"/>
      <c r="IS60" s="192"/>
      <c r="IT60" s="192"/>
      <c r="IU60" s="192"/>
      <c r="IV60" s="192"/>
      <c r="IW60" s="192"/>
      <c r="IX60" s="192"/>
      <c r="IY60" s="192"/>
      <c r="IZ60" s="192"/>
      <c r="JA60" s="192"/>
      <c r="JB60" s="192"/>
      <c r="JC60" s="192"/>
      <c r="JD60" s="192"/>
      <c r="JE60" s="192"/>
      <c r="JF60" s="192"/>
      <c r="JG60" s="192"/>
      <c r="JH60" s="192"/>
      <c r="JI60" s="192"/>
      <c r="JJ60" s="53"/>
      <c r="JK60" s="53"/>
      <c r="JL60" s="329" t="s">
        <v>147</v>
      </c>
      <c r="JM60" s="329">
        <f t="shared" si="675"/>
        <v>3</v>
      </c>
      <c r="JN60" s="329">
        <f t="shared" si="547"/>
        <v>45</v>
      </c>
      <c r="JO60" s="329">
        <f t="shared" ref="JO60:JR60" si="710">JR13</f>
        <v>2436</v>
      </c>
      <c r="JP60" s="330">
        <f t="shared" si="710"/>
        <v>387373</v>
      </c>
      <c r="JQ60" s="330">
        <f t="shared" si="710"/>
        <v>526544</v>
      </c>
      <c r="JR60" s="330">
        <f t="shared" si="710"/>
        <v>351190</v>
      </c>
      <c r="JS60" s="330">
        <f t="shared" si="677"/>
        <v>175354</v>
      </c>
      <c r="JT60" s="334">
        <f t="shared" si="678"/>
        <v>0.333028198972925</v>
      </c>
      <c r="JU60" s="335">
        <f t="shared" si="679"/>
        <v>216.151067323481</v>
      </c>
      <c r="JX60" s="192"/>
      <c r="JY60" s="192"/>
      <c r="JZ60" s="192"/>
      <c r="KA60" s="192"/>
      <c r="KB60" s="192"/>
      <c r="KC60" s="192"/>
      <c r="KD60" s="192"/>
      <c r="KE60" s="192"/>
      <c r="KF60" s="192"/>
      <c r="KG60" s="192"/>
      <c r="KH60" s="192"/>
      <c r="KI60" s="192"/>
      <c r="KJ60" s="192"/>
      <c r="KK60" s="192"/>
      <c r="KL60" s="192"/>
      <c r="KM60" s="192"/>
      <c r="KN60" s="192"/>
      <c r="KO60" s="192"/>
      <c r="KP60" s="192"/>
      <c r="KQ60" s="192"/>
      <c r="KR60" s="53"/>
      <c r="KS60" s="53"/>
      <c r="KT60" s="329" t="s">
        <v>147</v>
      </c>
      <c r="KU60" s="329">
        <v>3</v>
      </c>
      <c r="KV60" s="329">
        <v>72</v>
      </c>
      <c r="KW60" s="329">
        <v>4776</v>
      </c>
      <c r="KX60" s="330">
        <v>798263</v>
      </c>
      <c r="KY60" s="330">
        <v>1132247</v>
      </c>
      <c r="KZ60" s="330">
        <v>1094100</v>
      </c>
      <c r="LA60" s="330">
        <v>38147</v>
      </c>
      <c r="LB60" s="334">
        <v>0.0336914118562469</v>
      </c>
      <c r="LC60" s="335">
        <v>237.070142378559</v>
      </c>
      <c r="LF60" s="11"/>
      <c r="LG60" s="192"/>
      <c r="LH60" s="192"/>
      <c r="LI60" s="192"/>
      <c r="LJ60" s="192"/>
      <c r="LK60" s="192"/>
      <c r="LL60" s="192"/>
      <c r="LM60" s="192"/>
      <c r="LN60" s="192"/>
      <c r="LO60" s="192"/>
      <c r="LP60" s="192"/>
      <c r="LQ60" s="192"/>
      <c r="LR60" s="192"/>
      <c r="LS60" s="192"/>
      <c r="LT60" s="192"/>
      <c r="LU60" s="192"/>
      <c r="LV60" s="192"/>
      <c r="LW60" s="192"/>
      <c r="LX60" s="192"/>
      <c r="LY60" s="192"/>
      <c r="LZ60" s="192"/>
      <c r="MA60" s="192"/>
      <c r="MB60" s="329" t="s">
        <v>147</v>
      </c>
      <c r="MC60" s="329">
        <f t="shared" si="680"/>
        <v>3</v>
      </c>
      <c r="MD60" s="329">
        <f t="shared" si="553"/>
        <v>118</v>
      </c>
      <c r="ME60" s="329">
        <f t="shared" ref="ME60:MH60" si="711">MH13</f>
        <v>6763</v>
      </c>
      <c r="MF60" s="330">
        <f t="shared" si="711"/>
        <v>1047122</v>
      </c>
      <c r="MG60" s="330">
        <f t="shared" si="711"/>
        <v>1514896</v>
      </c>
      <c r="MH60" s="330">
        <f t="shared" si="711"/>
        <v>1164478</v>
      </c>
      <c r="MI60" s="330">
        <f t="shared" si="682"/>
        <v>350418</v>
      </c>
      <c r="MJ60" s="334">
        <f t="shared" si="683"/>
        <v>0.231314888942871</v>
      </c>
      <c r="MK60" s="335">
        <f t="shared" si="684"/>
        <v>223.997634186012</v>
      </c>
      <c r="MO60" s="192"/>
      <c r="MP60" s="192"/>
      <c r="MQ60" s="192"/>
      <c r="MR60" s="192"/>
      <c r="MS60" s="192"/>
      <c r="MT60" s="192"/>
      <c r="MU60" s="192"/>
      <c r="MV60" s="192"/>
      <c r="MW60" s="192"/>
      <c r="MX60" s="192"/>
      <c r="MY60" s="192"/>
      <c r="MZ60" s="192"/>
      <c r="NA60" s="192"/>
      <c r="NB60" s="192"/>
      <c r="NC60" s="192"/>
      <c r="ND60" s="192"/>
      <c r="NE60" s="192"/>
      <c r="NF60" s="192"/>
      <c r="NG60" s="192"/>
      <c r="NH60" s="53"/>
      <c r="NI60" s="53"/>
      <c r="NJ60" s="329" t="s">
        <v>147</v>
      </c>
      <c r="NK60" s="329">
        <f t="shared" si="685"/>
        <v>3</v>
      </c>
      <c r="NL60" s="329">
        <f t="shared" si="559"/>
        <v>56</v>
      </c>
      <c r="NM60" s="329">
        <f t="shared" si="686"/>
        <v>4437</v>
      </c>
      <c r="NN60" s="330">
        <f t="shared" si="687"/>
        <v>629791</v>
      </c>
      <c r="NO60" s="330">
        <f t="shared" si="633"/>
        <v>949999</v>
      </c>
      <c r="NP60" s="330">
        <f t="shared" si="634"/>
        <v>643401</v>
      </c>
      <c r="NQ60" s="330">
        <f t="shared" si="688"/>
        <v>306598</v>
      </c>
      <c r="NR60" s="334">
        <f t="shared" si="562"/>
        <v>0.322735076563238</v>
      </c>
      <c r="NS60" s="335">
        <f t="shared" si="563"/>
        <v>214.108406581023</v>
      </c>
      <c r="NT60" s="46"/>
      <c r="NU60" s="46"/>
      <c r="NV60" s="46"/>
      <c r="NW60" s="53"/>
      <c r="NX60" s="53"/>
      <c r="NY60" s="53"/>
      <c r="NZ60" s="53"/>
      <c r="OA60" s="53"/>
      <c r="OB60" s="53"/>
      <c r="OC60" s="53"/>
      <c r="OD60" s="53"/>
      <c r="OE60" s="53"/>
      <c r="OF60" s="53"/>
      <c r="OG60" s="53"/>
      <c r="OH60" s="53"/>
      <c r="OI60" s="53"/>
      <c r="OJ60" s="53"/>
      <c r="OK60" s="53"/>
      <c r="OL60" s="53"/>
      <c r="OM60" s="53"/>
      <c r="ON60" s="53"/>
      <c r="OO60" s="53"/>
      <c r="OP60" s="53"/>
      <c r="OQ60" s="53"/>
      <c r="OR60" s="53"/>
      <c r="OS60" s="336" t="s">
        <v>147</v>
      </c>
      <c r="OT60" s="336">
        <f t="shared" si="564"/>
        <v>3</v>
      </c>
      <c r="OU60" s="336">
        <f t="shared" si="565"/>
        <v>35</v>
      </c>
      <c r="OV60" s="172">
        <f t="shared" ref="OV60:OY60" si="712">OW13</f>
        <v>4311</v>
      </c>
      <c r="OW60" s="172">
        <f t="shared" si="712"/>
        <v>645357</v>
      </c>
      <c r="OX60" s="172">
        <f t="shared" si="712"/>
        <v>847657</v>
      </c>
      <c r="OY60" s="172">
        <f t="shared" si="712"/>
        <v>593968</v>
      </c>
      <c r="OZ60" s="171">
        <f t="shared" si="567"/>
        <v>253689</v>
      </c>
      <c r="PA60" s="337">
        <f t="shared" si="568"/>
        <v>0.29928261077299</v>
      </c>
      <c r="PB60" s="170">
        <f t="shared" si="569"/>
        <v>196.626536766412</v>
      </c>
      <c r="PC60" s="144"/>
      <c r="PD60" s="144"/>
      <c r="PE60" s="144"/>
      <c r="PF60" s="144"/>
      <c r="PG60" s="144"/>
      <c r="PH60" s="144"/>
      <c r="PI60" s="144"/>
      <c r="PJ60" s="144"/>
      <c r="PK60" s="144"/>
      <c r="PL60" s="144"/>
      <c r="PM60" s="144"/>
      <c r="PN60" s="144"/>
      <c r="PO60" s="144"/>
      <c r="PP60" s="144"/>
      <c r="PQ60" s="144"/>
      <c r="PR60" s="144"/>
      <c r="PS60" s="144"/>
      <c r="PT60" s="146"/>
      <c r="PU60" s="336" t="s">
        <v>147</v>
      </c>
      <c r="PV60" s="336">
        <f t="shared" si="570"/>
        <v>3</v>
      </c>
      <c r="PW60" s="336">
        <f t="shared" si="571"/>
        <v>60</v>
      </c>
      <c r="PX60" s="172">
        <f t="shared" ref="PX60:QA60" si="713">PY13</f>
        <v>4852</v>
      </c>
      <c r="PY60" s="172">
        <f t="shared" si="713"/>
        <v>684067</v>
      </c>
      <c r="PZ60" s="172">
        <f t="shared" si="713"/>
        <v>926087</v>
      </c>
      <c r="QA60" s="172">
        <f t="shared" si="713"/>
        <v>687098</v>
      </c>
      <c r="QB60" s="171">
        <f t="shared" si="691"/>
        <v>238989</v>
      </c>
      <c r="QC60" s="337">
        <f t="shared" si="574"/>
        <v>0.258063227320975</v>
      </c>
      <c r="QD60" s="170">
        <f t="shared" si="575"/>
        <v>190.867065127782</v>
      </c>
      <c r="QE60" s="146"/>
      <c r="QF60" s="146"/>
      <c r="QG60" s="146"/>
      <c r="QH60" s="146"/>
      <c r="QI60" s="146"/>
      <c r="QJ60" s="146"/>
      <c r="QK60" s="146"/>
      <c r="QL60" s="146"/>
      <c r="QM60" s="146"/>
      <c r="QN60" s="146"/>
      <c r="QO60" s="146"/>
      <c r="QP60" s="146"/>
      <c r="QQ60" s="146"/>
      <c r="QR60" s="146"/>
      <c r="QS60" s="144"/>
      <c r="QT60" s="144"/>
      <c r="QU60" s="144"/>
      <c r="QV60" s="144"/>
      <c r="QW60" s="144"/>
      <c r="QX60" s="144"/>
      <c r="QY60" s="144"/>
      <c r="QZ60" s="144"/>
      <c r="RA60" s="144"/>
      <c r="RB60" s="144"/>
      <c r="RC60" s="144"/>
      <c r="RD60" s="144"/>
      <c r="RE60" s="144"/>
      <c r="RF60" s="144"/>
      <c r="RG60" s="144"/>
      <c r="RH60" s="144"/>
      <c r="RI60" s="144"/>
      <c r="RJ60" s="144"/>
      <c r="RK60" s="144"/>
      <c r="RL60" s="144"/>
      <c r="RM60" s="144"/>
      <c r="RN60" s="144"/>
      <c r="RO60" s="144"/>
      <c r="RP60" s="144"/>
      <c r="RQ60" s="144"/>
      <c r="RR60" s="144"/>
      <c r="RS60" s="144"/>
      <c r="RT60" s="144"/>
      <c r="RU60" s="144"/>
      <c r="RV60" s="144"/>
      <c r="RW60" s="144"/>
      <c r="RX60" s="144"/>
      <c r="RY60" s="144"/>
      <c r="RZ60" s="144"/>
      <c r="SA60" s="144"/>
      <c r="SB60" s="144"/>
      <c r="SC60" s="144"/>
      <c r="SD60" s="144"/>
      <c r="SE60" s="144"/>
      <c r="SF60" s="144"/>
      <c r="SG60" s="144"/>
      <c r="SH60" s="144"/>
      <c r="SI60" s="144"/>
      <c r="SJ60" s="144"/>
      <c r="SK60" s="144"/>
      <c r="SL60" s="144"/>
      <c r="SM60" s="84"/>
      <c r="SN60" s="84"/>
      <c r="SO60" s="154"/>
      <c r="SP60" s="154"/>
      <c r="SQ60" s="154"/>
      <c r="SR60" s="154"/>
      <c r="SS60" s="154"/>
      <c r="ST60" s="154"/>
      <c r="SU60" s="155"/>
      <c r="SV60" s="154"/>
      <c r="SW60" s="154"/>
      <c r="SX60" s="155"/>
      <c r="SY60" s="155"/>
      <c r="SZ60" s="155"/>
      <c r="TA60" s="155"/>
      <c r="TB60" s="155"/>
      <c r="TC60" s="155"/>
      <c r="TD60" s="155"/>
      <c r="TE60" s="156"/>
      <c r="TF60" s="144"/>
      <c r="TG60" s="84"/>
      <c r="TH60" s="144"/>
      <c r="TI60" s="144"/>
      <c r="TJ60" s="144"/>
      <c r="TK60" s="144"/>
      <c r="TL60" s="157"/>
      <c r="TM60" s="157"/>
      <c r="TN60" s="157"/>
      <c r="TO60" s="157"/>
      <c r="TP60" s="157"/>
      <c r="TQ60" s="157"/>
      <c r="TR60" s="157"/>
      <c r="TS60" s="157"/>
      <c r="TT60" s="157"/>
      <c r="TU60" s="158"/>
      <c r="TV60" s="157"/>
      <c r="TW60" s="158"/>
      <c r="TX60" s="144"/>
      <c r="TY60" s="144"/>
      <c r="TZ60" s="144"/>
      <c r="UA60" s="84"/>
      <c r="UB60" s="144"/>
      <c r="UC60" s="144"/>
      <c r="UD60" s="144"/>
      <c r="UE60" s="144"/>
      <c r="UF60" s="157"/>
      <c r="UG60" s="157"/>
      <c r="UH60" s="157"/>
      <c r="UI60" s="157"/>
      <c r="UJ60" s="157"/>
      <c r="UK60" s="157"/>
      <c r="UL60" s="157"/>
      <c r="UM60" s="157"/>
      <c r="UN60" s="157"/>
      <c r="UO60" s="157"/>
      <c r="UP60" s="157"/>
      <c r="UQ60" s="158"/>
      <c r="UR60" s="157"/>
      <c r="US60" s="158"/>
      <c r="UT60" s="144"/>
      <c r="UU60" s="144"/>
      <c r="UV60" s="144"/>
      <c r="UW60" s="144"/>
      <c r="UX60" s="144"/>
      <c r="UY60" s="144"/>
      <c r="UZ60" s="144"/>
      <c r="VA60" s="144"/>
      <c r="VB60" s="157"/>
      <c r="VC60" s="157"/>
      <c r="VD60" s="157"/>
      <c r="VE60" s="157"/>
      <c r="VF60" s="157"/>
      <c r="VG60" s="157"/>
      <c r="VH60" s="157"/>
      <c r="VI60" s="157"/>
      <c r="VJ60" s="157"/>
      <c r="VK60" s="157"/>
      <c r="VL60" s="157"/>
      <c r="VM60" s="157"/>
      <c r="VN60" s="157"/>
      <c r="VO60" s="157"/>
      <c r="VP60" s="144"/>
      <c r="VQ60" s="144"/>
      <c r="VR60" s="84"/>
      <c r="VS60" s="84"/>
      <c r="VT60" s="53"/>
      <c r="VU60" s="53"/>
    </row>
    <row r="61" ht="15.75" hidden="1" spans="1:593">
      <c r="A61" s="53"/>
      <c r="B61" s="53"/>
      <c r="C61" s="327" t="s">
        <v>151</v>
      </c>
      <c r="D61" s="327"/>
      <c r="E61" s="327"/>
      <c r="F61" s="327"/>
      <c r="G61" s="161"/>
      <c r="H61" s="161"/>
      <c r="I61" s="161"/>
      <c r="J61" s="161"/>
      <c r="K61" s="179"/>
      <c r="L61" s="328"/>
      <c r="M61" s="162"/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93"/>
      <c r="AB61" s="293"/>
      <c r="AC61" s="293"/>
      <c r="AD61" s="293"/>
      <c r="AE61" s="293"/>
      <c r="AF61" s="293"/>
      <c r="AG61" s="293"/>
      <c r="AH61" s="293"/>
      <c r="AI61" s="53"/>
      <c r="AJ61" s="327" t="s">
        <v>151</v>
      </c>
      <c r="AK61" s="327">
        <v>1</v>
      </c>
      <c r="AL61" s="327"/>
      <c r="AM61" s="327">
        <f>AL14</f>
        <v>0</v>
      </c>
      <c r="AN61" s="161">
        <f t="shared" ref="AN61:AQ61" si="714">AP14</f>
        <v>652</v>
      </c>
      <c r="AO61" s="161">
        <f t="shared" si="714"/>
        <v>200178</v>
      </c>
      <c r="AP61" s="161">
        <f t="shared" si="714"/>
        <v>286106</v>
      </c>
      <c r="AQ61" s="161">
        <f t="shared" si="714"/>
        <v>146067.5</v>
      </c>
      <c r="AR61" s="179">
        <f>AP61-AQ61</f>
        <v>140038.5</v>
      </c>
      <c r="AS61" s="328">
        <f>AR61/AP61</f>
        <v>0.48946369527378</v>
      </c>
      <c r="AT61" s="162">
        <f>AP61/AN61</f>
        <v>438.812883435583</v>
      </c>
      <c r="AU61" s="293"/>
      <c r="AV61" s="293"/>
      <c r="AW61" s="293"/>
      <c r="AX61" s="293"/>
      <c r="AY61" s="293"/>
      <c r="AZ61" s="293"/>
      <c r="BA61" s="293"/>
      <c r="BB61" s="293"/>
      <c r="BC61" s="293"/>
      <c r="BD61" s="293"/>
      <c r="BE61" s="293"/>
      <c r="BF61" s="293"/>
      <c r="BG61" s="293"/>
      <c r="BH61" s="293"/>
      <c r="BI61" s="293"/>
      <c r="BJ61" s="293"/>
      <c r="BK61" s="293"/>
      <c r="BL61" s="293"/>
      <c r="BM61" s="293"/>
      <c r="BN61" s="293"/>
      <c r="BO61" s="293"/>
      <c r="BP61" s="53"/>
      <c r="BQ61" s="327" t="s">
        <v>151</v>
      </c>
      <c r="BR61" s="327">
        <v>1</v>
      </c>
      <c r="BS61" s="327"/>
      <c r="BT61" s="327">
        <f t="shared" si="628"/>
        <v>0</v>
      </c>
      <c r="BU61" s="161">
        <f t="shared" ref="BU61:BX61" si="715">BW14</f>
        <v>0</v>
      </c>
      <c r="BV61" s="161">
        <f t="shared" si="715"/>
        <v>0</v>
      </c>
      <c r="BW61" s="161">
        <f t="shared" si="715"/>
        <v>0</v>
      </c>
      <c r="BX61" s="161">
        <f t="shared" si="715"/>
        <v>0</v>
      </c>
      <c r="BY61" s="179">
        <f t="shared" si="643"/>
        <v>0</v>
      </c>
      <c r="BZ61" s="328" t="e">
        <f t="shared" si="644"/>
        <v>#DIV/0!</v>
      </c>
      <c r="CA61" s="162" t="e">
        <f t="shared" si="645"/>
        <v>#DIV/0!</v>
      </c>
      <c r="CB61" s="293"/>
      <c r="CC61" s="293"/>
      <c r="CD61" s="293"/>
      <c r="CE61" s="293"/>
      <c r="CF61" s="293"/>
      <c r="CG61" s="293"/>
      <c r="CH61" s="293"/>
      <c r="CI61" s="293"/>
      <c r="CJ61" s="293"/>
      <c r="CK61" s="293"/>
      <c r="CL61" s="293"/>
      <c r="CM61" s="293"/>
      <c r="CN61" s="293"/>
      <c r="CO61" s="293"/>
      <c r="CP61" s="293"/>
      <c r="CQ61" s="293"/>
      <c r="CR61" s="293"/>
      <c r="CS61" s="293"/>
      <c r="CT61" s="293"/>
      <c r="CU61" s="293"/>
      <c r="CV61" s="293"/>
      <c r="CW61" s="53"/>
      <c r="CX61" s="327" t="s">
        <v>151</v>
      </c>
      <c r="CY61" s="327">
        <v>1</v>
      </c>
      <c r="CZ61" s="327"/>
      <c r="DA61" s="327">
        <f t="shared" si="629"/>
        <v>0</v>
      </c>
      <c r="DB61" s="161">
        <f t="shared" ref="DB61:DE61" si="716">DD14</f>
        <v>0</v>
      </c>
      <c r="DC61" s="161">
        <f t="shared" si="716"/>
        <v>0</v>
      </c>
      <c r="DD61" s="161">
        <f t="shared" si="716"/>
        <v>0</v>
      </c>
      <c r="DE61" s="161">
        <f t="shared" si="716"/>
        <v>0</v>
      </c>
      <c r="DF61" s="179">
        <f t="shared" si="649"/>
        <v>0</v>
      </c>
      <c r="DG61" s="328" t="e">
        <f t="shared" si="650"/>
        <v>#DIV/0!</v>
      </c>
      <c r="DH61" s="162" t="e">
        <f t="shared" si="651"/>
        <v>#DIV/0!</v>
      </c>
      <c r="DI61" s="293"/>
      <c r="DJ61" s="293"/>
      <c r="DK61" s="293"/>
      <c r="DL61" s="293"/>
      <c r="DM61" s="293"/>
      <c r="DN61" s="293"/>
      <c r="DO61" s="293"/>
      <c r="DP61" s="293"/>
      <c r="DQ61" s="293"/>
      <c r="DR61" s="293"/>
      <c r="DS61" s="293"/>
      <c r="DT61" s="293"/>
      <c r="DU61" s="293"/>
      <c r="DV61" s="293"/>
      <c r="DW61" s="293"/>
      <c r="DX61" s="293"/>
      <c r="DY61" s="293"/>
      <c r="DZ61" s="293"/>
      <c r="EA61" s="293"/>
      <c r="EB61" s="293"/>
      <c r="EC61" s="293"/>
      <c r="ED61" s="53"/>
      <c r="EE61" s="329" t="s">
        <v>151</v>
      </c>
      <c r="EF61" s="329"/>
      <c r="EG61" s="329"/>
      <c r="EH61" s="329"/>
      <c r="EI61" s="330"/>
      <c r="EJ61" s="330"/>
      <c r="EK61" s="330"/>
      <c r="EL61" s="330"/>
      <c r="EM61" s="331"/>
      <c r="EN61" s="332"/>
      <c r="EO61" s="333"/>
      <c r="EP61" s="53"/>
      <c r="EQ61" s="53"/>
      <c r="ER61" s="192"/>
      <c r="ES61" s="192"/>
      <c r="ET61" s="192"/>
      <c r="EU61" s="192"/>
      <c r="EV61" s="192"/>
      <c r="EW61" s="192"/>
      <c r="EX61" s="192"/>
      <c r="EY61" s="192"/>
      <c r="EZ61" s="192"/>
      <c r="FA61" s="192"/>
      <c r="FB61" s="192"/>
      <c r="FC61" s="192"/>
      <c r="FD61" s="192"/>
      <c r="FE61" s="192"/>
      <c r="FF61" s="192"/>
      <c r="FG61" s="192"/>
      <c r="FH61" s="192"/>
      <c r="FI61" s="192"/>
      <c r="FJ61" s="192"/>
      <c r="FK61" s="53"/>
      <c r="FL61" s="53"/>
      <c r="FM61" s="53"/>
      <c r="FN61" s="329" t="s">
        <v>151</v>
      </c>
      <c r="FO61" s="329">
        <v>1</v>
      </c>
      <c r="FP61" s="329"/>
      <c r="FQ61" s="329">
        <f t="shared" si="631"/>
        <v>0</v>
      </c>
      <c r="FR61" s="330">
        <f t="shared" ref="FR61:FU61" si="717">FT14</f>
        <v>0</v>
      </c>
      <c r="FS61" s="330">
        <f t="shared" si="717"/>
        <v>0</v>
      </c>
      <c r="FT61" s="330">
        <f t="shared" si="717"/>
        <v>0</v>
      </c>
      <c r="FU61" s="330">
        <f t="shared" si="717"/>
        <v>0</v>
      </c>
      <c r="FV61" s="331">
        <f t="shared" si="661"/>
        <v>0</v>
      </c>
      <c r="FW61" s="332" t="e">
        <f t="shared" si="662"/>
        <v>#DIV/0!</v>
      </c>
      <c r="FX61" s="333" t="e">
        <f t="shared" si="663"/>
        <v>#DIV/0!</v>
      </c>
      <c r="FY61" s="53"/>
      <c r="FZ61" s="192"/>
      <c r="GA61" s="192"/>
      <c r="GB61" s="192"/>
      <c r="GC61" s="192"/>
      <c r="GD61" s="192"/>
      <c r="GE61" s="192"/>
      <c r="GF61" s="192"/>
      <c r="GG61" s="192"/>
      <c r="GH61" s="192"/>
      <c r="GI61" s="192"/>
      <c r="GJ61" s="192"/>
      <c r="GK61" s="192"/>
      <c r="GL61" s="192"/>
      <c r="GM61" s="192"/>
      <c r="GN61" s="192"/>
      <c r="GO61" s="192"/>
      <c r="GP61" s="192"/>
      <c r="GQ61" s="192"/>
      <c r="GR61" s="192"/>
      <c r="GS61" s="192"/>
      <c r="GT61" s="53"/>
      <c r="GU61" s="53"/>
      <c r="GV61" s="329" t="s">
        <v>151</v>
      </c>
      <c r="GW61" s="329">
        <v>1</v>
      </c>
      <c r="GX61" s="329"/>
      <c r="GY61" s="329">
        <f t="shared" si="632"/>
        <v>0</v>
      </c>
      <c r="GZ61" s="330">
        <f t="shared" ref="GZ61:HC61" si="718">HB14</f>
        <v>0</v>
      </c>
      <c r="HA61" s="330">
        <f t="shared" si="718"/>
        <v>0</v>
      </c>
      <c r="HB61" s="330">
        <f t="shared" si="718"/>
        <v>0</v>
      </c>
      <c r="HC61" s="330">
        <f t="shared" si="718"/>
        <v>0</v>
      </c>
      <c r="HD61" s="331">
        <f t="shared" si="667"/>
        <v>0</v>
      </c>
      <c r="HE61" s="332" t="e">
        <f t="shared" si="668"/>
        <v>#DIV/0!</v>
      </c>
      <c r="HF61" s="333" t="e">
        <f t="shared" si="669"/>
        <v>#DIV/0!</v>
      </c>
      <c r="HI61" s="192"/>
      <c r="HJ61" s="192"/>
      <c r="HK61" s="192"/>
      <c r="HL61" s="192"/>
      <c r="HM61" s="192"/>
      <c r="HN61" s="192"/>
      <c r="HO61" s="192"/>
      <c r="HP61" s="192"/>
      <c r="HQ61" s="192"/>
      <c r="HR61" s="192"/>
      <c r="HS61" s="192"/>
      <c r="HT61" s="192"/>
      <c r="HU61" s="192"/>
      <c r="HV61" s="192"/>
      <c r="HW61" s="192"/>
      <c r="HX61" s="192"/>
      <c r="HY61" s="192"/>
      <c r="HZ61" s="192"/>
      <c r="IA61" s="192"/>
      <c r="IB61" s="53"/>
      <c r="IC61" s="53"/>
      <c r="ID61" s="329" t="s">
        <v>151</v>
      </c>
      <c r="IE61" s="329">
        <v>1</v>
      </c>
      <c r="IF61" s="329">
        <v>0</v>
      </c>
      <c r="IG61" s="329">
        <f t="shared" si="541"/>
        <v>0</v>
      </c>
      <c r="IH61" s="330">
        <f t="shared" ref="IH61:IK61" si="719">IJ14</f>
        <v>0</v>
      </c>
      <c r="II61" s="330">
        <f t="shared" si="719"/>
        <v>0</v>
      </c>
      <c r="IJ61" s="330">
        <f t="shared" si="719"/>
        <v>0</v>
      </c>
      <c r="IK61" s="330">
        <f t="shared" si="719"/>
        <v>0</v>
      </c>
      <c r="IL61" s="331">
        <f t="shared" si="672"/>
        <v>0</v>
      </c>
      <c r="IM61" s="332" t="e">
        <f t="shared" si="673"/>
        <v>#DIV/0!</v>
      </c>
      <c r="IN61" s="333" t="e">
        <f t="shared" si="674"/>
        <v>#DIV/0!</v>
      </c>
      <c r="IP61" s="11"/>
      <c r="IQ61" s="192"/>
      <c r="IR61" s="192"/>
      <c r="IS61" s="192"/>
      <c r="IT61" s="192"/>
      <c r="IU61" s="192"/>
      <c r="IV61" s="192"/>
      <c r="IW61" s="192"/>
      <c r="IX61" s="192"/>
      <c r="IY61" s="192"/>
      <c r="IZ61" s="192"/>
      <c r="JA61" s="192"/>
      <c r="JB61" s="192"/>
      <c r="JC61" s="192"/>
      <c r="JD61" s="192"/>
      <c r="JE61" s="192"/>
      <c r="JF61" s="192"/>
      <c r="JG61" s="192"/>
      <c r="JH61" s="192"/>
      <c r="JI61" s="192"/>
      <c r="JJ61" s="53"/>
      <c r="JK61" s="53"/>
      <c r="JL61" s="329" t="s">
        <v>151</v>
      </c>
      <c r="JM61" s="329">
        <v>1</v>
      </c>
      <c r="JN61" s="329">
        <f t="shared" si="547"/>
        <v>0</v>
      </c>
      <c r="JO61" s="329">
        <f t="shared" ref="JO61:JR61" si="720">JR14</f>
        <v>0</v>
      </c>
      <c r="JP61" s="330">
        <f t="shared" si="720"/>
        <v>0</v>
      </c>
      <c r="JQ61" s="330">
        <f t="shared" si="720"/>
        <v>0</v>
      </c>
      <c r="JR61" s="330">
        <f t="shared" si="720"/>
        <v>0</v>
      </c>
      <c r="JS61" s="330">
        <f t="shared" si="677"/>
        <v>0</v>
      </c>
      <c r="JT61" s="334" t="e">
        <f t="shared" si="678"/>
        <v>#DIV/0!</v>
      </c>
      <c r="JU61" s="335" t="e">
        <f t="shared" si="679"/>
        <v>#DIV/0!</v>
      </c>
      <c r="JX61" s="192"/>
      <c r="JY61" s="192"/>
      <c r="JZ61" s="192"/>
      <c r="KA61" s="192"/>
      <c r="KB61" s="192"/>
      <c r="KC61" s="192"/>
      <c r="KD61" s="192"/>
      <c r="KE61" s="192"/>
      <c r="KF61" s="192"/>
      <c r="KG61" s="192"/>
      <c r="KH61" s="192"/>
      <c r="KI61" s="192"/>
      <c r="KJ61" s="192"/>
      <c r="KK61" s="192"/>
      <c r="KL61" s="192"/>
      <c r="KM61" s="192"/>
      <c r="KN61" s="192"/>
      <c r="KO61" s="192"/>
      <c r="KP61" s="192"/>
      <c r="KQ61" s="192"/>
      <c r="KR61" s="53"/>
      <c r="KS61" s="53"/>
      <c r="KT61" s="329" t="s">
        <v>151</v>
      </c>
      <c r="KU61" s="329">
        <v>1</v>
      </c>
      <c r="KV61" s="329">
        <v>0</v>
      </c>
      <c r="KW61" s="329">
        <v>0</v>
      </c>
      <c r="KX61" s="330">
        <v>0</v>
      </c>
      <c r="KY61" s="330">
        <v>0</v>
      </c>
      <c r="KZ61" s="330">
        <v>0</v>
      </c>
      <c r="LA61" s="330">
        <v>0</v>
      </c>
      <c r="LB61" s="334" t="e">
        <v>#DIV/0!</v>
      </c>
      <c r="LC61" s="335" t="e">
        <v>#DIV/0!</v>
      </c>
      <c r="LF61" s="11"/>
      <c r="LG61" s="192"/>
      <c r="LH61" s="192"/>
      <c r="LI61" s="192"/>
      <c r="LJ61" s="192"/>
      <c r="LK61" s="192"/>
      <c r="LL61" s="192"/>
      <c r="LM61" s="192"/>
      <c r="LN61" s="192"/>
      <c r="LO61" s="192"/>
      <c r="LP61" s="192"/>
      <c r="LQ61" s="192"/>
      <c r="LR61" s="192"/>
      <c r="LS61" s="192"/>
      <c r="LT61" s="192"/>
      <c r="LU61" s="192"/>
      <c r="LV61" s="192"/>
      <c r="LW61" s="192"/>
      <c r="LX61" s="192"/>
      <c r="LY61" s="192"/>
      <c r="LZ61" s="192"/>
      <c r="MA61" s="192"/>
      <c r="MB61" s="329" t="s">
        <v>151</v>
      </c>
      <c r="MC61" s="329">
        <v>1</v>
      </c>
      <c r="MD61" s="329">
        <f t="shared" si="553"/>
        <v>3</v>
      </c>
      <c r="ME61" s="329">
        <f t="shared" ref="ME61:MH61" si="721">MH14</f>
        <v>0</v>
      </c>
      <c r="MF61" s="330">
        <f t="shared" si="721"/>
        <v>0</v>
      </c>
      <c r="MG61" s="330">
        <f t="shared" si="721"/>
        <v>0</v>
      </c>
      <c r="MH61" s="330">
        <f t="shared" si="721"/>
        <v>0</v>
      </c>
      <c r="MI61" s="330">
        <f t="shared" si="682"/>
        <v>0</v>
      </c>
      <c r="MJ61" s="334" t="e">
        <f t="shared" si="683"/>
        <v>#DIV/0!</v>
      </c>
      <c r="MK61" s="335" t="e">
        <f t="shared" si="684"/>
        <v>#DIV/0!</v>
      </c>
      <c r="MO61" s="192"/>
      <c r="MP61" s="192"/>
      <c r="MQ61" s="192"/>
      <c r="MR61" s="192"/>
      <c r="MS61" s="192"/>
      <c r="MT61" s="192"/>
      <c r="MU61" s="192"/>
      <c r="MV61" s="192"/>
      <c r="MW61" s="192"/>
      <c r="MX61" s="192"/>
      <c r="MY61" s="192"/>
      <c r="MZ61" s="192"/>
      <c r="NA61" s="192"/>
      <c r="NB61" s="192"/>
      <c r="NC61" s="192"/>
      <c r="ND61" s="192"/>
      <c r="NE61" s="192"/>
      <c r="NF61" s="192"/>
      <c r="NG61" s="192"/>
      <c r="NH61" s="53"/>
      <c r="NI61" s="53"/>
      <c r="NJ61" s="329" t="s">
        <v>151</v>
      </c>
      <c r="NK61" s="329">
        <v>1</v>
      </c>
      <c r="NL61" s="329"/>
      <c r="NM61" s="329">
        <f t="shared" si="686"/>
        <v>206</v>
      </c>
      <c r="NN61" s="330">
        <f t="shared" si="687"/>
        <v>36686</v>
      </c>
      <c r="NO61" s="330">
        <f t="shared" si="633"/>
        <v>1773</v>
      </c>
      <c r="NP61" s="330">
        <f t="shared" si="634"/>
        <v>0</v>
      </c>
      <c r="NQ61" s="330">
        <f t="shared" si="688"/>
        <v>1773</v>
      </c>
      <c r="NR61" s="334">
        <f t="shared" si="562"/>
        <v>1</v>
      </c>
      <c r="NS61" s="335">
        <f t="shared" si="563"/>
        <v>8.60679611650485</v>
      </c>
      <c r="NT61" s="46"/>
      <c r="NU61" s="46"/>
      <c r="NV61" s="46"/>
      <c r="NW61" s="53"/>
      <c r="NX61" s="53"/>
      <c r="NY61" s="53"/>
      <c r="NZ61" s="53"/>
      <c r="OA61" s="53"/>
      <c r="OB61" s="53"/>
      <c r="OC61" s="53"/>
      <c r="OD61" s="53"/>
      <c r="OE61" s="53"/>
      <c r="OF61" s="53"/>
      <c r="OG61" s="53"/>
      <c r="OH61" s="53"/>
      <c r="OI61" s="53"/>
      <c r="OJ61" s="53"/>
      <c r="OK61" s="53"/>
      <c r="OL61" s="53"/>
      <c r="OM61" s="53"/>
      <c r="ON61" s="53"/>
      <c r="OO61" s="53"/>
      <c r="OP61" s="53"/>
      <c r="OQ61" s="53"/>
      <c r="OR61" s="53"/>
      <c r="OS61" s="336"/>
      <c r="OT61" s="336"/>
      <c r="OU61" s="172"/>
      <c r="OV61" s="172"/>
      <c r="OW61" s="172"/>
      <c r="OX61" s="172"/>
      <c r="OY61" s="172"/>
      <c r="OZ61" s="171"/>
      <c r="PA61" s="337"/>
      <c r="PB61" s="170"/>
      <c r="PC61" s="144"/>
      <c r="PD61" s="144"/>
      <c r="PE61" s="144"/>
      <c r="PF61" s="144"/>
      <c r="PG61" s="144"/>
      <c r="PH61" s="144"/>
      <c r="PI61" s="144"/>
      <c r="PJ61" s="144"/>
      <c r="PK61" s="144"/>
      <c r="PL61" s="144"/>
      <c r="PM61" s="144"/>
      <c r="PN61" s="144"/>
      <c r="PO61" s="144"/>
      <c r="PP61" s="144"/>
      <c r="PQ61" s="144"/>
      <c r="PR61" s="144"/>
      <c r="PS61" s="144"/>
      <c r="PT61" s="146"/>
      <c r="PU61" s="243" t="s">
        <v>153</v>
      </c>
      <c r="PV61" s="242">
        <f t="shared" ref="PV61:QA61" si="722">SUM(PV51:PV60)</f>
        <v>30</v>
      </c>
      <c r="PW61" s="242">
        <f t="shared" si="722"/>
        <v>1223</v>
      </c>
      <c r="PX61" s="243">
        <f t="shared" si="722"/>
        <v>76919</v>
      </c>
      <c r="PY61" s="243">
        <f t="shared" si="722"/>
        <v>11470292.5</v>
      </c>
      <c r="PZ61" s="243">
        <f t="shared" si="722"/>
        <v>14823512</v>
      </c>
      <c r="QA61" s="243">
        <f t="shared" si="722"/>
        <v>9017672</v>
      </c>
      <c r="QB61" s="244">
        <f t="shared" si="691"/>
        <v>5805840</v>
      </c>
      <c r="QC61" s="247">
        <f t="shared" si="574"/>
        <v>0.391664269573904</v>
      </c>
      <c r="QD61" s="243">
        <f t="shared" si="575"/>
        <v>192.715869941107</v>
      </c>
      <c r="QE61" s="146"/>
      <c r="QF61" s="146"/>
      <c r="QG61" s="146"/>
      <c r="QH61" s="146"/>
      <c r="QI61" s="146"/>
      <c r="QJ61" s="146"/>
      <c r="QK61" s="146"/>
      <c r="QL61" s="146"/>
      <c r="QM61" s="146"/>
      <c r="QN61" s="146"/>
      <c r="QO61" s="146"/>
      <c r="QP61" s="146"/>
      <c r="QQ61" s="146"/>
      <c r="QR61" s="146"/>
      <c r="QS61" s="144"/>
      <c r="QT61" s="144"/>
      <c r="QU61" s="144"/>
      <c r="QV61" s="144"/>
      <c r="QW61" s="144"/>
      <c r="QX61" s="144"/>
      <c r="QY61" s="144"/>
      <c r="QZ61" s="144"/>
      <c r="RA61" s="144"/>
      <c r="RB61" s="144"/>
      <c r="RC61" s="144"/>
      <c r="RD61" s="144"/>
      <c r="RE61" s="144"/>
      <c r="RF61" s="144"/>
      <c r="RG61" s="144"/>
      <c r="RH61" s="144"/>
      <c r="RI61" s="144"/>
      <c r="RJ61" s="144"/>
      <c r="RK61" s="144"/>
      <c r="RL61" s="144"/>
      <c r="RM61" s="144"/>
      <c r="RN61" s="144"/>
      <c r="RO61" s="144"/>
      <c r="RP61" s="144"/>
      <c r="RQ61" s="144"/>
      <c r="RR61" s="144"/>
      <c r="RS61" s="144"/>
      <c r="RT61" s="144"/>
      <c r="RU61" s="144"/>
      <c r="RV61" s="144"/>
      <c r="RW61" s="144"/>
      <c r="RX61" s="144"/>
      <c r="RY61" s="144"/>
      <c r="RZ61" s="144"/>
      <c r="SA61" s="144"/>
      <c r="SB61" s="144"/>
      <c r="SC61" s="144"/>
      <c r="SD61" s="144"/>
      <c r="SE61" s="144"/>
      <c r="SF61" s="144"/>
      <c r="SG61" s="144"/>
      <c r="SH61" s="144"/>
      <c r="SI61" s="144"/>
      <c r="SJ61" s="144"/>
      <c r="SK61" s="144"/>
      <c r="SL61" s="144"/>
      <c r="SM61" s="84"/>
      <c r="SN61" s="84"/>
      <c r="SO61" s="154"/>
      <c r="SP61" s="154"/>
      <c r="SQ61" s="154"/>
      <c r="SR61" s="154"/>
      <c r="SS61" s="154"/>
      <c r="ST61" s="154"/>
      <c r="SU61" s="155"/>
      <c r="SV61" s="154"/>
      <c r="SW61" s="154"/>
      <c r="SX61" s="155"/>
      <c r="SY61" s="155"/>
      <c r="SZ61" s="155"/>
      <c r="TA61" s="155"/>
      <c r="TB61" s="155"/>
      <c r="TC61" s="155"/>
      <c r="TD61" s="155"/>
      <c r="TE61" s="156"/>
      <c r="TF61" s="144"/>
      <c r="TG61" s="84"/>
      <c r="TH61" s="144"/>
      <c r="TI61" s="144"/>
      <c r="TJ61" s="144"/>
      <c r="TK61" s="144"/>
      <c r="TL61" s="157"/>
      <c r="TM61" s="157"/>
      <c r="TN61" s="157"/>
      <c r="TO61" s="157"/>
      <c r="TP61" s="157"/>
      <c r="TQ61" s="157"/>
      <c r="TR61" s="157"/>
      <c r="TS61" s="157"/>
      <c r="TT61" s="157"/>
      <c r="TU61" s="158"/>
      <c r="TV61" s="157"/>
      <c r="TW61" s="158"/>
      <c r="TX61" s="144"/>
      <c r="TY61" s="144"/>
      <c r="TZ61" s="144"/>
      <c r="UA61" s="84"/>
      <c r="UB61" s="144"/>
      <c r="UC61" s="144"/>
      <c r="UD61" s="144"/>
      <c r="UE61" s="144"/>
      <c r="UF61" s="157"/>
      <c r="UG61" s="157"/>
      <c r="UH61" s="157"/>
      <c r="UI61" s="157"/>
      <c r="UJ61" s="157"/>
      <c r="UK61" s="157"/>
      <c r="UL61" s="157"/>
      <c r="UM61" s="157"/>
      <c r="UN61" s="157"/>
      <c r="UO61" s="157"/>
      <c r="UP61" s="157"/>
      <c r="UQ61" s="158"/>
      <c r="UR61" s="157"/>
      <c r="US61" s="158"/>
      <c r="UT61" s="144"/>
      <c r="UU61" s="144"/>
      <c r="UV61" s="144"/>
      <c r="UW61" s="144"/>
      <c r="UX61" s="144"/>
      <c r="UY61" s="144"/>
      <c r="UZ61" s="144"/>
      <c r="VA61" s="144"/>
      <c r="VB61" s="157"/>
      <c r="VC61" s="157"/>
      <c r="VD61" s="157"/>
      <c r="VE61" s="157"/>
      <c r="VF61" s="157"/>
      <c r="VG61" s="157"/>
      <c r="VH61" s="157"/>
      <c r="VI61" s="157"/>
      <c r="VJ61" s="157"/>
      <c r="VK61" s="157"/>
      <c r="VL61" s="157"/>
      <c r="VM61" s="157"/>
      <c r="VN61" s="157"/>
      <c r="VO61" s="157"/>
      <c r="VP61" s="144"/>
      <c r="VQ61" s="144"/>
      <c r="VR61" s="84"/>
      <c r="VS61" s="84"/>
      <c r="VT61" s="53"/>
      <c r="VU61" s="53"/>
    </row>
    <row r="62" ht="15.75" hidden="1" spans="1:593">
      <c r="A62" s="53"/>
      <c r="B62" s="53"/>
      <c r="C62" s="327"/>
      <c r="D62" s="327"/>
      <c r="E62" s="161"/>
      <c r="F62" s="161"/>
      <c r="G62" s="161"/>
      <c r="H62" s="161"/>
      <c r="I62" s="161"/>
      <c r="J62" s="161"/>
      <c r="K62" s="179"/>
      <c r="L62" s="328"/>
      <c r="M62" s="162"/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3"/>
      <c r="AB62" s="293"/>
      <c r="AC62" s="293"/>
      <c r="AD62" s="293"/>
      <c r="AE62" s="293"/>
      <c r="AF62" s="293"/>
      <c r="AG62" s="293"/>
      <c r="AH62" s="293"/>
      <c r="AI62" s="53"/>
      <c r="AJ62" s="327" t="s">
        <v>226</v>
      </c>
      <c r="AK62" s="327"/>
      <c r="AL62" s="161"/>
      <c r="AM62" s="161"/>
      <c r="AN62" s="161"/>
      <c r="AO62" s="161"/>
      <c r="AP62" s="161"/>
      <c r="AQ62" s="161"/>
      <c r="AR62" s="179"/>
      <c r="AS62" s="328"/>
      <c r="AT62" s="162"/>
      <c r="AU62" s="293"/>
      <c r="AV62" s="293"/>
      <c r="AW62" s="293"/>
      <c r="AX62" s="293"/>
      <c r="AY62" s="293"/>
      <c r="AZ62" s="293"/>
      <c r="BA62" s="293"/>
      <c r="BB62" s="293"/>
      <c r="BC62" s="293"/>
      <c r="BD62" s="293"/>
      <c r="BE62" s="293"/>
      <c r="BF62" s="293"/>
      <c r="BG62" s="293"/>
      <c r="BH62" s="293"/>
      <c r="BI62" s="293"/>
      <c r="BJ62" s="293"/>
      <c r="BK62" s="293"/>
      <c r="BL62" s="293"/>
      <c r="BM62" s="293"/>
      <c r="BN62" s="293"/>
      <c r="BO62" s="293"/>
      <c r="BP62" s="53"/>
      <c r="BQ62" s="327" t="s">
        <v>226</v>
      </c>
      <c r="BR62" s="327"/>
      <c r="BS62" s="161"/>
      <c r="BT62" s="161"/>
      <c r="BU62" s="161"/>
      <c r="BV62" s="161"/>
      <c r="BW62" s="161"/>
      <c r="BX62" s="161"/>
      <c r="BY62" s="179"/>
      <c r="BZ62" s="328"/>
      <c r="CA62" s="162"/>
      <c r="CB62" s="293"/>
      <c r="CC62" s="293"/>
      <c r="CD62" s="293"/>
      <c r="CE62" s="293"/>
      <c r="CF62" s="293"/>
      <c r="CG62" s="293"/>
      <c r="CH62" s="293"/>
      <c r="CI62" s="293"/>
      <c r="CJ62" s="293"/>
      <c r="CK62" s="293"/>
      <c r="CL62" s="293"/>
      <c r="CM62" s="293"/>
      <c r="CN62" s="293"/>
      <c r="CO62" s="293"/>
      <c r="CP62" s="293"/>
      <c r="CQ62" s="293"/>
      <c r="CR62" s="293"/>
      <c r="CS62" s="293"/>
      <c r="CT62" s="293"/>
      <c r="CU62" s="293"/>
      <c r="CV62" s="293"/>
      <c r="CW62" s="53"/>
      <c r="CX62" s="327" t="s">
        <v>226</v>
      </c>
      <c r="CY62" s="327"/>
      <c r="CZ62" s="161"/>
      <c r="DA62" s="161"/>
      <c r="DB62" s="161"/>
      <c r="DC62" s="161"/>
      <c r="DD62" s="161"/>
      <c r="DE62" s="161"/>
      <c r="DF62" s="179"/>
      <c r="DG62" s="328"/>
      <c r="DH62" s="162"/>
      <c r="DI62" s="293"/>
      <c r="DJ62" s="293"/>
      <c r="DK62" s="293"/>
      <c r="DL62" s="293"/>
      <c r="DM62" s="293"/>
      <c r="DN62" s="293"/>
      <c r="DO62" s="293"/>
      <c r="DP62" s="293"/>
      <c r="DQ62" s="293"/>
      <c r="DR62" s="293"/>
      <c r="DS62" s="293"/>
      <c r="DT62" s="293"/>
      <c r="DU62" s="293"/>
      <c r="DV62" s="293"/>
      <c r="DW62" s="293"/>
      <c r="DX62" s="293"/>
      <c r="DY62" s="293"/>
      <c r="DZ62" s="293"/>
      <c r="EA62" s="293"/>
      <c r="EB62" s="293"/>
      <c r="EC62" s="293"/>
      <c r="ED62" s="53"/>
      <c r="EE62" s="329" t="s">
        <v>226</v>
      </c>
      <c r="EF62" s="329"/>
      <c r="EG62" s="330"/>
      <c r="EH62" s="330"/>
      <c r="EI62" s="330"/>
      <c r="EJ62" s="330"/>
      <c r="EK62" s="330"/>
      <c r="EL62" s="330"/>
      <c r="EM62" s="331"/>
      <c r="EN62" s="332"/>
      <c r="EO62" s="333"/>
      <c r="EP62" s="53"/>
      <c r="EQ62" s="53"/>
      <c r="ER62" s="192"/>
      <c r="ES62" s="192"/>
      <c r="ET62" s="192"/>
      <c r="EU62" s="192"/>
      <c r="EV62" s="192"/>
      <c r="EW62" s="192"/>
      <c r="EX62" s="192"/>
      <c r="EY62" s="192"/>
      <c r="EZ62" s="192"/>
      <c r="FA62" s="192"/>
      <c r="FB62" s="192"/>
      <c r="FC62" s="192"/>
      <c r="FD62" s="192"/>
      <c r="FE62" s="192"/>
      <c r="FF62" s="192"/>
      <c r="FG62" s="192"/>
      <c r="FH62" s="192"/>
      <c r="FI62" s="192"/>
      <c r="FJ62" s="192"/>
      <c r="FK62" s="53"/>
      <c r="FL62" s="53"/>
      <c r="FM62" s="53"/>
      <c r="FN62" s="329" t="s">
        <v>226</v>
      </c>
      <c r="FO62" s="329"/>
      <c r="FP62" s="330"/>
      <c r="FQ62" s="330"/>
      <c r="FR62" s="330"/>
      <c r="FS62" s="330"/>
      <c r="FT62" s="330"/>
      <c r="FU62" s="330"/>
      <c r="FV62" s="331"/>
      <c r="FW62" s="332"/>
      <c r="FX62" s="333"/>
      <c r="FY62" s="53"/>
      <c r="FZ62" s="192"/>
      <c r="GA62" s="192"/>
      <c r="GB62" s="192"/>
      <c r="GC62" s="192"/>
      <c r="GD62" s="192"/>
      <c r="GE62" s="192"/>
      <c r="GF62" s="192"/>
      <c r="GG62" s="192"/>
      <c r="GH62" s="192"/>
      <c r="GI62" s="192"/>
      <c r="GJ62" s="192"/>
      <c r="GK62" s="192"/>
      <c r="GL62" s="192"/>
      <c r="GM62" s="192"/>
      <c r="GN62" s="192"/>
      <c r="GO62" s="192"/>
      <c r="GP62" s="192"/>
      <c r="GQ62" s="192"/>
      <c r="GR62" s="192"/>
      <c r="GS62" s="192"/>
      <c r="GT62" s="53"/>
      <c r="GU62" s="53"/>
      <c r="GV62" s="329" t="s">
        <v>226</v>
      </c>
      <c r="GW62" s="329"/>
      <c r="GX62" s="329"/>
      <c r="GY62" s="329"/>
      <c r="GZ62" s="330"/>
      <c r="HA62" s="330"/>
      <c r="HB62" s="330"/>
      <c r="HC62" s="330"/>
      <c r="HD62" s="331"/>
      <c r="HE62" s="332"/>
      <c r="HF62" s="333"/>
      <c r="HI62" s="192"/>
      <c r="HJ62" s="192"/>
      <c r="HK62" s="192"/>
      <c r="HL62" s="192"/>
      <c r="HM62" s="192"/>
      <c r="HN62" s="192"/>
      <c r="HO62" s="192"/>
      <c r="HP62" s="192"/>
      <c r="HQ62" s="192"/>
      <c r="HR62" s="192"/>
      <c r="HS62" s="192"/>
      <c r="HT62" s="192"/>
      <c r="HU62" s="192"/>
      <c r="HV62" s="192"/>
      <c r="HW62" s="192"/>
      <c r="HX62" s="192"/>
      <c r="HY62" s="192"/>
      <c r="HZ62" s="192"/>
      <c r="IA62" s="192"/>
      <c r="IB62" s="53"/>
      <c r="IC62" s="53"/>
      <c r="ID62" s="329" t="s">
        <v>226</v>
      </c>
      <c r="IE62" s="329"/>
      <c r="IF62" s="329"/>
      <c r="IG62" s="329"/>
      <c r="IH62" s="330"/>
      <c r="II62" s="330"/>
      <c r="IJ62" s="330"/>
      <c r="IK62" s="330"/>
      <c r="IL62" s="331"/>
      <c r="IM62" s="332"/>
      <c r="IN62" s="333"/>
      <c r="IP62" s="11"/>
      <c r="IQ62" s="192"/>
      <c r="IR62" s="192"/>
      <c r="IS62" s="192"/>
      <c r="IT62" s="192"/>
      <c r="IU62" s="192"/>
      <c r="IV62" s="192"/>
      <c r="IW62" s="192"/>
      <c r="IX62" s="192"/>
      <c r="IY62" s="192"/>
      <c r="IZ62" s="192"/>
      <c r="JA62" s="192"/>
      <c r="JB62" s="192"/>
      <c r="JC62" s="192"/>
      <c r="JD62" s="192"/>
      <c r="JE62" s="192"/>
      <c r="JF62" s="192"/>
      <c r="JG62" s="192"/>
      <c r="JH62" s="192"/>
      <c r="JI62" s="192"/>
      <c r="JJ62" s="53"/>
      <c r="JK62" s="53"/>
      <c r="JL62" s="329" t="s">
        <v>226</v>
      </c>
      <c r="JM62" s="329"/>
      <c r="JN62" s="329"/>
      <c r="JO62" s="329"/>
      <c r="JP62" s="330"/>
      <c r="JQ62" s="330"/>
      <c r="JR62" s="330"/>
      <c r="JS62" s="330"/>
      <c r="JT62" s="331"/>
      <c r="JU62" s="335"/>
      <c r="JX62" s="192"/>
      <c r="JY62" s="192"/>
      <c r="JZ62" s="192"/>
      <c r="KA62" s="192"/>
      <c r="KB62" s="192"/>
      <c r="KC62" s="192"/>
      <c r="KD62" s="192"/>
      <c r="KE62" s="192"/>
      <c r="KF62" s="192"/>
      <c r="KG62" s="192"/>
      <c r="KH62" s="192"/>
      <c r="KI62" s="192"/>
      <c r="KJ62" s="192"/>
      <c r="KK62" s="192"/>
      <c r="KL62" s="192"/>
      <c r="KM62" s="192"/>
      <c r="KN62" s="192"/>
      <c r="KO62" s="192"/>
      <c r="KP62" s="192"/>
      <c r="KQ62" s="192"/>
      <c r="KR62" s="53"/>
      <c r="KS62" s="53"/>
      <c r="KT62" s="329" t="s">
        <v>226</v>
      </c>
      <c r="KU62" s="329"/>
      <c r="KV62" s="329"/>
      <c r="KW62" s="329"/>
      <c r="KX62" s="330"/>
      <c r="KY62" s="330"/>
      <c r="KZ62" s="330"/>
      <c r="LA62" s="330"/>
      <c r="LB62" s="334"/>
      <c r="LC62" s="335"/>
      <c r="LF62" s="11"/>
      <c r="LG62" s="192"/>
      <c r="LH62" s="192"/>
      <c r="LI62" s="192"/>
      <c r="LJ62" s="192"/>
      <c r="LK62" s="192"/>
      <c r="LL62" s="192"/>
      <c r="LM62" s="192"/>
      <c r="LN62" s="192"/>
      <c r="LO62" s="192"/>
      <c r="LP62" s="192"/>
      <c r="LQ62" s="192"/>
      <c r="LR62" s="192"/>
      <c r="LS62" s="192"/>
      <c r="LT62" s="192"/>
      <c r="LU62" s="192"/>
      <c r="LV62" s="192"/>
      <c r="LW62" s="192"/>
      <c r="LX62" s="192"/>
      <c r="LY62" s="192"/>
      <c r="LZ62" s="192"/>
      <c r="MA62" s="192"/>
      <c r="MB62" s="329" t="s">
        <v>226</v>
      </c>
      <c r="MC62" s="329"/>
      <c r="MD62" s="329"/>
      <c r="ME62" s="329"/>
      <c r="MF62" s="330"/>
      <c r="MG62" s="330"/>
      <c r="MH62" s="330"/>
      <c r="MI62" s="330"/>
      <c r="MJ62" s="334"/>
      <c r="MK62" s="335"/>
      <c r="MO62" s="192"/>
      <c r="MP62" s="192"/>
      <c r="MQ62" s="192"/>
      <c r="MR62" s="192"/>
      <c r="MS62" s="192"/>
      <c r="MT62" s="192"/>
      <c r="MU62" s="192"/>
      <c r="MV62" s="192"/>
      <c r="MW62" s="192"/>
      <c r="MX62" s="192"/>
      <c r="MY62" s="192"/>
      <c r="MZ62" s="192"/>
      <c r="NA62" s="192"/>
      <c r="NB62" s="192"/>
      <c r="NC62" s="192"/>
      <c r="ND62" s="192"/>
      <c r="NE62" s="192"/>
      <c r="NF62" s="192"/>
      <c r="NG62" s="192"/>
      <c r="NH62" s="53"/>
      <c r="NI62" s="53"/>
      <c r="NJ62" s="329" t="s">
        <v>226</v>
      </c>
      <c r="NK62" s="329"/>
      <c r="NL62" s="329"/>
      <c r="NM62" s="329"/>
      <c r="NN62" s="330"/>
      <c r="NO62" s="330"/>
      <c r="NP62" s="330"/>
      <c r="NQ62" s="330"/>
      <c r="NR62" s="334" t="e">
        <f t="shared" si="562"/>
        <v>#DIV/0!</v>
      </c>
      <c r="NS62" s="335" t="e">
        <f t="shared" si="563"/>
        <v>#DIV/0!</v>
      </c>
      <c r="NT62" s="46"/>
      <c r="NU62" s="46"/>
      <c r="NV62" s="46"/>
      <c r="NW62" s="53"/>
      <c r="NX62" s="53"/>
      <c r="NY62" s="53"/>
      <c r="NZ62" s="53"/>
      <c r="OA62" s="53"/>
      <c r="OB62" s="53"/>
      <c r="OC62" s="53"/>
      <c r="OD62" s="53"/>
      <c r="OE62" s="53"/>
      <c r="OF62" s="53"/>
      <c r="OG62" s="53"/>
      <c r="OH62" s="53"/>
      <c r="OI62" s="53"/>
      <c r="OJ62" s="53"/>
      <c r="OK62" s="53"/>
      <c r="OL62" s="53"/>
      <c r="OM62" s="53"/>
      <c r="ON62" s="53"/>
      <c r="OO62" s="53"/>
      <c r="OP62" s="53"/>
      <c r="OQ62" s="53"/>
      <c r="OR62" s="53"/>
      <c r="OS62" s="336"/>
      <c r="OT62" s="336"/>
      <c r="OU62" s="172"/>
      <c r="OV62" s="172"/>
      <c r="OW62" s="172"/>
      <c r="OX62" s="172"/>
      <c r="OY62" s="172"/>
      <c r="OZ62" s="171"/>
      <c r="PA62" s="337"/>
      <c r="PB62" s="170"/>
      <c r="PC62" s="144"/>
      <c r="PD62" s="144"/>
      <c r="PE62" s="144"/>
      <c r="PF62" s="144"/>
      <c r="PG62" s="144"/>
      <c r="PH62" s="144"/>
      <c r="PI62" s="144"/>
      <c r="PJ62" s="144"/>
      <c r="PK62" s="144"/>
      <c r="PL62" s="144"/>
      <c r="PM62" s="144"/>
      <c r="PN62" s="144"/>
      <c r="PO62" s="144"/>
      <c r="PP62" s="144"/>
      <c r="PQ62" s="144"/>
      <c r="PR62" s="144"/>
      <c r="PS62" s="144"/>
      <c r="PT62" s="146"/>
      <c r="PU62" s="336"/>
      <c r="PV62" s="336"/>
      <c r="PW62" s="336"/>
      <c r="PX62" s="336"/>
      <c r="PY62" s="336"/>
      <c r="PZ62" s="336"/>
      <c r="QA62" s="336"/>
      <c r="QB62" s="336"/>
      <c r="QC62" s="336"/>
      <c r="QD62" s="336"/>
      <c r="QE62" s="146"/>
      <c r="QF62" s="146"/>
      <c r="QG62" s="146"/>
      <c r="QH62" s="146"/>
      <c r="QI62" s="146"/>
      <c r="QJ62" s="146"/>
      <c r="QK62" s="146"/>
      <c r="QL62" s="146"/>
      <c r="QM62" s="146"/>
      <c r="QN62" s="146"/>
      <c r="QO62" s="146"/>
      <c r="QP62" s="146"/>
      <c r="QQ62" s="146"/>
      <c r="QR62" s="146"/>
      <c r="QS62" s="144"/>
      <c r="QT62" s="144"/>
      <c r="QU62" s="144"/>
      <c r="QV62" s="144"/>
      <c r="QW62" s="144"/>
      <c r="QX62" s="144"/>
      <c r="QY62" s="144"/>
      <c r="QZ62" s="144"/>
      <c r="RA62" s="144"/>
      <c r="RB62" s="144"/>
      <c r="RC62" s="144"/>
      <c r="RD62" s="144"/>
      <c r="RE62" s="144"/>
      <c r="RF62" s="144"/>
      <c r="RG62" s="144"/>
      <c r="RH62" s="144"/>
      <c r="RI62" s="144"/>
      <c r="RJ62" s="144"/>
      <c r="RK62" s="144"/>
      <c r="RL62" s="144"/>
      <c r="RM62" s="144"/>
      <c r="RN62" s="144"/>
      <c r="RO62" s="144"/>
      <c r="RP62" s="144"/>
      <c r="RQ62" s="144"/>
      <c r="RR62" s="144"/>
      <c r="RS62" s="144"/>
      <c r="RT62" s="144"/>
      <c r="RU62" s="144"/>
      <c r="RV62" s="144"/>
      <c r="RW62" s="144"/>
      <c r="RX62" s="144"/>
      <c r="RY62" s="144"/>
      <c r="RZ62" s="144"/>
      <c r="SA62" s="144"/>
      <c r="SB62" s="144"/>
      <c r="SC62" s="144"/>
      <c r="SD62" s="144"/>
      <c r="SE62" s="144"/>
      <c r="SF62" s="144"/>
      <c r="SG62" s="144"/>
      <c r="SH62" s="144"/>
      <c r="SI62" s="144"/>
      <c r="SJ62" s="144"/>
      <c r="SK62" s="144"/>
      <c r="SL62" s="144"/>
      <c r="SM62" s="84"/>
      <c r="SN62" s="84"/>
      <c r="SO62" s="154"/>
      <c r="SP62" s="154"/>
      <c r="SQ62" s="154"/>
      <c r="SR62" s="154"/>
      <c r="SS62" s="154"/>
      <c r="ST62" s="154"/>
      <c r="SU62" s="155"/>
      <c r="SV62" s="154"/>
      <c r="SW62" s="154"/>
      <c r="SX62" s="155"/>
      <c r="SY62" s="155"/>
      <c r="SZ62" s="155"/>
      <c r="TA62" s="155"/>
      <c r="TB62" s="155"/>
      <c r="TC62" s="155"/>
      <c r="TD62" s="155"/>
      <c r="TE62" s="156"/>
      <c r="TF62" s="144"/>
      <c r="TG62" s="84"/>
      <c r="TH62" s="144"/>
      <c r="TI62" s="144"/>
      <c r="TJ62" s="144"/>
      <c r="TK62" s="144"/>
      <c r="TL62" s="157"/>
      <c r="TM62" s="157"/>
      <c r="TN62" s="157"/>
      <c r="TO62" s="157"/>
      <c r="TP62" s="157"/>
      <c r="TQ62" s="157"/>
      <c r="TR62" s="157"/>
      <c r="TS62" s="157"/>
      <c r="TT62" s="157"/>
      <c r="TU62" s="158"/>
      <c r="TV62" s="157"/>
      <c r="TW62" s="158"/>
      <c r="TX62" s="144"/>
      <c r="TY62" s="144"/>
      <c r="TZ62" s="144"/>
      <c r="UA62" s="84"/>
      <c r="UB62" s="144"/>
      <c r="UC62" s="144"/>
      <c r="UD62" s="144"/>
      <c r="UE62" s="144"/>
      <c r="UF62" s="157"/>
      <c r="UG62" s="157"/>
      <c r="UH62" s="157"/>
      <c r="UI62" s="157"/>
      <c r="UJ62" s="157"/>
      <c r="UK62" s="157"/>
      <c r="UL62" s="157"/>
      <c r="UM62" s="157"/>
      <c r="UN62" s="157"/>
      <c r="UO62" s="157"/>
      <c r="UP62" s="157"/>
      <c r="UQ62" s="158"/>
      <c r="UR62" s="157"/>
      <c r="US62" s="158"/>
      <c r="UT62" s="144"/>
      <c r="UU62" s="144"/>
      <c r="UV62" s="144"/>
      <c r="UW62" s="144"/>
      <c r="UX62" s="144"/>
      <c r="UY62" s="144"/>
      <c r="UZ62" s="144"/>
      <c r="VA62" s="144"/>
      <c r="VB62" s="157"/>
      <c r="VC62" s="157"/>
      <c r="VD62" s="157"/>
      <c r="VE62" s="157"/>
      <c r="VF62" s="157"/>
      <c r="VG62" s="157"/>
      <c r="VH62" s="157"/>
      <c r="VI62" s="157"/>
      <c r="VJ62" s="157"/>
      <c r="VK62" s="157"/>
      <c r="VL62" s="157"/>
      <c r="VM62" s="157"/>
      <c r="VN62" s="157"/>
      <c r="VO62" s="157"/>
      <c r="VP62" s="144"/>
      <c r="VQ62" s="144"/>
      <c r="VR62" s="84"/>
      <c r="VS62" s="84"/>
      <c r="VT62" s="53"/>
      <c r="VU62" s="53"/>
    </row>
    <row r="63" ht="15.75" hidden="1" spans="1:593">
      <c r="A63" s="53"/>
      <c r="B63" s="53"/>
      <c r="C63" s="327" t="s">
        <v>150</v>
      </c>
      <c r="D63" s="327">
        <f t="shared" ref="D63:F63" si="723">D14</f>
        <v>1</v>
      </c>
      <c r="E63" s="327">
        <f t="shared" si="723"/>
        <v>0</v>
      </c>
      <c r="F63" s="161">
        <f t="shared" si="723"/>
        <v>17</v>
      </c>
      <c r="G63" s="161">
        <f t="shared" ref="G63:J63" si="724">I14</f>
        <v>1137</v>
      </c>
      <c r="H63" s="161">
        <f t="shared" si="724"/>
        <v>292884</v>
      </c>
      <c r="I63" s="161">
        <f t="shared" si="724"/>
        <v>380552</v>
      </c>
      <c r="J63" s="161">
        <f t="shared" si="724"/>
        <v>324686</v>
      </c>
      <c r="K63" s="179">
        <f>I63-J63</f>
        <v>55866</v>
      </c>
      <c r="L63" s="328">
        <f>K63/I63</f>
        <v>0.146802539468982</v>
      </c>
      <c r="M63" s="162">
        <f>I63/G63</f>
        <v>334.698328935796</v>
      </c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3"/>
      <c r="AD63" s="293"/>
      <c r="AE63" s="293"/>
      <c r="AF63" s="293"/>
      <c r="AG63" s="293"/>
      <c r="AH63" s="293"/>
      <c r="AI63" s="53"/>
      <c r="AJ63" s="327"/>
      <c r="AK63" s="327"/>
      <c r="AL63" s="327"/>
      <c r="AM63" s="161"/>
      <c r="AN63" s="161"/>
      <c r="AO63" s="161"/>
      <c r="AP63" s="161"/>
      <c r="AQ63" s="161"/>
      <c r="AR63" s="179"/>
      <c r="AS63" s="328"/>
      <c r="AT63" s="162"/>
      <c r="AU63" s="293"/>
      <c r="AV63" s="293"/>
      <c r="AW63" s="293"/>
      <c r="AX63" s="293"/>
      <c r="AY63" s="293"/>
      <c r="AZ63" s="293"/>
      <c r="BA63" s="293"/>
      <c r="BB63" s="293"/>
      <c r="BC63" s="293"/>
      <c r="BD63" s="293"/>
      <c r="BE63" s="293"/>
      <c r="BF63" s="293"/>
      <c r="BG63" s="293"/>
      <c r="BH63" s="293"/>
      <c r="BI63" s="293"/>
      <c r="BJ63" s="293"/>
      <c r="BK63" s="293"/>
      <c r="BL63" s="293"/>
      <c r="BM63" s="293"/>
      <c r="BN63" s="293"/>
      <c r="BO63" s="293"/>
      <c r="BP63" s="53"/>
      <c r="BQ63" s="327"/>
      <c r="BR63" s="327"/>
      <c r="BS63" s="327"/>
      <c r="BT63" s="161"/>
      <c r="BU63" s="161"/>
      <c r="BV63" s="161"/>
      <c r="BW63" s="161"/>
      <c r="BX63" s="161"/>
      <c r="BY63" s="179"/>
      <c r="BZ63" s="328"/>
      <c r="CA63" s="162"/>
      <c r="CB63" s="293"/>
      <c r="CC63" s="293"/>
      <c r="CD63" s="293"/>
      <c r="CE63" s="293"/>
      <c r="CF63" s="293"/>
      <c r="CG63" s="293"/>
      <c r="CH63" s="293"/>
      <c r="CI63" s="293"/>
      <c r="CJ63" s="293"/>
      <c r="CK63" s="293"/>
      <c r="CL63" s="293"/>
      <c r="CM63" s="293"/>
      <c r="CN63" s="293"/>
      <c r="CO63" s="293"/>
      <c r="CP63" s="293"/>
      <c r="CQ63" s="293"/>
      <c r="CR63" s="293"/>
      <c r="CS63" s="293"/>
      <c r="CT63" s="293"/>
      <c r="CU63" s="293"/>
      <c r="CV63" s="293"/>
      <c r="CW63" s="53"/>
      <c r="CX63" s="327"/>
      <c r="CY63" s="327"/>
      <c r="CZ63" s="327"/>
      <c r="DA63" s="161"/>
      <c r="DB63" s="161"/>
      <c r="DC63" s="161"/>
      <c r="DD63" s="161"/>
      <c r="DE63" s="161"/>
      <c r="DF63" s="179"/>
      <c r="DG63" s="328"/>
      <c r="DH63" s="162"/>
      <c r="DI63" s="293"/>
      <c r="DJ63" s="293"/>
      <c r="DK63" s="293"/>
      <c r="DL63" s="293"/>
      <c r="DM63" s="293"/>
      <c r="DN63" s="293"/>
      <c r="DO63" s="293"/>
      <c r="DP63" s="293"/>
      <c r="DQ63" s="293"/>
      <c r="DR63" s="293"/>
      <c r="DS63" s="293"/>
      <c r="DT63" s="293"/>
      <c r="DU63" s="293"/>
      <c r="DV63" s="293"/>
      <c r="DW63" s="293"/>
      <c r="DX63" s="293"/>
      <c r="DY63" s="293"/>
      <c r="DZ63" s="293"/>
      <c r="EA63" s="293"/>
      <c r="EB63" s="293"/>
      <c r="EC63" s="293"/>
      <c r="ED63" s="53"/>
      <c r="EE63" s="300"/>
      <c r="EF63" s="300"/>
      <c r="EG63" s="216"/>
      <c r="EH63" s="216"/>
      <c r="EI63" s="216"/>
      <c r="EJ63" s="216"/>
      <c r="EK63" s="216"/>
      <c r="EL63" s="216"/>
      <c r="EM63" s="218"/>
      <c r="EN63" s="339"/>
      <c r="EO63" s="214"/>
      <c r="EP63" s="53"/>
      <c r="EQ63" s="53"/>
      <c r="ER63" s="192"/>
      <c r="ES63" s="192"/>
      <c r="ET63" s="192"/>
      <c r="EU63" s="192"/>
      <c r="EV63" s="192"/>
      <c r="EW63" s="192"/>
      <c r="EX63" s="192"/>
      <c r="EY63" s="192"/>
      <c r="EZ63" s="192"/>
      <c r="FA63" s="192"/>
      <c r="FB63" s="192"/>
      <c r="FC63" s="192"/>
      <c r="FD63" s="192"/>
      <c r="FE63" s="192"/>
      <c r="FF63" s="192"/>
      <c r="FG63" s="192"/>
      <c r="FH63" s="192"/>
      <c r="FI63" s="192"/>
      <c r="FJ63" s="192"/>
      <c r="FK63" s="53"/>
      <c r="FL63" s="53"/>
      <c r="FM63" s="53"/>
      <c r="FN63" s="329"/>
      <c r="FO63" s="329"/>
      <c r="FP63" s="330"/>
      <c r="FQ63" s="330"/>
      <c r="FR63" s="330"/>
      <c r="FS63" s="330"/>
      <c r="FT63" s="330"/>
      <c r="FU63" s="330"/>
      <c r="FV63" s="331"/>
      <c r="FW63" s="332"/>
      <c r="FX63" s="333"/>
      <c r="FY63" s="53"/>
      <c r="FZ63" s="192"/>
      <c r="GA63" s="192"/>
      <c r="GB63" s="192"/>
      <c r="GC63" s="192"/>
      <c r="GD63" s="192"/>
      <c r="GE63" s="192"/>
      <c r="GF63" s="192"/>
      <c r="GG63" s="192"/>
      <c r="GH63" s="192"/>
      <c r="GI63" s="192"/>
      <c r="GJ63" s="192"/>
      <c r="GK63" s="192"/>
      <c r="GL63" s="192"/>
      <c r="GM63" s="192"/>
      <c r="GN63" s="192"/>
      <c r="GO63" s="192"/>
      <c r="GP63" s="192"/>
      <c r="GQ63" s="192"/>
      <c r="GR63" s="192"/>
      <c r="GS63" s="192"/>
      <c r="GT63" s="53"/>
      <c r="GU63" s="53"/>
      <c r="GV63" s="300"/>
      <c r="GW63" s="300"/>
      <c r="GX63" s="216"/>
      <c r="GY63" s="216"/>
      <c r="GZ63" s="216"/>
      <c r="HA63" s="216"/>
      <c r="HB63" s="216"/>
      <c r="HC63" s="216"/>
      <c r="HD63" s="218"/>
      <c r="HE63" s="339"/>
      <c r="HF63" s="214"/>
      <c r="HI63" s="192"/>
      <c r="HJ63" s="192"/>
      <c r="HK63" s="192"/>
      <c r="HL63" s="192"/>
      <c r="HM63" s="192"/>
      <c r="HN63" s="192"/>
      <c r="HO63" s="192"/>
      <c r="HP63" s="192"/>
      <c r="HQ63" s="192"/>
      <c r="HR63" s="192"/>
      <c r="HS63" s="192"/>
      <c r="HT63" s="192"/>
      <c r="HU63" s="192"/>
      <c r="HV63" s="192"/>
      <c r="HW63" s="192"/>
      <c r="HX63" s="192"/>
      <c r="HY63" s="192"/>
      <c r="HZ63" s="192"/>
      <c r="IA63" s="192"/>
      <c r="IB63" s="53"/>
      <c r="IC63" s="53"/>
      <c r="ID63" s="329"/>
      <c r="IE63" s="329"/>
      <c r="IF63" s="329"/>
      <c r="IG63" s="329"/>
      <c r="IH63" s="330"/>
      <c r="II63" s="330"/>
      <c r="IJ63" s="330"/>
      <c r="IK63" s="330"/>
      <c r="IL63" s="331"/>
      <c r="IM63" s="332"/>
      <c r="IN63" s="333"/>
      <c r="IP63" s="11"/>
      <c r="IQ63" s="192"/>
      <c r="IR63" s="192"/>
      <c r="IS63" s="192"/>
      <c r="IT63" s="192"/>
      <c r="IU63" s="192"/>
      <c r="IV63" s="192"/>
      <c r="IW63" s="192"/>
      <c r="IX63" s="192"/>
      <c r="IY63" s="192"/>
      <c r="IZ63" s="192"/>
      <c r="JA63" s="192"/>
      <c r="JB63" s="192"/>
      <c r="JC63" s="192"/>
      <c r="JD63" s="192"/>
      <c r="JE63" s="192"/>
      <c r="JF63" s="192"/>
      <c r="JG63" s="192"/>
      <c r="JH63" s="192"/>
      <c r="JI63" s="192"/>
      <c r="JJ63" s="53"/>
      <c r="JK63" s="53"/>
      <c r="JL63" s="329"/>
      <c r="JM63" s="329"/>
      <c r="JN63" s="329"/>
      <c r="JO63" s="329"/>
      <c r="JP63" s="330"/>
      <c r="JQ63" s="330"/>
      <c r="JR63" s="330"/>
      <c r="JS63" s="330"/>
      <c r="JT63" s="331"/>
      <c r="JU63" s="335"/>
      <c r="JX63" s="192"/>
      <c r="JY63" s="192"/>
      <c r="JZ63" s="192"/>
      <c r="KA63" s="192"/>
      <c r="KB63" s="192"/>
      <c r="KC63" s="192"/>
      <c r="KD63" s="192"/>
      <c r="KE63" s="192"/>
      <c r="KF63" s="192"/>
      <c r="KG63" s="192"/>
      <c r="KH63" s="192"/>
      <c r="KI63" s="192"/>
      <c r="KJ63" s="192"/>
      <c r="KK63" s="192"/>
      <c r="KL63" s="192"/>
      <c r="KM63" s="192"/>
      <c r="KN63" s="192"/>
      <c r="KO63" s="192"/>
      <c r="KP63" s="192"/>
      <c r="KQ63" s="192"/>
      <c r="KR63" s="53"/>
      <c r="KS63" s="53"/>
      <c r="KT63" s="300"/>
      <c r="KU63" s="300"/>
      <c r="KV63" s="216"/>
      <c r="KW63" s="216"/>
      <c r="KX63" s="216"/>
      <c r="KY63" s="216"/>
      <c r="KZ63" s="216"/>
      <c r="LA63" s="340"/>
      <c r="LB63" s="340"/>
      <c r="LC63" s="340"/>
      <c r="LG63" s="192"/>
      <c r="LH63" s="192"/>
      <c r="LI63" s="192"/>
      <c r="LJ63" s="192"/>
      <c r="LK63" s="192"/>
      <c r="LL63" s="192"/>
      <c r="LM63" s="192"/>
      <c r="LN63" s="192"/>
      <c r="LO63" s="192"/>
      <c r="LP63" s="192"/>
      <c r="LQ63" s="192"/>
      <c r="LR63" s="192"/>
      <c r="LS63" s="192"/>
      <c r="LT63" s="192"/>
      <c r="LU63" s="192"/>
      <c r="LV63" s="192"/>
      <c r="LW63" s="192"/>
      <c r="LX63" s="192"/>
      <c r="LY63" s="192"/>
      <c r="LZ63" s="192"/>
      <c r="MA63" s="192"/>
      <c r="MB63" s="300"/>
      <c r="MC63" s="300"/>
      <c r="MD63" s="216"/>
      <c r="ME63" s="216"/>
      <c r="MF63" s="216"/>
      <c r="MG63" s="216"/>
      <c r="MH63" s="216"/>
      <c r="MI63" s="340"/>
      <c r="MJ63" s="340"/>
      <c r="MK63" s="340"/>
      <c r="MO63" s="192"/>
      <c r="MP63" s="192"/>
      <c r="MQ63" s="192"/>
      <c r="MR63" s="192"/>
      <c r="MS63" s="192"/>
      <c r="MT63" s="192"/>
      <c r="MU63" s="192"/>
      <c r="MV63" s="192"/>
      <c r="MW63" s="192"/>
      <c r="MX63" s="192"/>
      <c r="MY63" s="192"/>
      <c r="MZ63" s="192"/>
      <c r="NA63" s="192"/>
      <c r="NB63" s="192"/>
      <c r="NC63" s="192"/>
      <c r="ND63" s="192"/>
      <c r="NE63" s="192"/>
      <c r="NF63" s="192"/>
      <c r="NG63" s="192"/>
      <c r="NH63" s="53"/>
      <c r="NI63" s="53"/>
      <c r="NJ63" s="300"/>
      <c r="NK63" s="300"/>
      <c r="NL63" s="216"/>
      <c r="NM63" s="216"/>
      <c r="NN63" s="216"/>
      <c r="NO63" s="216"/>
      <c r="NP63" s="216"/>
      <c r="NQ63" s="218"/>
      <c r="NR63" s="339"/>
      <c r="NS63" s="214"/>
      <c r="NT63" s="46"/>
      <c r="NU63" s="46"/>
      <c r="NV63" s="46"/>
      <c r="NW63" s="53"/>
      <c r="NX63" s="53"/>
      <c r="NY63" s="53"/>
      <c r="NZ63" s="53"/>
      <c r="OA63" s="53"/>
      <c r="OB63" s="53"/>
      <c r="OC63" s="53"/>
      <c r="OD63" s="53"/>
      <c r="OE63" s="53"/>
      <c r="OF63" s="53"/>
      <c r="OG63" s="53"/>
      <c r="OH63" s="53"/>
      <c r="OI63" s="53"/>
      <c r="OJ63" s="53"/>
      <c r="OK63" s="53"/>
      <c r="OL63" s="53"/>
      <c r="OM63" s="53"/>
      <c r="ON63" s="53"/>
      <c r="OO63" s="53"/>
      <c r="OP63" s="53"/>
      <c r="OQ63" s="53"/>
      <c r="OR63" s="53"/>
      <c r="OS63" s="336"/>
      <c r="OT63" s="336"/>
      <c r="OU63" s="172"/>
      <c r="OV63" s="172"/>
      <c r="OW63" s="172"/>
      <c r="OX63" s="172"/>
      <c r="OY63" s="172"/>
      <c r="OZ63" s="171"/>
      <c r="PA63" s="337"/>
      <c r="PB63" s="170"/>
      <c r="PC63" s="144"/>
      <c r="PD63" s="144"/>
      <c r="PE63" s="144"/>
      <c r="PF63" s="144"/>
      <c r="PG63" s="144"/>
      <c r="PH63" s="144"/>
      <c r="PI63" s="144"/>
      <c r="PJ63" s="144"/>
      <c r="PK63" s="144"/>
      <c r="PL63" s="144"/>
      <c r="PM63" s="144"/>
      <c r="PN63" s="144"/>
      <c r="PO63" s="144"/>
      <c r="PP63" s="144"/>
      <c r="PQ63" s="144"/>
      <c r="PR63" s="144"/>
      <c r="PS63" s="144"/>
      <c r="PT63" s="146"/>
      <c r="PU63" s="336"/>
      <c r="PV63" s="336"/>
      <c r="PW63" s="336"/>
      <c r="PX63" s="336"/>
      <c r="PY63" s="336"/>
      <c r="PZ63" s="336"/>
      <c r="QA63" s="336"/>
      <c r="QB63" s="336"/>
      <c r="QC63" s="336"/>
      <c r="QD63" s="336"/>
      <c r="QE63" s="146"/>
      <c r="QF63" s="146"/>
      <c r="QG63" s="146"/>
      <c r="QH63" s="146"/>
      <c r="QI63" s="146"/>
      <c r="QJ63" s="146"/>
      <c r="QK63" s="146"/>
      <c r="QL63" s="146"/>
      <c r="QM63" s="146"/>
      <c r="QN63" s="146"/>
      <c r="QO63" s="146"/>
      <c r="QP63" s="146"/>
      <c r="QQ63" s="146"/>
      <c r="QR63" s="146"/>
      <c r="QS63" s="144"/>
      <c r="QT63" s="144"/>
      <c r="QU63" s="144"/>
      <c r="QV63" s="144"/>
      <c r="QW63" s="144"/>
      <c r="QX63" s="144"/>
      <c r="QY63" s="144"/>
      <c r="QZ63" s="144"/>
      <c r="RA63" s="144"/>
      <c r="RB63" s="144"/>
      <c r="RC63" s="144"/>
      <c r="RD63" s="144"/>
      <c r="RE63" s="144"/>
      <c r="RF63" s="144"/>
      <c r="RG63" s="144"/>
      <c r="RH63" s="144"/>
      <c r="RI63" s="144"/>
      <c r="RJ63" s="144"/>
      <c r="RK63" s="144"/>
      <c r="RL63" s="144"/>
      <c r="RM63" s="144"/>
      <c r="RN63" s="144"/>
      <c r="RO63" s="144"/>
      <c r="RP63" s="144"/>
      <c r="RQ63" s="144"/>
      <c r="RR63" s="144"/>
      <c r="RS63" s="144"/>
      <c r="RT63" s="144"/>
      <c r="RU63" s="144"/>
      <c r="RV63" s="144"/>
      <c r="RW63" s="144"/>
      <c r="RX63" s="144"/>
      <c r="RY63" s="144"/>
      <c r="RZ63" s="144"/>
      <c r="SA63" s="144"/>
      <c r="SB63" s="144"/>
      <c r="SC63" s="144"/>
      <c r="SD63" s="144"/>
      <c r="SE63" s="144"/>
      <c r="SF63" s="144"/>
      <c r="SG63" s="144"/>
      <c r="SH63" s="144"/>
      <c r="SI63" s="144"/>
      <c r="SJ63" s="144"/>
      <c r="SK63" s="144"/>
      <c r="SL63" s="144"/>
      <c r="SM63" s="84"/>
      <c r="SN63" s="84"/>
      <c r="SO63" s="154"/>
      <c r="SP63" s="154"/>
      <c r="SQ63" s="154"/>
      <c r="SR63" s="154"/>
      <c r="SS63" s="154"/>
      <c r="ST63" s="154"/>
      <c r="SU63" s="155"/>
      <c r="SV63" s="154"/>
      <c r="SW63" s="154"/>
      <c r="SX63" s="155"/>
      <c r="SY63" s="155"/>
      <c r="SZ63" s="155"/>
      <c r="TA63" s="155"/>
      <c r="TB63" s="155"/>
      <c r="TC63" s="155"/>
      <c r="TD63" s="155"/>
      <c r="TE63" s="156"/>
      <c r="TF63" s="144"/>
      <c r="TG63" s="84"/>
      <c r="TH63" s="144"/>
      <c r="TI63" s="144"/>
      <c r="TJ63" s="144"/>
      <c r="TK63" s="144"/>
      <c r="TL63" s="157"/>
      <c r="TM63" s="157"/>
      <c r="TN63" s="157"/>
      <c r="TO63" s="157"/>
      <c r="TP63" s="157"/>
      <c r="TQ63" s="157"/>
      <c r="TR63" s="157"/>
      <c r="TS63" s="157"/>
      <c r="TT63" s="157"/>
      <c r="TU63" s="158"/>
      <c r="TV63" s="157"/>
      <c r="TW63" s="158"/>
      <c r="TX63" s="144"/>
      <c r="TY63" s="144"/>
      <c r="TZ63" s="144"/>
      <c r="UA63" s="84"/>
      <c r="UB63" s="144"/>
      <c r="UC63" s="144"/>
      <c r="UD63" s="144"/>
      <c r="UE63" s="144"/>
      <c r="UF63" s="157"/>
      <c r="UG63" s="157"/>
      <c r="UH63" s="157"/>
      <c r="UI63" s="157"/>
      <c r="UJ63" s="157"/>
      <c r="UK63" s="157"/>
      <c r="UL63" s="157"/>
      <c r="UM63" s="157"/>
      <c r="UN63" s="157"/>
      <c r="UO63" s="157"/>
      <c r="UP63" s="157"/>
      <c r="UQ63" s="158"/>
      <c r="UR63" s="157"/>
      <c r="US63" s="158"/>
      <c r="UT63" s="144"/>
      <c r="UU63" s="144"/>
      <c r="UV63" s="144"/>
      <c r="UW63" s="144"/>
      <c r="UX63" s="144"/>
      <c r="UY63" s="144"/>
      <c r="UZ63" s="144"/>
      <c r="VA63" s="144"/>
      <c r="VB63" s="157"/>
      <c r="VC63" s="157"/>
      <c r="VD63" s="157"/>
      <c r="VE63" s="157"/>
      <c r="VF63" s="157"/>
      <c r="VG63" s="157"/>
      <c r="VH63" s="157"/>
      <c r="VI63" s="157"/>
      <c r="VJ63" s="157"/>
      <c r="VK63" s="157"/>
      <c r="VL63" s="157"/>
      <c r="VM63" s="157"/>
      <c r="VN63" s="157"/>
      <c r="VO63" s="157"/>
      <c r="VP63" s="144"/>
      <c r="VQ63" s="144"/>
      <c r="VR63" s="84"/>
      <c r="VS63" s="84"/>
      <c r="VT63" s="53"/>
      <c r="VU63" s="53"/>
    </row>
    <row r="64" ht="15.75" spans="1:593">
      <c r="A64" s="53"/>
      <c r="B64" s="53"/>
      <c r="C64" s="236" t="s">
        <v>153</v>
      </c>
      <c r="D64" s="235">
        <f t="shared" ref="D64:K64" si="725">D51+D53+D54+D57</f>
        <v>11</v>
      </c>
      <c r="E64" s="235">
        <f t="shared" si="725"/>
        <v>9</v>
      </c>
      <c r="F64" s="235">
        <f t="shared" si="725"/>
        <v>9</v>
      </c>
      <c r="G64" s="236">
        <f t="shared" si="725"/>
        <v>13933</v>
      </c>
      <c r="H64" s="236">
        <f t="shared" si="725"/>
        <v>2203945</v>
      </c>
      <c r="I64" s="236">
        <f t="shared" si="725"/>
        <v>3065939</v>
      </c>
      <c r="J64" s="236">
        <f t="shared" si="725"/>
        <v>2026375.08</v>
      </c>
      <c r="K64" s="236">
        <f t="shared" si="725"/>
        <v>1039563.92</v>
      </c>
      <c r="L64" s="240">
        <f>K64/I64</f>
        <v>0.339068689885872</v>
      </c>
      <c r="M64" s="236">
        <f>I64/G64</f>
        <v>220.048733223283</v>
      </c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93"/>
      <c r="AB64" s="293"/>
      <c r="AC64" s="293"/>
      <c r="AD64" s="293"/>
      <c r="AE64" s="293"/>
      <c r="AF64" s="293"/>
      <c r="AG64" s="293"/>
      <c r="AH64" s="293"/>
      <c r="AI64" s="53"/>
      <c r="AJ64" s="236" t="s">
        <v>153</v>
      </c>
      <c r="AK64" s="235">
        <f t="shared" ref="AK64:AR64" si="726">AK51+AK53+AK54+AK57</f>
        <v>8</v>
      </c>
      <c r="AL64" s="235">
        <f t="shared" si="726"/>
        <v>10</v>
      </c>
      <c r="AM64" s="235">
        <f t="shared" si="726"/>
        <v>10</v>
      </c>
      <c r="AN64" s="236">
        <f t="shared" si="726"/>
        <v>15548</v>
      </c>
      <c r="AO64" s="236">
        <f t="shared" si="726"/>
        <v>2409654</v>
      </c>
      <c r="AP64" s="236">
        <f t="shared" si="726"/>
        <v>3893682</v>
      </c>
      <c r="AQ64" s="236">
        <f t="shared" si="726"/>
        <v>2203704.48</v>
      </c>
      <c r="AR64" s="236">
        <f t="shared" si="726"/>
        <v>1689977.52</v>
      </c>
      <c r="AS64" s="240">
        <f>AR64/AP64</f>
        <v>0.434030698963089</v>
      </c>
      <c r="AT64" s="236">
        <f>AP64/AN64</f>
        <v>250.429765886288</v>
      </c>
      <c r="AU64" s="293"/>
      <c r="AV64" s="293"/>
      <c r="AW64" s="293"/>
      <c r="AX64" s="293"/>
      <c r="AY64" s="293"/>
      <c r="AZ64" s="293"/>
      <c r="BA64" s="293"/>
      <c r="BB64" s="293"/>
      <c r="BC64" s="293"/>
      <c r="BD64" s="293"/>
      <c r="BE64" s="293"/>
      <c r="BF64" s="293"/>
      <c r="BG64" s="293"/>
      <c r="BH64" s="293"/>
      <c r="BI64" s="293"/>
      <c r="BJ64" s="293"/>
      <c r="BK64" s="293"/>
      <c r="BL64" s="293"/>
      <c r="BM64" s="293"/>
      <c r="BN64" s="293"/>
      <c r="BO64" s="293"/>
      <c r="BP64" s="53"/>
      <c r="BQ64" s="236" t="s">
        <v>153</v>
      </c>
      <c r="BR64" s="235">
        <f t="shared" ref="BR64:BY64" si="727">BR51+BR53+BR54+BR57</f>
        <v>7</v>
      </c>
      <c r="BS64" s="235">
        <f t="shared" si="727"/>
        <v>9</v>
      </c>
      <c r="BT64" s="235">
        <f t="shared" si="727"/>
        <v>300</v>
      </c>
      <c r="BU64" s="236">
        <f t="shared" si="727"/>
        <v>10829</v>
      </c>
      <c r="BV64" s="236">
        <f t="shared" si="727"/>
        <v>1696448.4</v>
      </c>
      <c r="BW64" s="236">
        <f t="shared" si="727"/>
        <v>2427748.7</v>
      </c>
      <c r="BX64" s="236">
        <f t="shared" si="727"/>
        <v>1544222.96</v>
      </c>
      <c r="BY64" s="236">
        <f t="shared" si="727"/>
        <v>883525.74</v>
      </c>
      <c r="BZ64" s="240">
        <f>BY64/BW64</f>
        <v>0.363928004574773</v>
      </c>
      <c r="CA64" s="236">
        <f>BW64/BU64</f>
        <v>224.189555822329</v>
      </c>
      <c r="CB64" s="293"/>
      <c r="CC64" s="293"/>
      <c r="CD64" s="293"/>
      <c r="CE64" s="293"/>
      <c r="CF64" s="293"/>
      <c r="CG64" s="293"/>
      <c r="CH64" s="293"/>
      <c r="CI64" s="293"/>
      <c r="CJ64" s="293"/>
      <c r="CK64" s="293"/>
      <c r="CL64" s="293"/>
      <c r="CM64" s="293"/>
      <c r="CN64" s="293"/>
      <c r="CO64" s="293"/>
      <c r="CP64" s="293"/>
      <c r="CQ64" s="293"/>
      <c r="CR64" s="293"/>
      <c r="CS64" s="293"/>
      <c r="CT64" s="293"/>
      <c r="CU64" s="293"/>
      <c r="CV64" s="293"/>
      <c r="CW64" s="53"/>
      <c r="CX64" s="236" t="s">
        <v>153</v>
      </c>
      <c r="CY64" s="235">
        <f t="shared" ref="CY64:DE64" si="728">SUM(CY51:CY60)</f>
        <v>0</v>
      </c>
      <c r="CZ64" s="235">
        <f t="shared" si="728"/>
        <v>10</v>
      </c>
      <c r="DA64" s="235">
        <f t="shared" si="728"/>
        <v>11</v>
      </c>
      <c r="DB64" s="236">
        <f t="shared" si="728"/>
        <v>15275</v>
      </c>
      <c r="DC64" s="236">
        <f t="shared" si="728"/>
        <v>2276296</v>
      </c>
      <c r="DD64" s="236">
        <f t="shared" si="728"/>
        <v>3650994</v>
      </c>
      <c r="DE64" s="236">
        <f t="shared" si="728"/>
        <v>2070114.05</v>
      </c>
      <c r="DF64" s="236">
        <f>DD64-DE64</f>
        <v>1580879.95</v>
      </c>
      <c r="DG64" s="240">
        <f>DF64/DD64</f>
        <v>0.432999876198098</v>
      </c>
      <c r="DH64" s="236">
        <f>DD64/DB64</f>
        <v>239.017610474632</v>
      </c>
      <c r="DI64" s="293"/>
      <c r="DJ64" s="293"/>
      <c r="DK64" s="293"/>
      <c r="DL64" s="293"/>
      <c r="DM64" s="293"/>
      <c r="DN64" s="293"/>
      <c r="DO64" s="293"/>
      <c r="DP64" s="293"/>
      <c r="DQ64" s="293"/>
      <c r="DR64" s="293"/>
      <c r="DS64" s="293"/>
      <c r="DT64" s="293"/>
      <c r="DU64" s="293"/>
      <c r="DV64" s="293"/>
      <c r="DW64" s="293"/>
      <c r="DX64" s="293"/>
      <c r="DY64" s="293"/>
      <c r="DZ64" s="293"/>
      <c r="EA64" s="293"/>
      <c r="EB64" s="293"/>
      <c r="EC64" s="293"/>
      <c r="ED64" s="53"/>
      <c r="EE64" s="243" t="s">
        <v>153</v>
      </c>
      <c r="EF64" s="242">
        <f t="shared" ref="EF64:EL64" si="729">SUM(EF51:EF60)</f>
        <v>12</v>
      </c>
      <c r="EG64" s="242">
        <f t="shared" si="729"/>
        <v>11</v>
      </c>
      <c r="EH64" s="242">
        <f t="shared" si="729"/>
        <v>417</v>
      </c>
      <c r="EI64" s="243">
        <f t="shared" si="729"/>
        <v>23525</v>
      </c>
      <c r="EJ64" s="243">
        <f t="shared" si="729"/>
        <v>3654209.51</v>
      </c>
      <c r="EK64" s="243">
        <f t="shared" si="729"/>
        <v>5594475.51</v>
      </c>
      <c r="EL64" s="243">
        <f t="shared" si="729"/>
        <v>3153773.54</v>
      </c>
      <c r="EM64" s="244">
        <f>EK64-EL64</f>
        <v>2440701.97</v>
      </c>
      <c r="EN64" s="247">
        <f>EM64/EK64</f>
        <v>0.436270024891038</v>
      </c>
      <c r="EO64" s="243">
        <f>EK64/EI64</f>
        <v>237.809798512221</v>
      </c>
      <c r="EP64" s="53"/>
      <c r="EQ64" s="53"/>
      <c r="ER64" s="192"/>
      <c r="ES64" s="192"/>
      <c r="ET64" s="192"/>
      <c r="EU64" s="192"/>
      <c r="EV64" s="192"/>
      <c r="EW64" s="192"/>
      <c r="EX64" s="192"/>
      <c r="EY64" s="192"/>
      <c r="EZ64" s="192"/>
      <c r="FA64" s="192"/>
      <c r="FB64" s="192"/>
      <c r="FC64" s="192"/>
      <c r="FD64" s="192"/>
      <c r="FE64" s="192"/>
      <c r="FF64" s="192"/>
      <c r="FG64" s="192"/>
      <c r="FH64" s="192"/>
      <c r="FI64" s="192"/>
      <c r="FJ64" s="192"/>
      <c r="FK64" s="53"/>
      <c r="FL64" s="53"/>
      <c r="FM64" s="53"/>
      <c r="FN64" s="341" t="s">
        <v>153</v>
      </c>
      <c r="FO64" s="342">
        <f t="shared" ref="FO64:FU64" si="730">SUM(FO51:FO60)</f>
        <v>12</v>
      </c>
      <c r="FP64" s="342">
        <f t="shared" si="730"/>
        <v>14</v>
      </c>
      <c r="FQ64" s="342">
        <f t="shared" si="730"/>
        <v>550</v>
      </c>
      <c r="FR64" s="343">
        <f t="shared" si="730"/>
        <v>25100</v>
      </c>
      <c r="FS64" s="343">
        <f t="shared" si="730"/>
        <v>3923093.21</v>
      </c>
      <c r="FT64" s="343">
        <f t="shared" si="730"/>
        <v>6290027.21</v>
      </c>
      <c r="FU64" s="343">
        <f t="shared" si="730"/>
        <v>3846324.2</v>
      </c>
      <c r="FV64" s="344">
        <f>FT64-FU64</f>
        <v>2443703.01</v>
      </c>
      <c r="FW64" s="345">
        <f>FV64/FT64</f>
        <v>0.38850436228876</v>
      </c>
      <c r="FX64" s="343">
        <f>FT64/FR64</f>
        <v>250.598693625498</v>
      </c>
      <c r="FY64" s="53"/>
      <c r="FZ64" s="192"/>
      <c r="GA64" s="192"/>
      <c r="GB64" s="192"/>
      <c r="GC64" s="192"/>
      <c r="GD64" s="192"/>
      <c r="GE64" s="192"/>
      <c r="GF64" s="192"/>
      <c r="GG64" s="192"/>
      <c r="GH64" s="192"/>
      <c r="GI64" s="192"/>
      <c r="GJ64" s="192"/>
      <c r="GK64" s="192"/>
      <c r="GL64" s="192"/>
      <c r="GM64" s="192"/>
      <c r="GN64" s="192"/>
      <c r="GO64" s="192"/>
      <c r="GP64" s="192"/>
      <c r="GQ64" s="192"/>
      <c r="GR64" s="192"/>
      <c r="GS64" s="192"/>
      <c r="GT64" s="53"/>
      <c r="GU64" s="53"/>
      <c r="GV64" s="343" t="s">
        <v>153</v>
      </c>
      <c r="GW64" s="343">
        <f t="shared" ref="GW64:HC64" si="731">SUM(GW51:GW60)</f>
        <v>13</v>
      </c>
      <c r="GX64" s="343">
        <f t="shared" si="731"/>
        <v>13</v>
      </c>
      <c r="GY64" s="343">
        <f t="shared" si="731"/>
        <v>417</v>
      </c>
      <c r="GZ64" s="343">
        <f t="shared" si="731"/>
        <v>22281</v>
      </c>
      <c r="HA64" s="343">
        <f t="shared" si="731"/>
        <v>3494216.1082</v>
      </c>
      <c r="HB64" s="343">
        <f t="shared" si="731"/>
        <v>5017472.89</v>
      </c>
      <c r="HC64" s="343">
        <f t="shared" si="731"/>
        <v>3430372</v>
      </c>
      <c r="HD64" s="343">
        <f>HB64-HC64</f>
        <v>1587100.89</v>
      </c>
      <c r="HE64" s="343">
        <f>HD64/HB64</f>
        <v>0.316314791289286</v>
      </c>
      <c r="HF64" s="343">
        <f>HB64/GZ64</f>
        <v>225.19065077869</v>
      </c>
      <c r="HI64" s="192"/>
      <c r="HJ64" s="192"/>
      <c r="HK64" s="192"/>
      <c r="HL64" s="192"/>
      <c r="HM64" s="192"/>
      <c r="HN64" s="192"/>
      <c r="HO64" s="192"/>
      <c r="HP64" s="192"/>
      <c r="HQ64" s="192"/>
      <c r="HR64" s="192"/>
      <c r="HS64" s="192"/>
      <c r="HT64" s="192"/>
      <c r="HU64" s="192"/>
      <c r="HV64" s="192"/>
      <c r="HW64" s="192"/>
      <c r="HX64" s="192"/>
      <c r="HY64" s="192"/>
      <c r="HZ64" s="192"/>
      <c r="IA64" s="192"/>
      <c r="IB64" s="53"/>
      <c r="IC64" s="53"/>
      <c r="ID64" s="343" t="s">
        <v>153</v>
      </c>
      <c r="IE64" s="343">
        <f t="shared" ref="IE64:IK64" si="732">SUM(IE51:IE60)</f>
        <v>26</v>
      </c>
      <c r="IF64" s="343">
        <f t="shared" si="732"/>
        <v>0</v>
      </c>
      <c r="IG64" s="343">
        <f t="shared" si="732"/>
        <v>401</v>
      </c>
      <c r="IH64" s="343">
        <f t="shared" si="732"/>
        <v>31530</v>
      </c>
      <c r="II64" s="343">
        <f t="shared" si="732"/>
        <v>4894721.85</v>
      </c>
      <c r="IJ64" s="343">
        <f t="shared" si="732"/>
        <v>7169762.84</v>
      </c>
      <c r="IK64" s="343">
        <f t="shared" si="732"/>
        <v>4592105.56</v>
      </c>
      <c r="IL64" s="343">
        <f>IJ64-IK64</f>
        <v>2577657.28</v>
      </c>
      <c r="IM64" s="343">
        <f>IL64/IJ64</f>
        <v>0.359517788457282</v>
      </c>
      <c r="IN64" s="343">
        <f>IJ64/IH64</f>
        <v>227.394952109102</v>
      </c>
      <c r="IP64" s="11"/>
      <c r="IQ64" s="192"/>
      <c r="IR64" s="192"/>
      <c r="IS64" s="192"/>
      <c r="IT64" s="192"/>
      <c r="IU64" s="192"/>
      <c r="IV64" s="192"/>
      <c r="IW64" s="192"/>
      <c r="IX64" s="192"/>
      <c r="IY64" s="192"/>
      <c r="IZ64" s="192"/>
      <c r="JA64" s="192"/>
      <c r="JB64" s="192"/>
      <c r="JC64" s="192"/>
      <c r="JD64" s="192"/>
      <c r="JE64" s="192"/>
      <c r="JF64" s="192"/>
      <c r="JG64" s="192"/>
      <c r="JH64" s="192"/>
      <c r="JI64" s="192"/>
      <c r="JJ64" s="53"/>
      <c r="JK64" s="53"/>
      <c r="JL64" s="343" t="s">
        <v>153</v>
      </c>
      <c r="JM64" s="343">
        <f t="shared" ref="JM64:JR64" si="733">SUM(JM51:JM60)</f>
        <v>31</v>
      </c>
      <c r="JN64" s="343">
        <f t="shared" si="733"/>
        <v>109</v>
      </c>
      <c r="JO64" s="343">
        <f t="shared" si="733"/>
        <v>25031</v>
      </c>
      <c r="JP64" s="343">
        <f t="shared" si="733"/>
        <v>3843437</v>
      </c>
      <c r="JQ64" s="343">
        <f t="shared" si="733"/>
        <v>5553326</v>
      </c>
      <c r="JR64" s="343">
        <f t="shared" si="733"/>
        <v>3570139</v>
      </c>
      <c r="JS64" s="343">
        <f>JQ64-JR64</f>
        <v>1983187</v>
      </c>
      <c r="JT64" s="346">
        <f>JS64/JQ64</f>
        <v>0.357116978185685</v>
      </c>
      <c r="JU64" s="343">
        <f>JQ64/JO64</f>
        <v>221.857936159163</v>
      </c>
      <c r="JX64" s="192"/>
      <c r="JY64" s="192"/>
      <c r="JZ64" s="192"/>
      <c r="KA64" s="192"/>
      <c r="KB64" s="192"/>
      <c r="KC64" s="192"/>
      <c r="KD64" s="192"/>
      <c r="KE64" s="192"/>
      <c r="KF64" s="192"/>
      <c r="KG64" s="192"/>
      <c r="KH64" s="192"/>
      <c r="KI64" s="192"/>
      <c r="KJ64" s="192"/>
      <c r="KK64" s="192"/>
      <c r="KL64" s="192"/>
      <c r="KM64" s="192"/>
      <c r="KN64" s="192"/>
      <c r="KO64" s="192"/>
      <c r="KP64" s="192"/>
      <c r="KQ64" s="192"/>
      <c r="KR64" s="53"/>
      <c r="KS64" s="53"/>
      <c r="KT64" s="343" t="s">
        <v>153</v>
      </c>
      <c r="KU64" s="343">
        <v>31</v>
      </c>
      <c r="KV64" s="343">
        <v>952</v>
      </c>
      <c r="KW64" s="343">
        <v>44176</v>
      </c>
      <c r="KX64" s="343">
        <v>6768998</v>
      </c>
      <c r="KY64" s="343">
        <v>10069307</v>
      </c>
      <c r="KZ64" s="343">
        <v>6846573.48</v>
      </c>
      <c r="LA64" s="343">
        <v>3222733.52</v>
      </c>
      <c r="LB64" s="346">
        <v>0.320055145800997</v>
      </c>
      <c r="LC64" s="343">
        <v>227.936141796451</v>
      </c>
      <c r="LF64" s="11"/>
      <c r="LG64" s="192"/>
      <c r="LH64" s="192"/>
      <c r="LI64" s="192"/>
      <c r="LJ64" s="192"/>
      <c r="LK64" s="192"/>
      <c r="LL64" s="192"/>
      <c r="LM64" s="192"/>
      <c r="LN64" s="192"/>
      <c r="LO64" s="192"/>
      <c r="LP64" s="192"/>
      <c r="LQ64" s="192"/>
      <c r="LR64" s="192"/>
      <c r="LS64" s="192"/>
      <c r="LT64" s="192"/>
      <c r="LU64" s="192"/>
      <c r="LV64" s="192"/>
      <c r="LW64" s="192"/>
      <c r="LX64" s="192"/>
      <c r="LY64" s="192"/>
      <c r="LZ64" s="192"/>
      <c r="MA64" s="192"/>
      <c r="MB64" s="343" t="s">
        <v>153</v>
      </c>
      <c r="MC64" s="343">
        <f t="shared" ref="MC64:MH64" si="734">SUM(MC51:MC60)</f>
        <v>32</v>
      </c>
      <c r="MD64" s="343">
        <f t="shared" si="734"/>
        <v>1113</v>
      </c>
      <c r="ME64" s="343">
        <f t="shared" si="734"/>
        <v>67995</v>
      </c>
      <c r="MF64" s="343">
        <f t="shared" si="734"/>
        <v>10169622.44</v>
      </c>
      <c r="MG64" s="343">
        <f t="shared" si="734"/>
        <v>15511479</v>
      </c>
      <c r="MH64" s="343">
        <f t="shared" si="734"/>
        <v>10531421</v>
      </c>
      <c r="MI64" s="343">
        <f>MG64-MH64</f>
        <v>4980058</v>
      </c>
      <c r="MJ64" s="346">
        <f>MI64/MG64</f>
        <v>0.321056296436981</v>
      </c>
      <c r="MK64" s="343">
        <f>MG64/ME64</f>
        <v>228.126759320538</v>
      </c>
      <c r="MO64" s="192"/>
      <c r="MP64" s="192"/>
      <c r="MQ64" s="192"/>
      <c r="MR64" s="192"/>
      <c r="MS64" s="192"/>
      <c r="MT64" s="192"/>
      <c r="MU64" s="192"/>
      <c r="MV64" s="192"/>
      <c r="MW64" s="192"/>
      <c r="MX64" s="192"/>
      <c r="MY64" s="192"/>
      <c r="MZ64" s="192"/>
      <c r="NA64" s="192"/>
      <c r="NB64" s="192"/>
      <c r="NC64" s="192"/>
      <c r="ND64" s="192"/>
      <c r="NE64" s="192"/>
      <c r="NF64" s="192"/>
      <c r="NG64" s="192"/>
      <c r="NH64" s="53"/>
      <c r="NI64" s="53"/>
      <c r="NJ64" s="343" t="s">
        <v>153</v>
      </c>
      <c r="NK64" s="343">
        <f t="shared" ref="NK64:NP64" si="735">SUM(NK51:NK60)</f>
        <v>35</v>
      </c>
      <c r="NL64" s="343">
        <f t="shared" si="735"/>
        <v>851</v>
      </c>
      <c r="NM64" s="343">
        <f t="shared" si="735"/>
        <v>73151</v>
      </c>
      <c r="NN64" s="343">
        <f t="shared" si="735"/>
        <v>10766364.02</v>
      </c>
      <c r="NO64" s="343">
        <f t="shared" si="735"/>
        <v>15669759.22</v>
      </c>
      <c r="NP64" s="343">
        <f t="shared" si="735"/>
        <v>10329120</v>
      </c>
      <c r="NQ64" s="343">
        <f t="shared" ref="NQ64:NQ72" si="736">NO64-NP64</f>
        <v>5340639.22</v>
      </c>
      <c r="NR64" s="346">
        <f t="shared" ref="NR64:NR72" si="737">NQ64/NO64</f>
        <v>0.340824587348063</v>
      </c>
      <c r="NS64" s="343">
        <f t="shared" ref="NS64:NS72" si="738">NO64/NM64</f>
        <v>214.211141611188</v>
      </c>
      <c r="NT64" s="46"/>
      <c r="NU64" s="46"/>
      <c r="NV64" s="46"/>
      <c r="NW64" s="53"/>
      <c r="NX64" s="53"/>
      <c r="NY64" s="53"/>
      <c r="NZ64" s="53"/>
      <c r="OA64" s="53"/>
      <c r="OB64" s="53"/>
      <c r="OC64" s="53"/>
      <c r="OD64" s="53"/>
      <c r="OE64" s="53"/>
      <c r="OF64" s="53"/>
      <c r="OG64" s="53"/>
      <c r="OH64" s="53"/>
      <c r="OI64" s="53"/>
      <c r="OJ64" s="53"/>
      <c r="OK64" s="53"/>
      <c r="OL64" s="53"/>
      <c r="OM64" s="53"/>
      <c r="ON64" s="53"/>
      <c r="OO64" s="53"/>
      <c r="OP64" s="53"/>
      <c r="OQ64" s="53"/>
      <c r="OR64" s="53"/>
      <c r="OS64" s="243" t="s">
        <v>153</v>
      </c>
      <c r="OT64" s="242">
        <f t="shared" ref="OT64:OY64" si="739">SUM(OT51:OT60)</f>
        <v>31</v>
      </c>
      <c r="OU64" s="242">
        <f t="shared" si="739"/>
        <v>1029</v>
      </c>
      <c r="OV64" s="243">
        <f t="shared" si="739"/>
        <v>90387</v>
      </c>
      <c r="OW64" s="243">
        <f t="shared" si="739"/>
        <v>12853449.86</v>
      </c>
      <c r="OX64" s="243">
        <f t="shared" si="739"/>
        <v>17788355</v>
      </c>
      <c r="OY64" s="243">
        <f t="shared" si="739"/>
        <v>11166247</v>
      </c>
      <c r="OZ64" s="244">
        <f t="shared" ref="OZ64:OZ72" si="740">OX64-OY64</f>
        <v>6622108</v>
      </c>
      <c r="PA64" s="247">
        <f t="shared" ref="PA64:PA72" si="741">OZ64/OX64</f>
        <v>0.37227208474308</v>
      </c>
      <c r="PB64" s="243">
        <f t="shared" ref="PB64:PB72" si="742">OX64/OV64</f>
        <v>196.802139688229</v>
      </c>
      <c r="PC64" s="144"/>
      <c r="PD64" s="144"/>
      <c r="PE64" s="144"/>
      <c r="PF64" s="144"/>
      <c r="PG64" s="144"/>
      <c r="PH64" s="144"/>
      <c r="PI64" s="144"/>
      <c r="PJ64" s="144"/>
      <c r="PK64" s="144"/>
      <c r="PL64" s="144"/>
      <c r="PM64" s="144"/>
      <c r="PN64" s="144"/>
      <c r="PO64" s="144"/>
      <c r="PP64" s="144"/>
      <c r="PQ64" s="144"/>
      <c r="PR64" s="144"/>
      <c r="PS64" s="144"/>
      <c r="PT64" s="146"/>
      <c r="PU64" s="243" t="s">
        <v>153</v>
      </c>
      <c r="PV64" s="242">
        <f t="shared" ref="PV64:QA64" si="743">SUM(PV51:PV60)</f>
        <v>30</v>
      </c>
      <c r="PW64" s="242">
        <f t="shared" si="743"/>
        <v>1223</v>
      </c>
      <c r="PX64" s="243">
        <f t="shared" si="743"/>
        <v>76919</v>
      </c>
      <c r="PY64" s="243">
        <f t="shared" si="743"/>
        <v>11470292.5</v>
      </c>
      <c r="PZ64" s="243">
        <f t="shared" si="743"/>
        <v>14823512</v>
      </c>
      <c r="QA64" s="243">
        <f t="shared" si="743"/>
        <v>9017672</v>
      </c>
      <c r="QB64" s="244">
        <f t="shared" ref="QB64:QB72" si="744">PZ64-QA64</f>
        <v>5805840</v>
      </c>
      <c r="QC64" s="247">
        <f t="shared" ref="QC64:QC72" si="745">QB64/PZ64</f>
        <v>0.391664269573904</v>
      </c>
      <c r="QD64" s="243">
        <f t="shared" ref="QD64:QD72" si="746">PZ64/PX64</f>
        <v>192.715869941107</v>
      </c>
      <c r="QE64" s="146"/>
      <c r="QF64" s="146"/>
      <c r="QG64" s="146"/>
      <c r="QH64" s="146"/>
      <c r="QI64" s="146"/>
      <c r="QJ64" s="146"/>
      <c r="QK64" s="146"/>
      <c r="QL64" s="146"/>
      <c r="QM64" s="146"/>
      <c r="QN64" s="146"/>
      <c r="QO64" s="146"/>
      <c r="QP64" s="146"/>
      <c r="QQ64" s="146"/>
      <c r="QR64" s="146"/>
      <c r="QS64" s="144"/>
      <c r="QT64" s="144"/>
      <c r="QU64" s="144"/>
      <c r="QV64" s="144"/>
      <c r="QW64" s="144"/>
      <c r="QX64" s="144"/>
      <c r="QY64" s="144"/>
      <c r="QZ64" s="144"/>
      <c r="RA64" s="144"/>
      <c r="RB64" s="144"/>
      <c r="RC64" s="144"/>
      <c r="RD64" s="144"/>
      <c r="RE64" s="144"/>
      <c r="RF64" s="144"/>
      <c r="RG64" s="144"/>
      <c r="RH64" s="144"/>
      <c r="RI64" s="144"/>
      <c r="RJ64" s="144"/>
      <c r="RK64" s="144"/>
      <c r="RL64" s="144"/>
      <c r="RM64" s="144"/>
      <c r="RN64" s="144"/>
      <c r="RO64" s="144"/>
      <c r="RP64" s="144"/>
      <c r="RQ64" s="144"/>
      <c r="RR64" s="144"/>
      <c r="RS64" s="144"/>
      <c r="RT64" s="144"/>
      <c r="RU64" s="144"/>
      <c r="RV64" s="144"/>
      <c r="RW64" s="144"/>
      <c r="RX64" s="144"/>
      <c r="RY64" s="144"/>
      <c r="RZ64" s="144"/>
      <c r="SA64" s="144"/>
      <c r="SB64" s="144"/>
      <c r="SC64" s="144"/>
      <c r="SD64" s="144"/>
      <c r="SE64" s="144"/>
      <c r="SF64" s="144"/>
      <c r="SG64" s="144"/>
      <c r="SH64" s="144"/>
      <c r="SI64" s="144"/>
      <c r="SJ64" s="144"/>
      <c r="SK64" s="144"/>
      <c r="SL64" s="144"/>
      <c r="SM64" s="84"/>
      <c r="SN64" s="84"/>
      <c r="SO64" s="154"/>
      <c r="SP64" s="154"/>
      <c r="SQ64" s="154"/>
      <c r="SR64" s="154"/>
      <c r="SS64" s="154"/>
      <c r="ST64" s="154"/>
      <c r="SU64" s="155"/>
      <c r="SV64" s="154"/>
      <c r="SW64" s="154"/>
      <c r="SX64" s="155"/>
      <c r="SY64" s="155"/>
      <c r="SZ64" s="155"/>
      <c r="TA64" s="155"/>
      <c r="TB64" s="155"/>
      <c r="TC64" s="155"/>
      <c r="TD64" s="155"/>
      <c r="TE64" s="156"/>
      <c r="TF64" s="144"/>
      <c r="TG64" s="84"/>
      <c r="TH64" s="144"/>
      <c r="TI64" s="144"/>
      <c r="TJ64" s="144"/>
      <c r="TK64" s="144"/>
      <c r="TL64" s="157"/>
      <c r="TM64" s="157"/>
      <c r="TN64" s="157"/>
      <c r="TO64" s="157"/>
      <c r="TP64" s="157"/>
      <c r="TQ64" s="157"/>
      <c r="TR64" s="157"/>
      <c r="TS64" s="157"/>
      <c r="TT64" s="157"/>
      <c r="TU64" s="158"/>
      <c r="TV64" s="157"/>
      <c r="TW64" s="158"/>
      <c r="TX64" s="144"/>
      <c r="TY64" s="144"/>
      <c r="TZ64" s="144"/>
      <c r="UA64" s="84"/>
      <c r="UB64" s="144"/>
      <c r="UC64" s="144"/>
      <c r="UD64" s="144"/>
      <c r="UE64" s="144"/>
      <c r="UF64" s="157"/>
      <c r="UG64" s="157"/>
      <c r="UH64" s="157"/>
      <c r="UI64" s="157"/>
      <c r="UJ64" s="157"/>
      <c r="UK64" s="157"/>
      <c r="UL64" s="157"/>
      <c r="UM64" s="157"/>
      <c r="UN64" s="157"/>
      <c r="UO64" s="157"/>
      <c r="UP64" s="157"/>
      <c r="UQ64" s="158"/>
      <c r="UR64" s="157"/>
      <c r="US64" s="158"/>
      <c r="UT64" s="144"/>
      <c r="UU64" s="144"/>
      <c r="UV64" s="144"/>
      <c r="UW64" s="144"/>
      <c r="UX64" s="144"/>
      <c r="UY64" s="144"/>
      <c r="UZ64" s="144"/>
      <c r="VA64" s="144"/>
      <c r="VB64" s="157"/>
      <c r="VC64" s="157"/>
      <c r="VD64" s="157"/>
      <c r="VE64" s="157"/>
      <c r="VF64" s="157"/>
      <c r="VG64" s="157"/>
      <c r="VH64" s="157"/>
      <c r="VI64" s="157"/>
      <c r="VJ64" s="157"/>
      <c r="VK64" s="157"/>
      <c r="VL64" s="157"/>
      <c r="VM64" s="157"/>
      <c r="VN64" s="157"/>
      <c r="VO64" s="157"/>
      <c r="VP64" s="144"/>
      <c r="VQ64" s="144"/>
      <c r="VR64" s="84"/>
      <c r="VS64" s="84"/>
      <c r="VT64" s="53"/>
      <c r="VU64" s="53"/>
    </row>
    <row r="65" ht="15.75" spans="1:1024 1025:16384">
      <c r="A65" s="53"/>
      <c r="B65" s="53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  <c r="BG65" s="192"/>
      <c r="BH65" s="192"/>
      <c r="BI65" s="192"/>
      <c r="BJ65" s="192"/>
      <c r="BK65" s="192"/>
      <c r="BL65" s="192"/>
      <c r="BM65" s="192"/>
      <c r="BN65" s="192"/>
      <c r="BO65" s="192"/>
      <c r="BP65" s="192"/>
      <c r="BQ65" s="192"/>
      <c r="BR65" s="192"/>
      <c r="BS65" s="192"/>
      <c r="BT65" s="192"/>
      <c r="BU65" s="192"/>
      <c r="BV65" s="192"/>
      <c r="BW65" s="192"/>
      <c r="BX65" s="192"/>
      <c r="BY65" s="192"/>
      <c r="BZ65" s="192"/>
      <c r="CA65" s="192"/>
      <c r="CB65" s="192"/>
      <c r="CC65" s="192"/>
      <c r="CD65" s="192"/>
      <c r="CE65" s="192"/>
      <c r="CF65" s="192"/>
      <c r="CG65" s="192"/>
      <c r="CH65" s="192"/>
      <c r="CI65" s="192"/>
      <c r="CJ65" s="192"/>
      <c r="CK65" s="192"/>
      <c r="CL65" s="192"/>
      <c r="CM65" s="192"/>
      <c r="CN65" s="192"/>
      <c r="CO65" s="192"/>
      <c r="CP65" s="192"/>
      <c r="CQ65" s="192"/>
      <c r="CR65" s="192"/>
      <c r="CS65" s="192"/>
      <c r="CT65" s="192"/>
      <c r="CU65" s="192"/>
      <c r="CV65" s="192"/>
      <c r="CW65" s="192"/>
      <c r="CX65" s="192"/>
      <c r="CY65" s="192"/>
      <c r="CZ65" s="192"/>
      <c r="DA65" s="192"/>
      <c r="DB65" s="192"/>
      <c r="DC65" s="192"/>
      <c r="DD65" s="192"/>
      <c r="DE65" s="192"/>
      <c r="DF65" s="192"/>
      <c r="DG65" s="192"/>
      <c r="DH65" s="192"/>
      <c r="DI65" s="192"/>
      <c r="DJ65" s="192"/>
      <c r="DK65" s="192"/>
      <c r="DL65" s="192"/>
      <c r="DM65" s="192"/>
      <c r="DN65" s="192"/>
      <c r="DO65" s="192"/>
      <c r="DP65" s="192"/>
      <c r="DQ65" s="192"/>
      <c r="DR65" s="192"/>
      <c r="DS65" s="192"/>
      <c r="DT65" s="192"/>
      <c r="DU65" s="192"/>
      <c r="DV65" s="192"/>
      <c r="DW65" s="192"/>
      <c r="DX65" s="192"/>
      <c r="DY65" s="192"/>
      <c r="DZ65" s="192"/>
      <c r="EA65" s="192"/>
      <c r="EB65" s="192"/>
      <c r="EC65" s="192"/>
      <c r="ED65" s="192"/>
      <c r="EE65" s="192"/>
      <c r="EF65" s="192"/>
      <c r="EG65" s="192"/>
      <c r="EH65" s="192"/>
      <c r="EI65" s="192"/>
      <c r="EJ65" s="192"/>
      <c r="EK65" s="192"/>
      <c r="EL65" s="192"/>
      <c r="EM65" s="192"/>
      <c r="EN65" s="192"/>
      <c r="EO65" s="192"/>
      <c r="EP65" s="192"/>
      <c r="EQ65" s="192"/>
      <c r="ER65" s="192"/>
      <c r="ES65" s="192"/>
      <c r="ET65" s="192"/>
      <c r="EU65" s="192"/>
      <c r="EV65" s="192"/>
      <c r="EW65" s="192"/>
      <c r="EX65" s="192"/>
      <c r="EY65" s="192"/>
      <c r="EZ65" s="192"/>
      <c r="FA65" s="192"/>
      <c r="FB65" s="192"/>
      <c r="FC65" s="192"/>
      <c r="FD65" s="192"/>
      <c r="FE65" s="192"/>
      <c r="FF65" s="192"/>
      <c r="FG65" s="192"/>
      <c r="FH65" s="192"/>
      <c r="FI65" s="192"/>
      <c r="FJ65" s="192"/>
      <c r="FK65" s="192"/>
      <c r="FL65" s="192"/>
      <c r="FM65" s="192"/>
      <c r="FN65" s="192"/>
      <c r="FO65" s="192"/>
      <c r="FP65" s="192"/>
      <c r="FQ65" s="192"/>
      <c r="FR65" s="192"/>
      <c r="FS65" s="192"/>
      <c r="FT65" s="192"/>
      <c r="FU65" s="192"/>
      <c r="FV65" s="192"/>
      <c r="FW65" s="192"/>
      <c r="FX65" s="192"/>
      <c r="FY65" s="192"/>
      <c r="FZ65" s="192"/>
      <c r="GA65" s="192"/>
      <c r="GB65" s="192"/>
      <c r="GC65" s="192"/>
      <c r="GD65" s="192"/>
      <c r="GE65" s="192"/>
      <c r="GF65" s="192"/>
      <c r="GG65" s="192"/>
      <c r="GH65" s="192"/>
      <c r="GI65" s="192"/>
      <c r="GJ65" s="192"/>
      <c r="GK65" s="192"/>
      <c r="GL65" s="192"/>
      <c r="GM65" s="192"/>
      <c r="GN65" s="192"/>
      <c r="GO65" s="192"/>
      <c r="GP65" s="192"/>
      <c r="GQ65" s="192"/>
      <c r="GR65" s="192"/>
      <c r="GS65" s="192"/>
      <c r="GT65" s="192"/>
      <c r="GU65" s="192"/>
      <c r="GV65" s="192"/>
      <c r="GW65" s="192"/>
      <c r="GX65" s="192"/>
      <c r="GY65" s="192"/>
      <c r="GZ65" s="192"/>
      <c r="HA65" s="192"/>
      <c r="HB65" s="192"/>
      <c r="HC65" s="192"/>
      <c r="HD65" s="192"/>
      <c r="HE65" s="192"/>
      <c r="HF65" s="192"/>
      <c r="HG65" s="192"/>
      <c r="HH65" s="192"/>
      <c r="HI65" s="192"/>
      <c r="HJ65" s="192"/>
      <c r="HK65" s="192"/>
      <c r="HL65" s="192"/>
      <c r="HM65" s="192"/>
      <c r="HN65" s="192"/>
      <c r="HO65" s="192"/>
      <c r="HP65" s="192"/>
      <c r="HQ65" s="192"/>
      <c r="HR65" s="192"/>
      <c r="HS65" s="192"/>
      <c r="HT65" s="192"/>
      <c r="HU65" s="192"/>
      <c r="HV65" s="192"/>
      <c r="HW65" s="192"/>
      <c r="HX65" s="192"/>
      <c r="HY65" s="192"/>
      <c r="HZ65" s="192"/>
      <c r="IA65" s="192"/>
      <c r="IB65" s="192"/>
      <c r="IC65" s="192"/>
      <c r="ID65" s="192"/>
      <c r="IE65" s="192"/>
      <c r="IF65" s="192"/>
      <c r="IG65" s="192"/>
      <c r="IH65" s="192"/>
      <c r="II65" s="192"/>
      <c r="IJ65" s="192"/>
      <c r="IK65" s="192"/>
      <c r="IL65" s="192"/>
      <c r="IM65" s="192"/>
      <c r="IN65" s="192"/>
      <c r="IO65" s="192"/>
      <c r="IP65" s="192"/>
      <c r="IQ65" s="192"/>
      <c r="IR65" s="192"/>
      <c r="IS65" s="192"/>
      <c r="IT65" s="192"/>
      <c r="IU65" s="192"/>
      <c r="IV65" s="192"/>
      <c r="IW65" s="192"/>
      <c r="IX65" s="192"/>
      <c r="IY65" s="192"/>
      <c r="IZ65" s="192"/>
      <c r="JA65" s="192"/>
      <c r="JB65" s="192"/>
      <c r="JC65" s="192"/>
      <c r="JD65" s="192"/>
      <c r="JE65" s="192"/>
      <c r="JF65" s="192"/>
      <c r="JG65" s="192"/>
      <c r="JH65" s="192"/>
      <c r="JI65" s="192"/>
      <c r="JJ65" s="192"/>
      <c r="JK65" s="192"/>
      <c r="JL65" s="192"/>
      <c r="JM65" s="192"/>
      <c r="JN65" s="192"/>
      <c r="JO65" s="192"/>
      <c r="JP65" s="192"/>
      <c r="JQ65" s="192"/>
      <c r="JR65" s="192"/>
      <c r="JS65" s="192"/>
      <c r="JT65" s="192"/>
      <c r="JU65" s="192"/>
      <c r="JV65" s="192"/>
      <c r="JW65" s="192"/>
      <c r="JX65" s="192"/>
      <c r="JY65" s="192"/>
      <c r="JZ65" s="192"/>
      <c r="KA65" s="192"/>
      <c r="KB65" s="192"/>
      <c r="KC65" s="192"/>
      <c r="KD65" s="192"/>
      <c r="KE65" s="192"/>
      <c r="KF65" s="192"/>
      <c r="KG65" s="192"/>
      <c r="KH65" s="192"/>
      <c r="KI65" s="192"/>
      <c r="KJ65" s="192"/>
      <c r="KK65" s="192"/>
      <c r="KL65" s="192"/>
      <c r="KM65" s="192"/>
      <c r="KN65" s="192"/>
      <c r="KO65" s="192"/>
      <c r="KP65" s="192"/>
      <c r="KQ65" s="192"/>
      <c r="KR65" s="192"/>
      <c r="KS65" s="192"/>
      <c r="KT65" s="192"/>
      <c r="KU65" s="192"/>
      <c r="KV65" s="192"/>
      <c r="KW65" s="192"/>
      <c r="KX65" s="192"/>
      <c r="KY65" s="192"/>
      <c r="KZ65" s="192"/>
      <c r="LA65" s="192"/>
      <c r="LB65" s="192"/>
      <c r="LC65" s="192"/>
      <c r="LD65" s="192"/>
      <c r="LE65" s="192"/>
      <c r="LF65" s="192"/>
      <c r="LG65" s="192"/>
      <c r="LH65" s="192"/>
      <c r="LI65" s="192"/>
      <c r="LJ65" s="192"/>
      <c r="LK65" s="192"/>
      <c r="LL65" s="192"/>
      <c r="LM65" s="192"/>
      <c r="LN65" s="192"/>
      <c r="LO65" s="192"/>
      <c r="LP65" s="192"/>
      <c r="LQ65" s="192"/>
      <c r="LR65" s="192"/>
      <c r="LS65" s="192"/>
      <c r="LT65" s="192"/>
      <c r="LU65" s="192"/>
      <c r="LV65" s="192"/>
      <c r="LW65" s="192"/>
      <c r="LX65" s="192"/>
      <c r="LY65" s="192"/>
      <c r="LZ65" s="192"/>
      <c r="MA65" s="192"/>
      <c r="MB65" s="192"/>
      <c r="MC65" s="192"/>
      <c r="MD65" s="192"/>
      <c r="ME65" s="192"/>
      <c r="MF65" s="192"/>
      <c r="MG65" s="192"/>
      <c r="MH65" s="192"/>
      <c r="MI65" s="192"/>
      <c r="MJ65" s="192"/>
      <c r="MK65" s="192"/>
      <c r="ML65" s="192"/>
      <c r="MM65" s="192"/>
      <c r="MN65" s="192"/>
      <c r="MO65" s="192"/>
      <c r="MP65" s="192"/>
      <c r="MQ65" s="192"/>
      <c r="MR65" s="192"/>
      <c r="MS65" s="192"/>
      <c r="MT65" s="192"/>
      <c r="MU65" s="192"/>
      <c r="MV65" s="192"/>
      <c r="MW65" s="192"/>
      <c r="MX65" s="192"/>
      <c r="MY65" s="192"/>
      <c r="MZ65" s="192"/>
      <c r="NA65" s="192"/>
      <c r="NB65" s="192"/>
      <c r="NC65" s="192"/>
      <c r="ND65" s="192"/>
      <c r="NE65" s="192"/>
      <c r="NF65" s="192"/>
      <c r="NG65" s="192"/>
      <c r="NH65" s="192"/>
      <c r="NI65" s="192"/>
      <c r="NJ65" s="192"/>
      <c r="NK65" s="192"/>
      <c r="NL65" s="192"/>
      <c r="NM65" s="192"/>
      <c r="NN65" s="192"/>
      <c r="NO65" s="192"/>
      <c r="NP65" s="192"/>
      <c r="NQ65" s="192"/>
      <c r="NR65" s="192"/>
      <c r="NS65" s="192"/>
      <c r="NT65" s="192"/>
      <c r="NU65" s="192"/>
      <c r="NV65" s="192"/>
      <c r="NW65" s="192"/>
      <c r="NX65" s="192"/>
      <c r="NY65" s="192"/>
      <c r="NZ65" s="192"/>
      <c r="OA65" s="192"/>
      <c r="OB65" s="192"/>
      <c r="OC65" s="192"/>
      <c r="OD65" s="192"/>
      <c r="OE65" s="192"/>
      <c r="OF65" s="192"/>
      <c r="OG65" s="192"/>
      <c r="OH65" s="192"/>
      <c r="OI65" s="192"/>
      <c r="OJ65" s="192"/>
      <c r="OK65" s="192"/>
      <c r="OL65" s="192"/>
      <c r="OM65" s="192"/>
      <c r="ON65" s="192"/>
      <c r="OO65" s="192"/>
      <c r="OP65" s="192"/>
      <c r="OQ65" s="192"/>
      <c r="OR65" s="192"/>
      <c r="OS65" s="146"/>
      <c r="OT65" s="146"/>
      <c r="OU65" s="146"/>
      <c r="OV65" s="146"/>
      <c r="OW65" s="146"/>
      <c r="OX65" s="146"/>
      <c r="OY65" s="146"/>
      <c r="OZ65" s="146"/>
      <c r="PA65" s="146"/>
      <c r="PB65" s="146"/>
      <c r="PC65" s="146"/>
      <c r="PD65" s="146"/>
      <c r="PE65" s="146"/>
      <c r="PF65" s="146"/>
      <c r="PG65" s="146"/>
      <c r="PH65" s="146"/>
      <c r="PI65" s="146"/>
      <c r="PJ65" s="146"/>
      <c r="PK65" s="146"/>
      <c r="PL65" s="146"/>
      <c r="PM65" s="146"/>
      <c r="PN65" s="146"/>
      <c r="PO65" s="146"/>
      <c r="PP65" s="146"/>
      <c r="PQ65" s="146"/>
      <c r="PR65" s="146"/>
      <c r="PS65" s="146"/>
      <c r="PT65" s="146"/>
      <c r="PU65" s="146"/>
      <c r="PV65" s="146"/>
      <c r="PW65" s="146"/>
      <c r="PX65" s="146"/>
      <c r="PY65" s="146"/>
      <c r="PZ65" s="146"/>
      <c r="QA65" s="146"/>
      <c r="QB65" s="146"/>
      <c r="QC65" s="146"/>
      <c r="QD65" s="146"/>
      <c r="QE65" s="146"/>
      <c r="QF65" s="146"/>
      <c r="QG65" s="146"/>
      <c r="QH65" s="146"/>
      <c r="QI65" s="146"/>
      <c r="QJ65" s="146"/>
      <c r="QK65" s="146"/>
      <c r="QL65" s="146"/>
      <c r="QM65" s="146"/>
      <c r="QN65" s="146"/>
      <c r="QO65" s="146"/>
      <c r="QP65" s="146"/>
      <c r="QQ65" s="146"/>
      <c r="QR65" s="146"/>
      <c r="QS65" s="146"/>
      <c r="QT65" s="146"/>
      <c r="QU65" s="146"/>
      <c r="QV65" s="146"/>
      <c r="QW65" s="146"/>
      <c r="QX65" s="146"/>
      <c r="QY65" s="146"/>
      <c r="QZ65" s="146"/>
      <c r="RA65" s="146"/>
      <c r="RB65" s="146"/>
      <c r="RC65" s="146"/>
      <c r="RD65" s="146"/>
      <c r="RE65" s="146"/>
      <c r="RF65" s="146"/>
      <c r="RG65" s="146"/>
      <c r="RH65" s="146"/>
      <c r="RI65" s="146"/>
      <c r="RJ65" s="146"/>
      <c r="RK65" s="146"/>
      <c r="RL65" s="146"/>
      <c r="RM65" s="146"/>
      <c r="RN65" s="146"/>
      <c r="RO65" s="146"/>
      <c r="RP65" s="146"/>
      <c r="RQ65" s="146"/>
      <c r="RR65" s="146"/>
      <c r="RS65" s="146"/>
      <c r="RT65" s="146"/>
      <c r="RU65" s="146"/>
      <c r="RV65" s="146"/>
      <c r="RW65" s="146"/>
      <c r="RX65" s="146"/>
      <c r="RY65" s="146"/>
      <c r="RZ65" s="146"/>
      <c r="SA65" s="146"/>
      <c r="SB65" s="146"/>
      <c r="SC65" s="146"/>
      <c r="SD65" s="146"/>
      <c r="SE65" s="146"/>
      <c r="SF65" s="146"/>
      <c r="SG65" s="146"/>
      <c r="SH65" s="146"/>
      <c r="SI65" s="146"/>
      <c r="SJ65" s="146"/>
      <c r="SK65" s="146"/>
      <c r="SL65" s="146"/>
      <c r="SM65" s="146"/>
      <c r="SN65" s="146"/>
      <c r="SO65" s="146"/>
      <c r="SP65" s="146"/>
      <c r="SQ65" s="146"/>
      <c r="SR65" s="146"/>
      <c r="SS65" s="146"/>
      <c r="ST65" s="146"/>
      <c r="SU65" s="146"/>
      <c r="SV65" s="146"/>
      <c r="SW65" s="146"/>
      <c r="SX65" s="146"/>
      <c r="SY65" s="146"/>
      <c r="SZ65" s="146"/>
      <c r="TA65" s="146"/>
      <c r="TB65" s="146"/>
      <c r="TC65" s="146"/>
      <c r="TD65" s="146"/>
      <c r="TE65" s="146"/>
      <c r="TF65" s="146"/>
      <c r="TG65" s="146"/>
      <c r="TH65" s="146"/>
      <c r="TI65" s="146"/>
      <c r="TJ65" s="146"/>
      <c r="TK65" s="146"/>
      <c r="TL65" s="146"/>
      <c r="TM65" s="146"/>
      <c r="TN65" s="146"/>
      <c r="TO65" s="146"/>
      <c r="TP65" s="146"/>
      <c r="TQ65" s="146"/>
      <c r="TR65" s="146"/>
      <c r="TS65" s="146"/>
      <c r="TT65" s="146"/>
      <c r="TU65" s="146"/>
      <c r="TV65" s="146"/>
      <c r="TW65" s="146"/>
      <c r="TX65" s="146"/>
      <c r="TY65" s="146"/>
      <c r="TZ65" s="146"/>
      <c r="UA65" s="146"/>
      <c r="UB65" s="146"/>
      <c r="UC65" s="146"/>
      <c r="UD65" s="146"/>
      <c r="UE65" s="146"/>
      <c r="UF65" s="146"/>
      <c r="UG65" s="146"/>
      <c r="UH65" s="146"/>
      <c r="UI65" s="146"/>
      <c r="UJ65" s="146"/>
      <c r="UK65" s="146"/>
      <c r="UL65" s="146"/>
      <c r="UM65" s="146"/>
      <c r="UN65" s="146"/>
      <c r="UO65" s="146"/>
      <c r="UP65" s="146"/>
      <c r="UQ65" s="146"/>
      <c r="UR65" s="146"/>
      <c r="US65" s="146"/>
      <c r="UT65" s="146"/>
      <c r="UU65" s="146"/>
      <c r="UV65" s="146"/>
      <c r="UW65" s="146"/>
      <c r="UX65" s="146"/>
      <c r="UY65" s="146"/>
      <c r="UZ65" s="146"/>
      <c r="VA65" s="146"/>
      <c r="VB65" s="146"/>
      <c r="VC65" s="146"/>
      <c r="VD65" s="146"/>
      <c r="VE65" s="146"/>
      <c r="VF65" s="146"/>
      <c r="VG65" s="146"/>
      <c r="VH65" s="146"/>
      <c r="VI65" s="146"/>
      <c r="VJ65" s="146"/>
      <c r="VK65" s="146"/>
      <c r="VL65" s="146"/>
      <c r="VM65" s="146"/>
      <c r="VN65" s="146"/>
      <c r="VO65" s="146"/>
      <c r="VP65" s="146"/>
      <c r="VQ65" s="146"/>
      <c r="VR65" s="146"/>
      <c r="VS65" s="146"/>
      <c r="VT65" s="192"/>
      <c r="VU65" s="192"/>
      <c r="VV65" s="192"/>
      <c r="VW65" s="192"/>
      <c r="VX65" s="192"/>
      <c r="VY65" s="192"/>
      <c r="VZ65" s="192"/>
      <c r="WA65" s="192"/>
      <c r="WB65" s="192"/>
      <c r="WC65" s="192"/>
      <c r="WD65" s="192"/>
      <c r="WE65" s="192"/>
      <c r="WF65" s="192"/>
      <c r="WG65" s="192"/>
      <c r="WH65" s="192"/>
      <c r="WI65" s="192"/>
      <c r="WJ65" s="192"/>
      <c r="WK65" s="192"/>
      <c r="WL65" s="192"/>
      <c r="WM65" s="192"/>
      <c r="WN65" s="192"/>
      <c r="WO65" s="192"/>
      <c r="WP65" s="192"/>
      <c r="WQ65" s="192"/>
      <c r="WR65" s="192"/>
      <c r="WS65" s="192"/>
      <c r="WT65" s="192"/>
      <c r="WU65" s="192"/>
      <c r="WV65" s="192"/>
      <c r="WW65" s="192"/>
      <c r="WX65" s="192"/>
      <c r="WY65" s="192"/>
      <c r="WZ65" s="192"/>
      <c r="XA65" s="192"/>
      <c r="XB65" s="192"/>
      <c r="XC65" s="192"/>
      <c r="XD65" s="192"/>
      <c r="XE65" s="192"/>
      <c r="XF65" s="192"/>
      <c r="XG65" s="192"/>
      <c r="XH65" s="192"/>
      <c r="XI65" s="192"/>
      <c r="XJ65" s="192"/>
      <c r="XK65" s="192"/>
      <c r="XL65" s="192"/>
      <c r="XM65" s="192"/>
      <c r="XN65" s="192"/>
      <c r="XO65" s="192"/>
      <c r="XP65" s="192"/>
      <c r="XQ65" s="192"/>
      <c r="XR65" s="192"/>
      <c r="XS65" s="192"/>
      <c r="XT65" s="192"/>
      <c r="XU65" s="192"/>
      <c r="XV65" s="192"/>
      <c r="XW65" s="192"/>
      <c r="XX65" s="192"/>
      <c r="XY65" s="192"/>
      <c r="XZ65" s="192"/>
      <c r="YA65" s="192"/>
      <c r="YB65" s="192"/>
      <c r="YC65" s="192"/>
      <c r="YD65" s="192"/>
      <c r="YE65" s="192"/>
      <c r="YF65" s="192"/>
      <c r="YG65" s="192"/>
      <c r="YH65" s="192"/>
      <c r="YI65" s="192"/>
      <c r="YJ65" s="192"/>
      <c r="YK65" s="192"/>
      <c r="YL65" s="192"/>
      <c r="YM65" s="192"/>
      <c r="YN65" s="192"/>
      <c r="YO65" s="192"/>
      <c r="YP65" s="192"/>
      <c r="YQ65" s="192"/>
      <c r="YR65" s="192"/>
      <c r="YS65" s="192"/>
      <c r="YT65" s="192"/>
      <c r="YU65" s="192"/>
      <c r="YV65" s="192"/>
      <c r="YW65" s="192"/>
      <c r="YX65" s="192"/>
      <c r="YY65" s="192"/>
      <c r="YZ65" s="192"/>
      <c r="ZA65" s="192"/>
      <c r="ZB65" s="192"/>
      <c r="ZC65" s="192"/>
      <c r="ZD65" s="192"/>
      <c r="ZE65" s="192"/>
      <c r="ZF65" s="192"/>
      <c r="ZG65" s="192"/>
      <c r="ZH65" s="192"/>
      <c r="ZI65" s="192"/>
      <c r="ZJ65" s="192"/>
      <c r="ZK65" s="192"/>
      <c r="ZL65" s="192"/>
      <c r="ZM65" s="192"/>
      <c r="ZN65" s="192"/>
      <c r="ZO65" s="192"/>
      <c r="ZP65" s="192"/>
      <c r="ZQ65" s="192"/>
      <c r="ZR65" s="192"/>
      <c r="ZS65" s="192"/>
      <c r="ZT65" s="192"/>
      <c r="ZU65" s="192"/>
      <c r="ZV65" s="192"/>
      <c r="ZW65" s="192"/>
      <c r="ZX65" s="192"/>
      <c r="ZY65" s="192"/>
      <c r="ZZ65" s="192"/>
      <c r="AAA65" s="192"/>
      <c r="AAB65" s="192"/>
      <c r="AAC65" s="192"/>
      <c r="AAD65" s="192"/>
      <c r="AAE65" s="192"/>
      <c r="AAF65" s="192"/>
      <c r="AAG65" s="192"/>
      <c r="AAH65" s="192"/>
      <c r="AAI65" s="192"/>
      <c r="AAJ65" s="192"/>
      <c r="AAK65" s="192"/>
      <c r="AAL65" s="192"/>
      <c r="AAM65" s="192"/>
      <c r="AAN65" s="192"/>
      <c r="AAO65" s="192"/>
      <c r="AAP65" s="192"/>
      <c r="AAQ65" s="192"/>
      <c r="AAR65" s="192"/>
      <c r="AAS65" s="192"/>
      <c r="AAT65" s="192"/>
      <c r="AAU65" s="192"/>
      <c r="AAV65" s="192"/>
      <c r="AAW65" s="192"/>
      <c r="AAX65" s="192"/>
      <c r="AAY65" s="192"/>
      <c r="AAZ65" s="192"/>
      <c r="ABA65" s="192"/>
      <c r="ABB65" s="192"/>
      <c r="ABC65" s="192"/>
      <c r="ABD65" s="192"/>
      <c r="ABE65" s="192"/>
      <c r="ABF65" s="192"/>
      <c r="ABG65" s="192"/>
      <c r="ABH65" s="192"/>
      <c r="ABI65" s="192"/>
      <c r="ABJ65" s="192"/>
      <c r="ABK65" s="192"/>
      <c r="ABL65" s="192"/>
      <c r="ABM65" s="192"/>
      <c r="ABN65" s="192"/>
      <c r="ABO65" s="192"/>
      <c r="ABP65" s="192"/>
      <c r="ABQ65" s="192"/>
      <c r="ABR65" s="192"/>
      <c r="ABS65" s="192"/>
      <c r="ABT65" s="192"/>
      <c r="ABU65" s="192"/>
      <c r="ABV65" s="192"/>
      <c r="ABW65" s="192"/>
      <c r="ABX65" s="192"/>
      <c r="ABY65" s="192"/>
      <c r="ABZ65" s="192"/>
      <c r="ACA65" s="192"/>
      <c r="ACB65" s="192"/>
      <c r="ACC65" s="192"/>
      <c r="ACD65" s="192"/>
      <c r="ACE65" s="192"/>
      <c r="ACF65" s="192"/>
      <c r="ACG65" s="192"/>
      <c r="ACH65" s="192"/>
      <c r="ACI65" s="192"/>
      <c r="ACJ65" s="192"/>
      <c r="ACK65" s="192"/>
      <c r="ACL65" s="192"/>
      <c r="ACM65" s="192"/>
      <c r="ACN65" s="192"/>
      <c r="ACO65" s="192"/>
      <c r="ACP65" s="192"/>
      <c r="ACQ65" s="192"/>
      <c r="ACR65" s="192"/>
      <c r="ACS65" s="192"/>
      <c r="ACT65" s="192"/>
      <c r="ACU65" s="192"/>
      <c r="ACV65" s="192"/>
      <c r="ACW65" s="192"/>
      <c r="ACX65" s="192"/>
      <c r="ACY65" s="192"/>
      <c r="ACZ65" s="192"/>
      <c r="ADA65" s="192"/>
      <c r="ADB65" s="192"/>
      <c r="ADC65" s="192"/>
      <c r="ADD65" s="192"/>
      <c r="ADE65" s="192"/>
      <c r="ADF65" s="192"/>
      <c r="ADG65" s="192"/>
      <c r="ADH65" s="192"/>
      <c r="ADI65" s="192"/>
      <c r="ADJ65" s="192"/>
      <c r="ADK65" s="192"/>
      <c r="ADL65" s="192"/>
      <c r="ADM65" s="192"/>
      <c r="ADN65" s="192"/>
      <c r="ADO65" s="192"/>
      <c r="ADP65" s="192"/>
      <c r="ADQ65" s="192"/>
      <c r="ADR65" s="192"/>
      <c r="ADS65" s="192"/>
      <c r="ADT65" s="192"/>
      <c r="ADU65" s="192"/>
      <c r="ADV65" s="192"/>
      <c r="ADW65" s="192"/>
      <c r="ADX65" s="192"/>
      <c r="ADY65" s="192"/>
      <c r="ADZ65" s="192"/>
      <c r="AEA65" s="192"/>
      <c r="AEB65" s="192"/>
      <c r="AEC65" s="192"/>
      <c r="AED65" s="192"/>
      <c r="AEE65" s="192"/>
      <c r="AEF65" s="192"/>
      <c r="AEG65" s="192"/>
      <c r="AEH65" s="192"/>
      <c r="AEI65" s="192"/>
      <c r="AEJ65" s="192"/>
      <c r="AEK65" s="192"/>
      <c r="AEL65" s="192"/>
      <c r="AEM65" s="192"/>
      <c r="AEN65" s="192"/>
      <c r="AEO65" s="192"/>
      <c r="AEP65" s="192"/>
      <c r="AEQ65" s="192"/>
      <c r="AER65" s="192"/>
      <c r="AES65" s="192"/>
      <c r="AET65" s="192"/>
      <c r="AEU65" s="192"/>
      <c r="AEV65" s="192"/>
      <c r="AEW65" s="192"/>
      <c r="AEX65" s="192"/>
      <c r="AEY65" s="192"/>
      <c r="AEZ65" s="192"/>
      <c r="AFA65" s="192"/>
      <c r="AFB65" s="192"/>
      <c r="AFC65" s="192"/>
      <c r="AFD65" s="192"/>
      <c r="AFE65" s="192"/>
      <c r="AFF65" s="192"/>
      <c r="AFG65" s="192"/>
      <c r="AFH65" s="192"/>
      <c r="AFI65" s="192"/>
      <c r="AFJ65" s="192"/>
      <c r="AFK65" s="192"/>
      <c r="AFL65" s="192"/>
      <c r="AFM65" s="192"/>
      <c r="AFN65" s="192"/>
      <c r="AFO65" s="192"/>
      <c r="AFP65" s="192"/>
      <c r="AFQ65" s="192"/>
      <c r="AFR65" s="192"/>
      <c r="AFS65" s="192"/>
      <c r="AFT65" s="192"/>
      <c r="AFU65" s="192"/>
      <c r="AFV65" s="192"/>
      <c r="AFW65" s="192"/>
      <c r="AFX65" s="192"/>
      <c r="AFY65" s="192"/>
      <c r="AFZ65" s="192"/>
      <c r="AGA65" s="192"/>
      <c r="AGB65" s="192"/>
      <c r="AGC65" s="192"/>
      <c r="AGD65" s="192"/>
      <c r="AGE65" s="192"/>
      <c r="AGF65" s="192"/>
      <c r="AGG65" s="192"/>
      <c r="AGH65" s="192"/>
      <c r="AGI65" s="192"/>
      <c r="AGJ65" s="192"/>
      <c r="AGK65" s="192"/>
      <c r="AGL65" s="192"/>
      <c r="AGM65" s="192"/>
      <c r="AGN65" s="192"/>
      <c r="AGO65" s="192"/>
      <c r="AGP65" s="192"/>
      <c r="AGQ65" s="192"/>
      <c r="AGR65" s="192"/>
      <c r="AGS65" s="192"/>
      <c r="AGT65" s="192"/>
      <c r="AGU65" s="192"/>
      <c r="AGV65" s="192"/>
      <c r="AGW65" s="192"/>
      <c r="AGX65" s="192"/>
      <c r="AGY65" s="192"/>
      <c r="AGZ65" s="192"/>
      <c r="AHA65" s="192"/>
      <c r="AHB65" s="192"/>
      <c r="AHC65" s="192"/>
      <c r="AHD65" s="192"/>
      <c r="AHE65" s="192"/>
      <c r="AHF65" s="192"/>
      <c r="AHG65" s="192"/>
      <c r="AHH65" s="192"/>
      <c r="AHI65" s="192"/>
      <c r="AHJ65" s="192"/>
      <c r="AHK65" s="192"/>
      <c r="AHL65" s="192"/>
      <c r="AHM65" s="192"/>
      <c r="AHN65" s="192"/>
      <c r="AHO65" s="192"/>
      <c r="AHP65" s="192"/>
      <c r="AHQ65" s="192"/>
      <c r="AHR65" s="192"/>
      <c r="AHS65" s="192"/>
      <c r="AHT65" s="192"/>
      <c r="AHU65" s="192"/>
      <c r="AHV65" s="192"/>
      <c r="AHW65" s="192"/>
      <c r="AHX65" s="192"/>
      <c r="AHY65" s="192"/>
      <c r="AHZ65" s="192"/>
      <c r="AIA65" s="192"/>
      <c r="AIB65" s="192"/>
      <c r="AIC65" s="192"/>
      <c r="AID65" s="192"/>
      <c r="AIE65" s="192"/>
      <c r="AIF65" s="192"/>
      <c r="AIG65" s="192"/>
      <c r="AIH65" s="192"/>
      <c r="AII65" s="192"/>
      <c r="AIJ65" s="192"/>
      <c r="AIK65" s="192"/>
      <c r="AIL65" s="192"/>
      <c r="AIM65" s="192"/>
      <c r="AIN65" s="192"/>
      <c r="AIO65" s="192"/>
      <c r="AIP65" s="192"/>
      <c r="AIQ65" s="192"/>
      <c r="AIR65" s="192"/>
      <c r="AIS65" s="192"/>
      <c r="AIT65" s="192"/>
      <c r="AIU65" s="192"/>
      <c r="AIV65" s="192"/>
      <c r="AIW65" s="192"/>
      <c r="AIX65" s="192"/>
      <c r="AIY65" s="192"/>
      <c r="AIZ65" s="192"/>
      <c r="AJA65" s="192"/>
      <c r="AJB65" s="192"/>
      <c r="AJC65" s="192"/>
      <c r="AJD65" s="192"/>
      <c r="AJE65" s="192"/>
      <c r="AJF65" s="192"/>
      <c r="AJG65" s="192"/>
      <c r="AJH65" s="192"/>
      <c r="AJI65" s="192"/>
      <c r="AJJ65" s="192"/>
      <c r="AJK65" s="192"/>
      <c r="AJL65" s="192"/>
      <c r="AJM65" s="192"/>
      <c r="AJN65" s="192"/>
      <c r="AJO65" s="192"/>
      <c r="AJP65" s="192"/>
      <c r="AJQ65" s="192"/>
      <c r="AJR65" s="192"/>
      <c r="AJS65" s="192"/>
      <c r="AJT65" s="192"/>
      <c r="AJU65" s="192"/>
      <c r="AJV65" s="192"/>
      <c r="AJW65" s="192"/>
      <c r="AJX65" s="192"/>
      <c r="AJY65" s="192"/>
      <c r="AJZ65" s="192"/>
      <c r="AKA65" s="192"/>
      <c r="AKB65" s="192"/>
      <c r="AKC65" s="192"/>
      <c r="AKD65" s="192"/>
      <c r="AKE65" s="192"/>
      <c r="AKF65" s="192"/>
      <c r="AKG65" s="192"/>
      <c r="AKH65" s="192"/>
      <c r="AKI65" s="192"/>
      <c r="AKJ65" s="192"/>
      <c r="AKK65" s="192"/>
      <c r="AKL65" s="192"/>
      <c r="AKM65" s="192"/>
      <c r="AKN65" s="192"/>
      <c r="AKO65" s="192"/>
      <c r="AKP65" s="192"/>
      <c r="AKQ65" s="192"/>
      <c r="AKR65" s="192"/>
      <c r="AKS65" s="192"/>
      <c r="AKT65" s="192"/>
      <c r="AKU65" s="192"/>
      <c r="AKV65" s="192"/>
      <c r="AKW65" s="192"/>
      <c r="AKX65" s="192"/>
      <c r="AKY65" s="192"/>
      <c r="AKZ65" s="192"/>
      <c r="ALA65" s="192"/>
      <c r="ALB65" s="192"/>
      <c r="ALC65" s="192"/>
      <c r="ALD65" s="192"/>
      <c r="ALE65" s="192"/>
      <c r="ALF65" s="192"/>
      <c r="ALG65" s="192"/>
      <c r="ALH65" s="192"/>
      <c r="ALI65" s="192"/>
      <c r="ALJ65" s="192"/>
      <c r="ALK65" s="192"/>
      <c r="ALL65" s="192"/>
      <c r="ALM65" s="192"/>
      <c r="ALN65" s="192"/>
      <c r="ALO65" s="192"/>
      <c r="ALP65" s="192"/>
      <c r="ALQ65" s="192"/>
      <c r="ALR65" s="192"/>
      <c r="ALS65" s="192"/>
      <c r="ALT65" s="192"/>
      <c r="ALU65" s="192"/>
      <c r="ALV65" s="192"/>
      <c r="ALW65" s="192"/>
      <c r="ALX65" s="192"/>
      <c r="ALY65" s="192"/>
      <c r="ALZ65" s="192"/>
      <c r="AMA65" s="192"/>
      <c r="AMB65" s="192"/>
      <c r="AMC65" s="192"/>
      <c r="AMD65" s="192"/>
      <c r="AME65" s="192"/>
      <c r="AMF65" s="192"/>
      <c r="AMG65" s="192"/>
      <c r="AMH65" s="192"/>
      <c r="AMI65" s="192"/>
      <c r="AMJ65" s="192"/>
      <c r="AMK65" s="192"/>
      <c r="AML65" s="192"/>
      <c r="AMM65" s="192"/>
      <c r="AMN65" s="192"/>
      <c r="AMO65" s="192"/>
      <c r="AMP65" s="192"/>
      <c r="AMQ65" s="192"/>
      <c r="AMR65" s="192"/>
      <c r="AMS65" s="192"/>
      <c r="AMT65" s="192"/>
      <c r="AMU65" s="192"/>
      <c r="AMV65" s="192"/>
      <c r="AMW65" s="192"/>
      <c r="AMX65" s="192"/>
      <c r="AMY65" s="192"/>
      <c r="AMZ65" s="192"/>
      <c r="ANA65" s="192"/>
      <c r="ANB65" s="192"/>
      <c r="ANC65" s="192"/>
      <c r="AND65" s="192"/>
      <c r="ANE65" s="192"/>
      <c r="ANF65" s="192"/>
      <c r="ANG65" s="192"/>
      <c r="ANH65" s="192"/>
      <c r="ANI65" s="192"/>
      <c r="ANJ65" s="192"/>
      <c r="ANK65" s="192"/>
      <c r="ANL65" s="192"/>
      <c r="ANM65" s="192"/>
      <c r="ANN65" s="192"/>
      <c r="ANO65" s="192"/>
      <c r="ANP65" s="192"/>
      <c r="ANQ65" s="192"/>
      <c r="ANR65" s="192"/>
      <c r="ANS65" s="192"/>
      <c r="ANT65" s="192"/>
      <c r="ANU65" s="192"/>
      <c r="ANV65" s="192"/>
      <c r="ANW65" s="192"/>
      <c r="ANX65" s="192"/>
      <c r="ANY65" s="192"/>
      <c r="ANZ65" s="192"/>
      <c r="AOA65" s="192"/>
      <c r="AOB65" s="192"/>
      <c r="AOC65" s="192"/>
      <c r="AOD65" s="192"/>
      <c r="AOE65" s="192"/>
      <c r="AOF65" s="192"/>
      <c r="AOG65" s="192"/>
      <c r="AOH65" s="192"/>
      <c r="AOI65" s="192"/>
      <c r="AOJ65" s="192"/>
      <c r="AOK65" s="192"/>
      <c r="AOL65" s="192"/>
      <c r="AOM65" s="192"/>
      <c r="AON65" s="192"/>
      <c r="AOO65" s="192"/>
      <c r="AOP65" s="192"/>
      <c r="AOQ65" s="192"/>
      <c r="AOR65" s="192"/>
      <c r="AOS65" s="192"/>
      <c r="AOT65" s="192"/>
      <c r="AOU65" s="192"/>
      <c r="AOV65" s="192"/>
      <c r="AOW65" s="192"/>
      <c r="AOX65" s="192"/>
      <c r="AOY65" s="192"/>
      <c r="AOZ65" s="192"/>
      <c r="APA65" s="192"/>
      <c r="APB65" s="192"/>
      <c r="APC65" s="192"/>
      <c r="APD65" s="192"/>
      <c r="APE65" s="192"/>
      <c r="APF65" s="192"/>
      <c r="APG65" s="192"/>
      <c r="APH65" s="192"/>
      <c r="API65" s="192"/>
      <c r="APJ65" s="192"/>
      <c r="APK65" s="192"/>
      <c r="APL65" s="192"/>
      <c r="APM65" s="192"/>
      <c r="APN65" s="192"/>
      <c r="APO65" s="192"/>
      <c r="APP65" s="192"/>
      <c r="APQ65" s="192"/>
      <c r="APR65" s="192"/>
      <c r="APS65" s="192"/>
      <c r="APT65" s="192"/>
      <c r="APU65" s="192"/>
      <c r="APV65" s="192"/>
      <c r="APW65" s="192"/>
      <c r="APX65" s="192"/>
      <c r="APY65" s="192"/>
      <c r="APZ65" s="192"/>
      <c r="AQA65" s="192"/>
      <c r="AQB65" s="192"/>
      <c r="AQC65" s="192"/>
      <c r="AQD65" s="192"/>
      <c r="AQE65" s="192"/>
      <c r="AQF65" s="192"/>
      <c r="AQG65" s="192"/>
      <c r="AQH65" s="192"/>
      <c r="AQI65" s="192"/>
      <c r="AQJ65" s="192"/>
      <c r="AQK65" s="192"/>
      <c r="AQL65" s="192"/>
      <c r="AQM65" s="192"/>
      <c r="AQN65" s="192"/>
      <c r="AQO65" s="192"/>
      <c r="AQP65" s="192"/>
      <c r="AQQ65" s="192"/>
      <c r="AQR65" s="192"/>
      <c r="AQS65" s="192"/>
      <c r="AQT65" s="192"/>
      <c r="AQU65" s="192"/>
      <c r="AQV65" s="192"/>
      <c r="AQW65" s="192"/>
      <c r="AQX65" s="192"/>
      <c r="AQY65" s="192"/>
      <c r="AQZ65" s="192"/>
      <c r="ARA65" s="192"/>
      <c r="ARB65" s="192"/>
      <c r="ARC65" s="192"/>
      <c r="ARD65" s="192"/>
      <c r="ARE65" s="192"/>
      <c r="ARF65" s="192"/>
      <c r="ARG65" s="192"/>
      <c r="ARH65" s="192"/>
      <c r="ARI65" s="192"/>
      <c r="ARJ65" s="192"/>
      <c r="ARK65" s="192"/>
      <c r="ARL65" s="192"/>
      <c r="ARM65" s="192"/>
      <c r="ARN65" s="192"/>
      <c r="ARO65" s="192"/>
      <c r="ARP65" s="192"/>
      <c r="ARQ65" s="192"/>
      <c r="ARR65" s="192"/>
      <c r="ARS65" s="192"/>
      <c r="ART65" s="192"/>
      <c r="ARU65" s="192"/>
      <c r="ARV65" s="192"/>
      <c r="ARW65" s="192"/>
      <c r="ARX65" s="192"/>
      <c r="ARY65" s="192"/>
      <c r="ARZ65" s="192"/>
      <c r="ASA65" s="192"/>
      <c r="ASB65" s="192"/>
      <c r="ASC65" s="192"/>
      <c r="ASD65" s="192"/>
      <c r="ASE65" s="192"/>
      <c r="ASF65" s="192"/>
      <c r="ASG65" s="192"/>
      <c r="ASH65" s="192"/>
      <c r="ASI65" s="192"/>
      <c r="ASJ65" s="192"/>
      <c r="ASK65" s="192"/>
      <c r="ASL65" s="192"/>
      <c r="ASM65" s="192"/>
      <c r="ASN65" s="192"/>
      <c r="ASO65" s="192"/>
      <c r="ASP65" s="192"/>
      <c r="ASQ65" s="192"/>
      <c r="ASR65" s="192"/>
      <c r="ASS65" s="192"/>
      <c r="AST65" s="192"/>
      <c r="ASU65" s="192"/>
      <c r="ASV65" s="192"/>
      <c r="ASW65" s="192"/>
      <c r="ASX65" s="192"/>
      <c r="ASY65" s="192"/>
      <c r="ASZ65" s="192"/>
      <c r="ATA65" s="192"/>
      <c r="ATB65" s="192"/>
      <c r="ATC65" s="192"/>
      <c r="ATD65" s="192"/>
      <c r="ATE65" s="192"/>
      <c r="ATF65" s="192"/>
      <c r="ATG65" s="192"/>
      <c r="ATH65" s="192"/>
      <c r="ATI65" s="192"/>
      <c r="ATJ65" s="192"/>
      <c r="ATK65" s="192"/>
      <c r="ATL65" s="192"/>
      <c r="ATM65" s="192"/>
      <c r="ATN65" s="192"/>
      <c r="ATO65" s="192"/>
      <c r="ATP65" s="192"/>
      <c r="ATQ65" s="192"/>
      <c r="ATR65" s="192"/>
      <c r="ATS65" s="192"/>
      <c r="ATT65" s="192"/>
      <c r="ATU65" s="192"/>
      <c r="ATV65" s="192"/>
      <c r="ATW65" s="192"/>
      <c r="ATX65" s="192"/>
      <c r="ATY65" s="192"/>
      <c r="ATZ65" s="192"/>
      <c r="AUA65" s="192"/>
      <c r="AUB65" s="192"/>
      <c r="AUC65" s="192"/>
      <c r="AUD65" s="192"/>
      <c r="AUE65" s="192"/>
      <c r="AUF65" s="192"/>
      <c r="AUG65" s="192"/>
      <c r="AUH65" s="192"/>
      <c r="AUI65" s="192"/>
      <c r="AUJ65" s="192"/>
      <c r="AUK65" s="192"/>
      <c r="AUL65" s="192"/>
      <c r="AUM65" s="192"/>
      <c r="AUN65" s="192"/>
      <c r="AUO65" s="192"/>
      <c r="AUP65" s="192"/>
      <c r="AUQ65" s="192"/>
      <c r="AUR65" s="192"/>
      <c r="AUS65" s="192"/>
      <c r="AUT65" s="192"/>
      <c r="AUU65" s="192"/>
      <c r="AUV65" s="192"/>
      <c r="AUW65" s="192"/>
      <c r="AUX65" s="192"/>
      <c r="AUY65" s="192"/>
      <c r="AUZ65" s="192"/>
      <c r="AVA65" s="192"/>
      <c r="AVB65" s="192"/>
      <c r="AVC65" s="192"/>
      <c r="AVD65" s="192"/>
      <c r="AVE65" s="192"/>
      <c r="AVF65" s="192"/>
      <c r="AVG65" s="192"/>
      <c r="AVH65" s="192"/>
      <c r="AVI65" s="192"/>
      <c r="AVJ65" s="192"/>
      <c r="AVK65" s="192"/>
      <c r="AVL65" s="192"/>
      <c r="AVM65" s="192"/>
      <c r="AVN65" s="192"/>
      <c r="AVO65" s="192"/>
      <c r="AVP65" s="192"/>
      <c r="AVQ65" s="192"/>
      <c r="AVR65" s="192"/>
      <c r="AVS65" s="192"/>
      <c r="AVT65" s="192"/>
      <c r="AVU65" s="192"/>
      <c r="AVV65" s="192"/>
      <c r="AVW65" s="192"/>
      <c r="AVX65" s="192"/>
      <c r="AVY65" s="192"/>
      <c r="AVZ65" s="192"/>
      <c r="AWA65" s="192"/>
      <c r="AWB65" s="192"/>
      <c r="AWC65" s="192"/>
      <c r="AWD65" s="192"/>
      <c r="AWE65" s="192"/>
      <c r="AWF65" s="192"/>
      <c r="AWG65" s="192"/>
      <c r="AWH65" s="192"/>
      <c r="AWI65" s="192"/>
      <c r="AWJ65" s="192"/>
      <c r="AWK65" s="192"/>
      <c r="AWL65" s="192"/>
      <c r="AWM65" s="192"/>
      <c r="AWN65" s="192"/>
      <c r="AWO65" s="192"/>
      <c r="AWP65" s="192"/>
      <c r="AWQ65" s="192"/>
      <c r="AWR65" s="192"/>
      <c r="AWS65" s="192"/>
      <c r="AWT65" s="192"/>
      <c r="AWU65" s="192"/>
      <c r="AWV65" s="192"/>
      <c r="AWW65" s="192"/>
      <c r="AWX65" s="192"/>
      <c r="AWY65" s="192"/>
      <c r="AWZ65" s="192"/>
      <c r="AXA65" s="192"/>
      <c r="AXB65" s="192"/>
      <c r="AXC65" s="192"/>
      <c r="AXD65" s="192"/>
      <c r="AXE65" s="192"/>
      <c r="AXF65" s="192"/>
      <c r="AXG65" s="192"/>
      <c r="AXH65" s="192"/>
      <c r="AXI65" s="192"/>
      <c r="AXJ65" s="192"/>
      <c r="AXK65" s="192"/>
      <c r="AXL65" s="192"/>
      <c r="AXM65" s="192"/>
      <c r="AXN65" s="192"/>
      <c r="AXO65" s="192"/>
      <c r="AXP65" s="192"/>
      <c r="AXQ65" s="192"/>
      <c r="AXR65" s="192"/>
      <c r="AXS65" s="192"/>
      <c r="AXT65" s="192"/>
      <c r="AXU65" s="192"/>
      <c r="AXV65" s="192"/>
      <c r="AXW65" s="192"/>
      <c r="AXX65" s="192"/>
      <c r="AXY65" s="192"/>
      <c r="AXZ65" s="192"/>
      <c r="AYA65" s="192"/>
      <c r="AYB65" s="192"/>
      <c r="AYC65" s="192"/>
      <c r="AYD65" s="192"/>
      <c r="AYE65" s="192"/>
      <c r="AYF65" s="192"/>
      <c r="AYG65" s="192"/>
      <c r="AYH65" s="192"/>
      <c r="AYI65" s="192"/>
      <c r="AYJ65" s="192"/>
      <c r="AYK65" s="192"/>
      <c r="AYL65" s="192"/>
      <c r="AYM65" s="192"/>
      <c r="AYN65" s="192"/>
      <c r="AYO65" s="192"/>
      <c r="AYP65" s="192"/>
      <c r="AYQ65" s="192"/>
      <c r="AYR65" s="192"/>
      <c r="AYS65" s="192"/>
      <c r="AYT65" s="192"/>
      <c r="AYU65" s="192"/>
      <c r="AYV65" s="192"/>
      <c r="AYW65" s="192"/>
      <c r="AYX65" s="192"/>
      <c r="AYY65" s="192"/>
      <c r="AYZ65" s="192"/>
      <c r="AZA65" s="192"/>
      <c r="AZB65" s="192"/>
      <c r="AZC65" s="192"/>
      <c r="AZD65" s="192"/>
      <c r="AZE65" s="192"/>
      <c r="AZF65" s="192"/>
      <c r="AZG65" s="192"/>
      <c r="AZH65" s="192"/>
      <c r="AZI65" s="192"/>
      <c r="AZJ65" s="192"/>
      <c r="AZK65" s="192"/>
      <c r="AZL65" s="192"/>
      <c r="AZM65" s="192"/>
      <c r="AZN65" s="192"/>
      <c r="AZO65" s="192"/>
      <c r="AZP65" s="192"/>
      <c r="AZQ65" s="192"/>
      <c r="AZR65" s="192"/>
      <c r="AZS65" s="192"/>
      <c r="AZT65" s="192"/>
      <c r="AZU65" s="192"/>
      <c r="AZV65" s="192"/>
      <c r="AZW65" s="192"/>
      <c r="AZX65" s="192"/>
      <c r="AZY65" s="192"/>
      <c r="AZZ65" s="192"/>
      <c r="BAA65" s="192"/>
      <c r="BAB65" s="192"/>
      <c r="BAC65" s="192"/>
      <c r="BAD65" s="192"/>
      <c r="BAE65" s="192"/>
      <c r="BAF65" s="192"/>
      <c r="BAG65" s="192"/>
      <c r="BAH65" s="192"/>
      <c r="BAI65" s="192"/>
      <c r="BAJ65" s="192"/>
      <c r="BAK65" s="192"/>
      <c r="BAL65" s="192"/>
      <c r="BAM65" s="192"/>
      <c r="BAN65" s="192"/>
      <c r="BAO65" s="192"/>
      <c r="BAP65" s="192"/>
      <c r="BAQ65" s="192"/>
      <c r="BAR65" s="192"/>
      <c r="BAS65" s="192"/>
      <c r="BAT65" s="192"/>
      <c r="BAU65" s="192"/>
      <c r="BAV65" s="192"/>
      <c r="BAW65" s="192"/>
      <c r="BAX65" s="192"/>
      <c r="BAY65" s="192"/>
      <c r="BAZ65" s="192"/>
      <c r="BBA65" s="192"/>
      <c r="BBB65" s="192"/>
      <c r="BBC65" s="192"/>
      <c r="BBD65" s="192"/>
      <c r="BBE65" s="192"/>
      <c r="BBF65" s="192"/>
      <c r="BBG65" s="192"/>
      <c r="BBH65" s="192"/>
      <c r="BBI65" s="192"/>
      <c r="BBJ65" s="192"/>
      <c r="BBK65" s="192"/>
      <c r="BBL65" s="192"/>
      <c r="BBM65" s="192"/>
      <c r="BBN65" s="192"/>
      <c r="BBO65" s="192"/>
      <c r="BBP65" s="192"/>
      <c r="BBQ65" s="192"/>
      <c r="BBR65" s="192"/>
      <c r="BBS65" s="192"/>
      <c r="BBT65" s="192"/>
      <c r="BBU65" s="192"/>
      <c r="BBV65" s="192"/>
      <c r="BBW65" s="192"/>
      <c r="BBX65" s="192"/>
      <c r="BBY65" s="192"/>
      <c r="BBZ65" s="192"/>
      <c r="BCA65" s="192"/>
      <c r="BCB65" s="192"/>
      <c r="BCC65" s="192"/>
      <c r="BCD65" s="192"/>
      <c r="BCE65" s="192"/>
      <c r="BCF65" s="192"/>
      <c r="BCG65" s="192"/>
      <c r="BCH65" s="192"/>
      <c r="BCI65" s="192"/>
      <c r="BCJ65" s="192"/>
      <c r="BCK65" s="192"/>
      <c r="BCL65" s="192"/>
      <c r="BCM65" s="192"/>
      <c r="BCN65" s="192"/>
      <c r="BCO65" s="192"/>
      <c r="BCP65" s="192"/>
      <c r="BCQ65" s="192"/>
      <c r="BCR65" s="192"/>
      <c r="BCS65" s="192"/>
      <c r="BCT65" s="192"/>
      <c r="BCU65" s="192"/>
      <c r="BCV65" s="192"/>
      <c r="BCW65" s="192"/>
      <c r="BCX65" s="192"/>
      <c r="BCY65" s="192"/>
      <c r="BCZ65" s="192"/>
      <c r="BDA65" s="192"/>
      <c r="BDB65" s="192"/>
      <c r="BDC65" s="192"/>
      <c r="BDD65" s="192"/>
      <c r="BDE65" s="192"/>
      <c r="BDF65" s="192"/>
      <c r="BDG65" s="192"/>
      <c r="BDH65" s="192"/>
      <c r="BDI65" s="192"/>
      <c r="BDJ65" s="192"/>
      <c r="BDK65" s="192"/>
      <c r="BDL65" s="192"/>
      <c r="BDM65" s="192"/>
      <c r="BDN65" s="192"/>
      <c r="BDO65" s="192"/>
      <c r="BDP65" s="192"/>
      <c r="BDQ65" s="192"/>
      <c r="BDR65" s="192"/>
      <c r="BDS65" s="192"/>
      <c r="BDT65" s="192"/>
      <c r="BDU65" s="192"/>
      <c r="BDV65" s="192"/>
      <c r="BDW65" s="192"/>
      <c r="BDX65" s="192"/>
      <c r="BDY65" s="192"/>
      <c r="BDZ65" s="192"/>
      <c r="BEA65" s="192"/>
      <c r="BEB65" s="192"/>
      <c r="BEC65" s="192"/>
      <c r="BED65" s="192"/>
      <c r="BEE65" s="192"/>
      <c r="BEF65" s="192"/>
      <c r="BEG65" s="192"/>
      <c r="BEH65" s="192"/>
      <c r="BEI65" s="192"/>
      <c r="BEJ65" s="192"/>
      <c r="BEK65" s="192"/>
      <c r="BEL65" s="192"/>
      <c r="BEM65" s="192"/>
      <c r="BEN65" s="192"/>
      <c r="BEO65" s="192"/>
      <c r="BEP65" s="192"/>
      <c r="BEQ65" s="192"/>
      <c r="BER65" s="192"/>
      <c r="BES65" s="192"/>
      <c r="BET65" s="192"/>
      <c r="BEU65" s="192"/>
      <c r="BEV65" s="192"/>
      <c r="BEW65" s="192"/>
      <c r="BEX65" s="192"/>
      <c r="BEY65" s="192"/>
      <c r="BEZ65" s="192"/>
      <c r="BFA65" s="192"/>
      <c r="BFB65" s="192"/>
      <c r="BFC65" s="192"/>
      <c r="BFD65" s="192"/>
      <c r="BFE65" s="192"/>
      <c r="BFF65" s="192"/>
      <c r="BFG65" s="192"/>
      <c r="BFH65" s="192"/>
      <c r="BFI65" s="192"/>
      <c r="BFJ65" s="192"/>
      <c r="BFK65" s="192"/>
      <c r="BFL65" s="192"/>
      <c r="BFM65" s="192"/>
      <c r="BFN65" s="192"/>
      <c r="BFO65" s="192"/>
      <c r="BFP65" s="192"/>
      <c r="BFQ65" s="192"/>
      <c r="BFR65" s="192"/>
      <c r="BFS65" s="192"/>
      <c r="BFT65" s="192"/>
      <c r="BFU65" s="192"/>
      <c r="BFV65" s="192"/>
      <c r="BFW65" s="192"/>
      <c r="BFX65" s="192"/>
      <c r="BFY65" s="192"/>
      <c r="BFZ65" s="192"/>
      <c r="BGA65" s="192"/>
      <c r="BGB65" s="192"/>
      <c r="BGC65" s="192"/>
      <c r="BGD65" s="192"/>
      <c r="BGE65" s="192"/>
      <c r="BGF65" s="192"/>
      <c r="BGG65" s="192"/>
      <c r="BGH65" s="192"/>
      <c r="BGI65" s="192"/>
      <c r="BGJ65" s="192"/>
      <c r="BGK65" s="192"/>
      <c r="BGL65" s="192"/>
      <c r="BGM65" s="192"/>
      <c r="BGN65" s="192"/>
      <c r="BGO65" s="192"/>
      <c r="BGP65" s="192"/>
      <c r="BGQ65" s="192"/>
      <c r="BGR65" s="192"/>
      <c r="BGS65" s="192"/>
      <c r="BGT65" s="192"/>
      <c r="BGU65" s="192"/>
      <c r="BGV65" s="192"/>
      <c r="BGW65" s="192"/>
      <c r="BGX65" s="192"/>
      <c r="BGY65" s="192"/>
      <c r="BGZ65" s="192"/>
      <c r="BHA65" s="192"/>
      <c r="BHB65" s="192"/>
      <c r="BHC65" s="192"/>
      <c r="BHD65" s="192"/>
      <c r="BHE65" s="192"/>
      <c r="BHF65" s="192"/>
      <c r="BHG65" s="192"/>
      <c r="BHH65" s="192"/>
      <c r="BHI65" s="192"/>
      <c r="BHJ65" s="192"/>
      <c r="BHK65" s="192"/>
      <c r="BHL65" s="192"/>
      <c r="BHM65" s="192"/>
      <c r="BHN65" s="192"/>
      <c r="BHO65" s="192"/>
      <c r="BHP65" s="192"/>
      <c r="BHQ65" s="192"/>
      <c r="BHR65" s="192"/>
      <c r="BHS65" s="192"/>
      <c r="BHT65" s="192"/>
      <c r="BHU65" s="192"/>
      <c r="BHV65" s="192"/>
      <c r="BHW65" s="192"/>
      <c r="BHX65" s="192"/>
      <c r="BHY65" s="192"/>
      <c r="BHZ65" s="192"/>
      <c r="BIA65" s="192"/>
      <c r="BIB65" s="192"/>
      <c r="BIC65" s="192"/>
      <c r="BID65" s="192"/>
      <c r="BIE65" s="192"/>
      <c r="BIF65" s="192"/>
      <c r="BIG65" s="192"/>
      <c r="BIH65" s="192"/>
      <c r="BII65" s="192"/>
      <c r="BIJ65" s="192"/>
      <c r="BIK65" s="192"/>
      <c r="BIL65" s="192"/>
      <c r="BIM65" s="192"/>
      <c r="BIN65" s="192"/>
      <c r="BIO65" s="192"/>
      <c r="BIP65" s="192"/>
      <c r="BIQ65" s="192"/>
      <c r="BIR65" s="192"/>
      <c r="BIS65" s="192"/>
      <c r="BIT65" s="192"/>
      <c r="BIU65" s="192"/>
      <c r="BIV65" s="192"/>
      <c r="BIW65" s="192"/>
      <c r="BIX65" s="192"/>
      <c r="BIY65" s="192"/>
      <c r="BIZ65" s="192"/>
      <c r="BJA65" s="192"/>
      <c r="BJB65" s="192"/>
      <c r="BJC65" s="192"/>
      <c r="BJD65" s="192"/>
      <c r="BJE65" s="192"/>
      <c r="BJF65" s="192"/>
      <c r="BJG65" s="192"/>
      <c r="BJH65" s="192"/>
      <c r="BJI65" s="192"/>
      <c r="BJJ65" s="192"/>
      <c r="BJK65" s="192"/>
      <c r="BJL65" s="192"/>
      <c r="BJM65" s="192"/>
      <c r="BJN65" s="192"/>
      <c r="BJO65" s="192"/>
      <c r="BJP65" s="192"/>
      <c r="BJQ65" s="192"/>
      <c r="BJR65" s="192"/>
      <c r="BJS65" s="192"/>
      <c r="BJT65" s="192"/>
      <c r="BJU65" s="192"/>
      <c r="BJV65" s="192"/>
      <c r="BJW65" s="192"/>
      <c r="BJX65" s="192"/>
      <c r="BJY65" s="192"/>
      <c r="BJZ65" s="192"/>
      <c r="BKA65" s="192"/>
      <c r="BKB65" s="192"/>
      <c r="BKC65" s="192"/>
      <c r="BKD65" s="192"/>
      <c r="BKE65" s="192"/>
      <c r="BKF65" s="192"/>
      <c r="BKG65" s="192"/>
      <c r="BKH65" s="192"/>
      <c r="BKI65" s="192"/>
      <c r="BKJ65" s="192"/>
      <c r="BKK65" s="192"/>
      <c r="BKL65" s="192"/>
      <c r="BKM65" s="192"/>
      <c r="BKN65" s="192"/>
      <c r="BKO65" s="192"/>
      <c r="BKP65" s="192"/>
      <c r="BKQ65" s="192"/>
      <c r="BKR65" s="192"/>
      <c r="BKS65" s="192"/>
      <c r="BKT65" s="192"/>
      <c r="BKU65" s="192"/>
      <c r="BKV65" s="192"/>
      <c r="BKW65" s="192"/>
      <c r="BKX65" s="192"/>
      <c r="BKY65" s="192"/>
      <c r="BKZ65" s="192"/>
      <c r="BLA65" s="192"/>
      <c r="BLB65" s="192"/>
      <c r="BLC65" s="192"/>
      <c r="BLD65" s="192"/>
      <c r="BLE65" s="192"/>
      <c r="BLF65" s="192"/>
      <c r="BLG65" s="192"/>
      <c r="BLH65" s="192"/>
      <c r="BLI65" s="192"/>
      <c r="BLJ65" s="192"/>
      <c r="BLK65" s="192"/>
      <c r="BLL65" s="192"/>
      <c r="BLM65" s="192"/>
      <c r="BLN65" s="192"/>
      <c r="BLO65" s="192"/>
      <c r="BLP65" s="192"/>
      <c r="BLQ65" s="192"/>
      <c r="BLR65" s="192"/>
      <c r="BLS65" s="192"/>
      <c r="BLT65" s="192"/>
      <c r="BLU65" s="192"/>
      <c r="BLV65" s="192"/>
      <c r="BLW65" s="192"/>
      <c r="BLX65" s="192"/>
      <c r="BLY65" s="192"/>
      <c r="BLZ65" s="192"/>
      <c r="BMA65" s="192"/>
      <c r="BMB65" s="192"/>
      <c r="BMC65" s="192"/>
      <c r="BMD65" s="192"/>
      <c r="BME65" s="192"/>
      <c r="BMF65" s="192"/>
      <c r="BMG65" s="192"/>
      <c r="BMH65" s="192"/>
      <c r="BMI65" s="192"/>
      <c r="BMJ65" s="192"/>
      <c r="BMK65" s="192"/>
      <c r="BML65" s="192"/>
      <c r="BMM65" s="192"/>
      <c r="BMN65" s="192"/>
      <c r="BMO65" s="192"/>
      <c r="BMP65" s="192"/>
      <c r="BMQ65" s="192"/>
      <c r="BMR65" s="192"/>
      <c r="BMS65" s="192"/>
      <c r="BMT65" s="192"/>
      <c r="BMU65" s="192"/>
      <c r="BMV65" s="192"/>
      <c r="BMW65" s="192"/>
      <c r="BMX65" s="192"/>
      <c r="BMY65" s="192"/>
      <c r="BMZ65" s="192"/>
      <c r="BNA65" s="192"/>
      <c r="BNB65" s="192"/>
      <c r="BNC65" s="192"/>
      <c r="BND65" s="192"/>
      <c r="BNE65" s="192"/>
      <c r="BNF65" s="192"/>
      <c r="BNG65" s="192"/>
      <c r="BNH65" s="192"/>
      <c r="BNI65" s="192"/>
      <c r="BNJ65" s="192"/>
      <c r="BNK65" s="192"/>
      <c r="BNL65" s="192"/>
      <c r="BNM65" s="192"/>
      <c r="BNN65" s="192"/>
      <c r="BNO65" s="192"/>
      <c r="BNP65" s="192"/>
      <c r="BNQ65" s="192"/>
      <c r="BNR65" s="192"/>
      <c r="BNS65" s="192"/>
      <c r="BNT65" s="192"/>
      <c r="BNU65" s="192"/>
      <c r="BNV65" s="192"/>
      <c r="BNW65" s="192"/>
      <c r="BNX65" s="192"/>
      <c r="BNY65" s="192"/>
      <c r="BNZ65" s="192"/>
      <c r="BOA65" s="192"/>
      <c r="BOB65" s="192"/>
      <c r="BOC65" s="192"/>
      <c r="BOD65" s="192"/>
      <c r="BOE65" s="192"/>
      <c r="BOF65" s="192"/>
      <c r="BOG65" s="192"/>
      <c r="BOH65" s="192"/>
      <c r="BOI65" s="192"/>
      <c r="BOJ65" s="192"/>
      <c r="BOK65" s="192"/>
      <c r="BOL65" s="192"/>
      <c r="BOM65" s="192"/>
      <c r="BON65" s="192"/>
      <c r="BOO65" s="192"/>
      <c r="BOP65" s="192"/>
      <c r="BOQ65" s="192"/>
      <c r="BOR65" s="192"/>
      <c r="BOS65" s="192"/>
      <c r="BOT65" s="192"/>
      <c r="BOU65" s="192"/>
      <c r="BOV65" s="192"/>
      <c r="BOW65" s="192"/>
      <c r="BOX65" s="192"/>
      <c r="BOY65" s="192"/>
      <c r="BOZ65" s="192"/>
      <c r="BPA65" s="192"/>
      <c r="BPB65" s="192"/>
      <c r="BPC65" s="192"/>
      <c r="BPD65" s="192"/>
      <c r="BPE65" s="192"/>
      <c r="BPF65" s="192"/>
      <c r="BPG65" s="192"/>
      <c r="BPH65" s="192"/>
      <c r="BPI65" s="192"/>
      <c r="BPJ65" s="192"/>
      <c r="BPK65" s="192"/>
      <c r="BPL65" s="192"/>
      <c r="BPM65" s="192"/>
      <c r="BPN65" s="192"/>
      <c r="BPO65" s="192"/>
      <c r="BPP65" s="192"/>
      <c r="BPQ65" s="192"/>
      <c r="BPR65" s="192"/>
      <c r="BPS65" s="192"/>
      <c r="BPT65" s="192"/>
      <c r="BPU65" s="192"/>
      <c r="BPV65" s="192"/>
      <c r="BPW65" s="192"/>
      <c r="BPX65" s="192"/>
      <c r="BPY65" s="192"/>
      <c r="BPZ65" s="192"/>
      <c r="BQA65" s="192"/>
      <c r="BQB65" s="192"/>
      <c r="BQC65" s="192"/>
      <c r="BQD65" s="192"/>
      <c r="BQE65" s="192"/>
      <c r="BQF65" s="192"/>
      <c r="BQG65" s="192"/>
      <c r="BQH65" s="192"/>
      <c r="BQI65" s="192"/>
      <c r="BQJ65" s="192"/>
      <c r="BQK65" s="192"/>
      <c r="BQL65" s="192"/>
      <c r="BQM65" s="192"/>
      <c r="BQN65" s="192"/>
      <c r="BQO65" s="192"/>
      <c r="BQP65" s="192"/>
      <c r="BQQ65" s="192"/>
      <c r="BQR65" s="192"/>
      <c r="BQS65" s="192"/>
      <c r="BQT65" s="192"/>
      <c r="BQU65" s="192"/>
      <c r="BQV65" s="192"/>
      <c r="BQW65" s="192"/>
      <c r="BQX65" s="192"/>
      <c r="BQY65" s="192"/>
      <c r="BQZ65" s="192"/>
      <c r="BRA65" s="192"/>
      <c r="BRB65" s="192"/>
      <c r="BRC65" s="192"/>
      <c r="BRD65" s="192"/>
      <c r="BRE65" s="192"/>
      <c r="BRF65" s="192"/>
      <c r="BRG65" s="192"/>
      <c r="BRH65" s="192"/>
      <c r="BRI65" s="192"/>
      <c r="BRJ65" s="192"/>
      <c r="BRK65" s="192"/>
      <c r="BRL65" s="192"/>
      <c r="BRM65" s="192"/>
      <c r="BRN65" s="192"/>
      <c r="BRO65" s="192"/>
      <c r="BRP65" s="192"/>
      <c r="BRQ65" s="192"/>
      <c r="BRR65" s="192"/>
      <c r="BRS65" s="192"/>
      <c r="BRT65" s="192"/>
      <c r="BRU65" s="192"/>
      <c r="BRV65" s="192"/>
      <c r="BRW65" s="192"/>
      <c r="BRX65" s="192"/>
      <c r="BRY65" s="192"/>
      <c r="BRZ65" s="192"/>
      <c r="BSA65" s="192"/>
      <c r="BSB65" s="192"/>
      <c r="BSC65" s="192"/>
      <c r="BSD65" s="192"/>
      <c r="BSE65" s="192"/>
      <c r="BSF65" s="192"/>
      <c r="BSG65" s="192"/>
      <c r="BSH65" s="192"/>
      <c r="BSI65" s="192"/>
      <c r="BSJ65" s="192"/>
      <c r="BSK65" s="192"/>
      <c r="BSL65" s="192"/>
      <c r="BSM65" s="192"/>
      <c r="BSN65" s="192"/>
      <c r="BSO65" s="192"/>
      <c r="BSP65" s="192"/>
      <c r="BSQ65" s="192"/>
      <c r="BSR65" s="192"/>
      <c r="BSS65" s="192"/>
      <c r="BST65" s="192"/>
      <c r="BSU65" s="192"/>
      <c r="BSV65" s="192"/>
      <c r="BSW65" s="192"/>
      <c r="BSX65" s="192"/>
      <c r="BSY65" s="192"/>
      <c r="BSZ65" s="192"/>
      <c r="BTA65" s="192"/>
      <c r="BTB65" s="192"/>
      <c r="BTC65" s="192"/>
      <c r="BTD65" s="192"/>
      <c r="BTE65" s="192"/>
      <c r="BTF65" s="192"/>
      <c r="BTG65" s="192"/>
      <c r="BTH65" s="192"/>
      <c r="BTI65" s="192"/>
      <c r="BTJ65" s="192"/>
      <c r="BTK65" s="192"/>
      <c r="BTL65" s="192"/>
      <c r="BTM65" s="192"/>
      <c r="BTN65" s="192"/>
      <c r="BTO65" s="192"/>
      <c r="BTP65" s="192"/>
      <c r="BTQ65" s="192"/>
      <c r="BTR65" s="192"/>
      <c r="BTS65" s="192"/>
      <c r="BTT65" s="192"/>
      <c r="BTU65" s="192"/>
      <c r="BTV65" s="192"/>
      <c r="BTW65" s="192"/>
      <c r="BTX65" s="192"/>
      <c r="BTY65" s="192"/>
      <c r="BTZ65" s="192"/>
      <c r="BUA65" s="192"/>
      <c r="BUB65" s="192"/>
      <c r="BUC65" s="192"/>
      <c r="BUD65" s="192"/>
      <c r="BUE65" s="192"/>
      <c r="BUF65" s="192"/>
      <c r="BUG65" s="192"/>
      <c r="BUH65" s="192"/>
      <c r="BUI65" s="192"/>
      <c r="BUJ65" s="192"/>
      <c r="BUK65" s="192"/>
      <c r="BUL65" s="192"/>
      <c r="BUM65" s="192"/>
      <c r="BUN65" s="192"/>
      <c r="BUO65" s="192"/>
      <c r="BUP65" s="192"/>
      <c r="BUQ65" s="192"/>
      <c r="BUR65" s="192"/>
      <c r="BUS65" s="192"/>
      <c r="BUT65" s="192"/>
      <c r="BUU65" s="192"/>
      <c r="BUV65" s="192"/>
      <c r="BUW65" s="192"/>
      <c r="BUX65" s="192"/>
      <c r="BUY65" s="192"/>
      <c r="BUZ65" s="192"/>
      <c r="BVA65" s="192"/>
      <c r="BVB65" s="192"/>
      <c r="BVC65" s="192"/>
      <c r="BVD65" s="192"/>
      <c r="BVE65" s="192"/>
      <c r="BVF65" s="192"/>
      <c r="BVG65" s="192"/>
      <c r="BVH65" s="192"/>
      <c r="BVI65" s="192"/>
      <c r="BVJ65" s="192"/>
      <c r="BVK65" s="192"/>
      <c r="BVL65" s="192"/>
      <c r="BVM65" s="192"/>
      <c r="BVN65" s="192"/>
      <c r="BVO65" s="192"/>
      <c r="BVP65" s="192"/>
      <c r="BVQ65" s="192"/>
      <c r="BVR65" s="192"/>
      <c r="BVS65" s="192"/>
      <c r="BVT65" s="192"/>
      <c r="BVU65" s="192"/>
      <c r="BVV65" s="192"/>
      <c r="BVW65" s="192"/>
      <c r="BVX65" s="192"/>
      <c r="BVY65" s="192"/>
      <c r="BVZ65" s="192"/>
      <c r="BWA65" s="192"/>
      <c r="BWB65" s="192"/>
      <c r="BWC65" s="192"/>
      <c r="BWD65" s="192"/>
      <c r="BWE65" s="192"/>
      <c r="BWF65" s="192"/>
      <c r="BWG65" s="192"/>
      <c r="BWH65" s="192"/>
      <c r="BWI65" s="192"/>
      <c r="BWJ65" s="192"/>
      <c r="BWK65" s="192"/>
      <c r="BWL65" s="192"/>
      <c r="BWM65" s="192"/>
      <c r="BWN65" s="192"/>
      <c r="BWO65" s="192"/>
      <c r="BWP65" s="192"/>
      <c r="BWQ65" s="192"/>
      <c r="BWR65" s="192"/>
      <c r="BWS65" s="192"/>
      <c r="BWT65" s="192"/>
      <c r="BWU65" s="192"/>
      <c r="BWV65" s="192"/>
      <c r="BWW65" s="192"/>
      <c r="BWX65" s="192"/>
      <c r="BWY65" s="192"/>
      <c r="BWZ65" s="192"/>
      <c r="BXA65" s="192"/>
      <c r="BXB65" s="192"/>
      <c r="BXC65" s="192"/>
      <c r="BXD65" s="192"/>
      <c r="BXE65" s="192"/>
      <c r="BXF65" s="192"/>
      <c r="BXG65" s="192"/>
      <c r="BXH65" s="192"/>
      <c r="BXI65" s="192"/>
      <c r="BXJ65" s="192"/>
      <c r="BXK65" s="192"/>
      <c r="BXL65" s="192"/>
      <c r="BXM65" s="192"/>
      <c r="BXN65" s="192"/>
      <c r="BXO65" s="192"/>
      <c r="BXP65" s="192"/>
      <c r="BXQ65" s="192"/>
      <c r="BXR65" s="192"/>
      <c r="BXS65" s="192"/>
      <c r="BXT65" s="192"/>
      <c r="BXU65" s="192"/>
      <c r="BXV65" s="192"/>
      <c r="BXW65" s="192"/>
      <c r="BXX65" s="192"/>
      <c r="BXY65" s="192"/>
      <c r="BXZ65" s="192"/>
      <c r="BYA65" s="192"/>
      <c r="BYB65" s="192"/>
      <c r="BYC65" s="192"/>
      <c r="BYD65" s="192"/>
      <c r="BYE65" s="192"/>
      <c r="BYF65" s="192"/>
      <c r="BYG65" s="192"/>
      <c r="BYH65" s="192"/>
      <c r="BYI65" s="192"/>
      <c r="BYJ65" s="192"/>
      <c r="BYK65" s="192"/>
      <c r="BYL65" s="192"/>
      <c r="BYM65" s="192"/>
      <c r="BYN65" s="192"/>
      <c r="BYO65" s="192"/>
      <c r="BYP65" s="192"/>
      <c r="BYQ65" s="192"/>
      <c r="BYR65" s="192"/>
      <c r="BYS65" s="192"/>
      <c r="BYT65" s="192"/>
      <c r="BYU65" s="192"/>
      <c r="BYV65" s="192"/>
      <c r="BYW65" s="192"/>
      <c r="BYX65" s="192"/>
      <c r="BYY65" s="192"/>
      <c r="BYZ65" s="192"/>
      <c r="BZA65" s="192"/>
      <c r="BZB65" s="192"/>
      <c r="BZC65" s="192"/>
      <c r="BZD65" s="192"/>
      <c r="BZE65" s="192"/>
      <c r="BZF65" s="192"/>
      <c r="BZG65" s="192"/>
      <c r="BZH65" s="192"/>
      <c r="BZI65" s="192"/>
      <c r="BZJ65" s="192"/>
      <c r="BZK65" s="192"/>
      <c r="BZL65" s="192"/>
      <c r="BZM65" s="192"/>
      <c r="BZN65" s="192"/>
      <c r="BZO65" s="192"/>
      <c r="BZP65" s="192"/>
      <c r="BZQ65" s="192"/>
      <c r="BZR65" s="192"/>
      <c r="BZS65" s="192"/>
      <c r="BZT65" s="192"/>
      <c r="BZU65" s="192"/>
      <c r="BZV65" s="192"/>
      <c r="BZW65" s="192"/>
      <c r="BZX65" s="192"/>
      <c r="BZY65" s="192"/>
      <c r="BZZ65" s="192"/>
      <c r="CAA65" s="192"/>
      <c r="CAB65" s="192"/>
      <c r="CAC65" s="192"/>
      <c r="CAD65" s="192"/>
      <c r="CAE65" s="192"/>
      <c r="CAF65" s="192"/>
      <c r="CAG65" s="192"/>
      <c r="CAH65" s="192"/>
      <c r="CAI65" s="192"/>
      <c r="CAJ65" s="192"/>
      <c r="CAK65" s="192"/>
      <c r="CAL65" s="192"/>
      <c r="CAM65" s="192"/>
      <c r="CAN65" s="192"/>
      <c r="CAO65" s="192"/>
      <c r="CAP65" s="192"/>
      <c r="CAQ65" s="192"/>
      <c r="CAR65" s="192"/>
      <c r="CAS65" s="192"/>
      <c r="CAT65" s="192"/>
      <c r="CAU65" s="192"/>
      <c r="CAV65" s="192"/>
      <c r="CAW65" s="192"/>
      <c r="CAX65" s="192"/>
      <c r="CAY65" s="192"/>
      <c r="CAZ65" s="192"/>
      <c r="CBA65" s="192"/>
      <c r="CBB65" s="192"/>
      <c r="CBC65" s="192"/>
      <c r="CBD65" s="192"/>
      <c r="CBE65" s="192"/>
      <c r="CBF65" s="192"/>
      <c r="CBG65" s="192"/>
      <c r="CBH65" s="192"/>
      <c r="CBI65" s="192"/>
      <c r="CBJ65" s="192"/>
      <c r="CBK65" s="192"/>
      <c r="CBL65" s="192"/>
      <c r="CBM65" s="192"/>
      <c r="CBN65" s="192"/>
      <c r="CBO65" s="192"/>
      <c r="CBP65" s="192"/>
      <c r="CBQ65" s="192"/>
      <c r="CBR65" s="192"/>
      <c r="CBS65" s="192"/>
      <c r="CBT65" s="192"/>
      <c r="CBU65" s="192"/>
      <c r="CBV65" s="192"/>
      <c r="CBW65" s="192"/>
      <c r="CBX65" s="192"/>
      <c r="CBY65" s="192"/>
      <c r="CBZ65" s="192"/>
      <c r="CCA65" s="192"/>
      <c r="CCB65" s="192"/>
      <c r="CCC65" s="192"/>
      <c r="CCD65" s="192"/>
      <c r="CCE65" s="192"/>
      <c r="CCF65" s="192"/>
      <c r="CCG65" s="192"/>
      <c r="CCH65" s="192"/>
      <c r="CCI65" s="192"/>
      <c r="CCJ65" s="192"/>
      <c r="CCK65" s="192"/>
      <c r="CCL65" s="192"/>
      <c r="CCM65" s="192"/>
      <c r="CCN65" s="192"/>
      <c r="CCO65" s="192"/>
      <c r="CCP65" s="192"/>
      <c r="CCQ65" s="192"/>
      <c r="CCR65" s="192"/>
      <c r="CCS65" s="192"/>
      <c r="CCT65" s="192"/>
      <c r="CCU65" s="192"/>
      <c r="CCV65" s="192"/>
      <c r="CCW65" s="192"/>
      <c r="CCX65" s="192"/>
      <c r="CCY65" s="192"/>
      <c r="CCZ65" s="192"/>
      <c r="CDA65" s="192"/>
      <c r="CDB65" s="192"/>
      <c r="CDC65" s="192"/>
      <c r="CDD65" s="192"/>
      <c r="CDE65" s="192"/>
      <c r="CDF65" s="192"/>
      <c r="CDG65" s="192"/>
      <c r="CDH65" s="192"/>
      <c r="CDI65" s="192"/>
      <c r="CDJ65" s="192"/>
      <c r="CDK65" s="192"/>
      <c r="CDL65" s="192"/>
      <c r="CDM65" s="192"/>
      <c r="CDN65" s="192"/>
      <c r="CDO65" s="192"/>
      <c r="CDP65" s="192"/>
      <c r="CDQ65" s="192"/>
      <c r="CDR65" s="192"/>
      <c r="CDS65" s="192"/>
      <c r="CDT65" s="192"/>
      <c r="CDU65" s="192"/>
      <c r="CDV65" s="192"/>
      <c r="CDW65" s="192"/>
      <c r="CDX65" s="192"/>
      <c r="CDY65" s="192"/>
      <c r="CDZ65" s="192"/>
      <c r="CEA65" s="192"/>
      <c r="CEB65" s="192"/>
      <c r="CEC65" s="192"/>
      <c r="CED65" s="192"/>
      <c r="CEE65" s="192"/>
      <c r="CEF65" s="192"/>
      <c r="CEG65" s="192"/>
      <c r="CEH65" s="192"/>
      <c r="CEI65" s="192"/>
      <c r="CEJ65" s="192"/>
      <c r="CEK65" s="192"/>
      <c r="CEL65" s="192"/>
      <c r="CEM65" s="192"/>
      <c r="CEN65" s="192"/>
      <c r="CEO65" s="192"/>
      <c r="CEP65" s="192"/>
      <c r="CEQ65" s="192"/>
      <c r="CER65" s="192"/>
      <c r="CES65" s="192"/>
      <c r="CET65" s="192"/>
      <c r="CEU65" s="192"/>
      <c r="CEV65" s="192"/>
      <c r="CEW65" s="192"/>
      <c r="CEX65" s="192"/>
      <c r="CEY65" s="192"/>
      <c r="CEZ65" s="192"/>
      <c r="CFA65" s="192"/>
      <c r="CFB65" s="192"/>
      <c r="CFC65" s="192"/>
      <c r="CFD65" s="192"/>
      <c r="CFE65" s="192"/>
      <c r="CFF65" s="192"/>
      <c r="CFG65" s="192"/>
      <c r="CFH65" s="192"/>
      <c r="CFI65" s="192"/>
      <c r="CFJ65" s="192"/>
      <c r="CFK65" s="192"/>
      <c r="CFL65" s="192"/>
      <c r="CFM65" s="192"/>
      <c r="CFN65" s="192"/>
      <c r="CFO65" s="192"/>
      <c r="CFP65" s="192"/>
      <c r="CFQ65" s="192"/>
      <c r="CFR65" s="192"/>
      <c r="CFS65" s="192"/>
      <c r="CFT65" s="192"/>
      <c r="CFU65" s="192"/>
      <c r="CFV65" s="192"/>
      <c r="CFW65" s="192"/>
      <c r="CFX65" s="192"/>
      <c r="CFY65" s="192"/>
      <c r="CFZ65" s="192"/>
      <c r="CGA65" s="192"/>
      <c r="CGB65" s="192"/>
      <c r="CGC65" s="192"/>
      <c r="CGD65" s="192"/>
      <c r="CGE65" s="192"/>
      <c r="CGF65" s="192"/>
      <c r="CGG65" s="192"/>
      <c r="CGH65" s="192"/>
      <c r="CGI65" s="192"/>
      <c r="CGJ65" s="192"/>
      <c r="CGK65" s="192"/>
      <c r="CGL65" s="192"/>
      <c r="CGM65" s="192"/>
      <c r="CGN65" s="192"/>
      <c r="CGO65" s="192"/>
      <c r="CGP65" s="192"/>
      <c r="CGQ65" s="192"/>
      <c r="CGR65" s="192"/>
      <c r="CGS65" s="192"/>
      <c r="CGT65" s="192"/>
      <c r="CGU65" s="192"/>
      <c r="CGV65" s="192"/>
      <c r="CGW65" s="192"/>
      <c r="CGX65" s="192"/>
      <c r="CGY65" s="192"/>
      <c r="CGZ65" s="192"/>
      <c r="CHA65" s="192"/>
      <c r="CHB65" s="192"/>
      <c r="CHC65" s="192"/>
      <c r="CHD65" s="192"/>
      <c r="CHE65" s="192"/>
      <c r="CHF65" s="192"/>
      <c r="CHG65" s="192"/>
      <c r="CHH65" s="192"/>
      <c r="CHI65" s="192"/>
      <c r="CHJ65" s="192"/>
      <c r="CHK65" s="192"/>
      <c r="CHL65" s="192"/>
      <c r="CHM65" s="192"/>
      <c r="CHN65" s="192"/>
      <c r="CHO65" s="192"/>
      <c r="CHP65" s="192"/>
      <c r="CHQ65" s="192"/>
      <c r="CHR65" s="192"/>
      <c r="CHS65" s="192"/>
      <c r="CHT65" s="192"/>
      <c r="CHU65" s="192"/>
      <c r="CHV65" s="192"/>
      <c r="CHW65" s="192"/>
      <c r="CHX65" s="192"/>
      <c r="CHY65" s="192"/>
      <c r="CHZ65" s="192"/>
      <c r="CIA65" s="192"/>
      <c r="CIB65" s="192"/>
      <c r="CIC65" s="192"/>
      <c r="CID65" s="192"/>
      <c r="CIE65" s="192"/>
      <c r="CIF65" s="192"/>
      <c r="CIG65" s="192"/>
      <c r="CIH65" s="192"/>
      <c r="CII65" s="192"/>
      <c r="CIJ65" s="192"/>
      <c r="CIK65" s="192"/>
      <c r="CIL65" s="192"/>
      <c r="CIM65" s="192"/>
      <c r="CIN65" s="192"/>
      <c r="CIO65" s="192"/>
      <c r="CIP65" s="192"/>
      <c r="CIQ65" s="192"/>
      <c r="CIR65" s="192"/>
      <c r="CIS65" s="192"/>
      <c r="CIT65" s="192"/>
      <c r="CIU65" s="192"/>
      <c r="CIV65" s="192"/>
      <c r="CIW65" s="192"/>
      <c r="CIX65" s="192"/>
      <c r="CIY65" s="192"/>
      <c r="CIZ65" s="192"/>
      <c r="CJA65" s="192"/>
      <c r="CJB65" s="192"/>
      <c r="CJC65" s="192"/>
      <c r="CJD65" s="192"/>
      <c r="CJE65" s="192"/>
      <c r="CJF65" s="192"/>
      <c r="CJG65" s="192"/>
      <c r="CJH65" s="192"/>
      <c r="CJI65" s="192"/>
      <c r="CJJ65" s="192"/>
      <c r="CJK65" s="192"/>
      <c r="CJL65" s="192"/>
      <c r="CJM65" s="192"/>
      <c r="CJN65" s="192"/>
      <c r="CJO65" s="192"/>
      <c r="CJP65" s="192"/>
      <c r="CJQ65" s="192"/>
      <c r="CJR65" s="192"/>
      <c r="CJS65" s="192"/>
      <c r="CJT65" s="192"/>
      <c r="CJU65" s="192"/>
      <c r="CJV65" s="192"/>
      <c r="CJW65" s="192"/>
      <c r="CJX65" s="192"/>
      <c r="CJY65" s="192"/>
      <c r="CJZ65" s="192"/>
      <c r="CKA65" s="192"/>
      <c r="CKB65" s="192"/>
      <c r="CKC65" s="192"/>
      <c r="CKD65" s="192"/>
      <c r="CKE65" s="192"/>
      <c r="CKF65" s="192"/>
      <c r="CKG65" s="192"/>
      <c r="CKH65" s="192"/>
      <c r="CKI65" s="192"/>
      <c r="CKJ65" s="192"/>
      <c r="CKK65" s="192"/>
      <c r="CKL65" s="192"/>
      <c r="CKM65" s="192"/>
      <c r="CKN65" s="192"/>
      <c r="CKO65" s="192"/>
      <c r="CKP65" s="192"/>
      <c r="CKQ65" s="192"/>
      <c r="CKR65" s="192"/>
      <c r="CKS65" s="192"/>
      <c r="CKT65" s="192"/>
      <c r="CKU65" s="192"/>
      <c r="CKV65" s="192"/>
      <c r="CKW65" s="192"/>
      <c r="CKX65" s="192"/>
      <c r="CKY65" s="192"/>
      <c r="CKZ65" s="192"/>
      <c r="CLA65" s="192"/>
      <c r="CLB65" s="192"/>
      <c r="CLC65" s="192"/>
      <c r="CLD65" s="192"/>
      <c r="CLE65" s="192"/>
      <c r="CLF65" s="192"/>
      <c r="CLG65" s="192"/>
      <c r="CLH65" s="192"/>
      <c r="CLI65" s="192"/>
      <c r="CLJ65" s="192"/>
      <c r="CLK65" s="192"/>
      <c r="CLL65" s="192"/>
      <c r="CLM65" s="192"/>
      <c r="CLN65" s="192"/>
      <c r="CLO65" s="192"/>
      <c r="CLP65" s="192"/>
      <c r="CLQ65" s="192"/>
      <c r="CLR65" s="192"/>
      <c r="CLS65" s="192"/>
      <c r="CLT65" s="192"/>
      <c r="CLU65" s="192"/>
      <c r="CLV65" s="192"/>
      <c r="CLW65" s="192"/>
      <c r="CLX65" s="192"/>
      <c r="CLY65" s="192"/>
      <c r="CLZ65" s="192"/>
      <c r="CMA65" s="192"/>
      <c r="CMB65" s="192"/>
      <c r="CMC65" s="192"/>
      <c r="CMD65" s="192"/>
      <c r="CME65" s="192"/>
      <c r="CMF65" s="192"/>
      <c r="CMG65" s="192"/>
      <c r="CMH65" s="192"/>
      <c r="CMI65" s="192"/>
      <c r="CMJ65" s="192"/>
      <c r="CMK65" s="192"/>
      <c r="CML65" s="192"/>
      <c r="CMM65" s="192"/>
      <c r="CMN65" s="192"/>
      <c r="CMO65" s="192"/>
      <c r="CMP65" s="192"/>
      <c r="CMQ65" s="192"/>
      <c r="CMR65" s="192"/>
      <c r="CMS65" s="192"/>
      <c r="CMT65" s="192"/>
      <c r="CMU65" s="192"/>
      <c r="CMV65" s="192"/>
      <c r="CMW65" s="192"/>
      <c r="CMX65" s="192"/>
      <c r="CMY65" s="192"/>
      <c r="CMZ65" s="192"/>
      <c r="CNA65" s="192"/>
      <c r="CNB65" s="192"/>
      <c r="CNC65" s="192"/>
      <c r="CND65" s="192"/>
      <c r="CNE65" s="192"/>
      <c r="CNF65" s="192"/>
      <c r="CNG65" s="192"/>
      <c r="CNH65" s="192"/>
      <c r="CNI65" s="192"/>
      <c r="CNJ65" s="192"/>
      <c r="CNK65" s="192"/>
      <c r="CNL65" s="192"/>
      <c r="CNM65" s="192"/>
      <c r="CNN65" s="192"/>
      <c r="CNO65" s="192"/>
      <c r="CNP65" s="192"/>
      <c r="CNQ65" s="192"/>
      <c r="CNR65" s="192"/>
      <c r="CNS65" s="192"/>
      <c r="CNT65" s="192"/>
      <c r="CNU65" s="192"/>
      <c r="CNV65" s="192"/>
      <c r="CNW65" s="192"/>
      <c r="CNX65" s="192"/>
      <c r="CNY65" s="192"/>
      <c r="CNZ65" s="192"/>
      <c r="COA65" s="192"/>
      <c r="COB65" s="192"/>
      <c r="COC65" s="192"/>
      <c r="COD65" s="192"/>
      <c r="COE65" s="192"/>
      <c r="COF65" s="192"/>
      <c r="COG65" s="192"/>
      <c r="COH65" s="192"/>
      <c r="COI65" s="192"/>
      <c r="COJ65" s="192"/>
      <c r="COK65" s="192"/>
      <c r="COL65" s="192"/>
      <c r="COM65" s="192"/>
      <c r="CON65" s="192"/>
      <c r="COO65" s="192"/>
      <c r="COP65" s="192"/>
      <c r="COQ65" s="192"/>
      <c r="COR65" s="192"/>
      <c r="COS65" s="192"/>
      <c r="COT65" s="192"/>
      <c r="COU65" s="192"/>
      <c r="COV65" s="192"/>
      <c r="COW65" s="192"/>
      <c r="COX65" s="192"/>
      <c r="COY65" s="192"/>
      <c r="COZ65" s="192"/>
      <c r="CPA65" s="192"/>
      <c r="CPB65" s="192"/>
      <c r="CPC65" s="192"/>
      <c r="CPD65" s="192"/>
      <c r="CPE65" s="192"/>
      <c r="CPF65" s="192"/>
      <c r="CPG65" s="192"/>
      <c r="CPH65" s="192"/>
      <c r="CPI65" s="192"/>
      <c r="CPJ65" s="192"/>
      <c r="CPK65" s="192"/>
      <c r="CPL65" s="192"/>
      <c r="CPM65" s="192"/>
      <c r="CPN65" s="192"/>
      <c r="CPO65" s="192"/>
      <c r="CPP65" s="192"/>
      <c r="CPQ65" s="192"/>
      <c r="CPR65" s="192"/>
      <c r="CPS65" s="192"/>
      <c r="CPT65" s="192"/>
      <c r="CPU65" s="192"/>
      <c r="CPV65" s="192"/>
      <c r="CPW65" s="192"/>
      <c r="CPX65" s="192"/>
      <c r="CPY65" s="192"/>
      <c r="CPZ65" s="192"/>
      <c r="CQA65" s="192"/>
      <c r="CQB65" s="192"/>
      <c r="CQC65" s="192"/>
      <c r="CQD65" s="192"/>
      <c r="CQE65" s="192"/>
      <c r="CQF65" s="192"/>
      <c r="CQG65" s="192"/>
      <c r="CQH65" s="192"/>
      <c r="CQI65" s="192"/>
      <c r="CQJ65" s="192"/>
      <c r="CQK65" s="192"/>
      <c r="CQL65" s="192"/>
      <c r="CQM65" s="192"/>
      <c r="CQN65" s="192"/>
      <c r="CQO65" s="192"/>
      <c r="CQP65" s="192"/>
      <c r="CQQ65" s="192"/>
      <c r="CQR65" s="192"/>
      <c r="CQS65" s="192"/>
      <c r="CQT65" s="192"/>
      <c r="CQU65" s="192"/>
      <c r="CQV65" s="192"/>
      <c r="CQW65" s="192"/>
      <c r="CQX65" s="192"/>
      <c r="CQY65" s="192"/>
      <c r="CQZ65" s="192"/>
      <c r="CRA65" s="192"/>
      <c r="CRB65" s="192"/>
      <c r="CRC65" s="192"/>
      <c r="CRD65" s="192"/>
      <c r="CRE65" s="192"/>
      <c r="CRF65" s="192"/>
      <c r="CRG65" s="192"/>
      <c r="CRH65" s="192"/>
      <c r="CRI65" s="192"/>
      <c r="CRJ65" s="192"/>
      <c r="CRK65" s="192"/>
      <c r="CRL65" s="192"/>
      <c r="CRM65" s="192"/>
      <c r="CRN65" s="192"/>
      <c r="CRO65" s="192"/>
      <c r="CRP65" s="192"/>
      <c r="CRQ65" s="192"/>
      <c r="CRR65" s="192"/>
      <c r="CRS65" s="192"/>
      <c r="CRT65" s="192"/>
      <c r="CRU65" s="192"/>
      <c r="CRV65" s="192"/>
      <c r="CRW65" s="192"/>
      <c r="CRX65" s="192"/>
      <c r="CRY65" s="192"/>
      <c r="CRZ65" s="192"/>
      <c r="CSA65" s="192"/>
      <c r="CSB65" s="192"/>
      <c r="CSC65" s="192"/>
      <c r="CSD65" s="192"/>
      <c r="CSE65" s="192"/>
      <c r="CSF65" s="192"/>
      <c r="CSG65" s="192"/>
      <c r="CSH65" s="192"/>
      <c r="CSI65" s="192"/>
      <c r="CSJ65" s="192"/>
      <c r="CSK65" s="192"/>
      <c r="CSL65" s="192"/>
      <c r="CSM65" s="192"/>
      <c r="CSN65" s="192"/>
      <c r="CSO65" s="192"/>
      <c r="CSP65" s="192"/>
      <c r="CSQ65" s="192"/>
      <c r="CSR65" s="192"/>
      <c r="CSS65" s="192"/>
      <c r="CST65" s="192"/>
      <c r="CSU65" s="192"/>
      <c r="CSV65" s="192"/>
      <c r="CSW65" s="192"/>
      <c r="CSX65" s="192"/>
      <c r="CSY65" s="192"/>
      <c r="CSZ65" s="192"/>
      <c r="CTA65" s="192"/>
      <c r="CTB65" s="192"/>
      <c r="CTC65" s="192"/>
      <c r="CTD65" s="192"/>
      <c r="CTE65" s="192"/>
      <c r="CTF65" s="192"/>
      <c r="CTG65" s="192"/>
      <c r="CTH65" s="192"/>
      <c r="CTI65" s="192"/>
      <c r="CTJ65" s="192"/>
      <c r="CTK65" s="192"/>
      <c r="CTL65" s="192"/>
      <c r="CTM65" s="192"/>
      <c r="CTN65" s="192"/>
      <c r="CTO65" s="192"/>
      <c r="CTP65" s="192"/>
      <c r="CTQ65" s="192"/>
      <c r="CTR65" s="192"/>
      <c r="CTS65" s="192"/>
      <c r="CTT65" s="192"/>
      <c r="CTU65" s="192"/>
      <c r="CTV65" s="192"/>
      <c r="CTW65" s="192"/>
      <c r="CTX65" s="192"/>
      <c r="CTY65" s="192"/>
      <c r="CTZ65" s="192"/>
      <c r="CUA65" s="192"/>
      <c r="CUB65" s="192"/>
      <c r="CUC65" s="192"/>
      <c r="CUD65" s="192"/>
      <c r="CUE65" s="192"/>
      <c r="CUF65" s="192"/>
      <c r="CUG65" s="192"/>
      <c r="CUH65" s="192"/>
      <c r="CUI65" s="192"/>
      <c r="CUJ65" s="192"/>
      <c r="CUK65" s="192"/>
      <c r="CUL65" s="192"/>
      <c r="CUM65" s="192"/>
      <c r="CUN65" s="192"/>
      <c r="CUO65" s="192"/>
      <c r="CUP65" s="192"/>
      <c r="CUQ65" s="192"/>
      <c r="CUR65" s="192"/>
      <c r="CUS65" s="192"/>
      <c r="CUT65" s="192"/>
      <c r="CUU65" s="192"/>
      <c r="CUV65" s="192"/>
      <c r="CUW65" s="192"/>
      <c r="CUX65" s="192"/>
      <c r="CUY65" s="192"/>
      <c r="CUZ65" s="192"/>
      <c r="CVA65" s="192"/>
      <c r="CVB65" s="192"/>
      <c r="CVC65" s="192"/>
      <c r="CVD65" s="192"/>
      <c r="CVE65" s="192"/>
      <c r="CVF65" s="192"/>
      <c r="CVG65" s="192"/>
      <c r="CVH65" s="192"/>
      <c r="CVI65" s="192"/>
      <c r="CVJ65" s="192"/>
      <c r="CVK65" s="192"/>
      <c r="CVL65" s="192"/>
      <c r="CVM65" s="192"/>
      <c r="CVN65" s="192"/>
      <c r="CVO65" s="192"/>
      <c r="CVP65" s="192"/>
      <c r="CVQ65" s="192"/>
      <c r="CVR65" s="192"/>
      <c r="CVS65" s="192"/>
      <c r="CVT65" s="192"/>
      <c r="CVU65" s="192"/>
      <c r="CVV65" s="192"/>
      <c r="CVW65" s="192"/>
      <c r="CVX65" s="192"/>
      <c r="CVY65" s="192"/>
      <c r="CVZ65" s="192"/>
      <c r="CWA65" s="192"/>
      <c r="CWB65" s="192"/>
      <c r="CWC65" s="192"/>
      <c r="CWD65" s="192"/>
      <c r="CWE65" s="192"/>
      <c r="CWF65" s="192"/>
      <c r="CWG65" s="192"/>
      <c r="CWH65" s="192"/>
      <c r="CWI65" s="192"/>
      <c r="CWJ65" s="192"/>
      <c r="CWK65" s="192"/>
      <c r="CWL65" s="192"/>
      <c r="CWM65" s="192"/>
      <c r="CWN65" s="192"/>
      <c r="CWO65" s="192"/>
      <c r="CWP65" s="192"/>
      <c r="CWQ65" s="192"/>
      <c r="CWR65" s="192"/>
      <c r="CWS65" s="192"/>
      <c r="CWT65" s="192"/>
      <c r="CWU65" s="192"/>
      <c r="CWV65" s="192"/>
      <c r="CWW65" s="192"/>
      <c r="CWX65" s="192"/>
      <c r="CWY65" s="192"/>
      <c r="CWZ65" s="192"/>
      <c r="CXA65" s="192"/>
      <c r="CXB65" s="192"/>
      <c r="CXC65" s="192"/>
      <c r="CXD65" s="192"/>
      <c r="CXE65" s="192"/>
      <c r="CXF65" s="192"/>
      <c r="CXG65" s="192"/>
      <c r="CXH65" s="192"/>
      <c r="CXI65" s="192"/>
      <c r="CXJ65" s="192"/>
      <c r="CXK65" s="192"/>
      <c r="CXL65" s="192"/>
      <c r="CXM65" s="192"/>
      <c r="CXN65" s="192"/>
      <c r="CXO65" s="192"/>
      <c r="CXP65" s="192"/>
      <c r="CXQ65" s="192"/>
      <c r="CXR65" s="192"/>
      <c r="CXS65" s="192"/>
      <c r="CXT65" s="192"/>
      <c r="CXU65" s="192"/>
      <c r="CXV65" s="192"/>
      <c r="CXW65" s="192"/>
      <c r="CXX65" s="192"/>
      <c r="CXY65" s="192"/>
      <c r="CXZ65" s="192"/>
      <c r="CYA65" s="192"/>
      <c r="CYB65" s="192"/>
      <c r="CYC65" s="192"/>
      <c r="CYD65" s="192"/>
      <c r="CYE65" s="192"/>
      <c r="CYF65" s="192"/>
      <c r="CYG65" s="192"/>
      <c r="CYH65" s="192"/>
      <c r="CYI65" s="192"/>
      <c r="CYJ65" s="192"/>
      <c r="CYK65" s="192"/>
      <c r="CYL65" s="192"/>
      <c r="CYM65" s="192"/>
      <c r="CYN65" s="192"/>
      <c r="CYO65" s="192"/>
      <c r="CYP65" s="192"/>
      <c r="CYQ65" s="192"/>
      <c r="CYR65" s="192"/>
      <c r="CYS65" s="192"/>
      <c r="CYT65" s="192"/>
      <c r="CYU65" s="192"/>
      <c r="CYV65" s="192"/>
      <c r="CYW65" s="192"/>
      <c r="CYX65" s="192"/>
      <c r="CYY65" s="192"/>
      <c r="CYZ65" s="192"/>
      <c r="CZA65" s="192"/>
      <c r="CZB65" s="192"/>
      <c r="CZC65" s="192"/>
      <c r="CZD65" s="192"/>
      <c r="CZE65" s="192"/>
      <c r="CZF65" s="192"/>
      <c r="CZG65" s="192"/>
      <c r="CZH65" s="192"/>
      <c r="CZI65" s="192"/>
      <c r="CZJ65" s="192"/>
      <c r="CZK65" s="192"/>
      <c r="CZL65" s="192"/>
      <c r="CZM65" s="192"/>
      <c r="CZN65" s="192"/>
      <c r="CZO65" s="192"/>
      <c r="CZP65" s="192"/>
      <c r="CZQ65" s="192"/>
      <c r="CZR65" s="192"/>
      <c r="CZS65" s="192"/>
      <c r="CZT65" s="192"/>
      <c r="CZU65" s="192"/>
      <c r="CZV65" s="192"/>
      <c r="CZW65" s="192"/>
      <c r="CZX65" s="192"/>
      <c r="CZY65" s="192"/>
      <c r="CZZ65" s="192"/>
      <c r="DAA65" s="192"/>
      <c r="DAB65" s="192"/>
      <c r="DAC65" s="192"/>
      <c r="DAD65" s="192"/>
      <c r="DAE65" s="192"/>
      <c r="DAF65" s="192"/>
      <c r="DAG65" s="192"/>
      <c r="DAH65" s="192"/>
      <c r="DAI65" s="192"/>
      <c r="DAJ65" s="192"/>
      <c r="DAK65" s="192"/>
      <c r="DAL65" s="192"/>
      <c r="DAM65" s="192"/>
      <c r="DAN65" s="192"/>
      <c r="DAO65" s="192"/>
      <c r="DAP65" s="192"/>
      <c r="DAQ65" s="192"/>
      <c r="DAR65" s="192"/>
      <c r="DAS65" s="192"/>
      <c r="DAT65" s="192"/>
      <c r="DAU65" s="192"/>
      <c r="DAV65" s="192"/>
      <c r="DAW65" s="192"/>
      <c r="DAX65" s="192"/>
      <c r="DAY65" s="192"/>
      <c r="DAZ65" s="192"/>
      <c r="DBA65" s="192"/>
      <c r="DBB65" s="192"/>
      <c r="DBC65" s="192"/>
      <c r="DBD65" s="192"/>
      <c r="DBE65" s="192"/>
      <c r="DBF65" s="192"/>
      <c r="DBG65" s="192"/>
      <c r="DBH65" s="192"/>
      <c r="DBI65" s="192"/>
      <c r="DBJ65" s="192"/>
      <c r="DBK65" s="192"/>
      <c r="DBL65" s="192"/>
      <c r="DBM65" s="192"/>
      <c r="DBN65" s="192"/>
      <c r="DBO65" s="192"/>
      <c r="DBP65" s="192"/>
      <c r="DBQ65" s="192"/>
      <c r="DBR65" s="192"/>
      <c r="DBS65" s="192"/>
      <c r="DBT65" s="192"/>
      <c r="DBU65" s="192"/>
      <c r="DBV65" s="192"/>
      <c r="DBW65" s="192"/>
      <c r="DBX65" s="192"/>
      <c r="DBY65" s="192"/>
      <c r="DBZ65" s="192"/>
      <c r="DCA65" s="192"/>
      <c r="DCB65" s="192"/>
      <c r="DCC65" s="192"/>
      <c r="DCD65" s="192"/>
      <c r="DCE65" s="192"/>
      <c r="DCF65" s="192"/>
      <c r="DCG65" s="192"/>
      <c r="DCH65" s="192"/>
      <c r="DCI65" s="192"/>
      <c r="DCJ65" s="192"/>
      <c r="DCK65" s="192"/>
      <c r="DCL65" s="192"/>
      <c r="DCM65" s="192"/>
      <c r="DCN65" s="192"/>
      <c r="DCO65" s="192"/>
      <c r="DCP65" s="192"/>
      <c r="DCQ65" s="192"/>
      <c r="DCR65" s="192"/>
      <c r="DCS65" s="192"/>
      <c r="DCT65" s="192"/>
      <c r="DCU65" s="192"/>
      <c r="DCV65" s="192"/>
      <c r="DCW65" s="192"/>
      <c r="DCX65" s="192"/>
      <c r="DCY65" s="192"/>
      <c r="DCZ65" s="192"/>
      <c r="DDA65" s="192"/>
      <c r="DDB65" s="192"/>
      <c r="DDC65" s="192"/>
      <c r="DDD65" s="192"/>
      <c r="DDE65" s="192"/>
      <c r="DDF65" s="192"/>
      <c r="DDG65" s="192"/>
      <c r="DDH65" s="192"/>
      <c r="DDI65" s="192"/>
      <c r="DDJ65" s="192"/>
      <c r="DDK65" s="192"/>
      <c r="DDL65" s="192"/>
      <c r="DDM65" s="192"/>
      <c r="DDN65" s="192"/>
      <c r="DDO65" s="192"/>
      <c r="DDP65" s="192"/>
      <c r="DDQ65" s="192"/>
      <c r="DDR65" s="192"/>
      <c r="DDS65" s="192"/>
      <c r="DDT65" s="192"/>
      <c r="DDU65" s="192"/>
      <c r="DDV65" s="192"/>
      <c r="DDW65" s="192"/>
      <c r="DDX65" s="192"/>
      <c r="DDY65" s="192"/>
      <c r="DDZ65" s="192"/>
      <c r="DEA65" s="192"/>
      <c r="DEB65" s="192"/>
      <c r="DEC65" s="192"/>
      <c r="DED65" s="192"/>
      <c r="DEE65" s="192"/>
      <c r="DEF65" s="192"/>
      <c r="DEG65" s="192"/>
      <c r="DEH65" s="192"/>
      <c r="DEI65" s="192"/>
      <c r="DEJ65" s="192"/>
      <c r="DEK65" s="192"/>
      <c r="DEL65" s="192"/>
      <c r="DEM65" s="192"/>
      <c r="DEN65" s="192"/>
      <c r="DEO65" s="192"/>
      <c r="DEP65" s="192"/>
      <c r="DEQ65" s="192"/>
      <c r="DER65" s="192"/>
      <c r="DES65" s="192"/>
      <c r="DET65" s="192"/>
      <c r="DEU65" s="192"/>
      <c r="DEV65" s="192"/>
      <c r="DEW65" s="192"/>
      <c r="DEX65" s="192"/>
      <c r="DEY65" s="192"/>
      <c r="DEZ65" s="192"/>
      <c r="DFA65" s="192"/>
      <c r="DFB65" s="192"/>
      <c r="DFC65" s="192"/>
      <c r="DFD65" s="192"/>
      <c r="DFE65" s="192"/>
      <c r="DFF65" s="192"/>
      <c r="DFG65" s="192"/>
      <c r="DFH65" s="192"/>
      <c r="DFI65" s="192"/>
      <c r="DFJ65" s="192"/>
      <c r="DFK65" s="192"/>
      <c r="DFL65" s="192"/>
      <c r="DFM65" s="192"/>
      <c r="DFN65" s="192"/>
      <c r="DFO65" s="192"/>
      <c r="DFP65" s="192"/>
      <c r="DFQ65" s="192"/>
      <c r="DFR65" s="192"/>
      <c r="DFS65" s="192"/>
      <c r="DFT65" s="192"/>
      <c r="DFU65" s="192"/>
      <c r="DFV65" s="192"/>
      <c r="DFW65" s="192"/>
      <c r="DFX65" s="192"/>
      <c r="DFY65" s="192"/>
      <c r="DFZ65" s="192"/>
      <c r="DGA65" s="192"/>
      <c r="DGB65" s="192"/>
      <c r="DGC65" s="192"/>
      <c r="DGD65" s="192"/>
      <c r="DGE65" s="192"/>
      <c r="DGF65" s="192"/>
      <c r="DGG65" s="192"/>
      <c r="DGH65" s="192"/>
      <c r="DGI65" s="192"/>
      <c r="DGJ65" s="192"/>
      <c r="DGK65" s="192"/>
      <c r="DGL65" s="192"/>
      <c r="DGM65" s="192"/>
      <c r="DGN65" s="192"/>
      <c r="DGO65" s="192"/>
      <c r="DGP65" s="192"/>
      <c r="DGQ65" s="192"/>
      <c r="DGR65" s="192"/>
      <c r="DGS65" s="192"/>
      <c r="DGT65" s="192"/>
      <c r="DGU65" s="192"/>
      <c r="DGV65" s="192"/>
      <c r="DGW65" s="192"/>
      <c r="DGX65" s="192"/>
      <c r="DGY65" s="192"/>
      <c r="DGZ65" s="192"/>
      <c r="DHA65" s="192"/>
      <c r="DHB65" s="192"/>
      <c r="DHC65" s="192"/>
      <c r="DHD65" s="192"/>
      <c r="DHE65" s="192"/>
      <c r="DHF65" s="192"/>
      <c r="DHG65" s="192"/>
      <c r="DHH65" s="192"/>
      <c r="DHI65" s="192"/>
      <c r="DHJ65" s="192"/>
      <c r="DHK65" s="192"/>
      <c r="DHL65" s="192"/>
      <c r="DHM65" s="192"/>
      <c r="DHN65" s="192"/>
      <c r="DHO65" s="192"/>
      <c r="DHP65" s="192"/>
      <c r="DHQ65" s="192"/>
      <c r="DHR65" s="192"/>
      <c r="DHS65" s="192"/>
      <c r="DHT65" s="192"/>
      <c r="DHU65" s="192"/>
      <c r="DHV65" s="192"/>
      <c r="DHW65" s="192"/>
      <c r="DHX65" s="192"/>
      <c r="DHY65" s="192"/>
      <c r="DHZ65" s="192"/>
      <c r="DIA65" s="192"/>
      <c r="DIB65" s="192"/>
      <c r="DIC65" s="192"/>
      <c r="DID65" s="192"/>
      <c r="DIE65" s="192"/>
      <c r="DIF65" s="192"/>
      <c r="DIG65" s="192"/>
      <c r="DIH65" s="192"/>
      <c r="DII65" s="192"/>
      <c r="DIJ65" s="192"/>
      <c r="DIK65" s="192"/>
      <c r="DIL65" s="192"/>
      <c r="DIM65" s="192"/>
      <c r="DIN65" s="192"/>
      <c r="DIO65" s="192"/>
      <c r="DIP65" s="192"/>
      <c r="DIQ65" s="192"/>
      <c r="DIR65" s="192"/>
      <c r="DIS65" s="192"/>
      <c r="DIT65" s="192"/>
      <c r="DIU65" s="192"/>
      <c r="DIV65" s="192"/>
      <c r="DIW65" s="192"/>
      <c r="DIX65" s="192"/>
      <c r="DIY65" s="192"/>
      <c r="DIZ65" s="192"/>
      <c r="DJA65" s="192"/>
      <c r="DJB65" s="192"/>
      <c r="DJC65" s="192"/>
      <c r="DJD65" s="192"/>
      <c r="DJE65" s="192"/>
      <c r="DJF65" s="192"/>
      <c r="DJG65" s="192"/>
      <c r="DJH65" s="192"/>
      <c r="DJI65" s="192"/>
      <c r="DJJ65" s="192"/>
      <c r="DJK65" s="192"/>
      <c r="DJL65" s="192"/>
      <c r="DJM65" s="192"/>
      <c r="DJN65" s="192"/>
      <c r="DJO65" s="192"/>
      <c r="DJP65" s="192"/>
      <c r="DJQ65" s="192"/>
      <c r="DJR65" s="192"/>
      <c r="DJS65" s="192"/>
      <c r="DJT65" s="192"/>
      <c r="DJU65" s="192"/>
      <c r="DJV65" s="192"/>
      <c r="DJW65" s="192"/>
      <c r="DJX65" s="192"/>
      <c r="DJY65" s="192"/>
      <c r="DJZ65" s="192"/>
      <c r="DKA65" s="192"/>
      <c r="DKB65" s="192"/>
      <c r="DKC65" s="192"/>
      <c r="DKD65" s="192"/>
      <c r="DKE65" s="192"/>
      <c r="DKF65" s="192"/>
      <c r="DKG65" s="192"/>
      <c r="DKH65" s="192"/>
      <c r="DKI65" s="192"/>
      <c r="DKJ65" s="192"/>
      <c r="DKK65" s="192"/>
      <c r="DKL65" s="192"/>
      <c r="DKM65" s="192"/>
      <c r="DKN65" s="192"/>
      <c r="DKO65" s="192"/>
      <c r="DKP65" s="192"/>
      <c r="DKQ65" s="192"/>
      <c r="DKR65" s="192"/>
      <c r="DKS65" s="192"/>
      <c r="DKT65" s="192"/>
      <c r="DKU65" s="192"/>
      <c r="DKV65" s="192"/>
      <c r="DKW65" s="192"/>
      <c r="DKX65" s="192"/>
      <c r="DKY65" s="192"/>
      <c r="DKZ65" s="192"/>
      <c r="DLA65" s="192"/>
      <c r="DLB65" s="192"/>
      <c r="DLC65" s="192"/>
      <c r="DLD65" s="192"/>
      <c r="DLE65" s="192"/>
      <c r="DLF65" s="192"/>
      <c r="DLG65" s="192"/>
      <c r="DLH65" s="192"/>
      <c r="DLI65" s="192"/>
      <c r="DLJ65" s="192"/>
      <c r="DLK65" s="192"/>
      <c r="DLL65" s="192"/>
      <c r="DLM65" s="192"/>
      <c r="DLN65" s="192"/>
      <c r="DLO65" s="192"/>
      <c r="DLP65" s="192"/>
      <c r="DLQ65" s="192"/>
      <c r="DLR65" s="192"/>
      <c r="DLS65" s="192"/>
      <c r="DLT65" s="192"/>
      <c r="DLU65" s="192"/>
      <c r="DLV65" s="192"/>
      <c r="DLW65" s="192"/>
      <c r="DLX65" s="192"/>
      <c r="DLY65" s="192"/>
      <c r="DLZ65" s="192"/>
      <c r="DMA65" s="192"/>
      <c r="DMB65" s="192"/>
      <c r="DMC65" s="192"/>
      <c r="DMD65" s="192"/>
      <c r="DME65" s="192"/>
      <c r="DMF65" s="192"/>
      <c r="DMG65" s="192"/>
      <c r="DMH65" s="192"/>
      <c r="DMI65" s="192"/>
      <c r="DMJ65" s="192"/>
      <c r="DMK65" s="192"/>
      <c r="DML65" s="192"/>
      <c r="DMM65" s="192"/>
      <c r="DMN65" s="192"/>
      <c r="DMO65" s="192"/>
      <c r="DMP65" s="192"/>
      <c r="DMQ65" s="192"/>
      <c r="DMR65" s="192"/>
      <c r="DMS65" s="192"/>
      <c r="DMT65" s="192"/>
      <c r="DMU65" s="192"/>
      <c r="DMV65" s="192"/>
      <c r="DMW65" s="192"/>
      <c r="DMX65" s="192"/>
      <c r="DMY65" s="192"/>
      <c r="DMZ65" s="192"/>
      <c r="DNA65" s="192"/>
      <c r="DNB65" s="192"/>
      <c r="DNC65" s="192"/>
      <c r="DND65" s="192"/>
      <c r="DNE65" s="192"/>
      <c r="DNF65" s="192"/>
      <c r="DNG65" s="192"/>
      <c r="DNH65" s="192"/>
      <c r="DNI65" s="192"/>
      <c r="DNJ65" s="192"/>
      <c r="DNK65" s="192"/>
      <c r="DNL65" s="192"/>
      <c r="DNM65" s="192"/>
      <c r="DNN65" s="192"/>
      <c r="DNO65" s="192"/>
      <c r="DNP65" s="192"/>
      <c r="DNQ65" s="192"/>
      <c r="DNR65" s="192"/>
      <c r="DNS65" s="192"/>
      <c r="DNT65" s="192"/>
      <c r="DNU65" s="192"/>
      <c r="DNV65" s="192"/>
      <c r="DNW65" s="192"/>
      <c r="DNX65" s="192"/>
      <c r="DNY65" s="192"/>
      <c r="DNZ65" s="192"/>
      <c r="DOA65" s="192"/>
      <c r="DOB65" s="192"/>
      <c r="DOC65" s="192"/>
      <c r="DOD65" s="192"/>
      <c r="DOE65" s="192"/>
      <c r="DOF65" s="192"/>
      <c r="DOG65" s="192"/>
      <c r="DOH65" s="192"/>
      <c r="DOI65" s="192"/>
      <c r="DOJ65" s="192"/>
      <c r="DOK65" s="192"/>
      <c r="DOL65" s="192"/>
      <c r="DOM65" s="192"/>
      <c r="DON65" s="192"/>
      <c r="DOO65" s="192"/>
      <c r="DOP65" s="192"/>
      <c r="DOQ65" s="192"/>
      <c r="DOR65" s="192"/>
      <c r="DOS65" s="192"/>
      <c r="DOT65" s="192"/>
      <c r="DOU65" s="192"/>
      <c r="DOV65" s="192"/>
      <c r="DOW65" s="192"/>
      <c r="DOX65" s="192"/>
      <c r="DOY65" s="192"/>
      <c r="DOZ65" s="192"/>
      <c r="DPA65" s="192"/>
      <c r="DPB65" s="192"/>
      <c r="DPC65" s="192"/>
      <c r="DPD65" s="192"/>
      <c r="DPE65" s="192"/>
      <c r="DPF65" s="192"/>
      <c r="DPG65" s="192"/>
      <c r="DPH65" s="192"/>
      <c r="DPI65" s="192"/>
      <c r="DPJ65" s="192"/>
      <c r="DPK65" s="192"/>
      <c r="DPL65" s="192"/>
      <c r="DPM65" s="192"/>
      <c r="DPN65" s="192"/>
      <c r="DPO65" s="192"/>
      <c r="DPP65" s="192"/>
      <c r="DPQ65" s="192"/>
      <c r="DPR65" s="192"/>
      <c r="DPS65" s="192"/>
      <c r="DPT65" s="192"/>
      <c r="DPU65" s="192"/>
      <c r="DPV65" s="192"/>
      <c r="DPW65" s="192"/>
      <c r="DPX65" s="192"/>
      <c r="DPY65" s="192"/>
      <c r="DPZ65" s="192"/>
      <c r="DQA65" s="192"/>
      <c r="DQB65" s="192"/>
      <c r="DQC65" s="192"/>
      <c r="DQD65" s="192"/>
      <c r="DQE65" s="192"/>
      <c r="DQF65" s="192"/>
      <c r="DQG65" s="192"/>
      <c r="DQH65" s="192"/>
      <c r="DQI65" s="192"/>
      <c r="DQJ65" s="192"/>
      <c r="DQK65" s="192"/>
      <c r="DQL65" s="192"/>
      <c r="DQM65" s="192"/>
      <c r="DQN65" s="192"/>
      <c r="DQO65" s="192"/>
      <c r="DQP65" s="192"/>
      <c r="DQQ65" s="192"/>
      <c r="DQR65" s="192"/>
      <c r="DQS65" s="192"/>
      <c r="DQT65" s="192"/>
      <c r="DQU65" s="192"/>
      <c r="DQV65" s="192"/>
      <c r="DQW65" s="192"/>
      <c r="DQX65" s="192"/>
      <c r="DQY65" s="192"/>
      <c r="DQZ65" s="192"/>
      <c r="DRA65" s="192"/>
      <c r="DRB65" s="192"/>
      <c r="DRC65" s="192"/>
      <c r="DRD65" s="192"/>
      <c r="DRE65" s="192"/>
      <c r="DRF65" s="192"/>
      <c r="DRG65" s="192"/>
      <c r="DRH65" s="192"/>
      <c r="DRI65" s="192"/>
      <c r="DRJ65" s="192"/>
      <c r="DRK65" s="192"/>
      <c r="DRL65" s="192"/>
      <c r="DRM65" s="192"/>
      <c r="DRN65" s="192"/>
      <c r="DRO65" s="192"/>
      <c r="DRP65" s="192"/>
      <c r="DRQ65" s="192"/>
      <c r="DRR65" s="192"/>
      <c r="DRS65" s="192"/>
      <c r="DRT65" s="192"/>
      <c r="DRU65" s="192"/>
      <c r="DRV65" s="192"/>
      <c r="DRW65" s="192"/>
      <c r="DRX65" s="192"/>
      <c r="DRY65" s="192"/>
      <c r="DRZ65" s="192"/>
      <c r="DSA65" s="192"/>
      <c r="DSB65" s="192"/>
      <c r="DSC65" s="192"/>
      <c r="DSD65" s="192"/>
      <c r="DSE65" s="192"/>
      <c r="DSF65" s="192"/>
      <c r="DSG65" s="192"/>
      <c r="DSH65" s="192"/>
      <c r="DSI65" s="192"/>
      <c r="DSJ65" s="192"/>
      <c r="DSK65" s="192"/>
      <c r="DSL65" s="192"/>
      <c r="DSM65" s="192"/>
      <c r="DSN65" s="192"/>
      <c r="DSO65" s="192"/>
      <c r="DSP65" s="192"/>
      <c r="DSQ65" s="192"/>
      <c r="DSR65" s="192"/>
      <c r="DSS65" s="192"/>
      <c r="DST65" s="192"/>
      <c r="DSU65" s="192"/>
      <c r="DSV65" s="192"/>
      <c r="DSW65" s="192"/>
      <c r="DSX65" s="192"/>
      <c r="DSY65" s="192"/>
      <c r="DSZ65" s="192"/>
      <c r="DTA65" s="192"/>
      <c r="DTB65" s="192"/>
      <c r="DTC65" s="192"/>
      <c r="DTD65" s="192"/>
      <c r="DTE65" s="192"/>
      <c r="DTF65" s="192"/>
      <c r="DTG65" s="192"/>
      <c r="DTH65" s="192"/>
      <c r="DTI65" s="192"/>
      <c r="DTJ65" s="192"/>
      <c r="DTK65" s="192"/>
      <c r="DTL65" s="192"/>
      <c r="DTM65" s="192"/>
      <c r="DTN65" s="192"/>
      <c r="DTO65" s="192"/>
      <c r="DTP65" s="192"/>
      <c r="DTQ65" s="192"/>
      <c r="DTR65" s="192"/>
      <c r="DTS65" s="192"/>
      <c r="DTT65" s="192"/>
      <c r="DTU65" s="192"/>
      <c r="DTV65" s="192"/>
      <c r="DTW65" s="192"/>
      <c r="DTX65" s="192"/>
      <c r="DTY65" s="192"/>
      <c r="DTZ65" s="192"/>
      <c r="DUA65" s="192"/>
      <c r="DUB65" s="192"/>
      <c r="DUC65" s="192"/>
      <c r="DUD65" s="192"/>
      <c r="DUE65" s="192"/>
      <c r="DUF65" s="192"/>
      <c r="DUG65" s="192"/>
      <c r="DUH65" s="192"/>
      <c r="DUI65" s="192"/>
      <c r="DUJ65" s="192"/>
      <c r="DUK65" s="192"/>
      <c r="DUL65" s="192"/>
      <c r="DUM65" s="192"/>
      <c r="DUN65" s="192"/>
      <c r="DUO65" s="192"/>
      <c r="DUP65" s="192"/>
      <c r="DUQ65" s="192"/>
      <c r="DUR65" s="192"/>
      <c r="DUS65" s="192"/>
      <c r="DUT65" s="192"/>
      <c r="DUU65" s="192"/>
      <c r="DUV65" s="192"/>
      <c r="DUW65" s="192"/>
      <c r="DUX65" s="192"/>
      <c r="DUY65" s="192"/>
      <c r="DUZ65" s="192"/>
      <c r="DVA65" s="192"/>
      <c r="DVB65" s="192"/>
      <c r="DVC65" s="192"/>
      <c r="DVD65" s="192"/>
      <c r="DVE65" s="192"/>
      <c r="DVF65" s="192"/>
      <c r="DVG65" s="192"/>
      <c r="DVH65" s="192"/>
      <c r="DVI65" s="192"/>
      <c r="DVJ65" s="192"/>
      <c r="DVK65" s="192"/>
      <c r="DVL65" s="192"/>
      <c r="DVM65" s="192"/>
      <c r="DVN65" s="192"/>
      <c r="DVO65" s="192"/>
      <c r="DVP65" s="192"/>
      <c r="DVQ65" s="192"/>
      <c r="DVR65" s="192"/>
      <c r="DVS65" s="192"/>
      <c r="DVT65" s="192"/>
      <c r="DVU65" s="192"/>
      <c r="DVV65" s="192"/>
      <c r="DVW65" s="192"/>
      <c r="DVX65" s="192"/>
      <c r="DVY65" s="192"/>
      <c r="DVZ65" s="192"/>
      <c r="DWA65" s="192"/>
      <c r="DWB65" s="192"/>
      <c r="DWC65" s="192"/>
      <c r="DWD65" s="192"/>
      <c r="DWE65" s="192"/>
      <c r="DWF65" s="192"/>
      <c r="DWG65" s="192"/>
      <c r="DWH65" s="192"/>
      <c r="DWI65" s="192"/>
      <c r="DWJ65" s="192"/>
      <c r="DWK65" s="192"/>
      <c r="DWL65" s="192"/>
      <c r="DWM65" s="192"/>
      <c r="DWN65" s="192"/>
      <c r="DWO65" s="192"/>
      <c r="DWP65" s="192"/>
      <c r="DWQ65" s="192"/>
      <c r="DWR65" s="192"/>
      <c r="DWS65" s="192"/>
      <c r="DWT65" s="192"/>
      <c r="DWU65" s="192"/>
      <c r="DWV65" s="192"/>
      <c r="DWW65" s="192"/>
      <c r="DWX65" s="192"/>
      <c r="DWY65" s="192"/>
      <c r="DWZ65" s="192"/>
      <c r="DXA65" s="192"/>
      <c r="DXB65" s="192"/>
      <c r="DXC65" s="192"/>
      <c r="DXD65" s="192"/>
      <c r="DXE65" s="192"/>
      <c r="DXF65" s="192"/>
      <c r="DXG65" s="192"/>
      <c r="DXH65" s="192"/>
      <c r="DXI65" s="192"/>
      <c r="DXJ65" s="192"/>
      <c r="DXK65" s="192"/>
      <c r="DXL65" s="192"/>
      <c r="DXM65" s="192"/>
      <c r="DXN65" s="192"/>
      <c r="DXO65" s="192"/>
      <c r="DXP65" s="192"/>
      <c r="DXQ65" s="192"/>
      <c r="DXR65" s="192"/>
      <c r="DXS65" s="192"/>
      <c r="DXT65" s="192"/>
      <c r="DXU65" s="192"/>
      <c r="DXV65" s="192"/>
      <c r="DXW65" s="192"/>
      <c r="DXX65" s="192"/>
      <c r="DXY65" s="192"/>
      <c r="DXZ65" s="192"/>
      <c r="DYA65" s="192"/>
      <c r="DYB65" s="192"/>
      <c r="DYC65" s="192"/>
      <c r="DYD65" s="192"/>
      <c r="DYE65" s="192"/>
      <c r="DYF65" s="192"/>
      <c r="DYG65" s="192"/>
      <c r="DYH65" s="192"/>
      <c r="DYI65" s="192"/>
      <c r="DYJ65" s="192"/>
      <c r="DYK65" s="192"/>
      <c r="DYL65" s="192"/>
      <c r="DYM65" s="192"/>
      <c r="DYN65" s="192"/>
      <c r="DYO65" s="192"/>
      <c r="DYP65" s="192"/>
      <c r="DYQ65" s="192"/>
      <c r="DYR65" s="192"/>
      <c r="DYS65" s="192"/>
      <c r="DYT65" s="192"/>
      <c r="DYU65" s="192"/>
      <c r="DYV65" s="192"/>
      <c r="DYW65" s="192"/>
      <c r="DYX65" s="192"/>
      <c r="DYY65" s="192"/>
      <c r="DYZ65" s="192"/>
      <c r="DZA65" s="192"/>
      <c r="DZB65" s="192"/>
      <c r="DZC65" s="192"/>
      <c r="DZD65" s="192"/>
      <c r="DZE65" s="192"/>
      <c r="DZF65" s="192"/>
      <c r="DZG65" s="192"/>
      <c r="DZH65" s="192"/>
      <c r="DZI65" s="192"/>
      <c r="DZJ65" s="192"/>
      <c r="DZK65" s="192"/>
      <c r="DZL65" s="192"/>
      <c r="DZM65" s="192"/>
      <c r="DZN65" s="192"/>
      <c r="DZO65" s="192"/>
      <c r="DZP65" s="192"/>
      <c r="DZQ65" s="192"/>
      <c r="DZR65" s="192"/>
      <c r="DZS65" s="192"/>
      <c r="DZT65" s="192"/>
      <c r="DZU65" s="192"/>
      <c r="DZV65" s="192"/>
      <c r="DZW65" s="192"/>
      <c r="DZX65" s="192"/>
      <c r="DZY65" s="192"/>
      <c r="DZZ65" s="192"/>
      <c r="EAA65" s="192"/>
      <c r="EAB65" s="192"/>
      <c r="EAC65" s="192"/>
      <c r="EAD65" s="192"/>
      <c r="EAE65" s="192"/>
      <c r="EAF65" s="192"/>
      <c r="EAG65" s="192"/>
      <c r="EAH65" s="192"/>
      <c r="EAI65" s="192"/>
      <c r="EAJ65" s="192"/>
      <c r="EAK65" s="192"/>
      <c r="EAL65" s="192"/>
      <c r="EAM65" s="192"/>
      <c r="EAN65" s="192"/>
      <c r="EAO65" s="192"/>
      <c r="EAP65" s="192"/>
      <c r="EAQ65" s="192"/>
      <c r="EAR65" s="192"/>
      <c r="EAS65" s="192"/>
      <c r="EAT65" s="192"/>
      <c r="EAU65" s="192"/>
      <c r="EAV65" s="192"/>
      <c r="EAW65" s="192"/>
      <c r="EAX65" s="192"/>
      <c r="EAY65" s="192"/>
      <c r="EAZ65" s="192"/>
      <c r="EBA65" s="192"/>
      <c r="EBB65" s="192"/>
      <c r="EBC65" s="192"/>
      <c r="EBD65" s="192"/>
      <c r="EBE65" s="192"/>
      <c r="EBF65" s="192"/>
      <c r="EBG65" s="192"/>
      <c r="EBH65" s="192"/>
      <c r="EBI65" s="192"/>
      <c r="EBJ65" s="192"/>
      <c r="EBK65" s="192"/>
      <c r="EBL65" s="192"/>
      <c r="EBM65" s="192"/>
      <c r="EBN65" s="192"/>
      <c r="EBO65" s="192"/>
      <c r="EBP65" s="192"/>
      <c r="EBQ65" s="192"/>
      <c r="EBR65" s="192"/>
      <c r="EBS65" s="192"/>
      <c r="EBT65" s="192"/>
      <c r="EBU65" s="192"/>
      <c r="EBV65" s="192"/>
      <c r="EBW65" s="192"/>
      <c r="EBX65" s="192"/>
      <c r="EBY65" s="192"/>
      <c r="EBZ65" s="192"/>
      <c r="ECA65" s="192"/>
      <c r="ECB65" s="192"/>
      <c r="ECC65" s="192"/>
      <c r="ECD65" s="192"/>
      <c r="ECE65" s="192"/>
      <c r="ECF65" s="192"/>
      <c r="ECG65" s="192"/>
      <c r="ECH65" s="192"/>
      <c r="ECI65" s="192"/>
      <c r="ECJ65" s="192"/>
      <c r="ECK65" s="192"/>
      <c r="ECL65" s="192"/>
      <c r="ECM65" s="192"/>
      <c r="ECN65" s="192"/>
      <c r="ECO65" s="192"/>
      <c r="ECP65" s="192"/>
      <c r="ECQ65" s="192"/>
      <c r="ECR65" s="192"/>
      <c r="ECS65" s="192"/>
      <c r="ECT65" s="192"/>
      <c r="ECU65" s="192"/>
      <c r="ECV65" s="192"/>
      <c r="ECW65" s="192"/>
      <c r="ECX65" s="192"/>
      <c r="ECY65" s="192"/>
      <c r="ECZ65" s="192"/>
      <c r="EDA65" s="192"/>
      <c r="EDB65" s="192"/>
      <c r="EDC65" s="192"/>
      <c r="EDD65" s="192"/>
      <c r="EDE65" s="192"/>
      <c r="EDF65" s="192"/>
      <c r="EDG65" s="192"/>
      <c r="EDH65" s="192"/>
      <c r="EDI65" s="192"/>
      <c r="EDJ65" s="192"/>
      <c r="EDK65" s="192"/>
      <c r="EDL65" s="192"/>
      <c r="EDM65" s="192"/>
      <c r="EDN65" s="192"/>
      <c r="EDO65" s="192"/>
      <c r="EDP65" s="192"/>
      <c r="EDQ65" s="192"/>
      <c r="EDR65" s="192"/>
      <c r="EDS65" s="192"/>
      <c r="EDT65" s="192"/>
      <c r="EDU65" s="192"/>
      <c r="EDV65" s="192"/>
      <c r="EDW65" s="192"/>
      <c r="EDX65" s="192"/>
      <c r="EDY65" s="192"/>
      <c r="EDZ65" s="192"/>
      <c r="EEA65" s="192"/>
      <c r="EEB65" s="192"/>
      <c r="EEC65" s="192"/>
      <c r="EED65" s="192"/>
      <c r="EEE65" s="192"/>
      <c r="EEF65" s="192"/>
      <c r="EEG65" s="192"/>
      <c r="EEH65" s="192"/>
      <c r="EEI65" s="192"/>
      <c r="EEJ65" s="192"/>
      <c r="EEK65" s="192"/>
      <c r="EEL65" s="192"/>
      <c r="EEM65" s="192"/>
      <c r="EEN65" s="192"/>
      <c r="EEO65" s="192"/>
      <c r="EEP65" s="192"/>
      <c r="EEQ65" s="192"/>
      <c r="EER65" s="192"/>
      <c r="EES65" s="192"/>
      <c r="EET65" s="192"/>
      <c r="EEU65" s="192"/>
      <c r="EEV65" s="192"/>
      <c r="EEW65" s="192"/>
      <c r="EEX65" s="192"/>
      <c r="EEY65" s="192"/>
      <c r="EEZ65" s="192"/>
      <c r="EFA65" s="192"/>
      <c r="EFB65" s="192"/>
      <c r="EFC65" s="192"/>
      <c r="EFD65" s="192"/>
      <c r="EFE65" s="192"/>
      <c r="EFF65" s="192"/>
      <c r="EFG65" s="192"/>
      <c r="EFH65" s="192"/>
      <c r="EFI65" s="192"/>
      <c r="EFJ65" s="192"/>
      <c r="EFK65" s="192"/>
      <c r="EFL65" s="192"/>
      <c r="EFM65" s="192"/>
      <c r="EFN65" s="192"/>
      <c r="EFO65" s="192"/>
      <c r="EFP65" s="192"/>
      <c r="EFQ65" s="192"/>
      <c r="EFR65" s="192"/>
      <c r="EFS65" s="192"/>
      <c r="EFT65" s="192"/>
      <c r="EFU65" s="192"/>
      <c r="EFV65" s="192"/>
      <c r="EFW65" s="192"/>
      <c r="EFX65" s="192"/>
      <c r="EFY65" s="192"/>
      <c r="EFZ65" s="192"/>
      <c r="EGA65" s="192"/>
      <c r="EGB65" s="192"/>
      <c r="EGC65" s="192"/>
      <c r="EGD65" s="192"/>
      <c r="EGE65" s="192"/>
      <c r="EGF65" s="192"/>
      <c r="EGG65" s="192"/>
      <c r="EGH65" s="192"/>
      <c r="EGI65" s="192"/>
      <c r="EGJ65" s="192"/>
      <c r="EGK65" s="192"/>
      <c r="EGL65" s="192"/>
      <c r="EGM65" s="192"/>
      <c r="EGN65" s="192"/>
      <c r="EGO65" s="192"/>
      <c r="EGP65" s="192"/>
      <c r="EGQ65" s="192"/>
      <c r="EGR65" s="192"/>
      <c r="EGS65" s="192"/>
      <c r="EGT65" s="192"/>
      <c r="EGU65" s="192"/>
      <c r="EGV65" s="192"/>
      <c r="EGW65" s="192"/>
      <c r="EGX65" s="192"/>
      <c r="EGY65" s="192"/>
      <c r="EGZ65" s="192"/>
      <c r="EHA65" s="192"/>
      <c r="EHB65" s="192"/>
      <c r="EHC65" s="192"/>
      <c r="EHD65" s="192"/>
      <c r="EHE65" s="192"/>
      <c r="EHF65" s="192"/>
      <c r="EHG65" s="192"/>
      <c r="EHH65" s="192"/>
      <c r="EHI65" s="192"/>
      <c r="EHJ65" s="192"/>
      <c r="EHK65" s="192"/>
      <c r="EHL65" s="192"/>
      <c r="EHM65" s="192"/>
      <c r="EHN65" s="192"/>
      <c r="EHO65" s="192"/>
      <c r="EHP65" s="192"/>
      <c r="EHQ65" s="192"/>
      <c r="EHR65" s="192"/>
      <c r="EHS65" s="192"/>
      <c r="EHT65" s="192"/>
      <c r="EHU65" s="192"/>
      <c r="EHV65" s="192"/>
      <c r="EHW65" s="192"/>
      <c r="EHX65" s="192"/>
      <c r="EHY65" s="192"/>
      <c r="EHZ65" s="192"/>
      <c r="EIA65" s="192"/>
      <c r="EIB65" s="192"/>
      <c r="EIC65" s="192"/>
      <c r="EID65" s="192"/>
      <c r="EIE65" s="192"/>
      <c r="EIF65" s="192"/>
      <c r="EIG65" s="192"/>
      <c r="EIH65" s="192"/>
      <c r="EII65" s="192"/>
      <c r="EIJ65" s="192"/>
      <c r="EIK65" s="192"/>
      <c r="EIL65" s="192"/>
      <c r="EIM65" s="192"/>
      <c r="EIN65" s="192"/>
      <c r="EIO65" s="192"/>
      <c r="EIP65" s="192"/>
      <c r="EIQ65" s="192"/>
      <c r="EIR65" s="192"/>
      <c r="EIS65" s="192"/>
      <c r="EIT65" s="192"/>
      <c r="EIU65" s="192"/>
      <c r="EIV65" s="192"/>
      <c r="EIW65" s="192"/>
      <c r="EIX65" s="192"/>
      <c r="EIY65" s="192"/>
      <c r="EIZ65" s="192"/>
      <c r="EJA65" s="192"/>
      <c r="EJB65" s="192"/>
      <c r="EJC65" s="192"/>
      <c r="EJD65" s="192"/>
      <c r="EJE65" s="192"/>
      <c r="EJF65" s="192"/>
      <c r="EJG65" s="192"/>
      <c r="EJH65" s="192"/>
      <c r="EJI65" s="192"/>
      <c r="EJJ65" s="192"/>
      <c r="EJK65" s="192"/>
      <c r="EJL65" s="192"/>
      <c r="EJM65" s="192"/>
      <c r="EJN65" s="192"/>
      <c r="EJO65" s="192"/>
      <c r="EJP65" s="192"/>
      <c r="EJQ65" s="192"/>
      <c r="EJR65" s="192"/>
      <c r="EJS65" s="192"/>
      <c r="EJT65" s="192"/>
      <c r="EJU65" s="192"/>
      <c r="EJV65" s="192"/>
      <c r="EJW65" s="192"/>
      <c r="EJX65" s="192"/>
      <c r="EJY65" s="192"/>
      <c r="EJZ65" s="192"/>
      <c r="EKA65" s="192"/>
      <c r="EKB65" s="192"/>
      <c r="EKC65" s="192"/>
      <c r="EKD65" s="192"/>
      <c r="EKE65" s="192"/>
      <c r="EKF65" s="192"/>
      <c r="EKG65" s="192"/>
      <c r="EKH65" s="192"/>
      <c r="EKI65" s="192"/>
      <c r="EKJ65" s="192"/>
      <c r="EKK65" s="192"/>
      <c r="EKL65" s="192"/>
      <c r="EKM65" s="192"/>
      <c r="EKN65" s="192"/>
      <c r="EKO65" s="192"/>
      <c r="EKP65" s="192"/>
      <c r="EKQ65" s="192"/>
      <c r="EKR65" s="192"/>
      <c r="EKS65" s="192"/>
      <c r="EKT65" s="192"/>
      <c r="EKU65" s="192"/>
      <c r="EKV65" s="192"/>
      <c r="EKW65" s="192"/>
      <c r="EKX65" s="192"/>
      <c r="EKY65" s="192"/>
      <c r="EKZ65" s="192"/>
      <c r="ELA65" s="192"/>
      <c r="ELB65" s="192"/>
      <c r="ELC65" s="192"/>
      <c r="ELD65" s="192"/>
      <c r="ELE65" s="192"/>
      <c r="ELF65" s="192"/>
      <c r="ELG65" s="192"/>
      <c r="ELH65" s="192"/>
      <c r="ELI65" s="192"/>
      <c r="ELJ65" s="192"/>
      <c r="ELK65" s="192"/>
      <c r="ELL65" s="192"/>
      <c r="ELM65" s="192"/>
      <c r="ELN65" s="192"/>
      <c r="ELO65" s="192"/>
      <c r="ELP65" s="192"/>
      <c r="ELQ65" s="192"/>
      <c r="ELR65" s="192"/>
      <c r="ELS65" s="192"/>
      <c r="ELT65" s="192"/>
      <c r="ELU65" s="192"/>
      <c r="ELV65" s="192"/>
      <c r="ELW65" s="192"/>
      <c r="ELX65" s="192"/>
      <c r="ELY65" s="192"/>
      <c r="ELZ65" s="192"/>
      <c r="EMA65" s="192"/>
      <c r="EMB65" s="192"/>
      <c r="EMC65" s="192"/>
      <c r="EMD65" s="192"/>
      <c r="EME65" s="192"/>
      <c r="EMF65" s="192"/>
      <c r="EMG65" s="192"/>
      <c r="EMH65" s="192"/>
      <c r="EMI65" s="192"/>
      <c r="EMJ65" s="192"/>
      <c r="EMK65" s="192"/>
      <c r="EML65" s="192"/>
      <c r="EMM65" s="192"/>
      <c r="EMN65" s="192"/>
      <c r="EMO65" s="192"/>
      <c r="EMP65" s="192"/>
      <c r="EMQ65" s="192"/>
      <c r="EMR65" s="192"/>
      <c r="EMS65" s="192"/>
      <c r="EMT65" s="192"/>
      <c r="EMU65" s="192"/>
      <c r="EMV65" s="192"/>
      <c r="EMW65" s="192"/>
      <c r="EMX65" s="192"/>
      <c r="EMY65" s="192"/>
      <c r="EMZ65" s="192"/>
      <c r="ENA65" s="192"/>
      <c r="ENB65" s="192"/>
      <c r="ENC65" s="192"/>
      <c r="END65" s="192"/>
      <c r="ENE65" s="192"/>
      <c r="ENF65" s="192"/>
      <c r="ENG65" s="192"/>
      <c r="ENH65" s="192"/>
      <c r="ENI65" s="192"/>
      <c r="ENJ65" s="192"/>
      <c r="ENK65" s="192"/>
      <c r="ENL65" s="192"/>
      <c r="ENM65" s="192"/>
      <c r="ENN65" s="192"/>
      <c r="ENO65" s="192"/>
      <c r="ENP65" s="192"/>
      <c r="ENQ65" s="192"/>
      <c r="ENR65" s="192"/>
      <c r="ENS65" s="192"/>
      <c r="ENT65" s="192"/>
      <c r="ENU65" s="192"/>
      <c r="ENV65" s="192"/>
      <c r="ENW65" s="192"/>
      <c r="ENX65" s="192"/>
      <c r="ENY65" s="192"/>
      <c r="ENZ65" s="192"/>
      <c r="EOA65" s="192"/>
      <c r="EOB65" s="192"/>
      <c r="EOC65" s="192"/>
      <c r="EOD65" s="192"/>
      <c r="EOE65" s="192"/>
      <c r="EOF65" s="192"/>
      <c r="EOG65" s="192"/>
      <c r="EOH65" s="192"/>
      <c r="EOI65" s="192"/>
      <c r="EOJ65" s="192"/>
      <c r="EOK65" s="192"/>
      <c r="EOL65" s="192"/>
      <c r="EOM65" s="192"/>
      <c r="EON65" s="192"/>
      <c r="EOO65" s="192"/>
      <c r="EOP65" s="192"/>
      <c r="EOQ65" s="192"/>
      <c r="EOR65" s="192"/>
      <c r="EOS65" s="192"/>
      <c r="EOT65" s="192"/>
      <c r="EOU65" s="192"/>
      <c r="EOV65" s="192"/>
      <c r="EOW65" s="192"/>
      <c r="EOX65" s="192"/>
      <c r="EOY65" s="192"/>
      <c r="EOZ65" s="192"/>
      <c r="EPA65" s="192"/>
      <c r="EPB65" s="192"/>
      <c r="EPC65" s="192"/>
      <c r="EPD65" s="192"/>
      <c r="EPE65" s="192"/>
      <c r="EPF65" s="192"/>
      <c r="EPG65" s="192"/>
      <c r="EPH65" s="192"/>
      <c r="EPI65" s="192"/>
      <c r="EPJ65" s="192"/>
      <c r="EPK65" s="192"/>
      <c r="EPL65" s="192"/>
      <c r="EPM65" s="192"/>
      <c r="EPN65" s="192"/>
      <c r="EPO65" s="192"/>
      <c r="EPP65" s="192"/>
      <c r="EPQ65" s="192"/>
      <c r="EPR65" s="192"/>
      <c r="EPS65" s="192"/>
      <c r="EPT65" s="192"/>
      <c r="EPU65" s="192"/>
      <c r="EPV65" s="192"/>
      <c r="EPW65" s="192"/>
      <c r="EPX65" s="192"/>
      <c r="EPY65" s="192"/>
      <c r="EPZ65" s="192"/>
      <c r="EQA65" s="192"/>
      <c r="EQB65" s="192"/>
      <c r="EQC65" s="192"/>
      <c r="EQD65" s="192"/>
      <c r="EQE65" s="192"/>
      <c r="EQF65" s="192"/>
      <c r="EQG65" s="192"/>
      <c r="EQH65" s="192"/>
      <c r="EQI65" s="192"/>
      <c r="EQJ65" s="192"/>
      <c r="EQK65" s="192"/>
      <c r="EQL65" s="192"/>
      <c r="EQM65" s="192"/>
      <c r="EQN65" s="192"/>
      <c r="EQO65" s="192"/>
      <c r="EQP65" s="192"/>
      <c r="EQQ65" s="192"/>
      <c r="EQR65" s="192"/>
      <c r="EQS65" s="192"/>
      <c r="EQT65" s="192"/>
      <c r="EQU65" s="192"/>
      <c r="EQV65" s="192"/>
      <c r="EQW65" s="192"/>
      <c r="EQX65" s="192"/>
      <c r="EQY65" s="192"/>
      <c r="EQZ65" s="192"/>
      <c r="ERA65" s="192"/>
      <c r="ERB65" s="192"/>
      <c r="ERC65" s="192"/>
      <c r="ERD65" s="192"/>
      <c r="ERE65" s="192"/>
      <c r="ERF65" s="192"/>
      <c r="ERG65" s="192"/>
      <c r="ERH65" s="192"/>
      <c r="ERI65" s="192"/>
      <c r="ERJ65" s="192"/>
      <c r="ERK65" s="192"/>
      <c r="ERL65" s="192"/>
      <c r="ERM65" s="192"/>
      <c r="ERN65" s="192"/>
      <c r="ERO65" s="192"/>
      <c r="ERP65" s="192"/>
      <c r="ERQ65" s="192"/>
      <c r="ERR65" s="192"/>
      <c r="ERS65" s="192"/>
      <c r="ERT65" s="192"/>
      <c r="ERU65" s="192"/>
      <c r="ERV65" s="192"/>
      <c r="ERW65" s="192"/>
      <c r="ERX65" s="192"/>
      <c r="ERY65" s="192"/>
      <c r="ERZ65" s="192"/>
      <c r="ESA65" s="192"/>
      <c r="ESB65" s="192"/>
      <c r="ESC65" s="192"/>
      <c r="ESD65" s="192"/>
      <c r="ESE65" s="192"/>
      <c r="ESF65" s="192"/>
      <c r="ESG65" s="192"/>
      <c r="ESH65" s="192"/>
      <c r="ESI65" s="192"/>
      <c r="ESJ65" s="192"/>
      <c r="ESK65" s="192"/>
      <c r="ESL65" s="192"/>
      <c r="ESM65" s="192"/>
      <c r="ESN65" s="192"/>
      <c r="ESO65" s="192"/>
      <c r="ESP65" s="192"/>
      <c r="ESQ65" s="192"/>
      <c r="ESR65" s="192"/>
      <c r="ESS65" s="192"/>
      <c r="EST65" s="192"/>
      <c r="ESU65" s="192"/>
      <c r="ESV65" s="192"/>
      <c r="ESW65" s="192"/>
      <c r="ESX65" s="192"/>
      <c r="ESY65" s="192"/>
      <c r="ESZ65" s="192"/>
      <c r="ETA65" s="192"/>
      <c r="ETB65" s="192"/>
      <c r="ETC65" s="192"/>
      <c r="ETD65" s="192"/>
      <c r="ETE65" s="192"/>
      <c r="ETF65" s="192"/>
      <c r="ETG65" s="192"/>
      <c r="ETH65" s="192"/>
      <c r="ETI65" s="192"/>
      <c r="ETJ65" s="192"/>
      <c r="ETK65" s="192"/>
      <c r="ETL65" s="192"/>
      <c r="ETM65" s="192"/>
      <c r="ETN65" s="192"/>
      <c r="ETO65" s="192"/>
      <c r="ETP65" s="192"/>
      <c r="ETQ65" s="192"/>
      <c r="ETR65" s="192"/>
      <c r="ETS65" s="192"/>
      <c r="ETT65" s="192"/>
      <c r="ETU65" s="192"/>
      <c r="ETV65" s="192"/>
      <c r="ETW65" s="192"/>
      <c r="ETX65" s="192"/>
      <c r="ETY65" s="192"/>
      <c r="ETZ65" s="192"/>
      <c r="EUA65" s="192"/>
      <c r="EUB65" s="192"/>
      <c r="EUC65" s="192"/>
      <c r="EUD65" s="192"/>
      <c r="EUE65" s="192"/>
      <c r="EUF65" s="192"/>
      <c r="EUG65" s="192"/>
      <c r="EUH65" s="192"/>
      <c r="EUI65" s="192"/>
      <c r="EUJ65" s="192"/>
      <c r="EUK65" s="192"/>
      <c r="EUL65" s="192"/>
      <c r="EUM65" s="192"/>
      <c r="EUN65" s="192"/>
      <c r="EUO65" s="192"/>
      <c r="EUP65" s="192"/>
      <c r="EUQ65" s="192"/>
      <c r="EUR65" s="192"/>
      <c r="EUS65" s="192"/>
      <c r="EUT65" s="192"/>
      <c r="EUU65" s="192"/>
      <c r="EUV65" s="192"/>
      <c r="EUW65" s="192"/>
      <c r="EUX65" s="192"/>
      <c r="EUY65" s="192"/>
      <c r="EUZ65" s="192"/>
      <c r="EVA65" s="192"/>
      <c r="EVB65" s="192"/>
      <c r="EVC65" s="192"/>
      <c r="EVD65" s="192"/>
      <c r="EVE65" s="192"/>
      <c r="EVF65" s="192"/>
      <c r="EVG65" s="192"/>
      <c r="EVH65" s="192"/>
      <c r="EVI65" s="192"/>
      <c r="EVJ65" s="192"/>
      <c r="EVK65" s="192"/>
      <c r="EVL65" s="192"/>
      <c r="EVM65" s="192"/>
      <c r="EVN65" s="192"/>
      <c r="EVO65" s="192"/>
      <c r="EVP65" s="192"/>
      <c r="EVQ65" s="192"/>
      <c r="EVR65" s="192"/>
      <c r="EVS65" s="192"/>
      <c r="EVT65" s="192"/>
      <c r="EVU65" s="192"/>
      <c r="EVV65" s="192"/>
      <c r="EVW65" s="192"/>
      <c r="EVX65" s="192"/>
      <c r="EVY65" s="192"/>
      <c r="EVZ65" s="192"/>
      <c r="EWA65" s="192"/>
      <c r="EWB65" s="192"/>
      <c r="EWC65" s="192"/>
      <c r="EWD65" s="192"/>
      <c r="EWE65" s="192"/>
      <c r="EWF65" s="192"/>
      <c r="EWG65" s="192"/>
      <c r="EWH65" s="192"/>
      <c r="EWI65" s="192"/>
      <c r="EWJ65" s="192"/>
      <c r="EWK65" s="192"/>
      <c r="EWL65" s="192"/>
      <c r="EWM65" s="192"/>
      <c r="EWN65" s="192"/>
      <c r="EWO65" s="192"/>
      <c r="EWP65" s="192"/>
      <c r="EWQ65" s="192"/>
      <c r="EWR65" s="192"/>
      <c r="EWS65" s="192"/>
      <c r="EWT65" s="192"/>
      <c r="EWU65" s="192"/>
      <c r="EWV65" s="192"/>
      <c r="EWW65" s="192"/>
      <c r="EWX65" s="192"/>
      <c r="EWY65" s="192"/>
      <c r="EWZ65" s="192"/>
      <c r="EXA65" s="192"/>
      <c r="EXB65" s="192"/>
      <c r="EXC65" s="192"/>
      <c r="EXD65" s="192"/>
      <c r="EXE65" s="192"/>
      <c r="EXF65" s="192"/>
      <c r="EXG65" s="192"/>
      <c r="EXH65" s="192"/>
      <c r="EXI65" s="192"/>
      <c r="EXJ65" s="192"/>
      <c r="EXK65" s="192"/>
      <c r="EXL65" s="192"/>
      <c r="EXM65" s="192"/>
      <c r="EXN65" s="192"/>
      <c r="EXO65" s="192"/>
      <c r="EXP65" s="192"/>
      <c r="EXQ65" s="192"/>
      <c r="EXR65" s="192"/>
      <c r="EXS65" s="192"/>
      <c r="EXT65" s="192"/>
      <c r="EXU65" s="192"/>
      <c r="EXV65" s="192"/>
      <c r="EXW65" s="192"/>
      <c r="EXX65" s="192"/>
      <c r="EXY65" s="192"/>
      <c r="EXZ65" s="192"/>
      <c r="EYA65" s="192"/>
      <c r="EYB65" s="192"/>
      <c r="EYC65" s="192"/>
      <c r="EYD65" s="192"/>
      <c r="EYE65" s="192"/>
      <c r="EYF65" s="192"/>
      <c r="EYG65" s="192"/>
      <c r="EYH65" s="192"/>
      <c r="EYI65" s="192"/>
      <c r="EYJ65" s="192"/>
      <c r="EYK65" s="192"/>
      <c r="EYL65" s="192"/>
      <c r="EYM65" s="192"/>
      <c r="EYN65" s="192"/>
      <c r="EYO65" s="192"/>
      <c r="EYP65" s="192"/>
      <c r="EYQ65" s="192"/>
      <c r="EYR65" s="192"/>
      <c r="EYS65" s="192"/>
      <c r="EYT65" s="192"/>
      <c r="EYU65" s="192"/>
      <c r="EYV65" s="192"/>
      <c r="EYW65" s="192"/>
      <c r="EYX65" s="192"/>
      <c r="EYY65" s="192"/>
      <c r="EYZ65" s="192"/>
      <c r="EZA65" s="192"/>
      <c r="EZB65" s="192"/>
      <c r="EZC65" s="192"/>
      <c r="EZD65" s="192"/>
      <c r="EZE65" s="192"/>
      <c r="EZF65" s="192"/>
      <c r="EZG65" s="192"/>
      <c r="EZH65" s="192"/>
      <c r="EZI65" s="192"/>
      <c r="EZJ65" s="192"/>
      <c r="EZK65" s="192"/>
      <c r="EZL65" s="192"/>
      <c r="EZM65" s="192"/>
      <c r="EZN65" s="192"/>
      <c r="EZO65" s="192"/>
      <c r="EZP65" s="192"/>
      <c r="EZQ65" s="192"/>
      <c r="EZR65" s="192"/>
      <c r="EZS65" s="192"/>
      <c r="EZT65" s="192"/>
      <c r="EZU65" s="192"/>
      <c r="EZV65" s="192"/>
      <c r="EZW65" s="192"/>
      <c r="EZX65" s="192"/>
      <c r="EZY65" s="192"/>
      <c r="EZZ65" s="192"/>
      <c r="FAA65" s="192"/>
      <c r="FAB65" s="192"/>
      <c r="FAC65" s="192"/>
      <c r="FAD65" s="192"/>
      <c r="FAE65" s="192"/>
      <c r="FAF65" s="192"/>
      <c r="FAG65" s="192"/>
      <c r="FAH65" s="192"/>
      <c r="FAI65" s="192"/>
      <c r="FAJ65" s="192"/>
      <c r="FAK65" s="192"/>
      <c r="FAL65" s="192"/>
      <c r="FAM65" s="192"/>
      <c r="FAN65" s="192"/>
      <c r="FAO65" s="192"/>
      <c r="FAP65" s="192"/>
      <c r="FAQ65" s="192"/>
      <c r="FAR65" s="192"/>
      <c r="FAS65" s="192"/>
      <c r="FAT65" s="192"/>
      <c r="FAU65" s="192"/>
      <c r="FAV65" s="192"/>
      <c r="FAW65" s="192"/>
      <c r="FAX65" s="192"/>
      <c r="FAY65" s="192"/>
      <c r="FAZ65" s="192"/>
      <c r="FBA65" s="192"/>
      <c r="FBB65" s="192"/>
      <c r="FBC65" s="192"/>
      <c r="FBD65" s="192"/>
      <c r="FBE65" s="192"/>
      <c r="FBF65" s="192"/>
      <c r="FBG65" s="192"/>
      <c r="FBH65" s="192"/>
      <c r="FBI65" s="192"/>
      <c r="FBJ65" s="192"/>
      <c r="FBK65" s="192"/>
      <c r="FBL65" s="192"/>
      <c r="FBM65" s="192"/>
      <c r="FBN65" s="192"/>
      <c r="FBO65" s="192"/>
      <c r="FBP65" s="192"/>
      <c r="FBQ65" s="192"/>
      <c r="FBR65" s="192"/>
      <c r="FBS65" s="192"/>
      <c r="FBT65" s="192"/>
      <c r="FBU65" s="192"/>
      <c r="FBV65" s="192"/>
      <c r="FBW65" s="192"/>
      <c r="FBX65" s="192"/>
      <c r="FBY65" s="192"/>
      <c r="FBZ65" s="192"/>
      <c r="FCA65" s="192"/>
      <c r="FCB65" s="192"/>
      <c r="FCC65" s="192"/>
      <c r="FCD65" s="192"/>
      <c r="FCE65" s="192"/>
      <c r="FCF65" s="192"/>
      <c r="FCG65" s="192"/>
      <c r="FCH65" s="192"/>
      <c r="FCI65" s="192"/>
      <c r="FCJ65" s="192"/>
      <c r="FCK65" s="192"/>
      <c r="FCL65" s="192"/>
      <c r="FCM65" s="192"/>
      <c r="FCN65" s="192"/>
      <c r="FCO65" s="192"/>
      <c r="FCP65" s="192"/>
      <c r="FCQ65" s="192"/>
      <c r="FCR65" s="192"/>
      <c r="FCS65" s="192"/>
      <c r="FCT65" s="192"/>
      <c r="FCU65" s="192"/>
      <c r="FCV65" s="192"/>
      <c r="FCW65" s="192"/>
      <c r="FCX65" s="192"/>
      <c r="FCY65" s="192"/>
      <c r="FCZ65" s="192"/>
      <c r="FDA65" s="192"/>
      <c r="FDB65" s="192"/>
      <c r="FDC65" s="192"/>
      <c r="FDD65" s="192"/>
      <c r="FDE65" s="192"/>
      <c r="FDF65" s="192"/>
      <c r="FDG65" s="192"/>
      <c r="FDH65" s="192"/>
      <c r="FDI65" s="192"/>
      <c r="FDJ65" s="192"/>
      <c r="FDK65" s="192"/>
      <c r="FDL65" s="192"/>
      <c r="FDM65" s="192"/>
      <c r="FDN65" s="192"/>
      <c r="FDO65" s="192"/>
      <c r="FDP65" s="192"/>
      <c r="FDQ65" s="192"/>
      <c r="FDR65" s="192"/>
      <c r="FDS65" s="192"/>
      <c r="FDT65" s="192"/>
      <c r="FDU65" s="192"/>
      <c r="FDV65" s="192"/>
      <c r="FDW65" s="192"/>
      <c r="FDX65" s="192"/>
      <c r="FDY65" s="192"/>
      <c r="FDZ65" s="192"/>
      <c r="FEA65" s="192"/>
      <c r="FEB65" s="192"/>
      <c r="FEC65" s="192"/>
      <c r="FED65" s="192"/>
      <c r="FEE65" s="192"/>
      <c r="FEF65" s="192"/>
      <c r="FEG65" s="192"/>
      <c r="FEH65" s="192"/>
      <c r="FEI65" s="192"/>
      <c r="FEJ65" s="192"/>
      <c r="FEK65" s="192"/>
      <c r="FEL65" s="192"/>
      <c r="FEM65" s="192"/>
      <c r="FEN65" s="192"/>
      <c r="FEO65" s="192"/>
      <c r="FEP65" s="192"/>
      <c r="FEQ65" s="192"/>
      <c r="FER65" s="192"/>
      <c r="FES65" s="192"/>
      <c r="FET65" s="192"/>
      <c r="FEU65" s="192"/>
      <c r="FEV65" s="192"/>
      <c r="FEW65" s="192"/>
      <c r="FEX65" s="192"/>
      <c r="FEY65" s="192"/>
      <c r="FEZ65" s="192"/>
      <c r="FFA65" s="192"/>
      <c r="FFB65" s="192"/>
      <c r="FFC65" s="192"/>
      <c r="FFD65" s="192"/>
      <c r="FFE65" s="192"/>
      <c r="FFF65" s="192"/>
      <c r="FFG65" s="192"/>
      <c r="FFH65" s="192"/>
      <c r="FFI65" s="192"/>
      <c r="FFJ65" s="192"/>
      <c r="FFK65" s="192"/>
      <c r="FFL65" s="192"/>
      <c r="FFM65" s="192"/>
      <c r="FFN65" s="192"/>
      <c r="FFO65" s="192"/>
      <c r="FFP65" s="192"/>
      <c r="FFQ65" s="192"/>
      <c r="FFR65" s="192"/>
      <c r="FFS65" s="192"/>
      <c r="FFT65" s="192"/>
      <c r="FFU65" s="192"/>
      <c r="FFV65" s="192"/>
      <c r="FFW65" s="192"/>
      <c r="FFX65" s="192"/>
      <c r="FFY65" s="192"/>
      <c r="FFZ65" s="192"/>
      <c r="FGA65" s="192"/>
      <c r="FGB65" s="192"/>
      <c r="FGC65" s="192"/>
      <c r="FGD65" s="192"/>
      <c r="FGE65" s="192"/>
      <c r="FGF65" s="192"/>
      <c r="FGG65" s="192"/>
      <c r="FGH65" s="192"/>
      <c r="FGI65" s="192"/>
      <c r="FGJ65" s="192"/>
      <c r="FGK65" s="192"/>
      <c r="FGL65" s="192"/>
      <c r="FGM65" s="192"/>
      <c r="FGN65" s="192"/>
      <c r="FGO65" s="192"/>
      <c r="FGP65" s="192"/>
      <c r="FGQ65" s="192"/>
      <c r="FGR65" s="192"/>
      <c r="FGS65" s="192"/>
      <c r="FGT65" s="192"/>
      <c r="FGU65" s="192"/>
      <c r="FGV65" s="192"/>
      <c r="FGW65" s="192"/>
      <c r="FGX65" s="192"/>
      <c r="FGY65" s="192"/>
      <c r="FGZ65" s="192"/>
      <c r="FHA65" s="192"/>
      <c r="FHB65" s="192"/>
      <c r="FHC65" s="192"/>
      <c r="FHD65" s="192"/>
      <c r="FHE65" s="192"/>
      <c r="FHF65" s="192"/>
      <c r="FHG65" s="192"/>
      <c r="FHH65" s="192"/>
      <c r="FHI65" s="192"/>
      <c r="FHJ65" s="192"/>
      <c r="FHK65" s="192"/>
      <c r="FHL65" s="192"/>
      <c r="FHM65" s="192"/>
      <c r="FHN65" s="192"/>
      <c r="FHO65" s="192"/>
      <c r="FHP65" s="192"/>
      <c r="FHQ65" s="192"/>
      <c r="FHR65" s="192"/>
      <c r="FHS65" s="192"/>
      <c r="FHT65" s="192"/>
      <c r="FHU65" s="192"/>
      <c r="FHV65" s="192"/>
      <c r="FHW65" s="192"/>
      <c r="FHX65" s="192"/>
      <c r="FHY65" s="192"/>
      <c r="FHZ65" s="192"/>
      <c r="FIA65" s="192"/>
      <c r="FIB65" s="192"/>
      <c r="FIC65" s="192"/>
      <c r="FID65" s="192"/>
      <c r="FIE65" s="192"/>
      <c r="FIF65" s="192"/>
      <c r="FIG65" s="192"/>
      <c r="FIH65" s="192"/>
      <c r="FII65" s="192"/>
      <c r="FIJ65" s="192"/>
      <c r="FIK65" s="192"/>
      <c r="FIL65" s="192"/>
      <c r="FIM65" s="192"/>
      <c r="FIN65" s="192"/>
      <c r="FIO65" s="192"/>
      <c r="FIP65" s="192"/>
      <c r="FIQ65" s="192"/>
      <c r="FIR65" s="192"/>
      <c r="FIS65" s="192"/>
      <c r="FIT65" s="192"/>
      <c r="FIU65" s="192"/>
      <c r="FIV65" s="192"/>
      <c r="FIW65" s="192"/>
      <c r="FIX65" s="192"/>
      <c r="FIY65" s="192"/>
      <c r="FIZ65" s="192"/>
      <c r="FJA65" s="192"/>
      <c r="FJB65" s="192"/>
      <c r="FJC65" s="192"/>
      <c r="FJD65" s="192"/>
      <c r="FJE65" s="192"/>
      <c r="FJF65" s="192"/>
      <c r="FJG65" s="192"/>
      <c r="FJH65" s="192"/>
      <c r="FJI65" s="192"/>
      <c r="FJJ65" s="192"/>
      <c r="FJK65" s="192"/>
      <c r="FJL65" s="192"/>
      <c r="FJM65" s="192"/>
      <c r="FJN65" s="192"/>
      <c r="FJO65" s="192"/>
      <c r="FJP65" s="192"/>
      <c r="FJQ65" s="192"/>
      <c r="FJR65" s="192"/>
      <c r="FJS65" s="192"/>
      <c r="FJT65" s="192"/>
      <c r="FJU65" s="192"/>
      <c r="FJV65" s="192"/>
      <c r="FJW65" s="192"/>
      <c r="FJX65" s="192"/>
      <c r="FJY65" s="192"/>
      <c r="FJZ65" s="192"/>
      <c r="FKA65" s="192"/>
      <c r="FKB65" s="192"/>
      <c r="FKC65" s="192"/>
      <c r="FKD65" s="192"/>
      <c r="FKE65" s="192"/>
      <c r="FKF65" s="192"/>
      <c r="FKG65" s="192"/>
      <c r="FKH65" s="192"/>
      <c r="FKI65" s="192"/>
      <c r="FKJ65" s="192"/>
      <c r="FKK65" s="192"/>
      <c r="FKL65" s="192"/>
      <c r="FKM65" s="192"/>
      <c r="FKN65" s="192"/>
      <c r="FKO65" s="192"/>
      <c r="FKP65" s="192"/>
      <c r="FKQ65" s="192"/>
      <c r="FKR65" s="192"/>
      <c r="FKS65" s="192"/>
      <c r="FKT65" s="192"/>
      <c r="FKU65" s="192"/>
      <c r="FKV65" s="192"/>
      <c r="FKW65" s="192"/>
      <c r="FKX65" s="192"/>
      <c r="FKY65" s="192"/>
      <c r="FKZ65" s="192"/>
      <c r="FLA65" s="192"/>
      <c r="FLB65" s="192"/>
      <c r="FLC65" s="192"/>
      <c r="FLD65" s="192"/>
      <c r="FLE65" s="192"/>
      <c r="FLF65" s="192"/>
      <c r="FLG65" s="192"/>
      <c r="FLH65" s="192"/>
      <c r="FLI65" s="192"/>
      <c r="FLJ65" s="192"/>
      <c r="FLK65" s="192"/>
      <c r="FLL65" s="192"/>
      <c r="FLM65" s="192"/>
      <c r="FLN65" s="192"/>
      <c r="FLO65" s="192"/>
      <c r="FLP65" s="192"/>
      <c r="FLQ65" s="192"/>
      <c r="FLR65" s="192"/>
      <c r="FLS65" s="192"/>
      <c r="FLT65" s="192"/>
      <c r="FLU65" s="192"/>
      <c r="FLV65" s="192"/>
      <c r="FLW65" s="192"/>
      <c r="FLX65" s="192"/>
      <c r="FLY65" s="192"/>
      <c r="FLZ65" s="192"/>
      <c r="FMA65" s="192"/>
      <c r="FMB65" s="192"/>
      <c r="FMC65" s="192"/>
      <c r="FMD65" s="192"/>
      <c r="FME65" s="192"/>
      <c r="FMF65" s="192"/>
      <c r="FMG65" s="192"/>
      <c r="FMH65" s="192"/>
      <c r="FMI65" s="192"/>
      <c r="FMJ65" s="192"/>
      <c r="FMK65" s="192"/>
      <c r="FML65" s="192"/>
      <c r="FMM65" s="192"/>
      <c r="FMN65" s="192"/>
      <c r="FMO65" s="192"/>
      <c r="FMP65" s="192"/>
      <c r="FMQ65" s="192"/>
      <c r="FMR65" s="192"/>
      <c r="FMS65" s="192"/>
      <c r="FMT65" s="192"/>
      <c r="FMU65" s="192"/>
      <c r="FMV65" s="192"/>
      <c r="FMW65" s="192"/>
      <c r="FMX65" s="192"/>
      <c r="FMY65" s="192"/>
      <c r="FMZ65" s="192"/>
      <c r="FNA65" s="192"/>
      <c r="FNB65" s="192"/>
      <c r="FNC65" s="192"/>
      <c r="FND65" s="192"/>
      <c r="FNE65" s="192"/>
      <c r="FNF65" s="192"/>
      <c r="FNG65" s="192"/>
      <c r="FNH65" s="192"/>
      <c r="FNI65" s="192"/>
      <c r="FNJ65" s="192"/>
      <c r="FNK65" s="192"/>
      <c r="FNL65" s="192"/>
      <c r="FNM65" s="192"/>
      <c r="FNN65" s="192"/>
      <c r="FNO65" s="192"/>
      <c r="FNP65" s="192"/>
      <c r="FNQ65" s="192"/>
      <c r="FNR65" s="192"/>
      <c r="FNS65" s="192"/>
      <c r="FNT65" s="192"/>
      <c r="FNU65" s="192"/>
      <c r="FNV65" s="192"/>
      <c r="FNW65" s="192"/>
      <c r="FNX65" s="192"/>
      <c r="FNY65" s="192"/>
      <c r="FNZ65" s="192"/>
      <c r="FOA65" s="192"/>
      <c r="FOB65" s="192"/>
      <c r="FOC65" s="192"/>
      <c r="FOD65" s="192"/>
      <c r="FOE65" s="192"/>
      <c r="FOF65" s="192"/>
      <c r="FOG65" s="192"/>
      <c r="FOH65" s="192"/>
      <c r="FOI65" s="192"/>
      <c r="FOJ65" s="192"/>
      <c r="FOK65" s="192"/>
      <c r="FOL65" s="192"/>
      <c r="FOM65" s="192"/>
      <c r="FON65" s="192"/>
      <c r="FOO65" s="192"/>
      <c r="FOP65" s="192"/>
      <c r="FOQ65" s="192"/>
      <c r="FOR65" s="192"/>
      <c r="FOS65" s="192"/>
      <c r="FOT65" s="192"/>
      <c r="FOU65" s="192"/>
      <c r="FOV65" s="192"/>
      <c r="FOW65" s="192"/>
      <c r="FOX65" s="192"/>
      <c r="FOY65" s="192"/>
      <c r="FOZ65" s="192"/>
      <c r="FPA65" s="192"/>
      <c r="FPB65" s="192"/>
      <c r="FPC65" s="192"/>
      <c r="FPD65" s="192"/>
      <c r="FPE65" s="192"/>
      <c r="FPF65" s="192"/>
      <c r="FPG65" s="192"/>
      <c r="FPH65" s="192"/>
      <c r="FPI65" s="192"/>
      <c r="FPJ65" s="192"/>
      <c r="FPK65" s="192"/>
      <c r="FPL65" s="192"/>
      <c r="FPM65" s="192"/>
      <c r="FPN65" s="192"/>
      <c r="FPO65" s="192"/>
      <c r="FPP65" s="192"/>
      <c r="FPQ65" s="192"/>
      <c r="FPR65" s="192"/>
      <c r="FPS65" s="192"/>
      <c r="FPT65" s="192"/>
      <c r="FPU65" s="192"/>
      <c r="FPV65" s="192"/>
      <c r="FPW65" s="192"/>
      <c r="FPX65" s="192"/>
      <c r="FPY65" s="192"/>
      <c r="FPZ65" s="192"/>
      <c r="FQA65" s="192"/>
      <c r="FQB65" s="192"/>
      <c r="FQC65" s="192"/>
      <c r="FQD65" s="192"/>
      <c r="FQE65" s="192"/>
      <c r="FQF65" s="192"/>
      <c r="FQG65" s="192"/>
      <c r="FQH65" s="192"/>
      <c r="FQI65" s="192"/>
      <c r="FQJ65" s="192"/>
      <c r="FQK65" s="192"/>
      <c r="FQL65" s="192"/>
      <c r="FQM65" s="192"/>
      <c r="FQN65" s="192"/>
      <c r="FQO65" s="192"/>
      <c r="FQP65" s="192"/>
      <c r="FQQ65" s="192"/>
      <c r="FQR65" s="192"/>
      <c r="FQS65" s="192"/>
      <c r="FQT65" s="192"/>
      <c r="FQU65" s="192"/>
      <c r="FQV65" s="192"/>
      <c r="FQW65" s="192"/>
      <c r="FQX65" s="192"/>
      <c r="FQY65" s="192"/>
      <c r="FQZ65" s="192"/>
      <c r="FRA65" s="192"/>
      <c r="FRB65" s="192"/>
      <c r="FRC65" s="192"/>
      <c r="FRD65" s="192"/>
      <c r="FRE65" s="192"/>
      <c r="FRF65" s="192"/>
      <c r="FRG65" s="192"/>
      <c r="FRH65" s="192"/>
      <c r="FRI65" s="192"/>
      <c r="FRJ65" s="192"/>
      <c r="FRK65" s="192"/>
      <c r="FRL65" s="192"/>
      <c r="FRM65" s="192"/>
      <c r="FRN65" s="192"/>
      <c r="FRO65" s="192"/>
      <c r="FRP65" s="192"/>
      <c r="FRQ65" s="192"/>
      <c r="FRR65" s="192"/>
      <c r="FRS65" s="192"/>
      <c r="FRT65" s="192"/>
      <c r="FRU65" s="192"/>
      <c r="FRV65" s="192"/>
      <c r="FRW65" s="192"/>
      <c r="FRX65" s="192"/>
      <c r="FRY65" s="192"/>
      <c r="FRZ65" s="192"/>
      <c r="FSA65" s="192"/>
      <c r="FSB65" s="192"/>
      <c r="FSC65" s="192"/>
      <c r="FSD65" s="192"/>
      <c r="FSE65" s="192"/>
      <c r="FSF65" s="192"/>
      <c r="FSG65" s="192"/>
      <c r="FSH65" s="192"/>
      <c r="FSI65" s="192"/>
      <c r="FSJ65" s="192"/>
      <c r="FSK65" s="192"/>
      <c r="FSL65" s="192"/>
      <c r="FSM65" s="192"/>
      <c r="FSN65" s="192"/>
      <c r="FSO65" s="192"/>
      <c r="FSP65" s="192"/>
      <c r="FSQ65" s="192"/>
      <c r="FSR65" s="192"/>
      <c r="FSS65" s="192"/>
      <c r="FST65" s="192"/>
      <c r="FSU65" s="192"/>
      <c r="FSV65" s="192"/>
      <c r="FSW65" s="192"/>
      <c r="FSX65" s="192"/>
      <c r="FSY65" s="192"/>
      <c r="FSZ65" s="192"/>
      <c r="FTA65" s="192"/>
      <c r="FTB65" s="192"/>
      <c r="FTC65" s="192"/>
      <c r="FTD65" s="192"/>
      <c r="FTE65" s="192"/>
      <c r="FTF65" s="192"/>
      <c r="FTG65" s="192"/>
      <c r="FTH65" s="192"/>
      <c r="FTI65" s="192"/>
      <c r="FTJ65" s="192"/>
      <c r="FTK65" s="192"/>
      <c r="FTL65" s="192"/>
      <c r="FTM65" s="192"/>
      <c r="FTN65" s="192"/>
      <c r="FTO65" s="192"/>
      <c r="FTP65" s="192"/>
      <c r="FTQ65" s="192"/>
      <c r="FTR65" s="192"/>
      <c r="FTS65" s="192"/>
      <c r="FTT65" s="192"/>
      <c r="FTU65" s="192"/>
      <c r="FTV65" s="192"/>
      <c r="FTW65" s="192"/>
      <c r="FTX65" s="192"/>
      <c r="FTY65" s="192"/>
      <c r="FTZ65" s="192"/>
      <c r="FUA65" s="192"/>
      <c r="FUB65" s="192"/>
      <c r="FUC65" s="192"/>
      <c r="FUD65" s="192"/>
      <c r="FUE65" s="192"/>
      <c r="FUF65" s="192"/>
      <c r="FUG65" s="192"/>
      <c r="FUH65" s="192"/>
      <c r="FUI65" s="192"/>
      <c r="FUJ65" s="192"/>
      <c r="FUK65" s="192"/>
      <c r="FUL65" s="192"/>
      <c r="FUM65" s="192"/>
      <c r="FUN65" s="192"/>
      <c r="FUO65" s="192"/>
      <c r="FUP65" s="192"/>
      <c r="FUQ65" s="192"/>
      <c r="FUR65" s="192"/>
      <c r="FUS65" s="192"/>
      <c r="FUT65" s="192"/>
      <c r="FUU65" s="192"/>
      <c r="FUV65" s="192"/>
      <c r="FUW65" s="192"/>
      <c r="FUX65" s="192"/>
      <c r="FUY65" s="192"/>
      <c r="FUZ65" s="192"/>
      <c r="FVA65" s="192"/>
      <c r="FVB65" s="192"/>
      <c r="FVC65" s="192"/>
      <c r="FVD65" s="192"/>
      <c r="FVE65" s="192"/>
      <c r="FVF65" s="192"/>
      <c r="FVG65" s="192"/>
      <c r="FVH65" s="192"/>
      <c r="FVI65" s="192"/>
      <c r="FVJ65" s="192"/>
      <c r="FVK65" s="192"/>
      <c r="FVL65" s="192"/>
      <c r="FVM65" s="192"/>
      <c r="FVN65" s="192"/>
      <c r="FVO65" s="192"/>
      <c r="FVP65" s="192"/>
      <c r="FVQ65" s="192"/>
      <c r="FVR65" s="192"/>
      <c r="FVS65" s="192"/>
      <c r="FVT65" s="192"/>
      <c r="FVU65" s="192"/>
      <c r="FVV65" s="192"/>
      <c r="FVW65" s="192"/>
      <c r="FVX65" s="192"/>
      <c r="FVY65" s="192"/>
      <c r="FVZ65" s="192"/>
      <c r="FWA65" s="192"/>
      <c r="FWB65" s="192"/>
      <c r="FWC65" s="192"/>
      <c r="FWD65" s="192"/>
      <c r="FWE65" s="192"/>
      <c r="FWF65" s="192"/>
      <c r="FWG65" s="192"/>
      <c r="FWH65" s="192"/>
      <c r="FWI65" s="192"/>
      <c r="FWJ65" s="192"/>
      <c r="FWK65" s="192"/>
      <c r="FWL65" s="192"/>
      <c r="FWM65" s="192"/>
      <c r="FWN65" s="192"/>
      <c r="FWO65" s="192"/>
      <c r="FWP65" s="192"/>
      <c r="FWQ65" s="192"/>
      <c r="FWR65" s="192"/>
      <c r="FWS65" s="192"/>
      <c r="FWT65" s="192"/>
      <c r="FWU65" s="192"/>
      <c r="FWV65" s="192"/>
      <c r="FWW65" s="192"/>
      <c r="FWX65" s="192"/>
      <c r="FWY65" s="192"/>
      <c r="FWZ65" s="192"/>
      <c r="FXA65" s="192"/>
      <c r="FXB65" s="192"/>
      <c r="FXC65" s="192"/>
      <c r="FXD65" s="192"/>
      <c r="FXE65" s="192"/>
      <c r="FXF65" s="192"/>
      <c r="FXG65" s="192"/>
      <c r="FXH65" s="192"/>
      <c r="FXI65" s="192"/>
      <c r="FXJ65" s="192"/>
      <c r="FXK65" s="192"/>
      <c r="FXL65" s="192"/>
      <c r="FXM65" s="192"/>
      <c r="FXN65" s="192"/>
      <c r="FXO65" s="192"/>
      <c r="FXP65" s="192"/>
      <c r="FXQ65" s="192"/>
      <c r="FXR65" s="192"/>
      <c r="FXS65" s="192"/>
      <c r="FXT65" s="192"/>
      <c r="FXU65" s="192"/>
      <c r="FXV65" s="192"/>
      <c r="FXW65" s="192"/>
      <c r="FXX65" s="192"/>
      <c r="FXY65" s="192"/>
      <c r="FXZ65" s="192"/>
      <c r="FYA65" s="192"/>
      <c r="FYB65" s="192"/>
      <c r="FYC65" s="192"/>
      <c r="FYD65" s="192"/>
      <c r="FYE65" s="192"/>
      <c r="FYF65" s="192"/>
      <c r="FYG65" s="192"/>
      <c r="FYH65" s="192"/>
      <c r="FYI65" s="192"/>
      <c r="FYJ65" s="192"/>
      <c r="FYK65" s="192"/>
      <c r="FYL65" s="192"/>
      <c r="FYM65" s="192"/>
      <c r="FYN65" s="192"/>
      <c r="FYO65" s="192"/>
      <c r="FYP65" s="192"/>
      <c r="FYQ65" s="192"/>
      <c r="FYR65" s="192"/>
      <c r="FYS65" s="192"/>
      <c r="FYT65" s="192"/>
      <c r="FYU65" s="192"/>
      <c r="FYV65" s="192"/>
      <c r="FYW65" s="192"/>
      <c r="FYX65" s="192"/>
      <c r="FYY65" s="192"/>
      <c r="FYZ65" s="192"/>
      <c r="FZA65" s="192"/>
      <c r="FZB65" s="192"/>
      <c r="FZC65" s="192"/>
      <c r="FZD65" s="192"/>
      <c r="FZE65" s="192"/>
      <c r="FZF65" s="192"/>
      <c r="FZG65" s="192"/>
      <c r="FZH65" s="192"/>
      <c r="FZI65" s="192"/>
      <c r="FZJ65" s="192"/>
      <c r="FZK65" s="192"/>
      <c r="FZL65" s="192"/>
      <c r="FZM65" s="192"/>
      <c r="FZN65" s="192"/>
      <c r="FZO65" s="192"/>
      <c r="FZP65" s="192"/>
      <c r="FZQ65" s="192"/>
      <c r="FZR65" s="192"/>
      <c r="FZS65" s="192"/>
      <c r="FZT65" s="192"/>
      <c r="FZU65" s="192"/>
      <c r="FZV65" s="192"/>
      <c r="FZW65" s="192"/>
      <c r="FZX65" s="192"/>
      <c r="FZY65" s="192"/>
      <c r="FZZ65" s="192"/>
      <c r="GAA65" s="192"/>
      <c r="GAB65" s="192"/>
      <c r="GAC65" s="192"/>
      <c r="GAD65" s="192"/>
      <c r="GAE65" s="192"/>
      <c r="GAF65" s="192"/>
      <c r="GAG65" s="192"/>
      <c r="GAH65" s="192"/>
      <c r="GAI65" s="192"/>
      <c r="GAJ65" s="192"/>
      <c r="GAK65" s="192"/>
      <c r="GAL65" s="192"/>
      <c r="GAM65" s="192"/>
      <c r="GAN65" s="192"/>
      <c r="GAO65" s="192"/>
      <c r="GAP65" s="192"/>
      <c r="GAQ65" s="192"/>
      <c r="GAR65" s="192"/>
      <c r="GAS65" s="192"/>
      <c r="GAT65" s="192"/>
      <c r="GAU65" s="192"/>
      <c r="GAV65" s="192"/>
      <c r="GAW65" s="192"/>
      <c r="GAX65" s="192"/>
      <c r="GAY65" s="192"/>
      <c r="GAZ65" s="192"/>
      <c r="GBA65" s="192"/>
      <c r="GBB65" s="192"/>
      <c r="GBC65" s="192"/>
      <c r="GBD65" s="192"/>
      <c r="GBE65" s="192"/>
      <c r="GBF65" s="192"/>
      <c r="GBG65" s="192"/>
      <c r="GBH65" s="192"/>
      <c r="GBI65" s="192"/>
      <c r="GBJ65" s="192"/>
      <c r="GBK65" s="192"/>
      <c r="GBL65" s="192"/>
      <c r="GBM65" s="192"/>
      <c r="GBN65" s="192"/>
      <c r="GBO65" s="192"/>
      <c r="GBP65" s="192"/>
      <c r="GBQ65" s="192"/>
      <c r="GBR65" s="192"/>
      <c r="GBS65" s="192"/>
      <c r="GBT65" s="192"/>
      <c r="GBU65" s="192"/>
      <c r="GBV65" s="192"/>
      <c r="GBW65" s="192"/>
      <c r="GBX65" s="192"/>
      <c r="GBY65" s="192"/>
      <c r="GBZ65" s="192"/>
      <c r="GCA65" s="192"/>
      <c r="GCB65" s="192"/>
      <c r="GCC65" s="192"/>
      <c r="GCD65" s="192"/>
      <c r="GCE65" s="192"/>
      <c r="GCF65" s="192"/>
      <c r="GCG65" s="192"/>
      <c r="GCH65" s="192"/>
      <c r="GCI65" s="192"/>
      <c r="GCJ65" s="192"/>
      <c r="GCK65" s="192"/>
      <c r="GCL65" s="192"/>
      <c r="GCM65" s="192"/>
      <c r="GCN65" s="192"/>
      <c r="GCO65" s="192"/>
      <c r="GCP65" s="192"/>
      <c r="GCQ65" s="192"/>
      <c r="GCR65" s="192"/>
      <c r="GCS65" s="192"/>
      <c r="GCT65" s="192"/>
      <c r="GCU65" s="192"/>
      <c r="GCV65" s="192"/>
      <c r="GCW65" s="192"/>
      <c r="GCX65" s="192"/>
      <c r="GCY65" s="192"/>
      <c r="GCZ65" s="192"/>
      <c r="GDA65" s="192"/>
      <c r="GDB65" s="192"/>
      <c r="GDC65" s="192"/>
      <c r="GDD65" s="192"/>
      <c r="GDE65" s="192"/>
      <c r="GDF65" s="192"/>
      <c r="GDG65" s="192"/>
      <c r="GDH65" s="192"/>
      <c r="GDI65" s="192"/>
      <c r="GDJ65" s="192"/>
      <c r="GDK65" s="192"/>
      <c r="GDL65" s="192"/>
      <c r="GDM65" s="192"/>
      <c r="GDN65" s="192"/>
      <c r="GDO65" s="192"/>
      <c r="GDP65" s="192"/>
      <c r="GDQ65" s="192"/>
      <c r="GDR65" s="192"/>
      <c r="GDS65" s="192"/>
      <c r="GDT65" s="192"/>
      <c r="GDU65" s="192"/>
      <c r="GDV65" s="192"/>
      <c r="GDW65" s="192"/>
      <c r="GDX65" s="192"/>
      <c r="GDY65" s="192"/>
      <c r="GDZ65" s="192"/>
      <c r="GEA65" s="192"/>
      <c r="GEB65" s="192"/>
      <c r="GEC65" s="192"/>
      <c r="GED65" s="192"/>
      <c r="GEE65" s="192"/>
      <c r="GEF65" s="192"/>
      <c r="GEG65" s="192"/>
      <c r="GEH65" s="192"/>
      <c r="GEI65" s="192"/>
      <c r="GEJ65" s="192"/>
      <c r="GEK65" s="192"/>
      <c r="GEL65" s="192"/>
      <c r="GEM65" s="192"/>
      <c r="GEN65" s="192"/>
      <c r="GEO65" s="192"/>
      <c r="GEP65" s="192"/>
      <c r="GEQ65" s="192"/>
      <c r="GER65" s="192"/>
      <c r="GES65" s="192"/>
      <c r="GET65" s="192"/>
      <c r="GEU65" s="192"/>
      <c r="GEV65" s="192"/>
      <c r="GEW65" s="192"/>
      <c r="GEX65" s="192"/>
      <c r="GEY65" s="192"/>
      <c r="GEZ65" s="192"/>
      <c r="GFA65" s="192"/>
      <c r="GFB65" s="192"/>
      <c r="GFC65" s="192"/>
      <c r="GFD65" s="192"/>
      <c r="GFE65" s="192"/>
      <c r="GFF65" s="192"/>
      <c r="GFG65" s="192"/>
      <c r="GFH65" s="192"/>
      <c r="GFI65" s="192"/>
      <c r="GFJ65" s="192"/>
      <c r="GFK65" s="192"/>
      <c r="GFL65" s="192"/>
      <c r="GFM65" s="192"/>
      <c r="GFN65" s="192"/>
      <c r="GFO65" s="192"/>
      <c r="GFP65" s="192"/>
      <c r="GFQ65" s="192"/>
      <c r="GFR65" s="192"/>
      <c r="GFS65" s="192"/>
      <c r="GFT65" s="192"/>
      <c r="GFU65" s="192"/>
      <c r="GFV65" s="192"/>
      <c r="GFW65" s="192"/>
      <c r="GFX65" s="192"/>
      <c r="GFY65" s="192"/>
      <c r="GFZ65" s="192"/>
      <c r="GGA65" s="192"/>
      <c r="GGB65" s="192"/>
      <c r="GGC65" s="192"/>
      <c r="GGD65" s="192"/>
      <c r="GGE65" s="192"/>
      <c r="GGF65" s="192"/>
      <c r="GGG65" s="192"/>
      <c r="GGH65" s="192"/>
      <c r="GGI65" s="192"/>
      <c r="GGJ65" s="192"/>
      <c r="GGK65" s="192"/>
      <c r="GGL65" s="192"/>
      <c r="GGM65" s="192"/>
      <c r="GGN65" s="192"/>
      <c r="GGO65" s="192"/>
      <c r="GGP65" s="192"/>
      <c r="GGQ65" s="192"/>
      <c r="GGR65" s="192"/>
      <c r="GGS65" s="192"/>
      <c r="GGT65" s="192"/>
      <c r="GGU65" s="192"/>
      <c r="GGV65" s="192"/>
      <c r="GGW65" s="192"/>
      <c r="GGX65" s="192"/>
      <c r="GGY65" s="192"/>
      <c r="GGZ65" s="192"/>
      <c r="GHA65" s="192"/>
      <c r="GHB65" s="192"/>
      <c r="GHC65" s="192"/>
      <c r="GHD65" s="192"/>
      <c r="GHE65" s="192"/>
      <c r="GHF65" s="192"/>
      <c r="GHG65" s="192"/>
      <c r="GHH65" s="192"/>
      <c r="GHI65" s="192"/>
      <c r="GHJ65" s="192"/>
      <c r="GHK65" s="192"/>
      <c r="GHL65" s="192"/>
      <c r="GHM65" s="192"/>
      <c r="GHN65" s="192"/>
      <c r="GHO65" s="192"/>
      <c r="GHP65" s="192"/>
      <c r="GHQ65" s="192"/>
      <c r="GHR65" s="192"/>
      <c r="GHS65" s="192"/>
      <c r="GHT65" s="192"/>
      <c r="GHU65" s="192"/>
      <c r="GHV65" s="192"/>
      <c r="GHW65" s="192"/>
      <c r="GHX65" s="192"/>
      <c r="GHY65" s="192"/>
      <c r="GHZ65" s="192"/>
      <c r="GIA65" s="192"/>
      <c r="GIB65" s="192"/>
      <c r="GIC65" s="192"/>
      <c r="GID65" s="192"/>
      <c r="GIE65" s="192"/>
      <c r="GIF65" s="192"/>
      <c r="GIG65" s="192"/>
      <c r="GIH65" s="192"/>
      <c r="GII65" s="192"/>
      <c r="GIJ65" s="192"/>
      <c r="GIK65" s="192"/>
      <c r="GIL65" s="192"/>
      <c r="GIM65" s="192"/>
      <c r="GIN65" s="192"/>
      <c r="GIO65" s="192"/>
      <c r="GIP65" s="192"/>
      <c r="GIQ65" s="192"/>
      <c r="GIR65" s="192"/>
      <c r="GIS65" s="192"/>
      <c r="GIT65" s="192"/>
      <c r="GIU65" s="192"/>
      <c r="GIV65" s="192"/>
      <c r="GIW65" s="192"/>
      <c r="GIX65" s="192"/>
      <c r="GIY65" s="192"/>
      <c r="GIZ65" s="192"/>
      <c r="GJA65" s="192"/>
      <c r="GJB65" s="192"/>
      <c r="GJC65" s="192"/>
      <c r="GJD65" s="192"/>
      <c r="GJE65" s="192"/>
      <c r="GJF65" s="192"/>
      <c r="GJG65" s="192"/>
      <c r="GJH65" s="192"/>
      <c r="GJI65" s="192"/>
      <c r="GJJ65" s="192"/>
      <c r="GJK65" s="192"/>
      <c r="GJL65" s="192"/>
      <c r="GJM65" s="192"/>
      <c r="GJN65" s="192"/>
      <c r="GJO65" s="192"/>
      <c r="GJP65" s="192"/>
      <c r="GJQ65" s="192"/>
      <c r="GJR65" s="192"/>
      <c r="GJS65" s="192"/>
      <c r="GJT65" s="192"/>
      <c r="GJU65" s="192"/>
      <c r="GJV65" s="192"/>
      <c r="GJW65" s="192"/>
      <c r="GJX65" s="192"/>
      <c r="GJY65" s="192"/>
      <c r="GJZ65" s="192"/>
      <c r="GKA65" s="192"/>
      <c r="GKB65" s="192"/>
      <c r="GKC65" s="192"/>
      <c r="GKD65" s="192"/>
      <c r="GKE65" s="192"/>
      <c r="GKF65" s="192"/>
      <c r="GKG65" s="192"/>
      <c r="GKH65" s="192"/>
      <c r="GKI65" s="192"/>
      <c r="GKJ65" s="192"/>
      <c r="GKK65" s="192"/>
      <c r="GKL65" s="192"/>
      <c r="GKM65" s="192"/>
      <c r="GKN65" s="192"/>
      <c r="GKO65" s="192"/>
      <c r="GKP65" s="192"/>
      <c r="GKQ65" s="192"/>
      <c r="GKR65" s="192"/>
      <c r="GKS65" s="192"/>
      <c r="GKT65" s="192"/>
      <c r="GKU65" s="192"/>
      <c r="GKV65" s="192"/>
      <c r="GKW65" s="192"/>
      <c r="GKX65" s="192"/>
      <c r="GKY65" s="192"/>
      <c r="GKZ65" s="192"/>
      <c r="GLA65" s="192"/>
      <c r="GLB65" s="192"/>
      <c r="GLC65" s="192"/>
      <c r="GLD65" s="192"/>
      <c r="GLE65" s="192"/>
      <c r="GLF65" s="192"/>
      <c r="GLG65" s="192"/>
      <c r="GLH65" s="192"/>
      <c r="GLI65" s="192"/>
      <c r="GLJ65" s="192"/>
      <c r="GLK65" s="192"/>
      <c r="GLL65" s="192"/>
      <c r="GLM65" s="192"/>
      <c r="GLN65" s="192"/>
      <c r="GLO65" s="192"/>
      <c r="GLP65" s="192"/>
      <c r="GLQ65" s="192"/>
      <c r="GLR65" s="192"/>
      <c r="GLS65" s="192"/>
      <c r="GLT65" s="192"/>
      <c r="GLU65" s="192"/>
      <c r="GLV65" s="192"/>
      <c r="GLW65" s="192"/>
      <c r="GLX65" s="192"/>
      <c r="GLY65" s="192"/>
      <c r="GLZ65" s="192"/>
      <c r="GMA65" s="192"/>
      <c r="GMB65" s="192"/>
      <c r="GMC65" s="192"/>
      <c r="GMD65" s="192"/>
      <c r="GME65" s="192"/>
      <c r="GMF65" s="192"/>
      <c r="GMG65" s="192"/>
      <c r="GMH65" s="192"/>
      <c r="GMI65" s="192"/>
      <c r="GMJ65" s="192"/>
      <c r="GMK65" s="192"/>
      <c r="GML65" s="192"/>
      <c r="GMM65" s="192"/>
      <c r="GMN65" s="192"/>
      <c r="GMO65" s="192"/>
      <c r="GMP65" s="192"/>
      <c r="GMQ65" s="192"/>
      <c r="GMR65" s="192"/>
      <c r="GMS65" s="192"/>
      <c r="GMT65" s="192"/>
      <c r="GMU65" s="192"/>
      <c r="GMV65" s="192"/>
      <c r="GMW65" s="192"/>
      <c r="GMX65" s="192"/>
      <c r="GMY65" s="192"/>
      <c r="GMZ65" s="192"/>
      <c r="GNA65" s="192"/>
      <c r="GNB65" s="192"/>
      <c r="GNC65" s="192"/>
      <c r="GND65" s="192"/>
      <c r="GNE65" s="192"/>
      <c r="GNF65" s="192"/>
      <c r="GNG65" s="192"/>
      <c r="GNH65" s="192"/>
      <c r="GNI65" s="192"/>
      <c r="GNJ65" s="192"/>
      <c r="GNK65" s="192"/>
      <c r="GNL65" s="192"/>
      <c r="GNM65" s="192"/>
      <c r="GNN65" s="192"/>
      <c r="GNO65" s="192"/>
      <c r="GNP65" s="192"/>
      <c r="GNQ65" s="192"/>
      <c r="GNR65" s="192"/>
      <c r="GNS65" s="192"/>
      <c r="GNT65" s="192"/>
      <c r="GNU65" s="192"/>
      <c r="GNV65" s="192"/>
      <c r="GNW65" s="192"/>
      <c r="GNX65" s="192"/>
      <c r="GNY65" s="192"/>
      <c r="GNZ65" s="192"/>
      <c r="GOA65" s="192"/>
      <c r="GOB65" s="192"/>
      <c r="GOC65" s="192"/>
      <c r="GOD65" s="192"/>
      <c r="GOE65" s="192"/>
      <c r="GOF65" s="192"/>
      <c r="GOG65" s="192"/>
      <c r="GOH65" s="192"/>
      <c r="GOI65" s="192"/>
      <c r="GOJ65" s="192"/>
      <c r="GOK65" s="192"/>
      <c r="GOL65" s="192"/>
      <c r="GOM65" s="192"/>
      <c r="GON65" s="192"/>
      <c r="GOO65" s="192"/>
      <c r="GOP65" s="192"/>
      <c r="GOQ65" s="192"/>
      <c r="GOR65" s="192"/>
      <c r="GOS65" s="192"/>
      <c r="GOT65" s="192"/>
      <c r="GOU65" s="192"/>
      <c r="GOV65" s="192"/>
      <c r="GOW65" s="192"/>
      <c r="GOX65" s="192"/>
      <c r="GOY65" s="192"/>
      <c r="GOZ65" s="192"/>
      <c r="GPA65" s="192"/>
      <c r="GPB65" s="192"/>
      <c r="GPC65" s="192"/>
      <c r="GPD65" s="192"/>
      <c r="GPE65" s="192"/>
      <c r="GPF65" s="192"/>
      <c r="GPG65" s="192"/>
      <c r="GPH65" s="192"/>
      <c r="GPI65" s="192"/>
      <c r="GPJ65" s="192"/>
      <c r="GPK65" s="192"/>
      <c r="GPL65" s="192"/>
      <c r="GPM65" s="192"/>
      <c r="GPN65" s="192"/>
      <c r="GPO65" s="192"/>
      <c r="GPP65" s="192"/>
      <c r="GPQ65" s="192"/>
      <c r="GPR65" s="192"/>
      <c r="GPS65" s="192"/>
      <c r="GPT65" s="192"/>
      <c r="GPU65" s="192"/>
      <c r="GPV65" s="192"/>
      <c r="GPW65" s="192"/>
      <c r="GPX65" s="192"/>
      <c r="GPY65" s="192"/>
      <c r="GPZ65" s="192"/>
      <c r="GQA65" s="192"/>
      <c r="GQB65" s="192"/>
      <c r="GQC65" s="192"/>
      <c r="GQD65" s="192"/>
      <c r="GQE65" s="192"/>
      <c r="GQF65" s="192"/>
      <c r="GQG65" s="192"/>
      <c r="GQH65" s="192"/>
      <c r="GQI65" s="192"/>
      <c r="GQJ65" s="192"/>
      <c r="GQK65" s="192"/>
      <c r="GQL65" s="192"/>
      <c r="GQM65" s="192"/>
      <c r="GQN65" s="192"/>
      <c r="GQO65" s="192"/>
      <c r="GQP65" s="192"/>
      <c r="GQQ65" s="192"/>
      <c r="GQR65" s="192"/>
      <c r="GQS65" s="192"/>
      <c r="GQT65" s="192"/>
      <c r="GQU65" s="192"/>
      <c r="GQV65" s="192"/>
      <c r="GQW65" s="192"/>
      <c r="GQX65" s="192"/>
      <c r="GQY65" s="192"/>
      <c r="GQZ65" s="192"/>
      <c r="GRA65" s="192"/>
      <c r="GRB65" s="192"/>
      <c r="GRC65" s="192"/>
      <c r="GRD65" s="192"/>
      <c r="GRE65" s="192"/>
      <c r="GRF65" s="192"/>
      <c r="GRG65" s="192"/>
      <c r="GRH65" s="192"/>
      <c r="GRI65" s="192"/>
      <c r="GRJ65" s="192"/>
      <c r="GRK65" s="192"/>
      <c r="GRL65" s="192"/>
      <c r="GRM65" s="192"/>
      <c r="GRN65" s="192"/>
      <c r="GRO65" s="192"/>
      <c r="GRP65" s="192"/>
      <c r="GRQ65" s="192"/>
      <c r="GRR65" s="192"/>
      <c r="GRS65" s="192"/>
      <c r="GRT65" s="192"/>
      <c r="GRU65" s="192"/>
      <c r="GRV65" s="192"/>
      <c r="GRW65" s="192"/>
      <c r="GRX65" s="192"/>
      <c r="GRY65" s="192"/>
      <c r="GRZ65" s="192"/>
      <c r="GSA65" s="192"/>
      <c r="GSB65" s="192"/>
      <c r="GSC65" s="192"/>
      <c r="GSD65" s="192"/>
      <c r="GSE65" s="192"/>
      <c r="GSF65" s="192"/>
      <c r="GSG65" s="192"/>
      <c r="GSH65" s="192"/>
      <c r="GSI65" s="192"/>
      <c r="GSJ65" s="192"/>
      <c r="GSK65" s="192"/>
      <c r="GSL65" s="192"/>
      <c r="GSM65" s="192"/>
      <c r="GSN65" s="192"/>
      <c r="GSO65" s="192"/>
      <c r="GSP65" s="192"/>
      <c r="GSQ65" s="192"/>
      <c r="GSR65" s="192"/>
      <c r="GSS65" s="192"/>
      <c r="GST65" s="192"/>
      <c r="GSU65" s="192"/>
      <c r="GSV65" s="192"/>
      <c r="GSW65" s="192"/>
      <c r="GSX65" s="192"/>
      <c r="GSY65" s="192"/>
      <c r="GSZ65" s="192"/>
      <c r="GTA65" s="192"/>
      <c r="GTB65" s="192"/>
      <c r="GTC65" s="192"/>
      <c r="GTD65" s="192"/>
      <c r="GTE65" s="192"/>
      <c r="GTF65" s="192"/>
      <c r="GTG65" s="192"/>
      <c r="GTH65" s="192"/>
      <c r="GTI65" s="192"/>
      <c r="GTJ65" s="192"/>
      <c r="GTK65" s="192"/>
      <c r="GTL65" s="192"/>
      <c r="GTM65" s="192"/>
      <c r="GTN65" s="192"/>
      <c r="GTO65" s="192"/>
      <c r="GTP65" s="192"/>
      <c r="GTQ65" s="192"/>
      <c r="GTR65" s="192"/>
      <c r="GTS65" s="192"/>
      <c r="GTT65" s="192"/>
      <c r="GTU65" s="192"/>
      <c r="GTV65" s="192"/>
      <c r="GTW65" s="192"/>
      <c r="GTX65" s="192"/>
      <c r="GTY65" s="192"/>
      <c r="GTZ65" s="192"/>
      <c r="GUA65" s="192"/>
      <c r="GUB65" s="192"/>
      <c r="GUC65" s="192"/>
      <c r="GUD65" s="192"/>
      <c r="GUE65" s="192"/>
      <c r="GUF65" s="192"/>
      <c r="GUG65" s="192"/>
      <c r="GUH65" s="192"/>
      <c r="GUI65" s="192"/>
      <c r="GUJ65" s="192"/>
      <c r="GUK65" s="192"/>
      <c r="GUL65" s="192"/>
      <c r="GUM65" s="192"/>
      <c r="GUN65" s="192"/>
      <c r="GUO65" s="192"/>
      <c r="GUP65" s="192"/>
      <c r="GUQ65" s="192"/>
      <c r="GUR65" s="192"/>
      <c r="GUS65" s="192"/>
      <c r="GUT65" s="192"/>
      <c r="GUU65" s="192"/>
      <c r="GUV65" s="192"/>
      <c r="GUW65" s="192"/>
      <c r="GUX65" s="192"/>
      <c r="GUY65" s="192"/>
      <c r="GUZ65" s="192"/>
      <c r="GVA65" s="192"/>
      <c r="GVB65" s="192"/>
      <c r="GVC65" s="192"/>
      <c r="GVD65" s="192"/>
      <c r="GVE65" s="192"/>
      <c r="GVF65" s="192"/>
      <c r="GVG65" s="192"/>
      <c r="GVH65" s="192"/>
      <c r="GVI65" s="192"/>
      <c r="GVJ65" s="192"/>
      <c r="GVK65" s="192"/>
      <c r="GVL65" s="192"/>
      <c r="GVM65" s="192"/>
      <c r="GVN65" s="192"/>
      <c r="GVO65" s="192"/>
      <c r="GVP65" s="192"/>
      <c r="GVQ65" s="192"/>
      <c r="GVR65" s="192"/>
      <c r="GVS65" s="192"/>
      <c r="GVT65" s="192"/>
      <c r="GVU65" s="192"/>
      <c r="GVV65" s="192"/>
      <c r="GVW65" s="192"/>
      <c r="GVX65" s="192"/>
      <c r="GVY65" s="192"/>
      <c r="GVZ65" s="192"/>
      <c r="GWA65" s="192"/>
      <c r="GWB65" s="192"/>
      <c r="GWC65" s="192"/>
      <c r="GWD65" s="192"/>
      <c r="GWE65" s="192"/>
      <c r="GWF65" s="192"/>
      <c r="GWG65" s="192"/>
      <c r="GWH65" s="192"/>
      <c r="GWI65" s="192"/>
      <c r="GWJ65" s="192"/>
      <c r="GWK65" s="192"/>
      <c r="GWL65" s="192"/>
      <c r="GWM65" s="192"/>
      <c r="GWN65" s="192"/>
      <c r="GWO65" s="192"/>
      <c r="GWP65" s="192"/>
      <c r="GWQ65" s="192"/>
      <c r="GWR65" s="192"/>
      <c r="GWS65" s="192"/>
      <c r="GWT65" s="192"/>
      <c r="GWU65" s="192"/>
      <c r="GWV65" s="192"/>
      <c r="GWW65" s="192"/>
      <c r="GWX65" s="192"/>
      <c r="GWY65" s="192"/>
      <c r="GWZ65" s="192"/>
      <c r="GXA65" s="192"/>
      <c r="GXB65" s="192"/>
      <c r="GXC65" s="192"/>
      <c r="GXD65" s="192"/>
      <c r="GXE65" s="192"/>
      <c r="GXF65" s="192"/>
      <c r="GXG65" s="192"/>
      <c r="GXH65" s="192"/>
      <c r="GXI65" s="192"/>
      <c r="GXJ65" s="192"/>
      <c r="GXK65" s="192"/>
      <c r="GXL65" s="192"/>
      <c r="GXM65" s="192"/>
      <c r="GXN65" s="192"/>
      <c r="GXO65" s="192"/>
      <c r="GXP65" s="192"/>
      <c r="GXQ65" s="192"/>
      <c r="GXR65" s="192"/>
      <c r="GXS65" s="192"/>
      <c r="GXT65" s="192"/>
      <c r="GXU65" s="192"/>
      <c r="GXV65" s="192"/>
      <c r="GXW65" s="192"/>
      <c r="GXX65" s="192"/>
      <c r="GXY65" s="192"/>
      <c r="GXZ65" s="192"/>
      <c r="GYA65" s="192"/>
      <c r="GYB65" s="192"/>
      <c r="GYC65" s="192"/>
      <c r="GYD65" s="192"/>
      <c r="GYE65" s="192"/>
      <c r="GYF65" s="192"/>
      <c r="GYG65" s="192"/>
      <c r="GYH65" s="192"/>
      <c r="GYI65" s="192"/>
      <c r="GYJ65" s="192"/>
      <c r="GYK65" s="192"/>
      <c r="GYL65" s="192"/>
      <c r="GYM65" s="192"/>
      <c r="GYN65" s="192"/>
      <c r="GYO65" s="192"/>
      <c r="GYP65" s="192"/>
      <c r="GYQ65" s="192"/>
      <c r="GYR65" s="192"/>
      <c r="GYS65" s="192"/>
      <c r="GYT65" s="192"/>
      <c r="GYU65" s="192"/>
      <c r="GYV65" s="192"/>
      <c r="GYW65" s="192"/>
      <c r="GYX65" s="192"/>
      <c r="GYY65" s="192"/>
      <c r="GYZ65" s="192"/>
      <c r="GZA65" s="192"/>
      <c r="GZB65" s="192"/>
      <c r="GZC65" s="192"/>
      <c r="GZD65" s="192"/>
      <c r="GZE65" s="192"/>
      <c r="GZF65" s="192"/>
      <c r="GZG65" s="192"/>
      <c r="GZH65" s="192"/>
      <c r="GZI65" s="192"/>
      <c r="GZJ65" s="192"/>
      <c r="GZK65" s="192"/>
      <c r="GZL65" s="192"/>
      <c r="GZM65" s="192"/>
      <c r="GZN65" s="192"/>
      <c r="GZO65" s="192"/>
      <c r="GZP65" s="192"/>
      <c r="GZQ65" s="192"/>
      <c r="GZR65" s="192"/>
      <c r="GZS65" s="192"/>
      <c r="GZT65" s="192"/>
      <c r="GZU65" s="192"/>
      <c r="GZV65" s="192"/>
      <c r="GZW65" s="192"/>
      <c r="GZX65" s="192"/>
      <c r="GZY65" s="192"/>
      <c r="GZZ65" s="192"/>
      <c r="HAA65" s="192"/>
      <c r="HAB65" s="192"/>
      <c r="HAC65" s="192"/>
      <c r="HAD65" s="192"/>
      <c r="HAE65" s="192"/>
      <c r="HAF65" s="192"/>
      <c r="HAG65" s="192"/>
      <c r="HAH65" s="192"/>
      <c r="HAI65" s="192"/>
      <c r="HAJ65" s="192"/>
      <c r="HAK65" s="192"/>
      <c r="HAL65" s="192"/>
      <c r="HAM65" s="192"/>
      <c r="HAN65" s="192"/>
      <c r="HAO65" s="192"/>
      <c r="HAP65" s="192"/>
      <c r="HAQ65" s="192"/>
      <c r="HAR65" s="192"/>
      <c r="HAS65" s="192"/>
      <c r="HAT65" s="192"/>
      <c r="HAU65" s="192"/>
      <c r="HAV65" s="192"/>
      <c r="HAW65" s="192"/>
      <c r="HAX65" s="192"/>
      <c r="HAY65" s="192"/>
      <c r="HAZ65" s="192"/>
      <c r="HBA65" s="192"/>
      <c r="HBB65" s="192"/>
      <c r="HBC65" s="192"/>
      <c r="HBD65" s="192"/>
      <c r="HBE65" s="192"/>
      <c r="HBF65" s="192"/>
      <c r="HBG65" s="192"/>
      <c r="HBH65" s="192"/>
      <c r="HBI65" s="192"/>
      <c r="HBJ65" s="192"/>
      <c r="HBK65" s="192"/>
      <c r="HBL65" s="192"/>
      <c r="HBM65" s="192"/>
      <c r="HBN65" s="192"/>
      <c r="HBO65" s="192"/>
      <c r="HBP65" s="192"/>
      <c r="HBQ65" s="192"/>
      <c r="HBR65" s="192"/>
      <c r="HBS65" s="192"/>
      <c r="HBT65" s="192"/>
      <c r="HBU65" s="192"/>
      <c r="HBV65" s="192"/>
      <c r="HBW65" s="192"/>
      <c r="HBX65" s="192"/>
      <c r="HBY65" s="192"/>
      <c r="HBZ65" s="192"/>
      <c r="HCA65" s="192"/>
      <c r="HCB65" s="192"/>
      <c r="HCC65" s="192"/>
      <c r="HCD65" s="192"/>
      <c r="HCE65" s="192"/>
      <c r="HCF65" s="192"/>
      <c r="HCG65" s="192"/>
      <c r="HCH65" s="192"/>
      <c r="HCI65" s="192"/>
      <c r="HCJ65" s="192"/>
      <c r="HCK65" s="192"/>
      <c r="HCL65" s="192"/>
      <c r="HCM65" s="192"/>
      <c r="HCN65" s="192"/>
      <c r="HCO65" s="192"/>
      <c r="HCP65" s="192"/>
      <c r="HCQ65" s="192"/>
      <c r="HCR65" s="192"/>
      <c r="HCS65" s="192"/>
      <c r="HCT65" s="192"/>
      <c r="HCU65" s="192"/>
      <c r="HCV65" s="192"/>
      <c r="HCW65" s="192"/>
      <c r="HCX65" s="192"/>
      <c r="HCY65" s="192"/>
      <c r="HCZ65" s="192"/>
      <c r="HDA65" s="192"/>
      <c r="HDB65" s="192"/>
      <c r="HDC65" s="192"/>
      <c r="HDD65" s="192"/>
      <c r="HDE65" s="192"/>
      <c r="HDF65" s="192"/>
      <c r="HDG65" s="192"/>
      <c r="HDH65" s="192"/>
      <c r="HDI65" s="192"/>
      <c r="HDJ65" s="192"/>
      <c r="HDK65" s="192"/>
      <c r="HDL65" s="192"/>
      <c r="HDM65" s="192"/>
      <c r="HDN65" s="192"/>
      <c r="HDO65" s="192"/>
      <c r="HDP65" s="192"/>
      <c r="HDQ65" s="192"/>
      <c r="HDR65" s="192"/>
      <c r="HDS65" s="192"/>
      <c r="HDT65" s="192"/>
      <c r="HDU65" s="192"/>
      <c r="HDV65" s="192"/>
      <c r="HDW65" s="192"/>
      <c r="HDX65" s="192"/>
      <c r="HDY65" s="192"/>
      <c r="HDZ65" s="192"/>
      <c r="HEA65" s="192"/>
      <c r="HEB65" s="192"/>
      <c r="HEC65" s="192"/>
      <c r="HED65" s="192"/>
      <c r="HEE65" s="192"/>
      <c r="HEF65" s="192"/>
      <c r="HEG65" s="192"/>
      <c r="HEH65" s="192"/>
      <c r="HEI65" s="192"/>
      <c r="HEJ65" s="192"/>
      <c r="HEK65" s="192"/>
      <c r="HEL65" s="192"/>
      <c r="HEM65" s="192"/>
      <c r="HEN65" s="192"/>
      <c r="HEO65" s="192"/>
      <c r="HEP65" s="192"/>
      <c r="HEQ65" s="192"/>
      <c r="HER65" s="192"/>
      <c r="HES65" s="192"/>
      <c r="HET65" s="192"/>
      <c r="HEU65" s="192"/>
      <c r="HEV65" s="192"/>
      <c r="HEW65" s="192"/>
      <c r="HEX65" s="192"/>
      <c r="HEY65" s="192"/>
      <c r="HEZ65" s="192"/>
      <c r="HFA65" s="192"/>
      <c r="HFB65" s="192"/>
      <c r="HFC65" s="192"/>
      <c r="HFD65" s="192"/>
      <c r="HFE65" s="192"/>
      <c r="HFF65" s="192"/>
      <c r="HFG65" s="192"/>
      <c r="HFH65" s="192"/>
      <c r="HFI65" s="192"/>
      <c r="HFJ65" s="192"/>
      <c r="HFK65" s="192"/>
      <c r="HFL65" s="192"/>
      <c r="HFM65" s="192"/>
      <c r="HFN65" s="192"/>
      <c r="HFO65" s="192"/>
      <c r="HFP65" s="192"/>
      <c r="HFQ65" s="192"/>
      <c r="HFR65" s="192"/>
      <c r="HFS65" s="192"/>
      <c r="HFT65" s="192"/>
      <c r="HFU65" s="192"/>
      <c r="HFV65" s="192"/>
      <c r="HFW65" s="192"/>
      <c r="HFX65" s="192"/>
      <c r="HFY65" s="192"/>
      <c r="HFZ65" s="192"/>
      <c r="HGA65" s="192"/>
      <c r="HGB65" s="192"/>
      <c r="HGC65" s="192"/>
      <c r="HGD65" s="192"/>
      <c r="HGE65" s="192"/>
      <c r="HGF65" s="192"/>
      <c r="HGG65" s="192"/>
      <c r="HGH65" s="192"/>
      <c r="HGI65" s="192"/>
      <c r="HGJ65" s="192"/>
      <c r="HGK65" s="192"/>
      <c r="HGL65" s="192"/>
      <c r="HGM65" s="192"/>
      <c r="HGN65" s="192"/>
      <c r="HGO65" s="192"/>
      <c r="HGP65" s="192"/>
      <c r="HGQ65" s="192"/>
      <c r="HGR65" s="192"/>
      <c r="HGS65" s="192"/>
      <c r="HGT65" s="192"/>
      <c r="HGU65" s="192"/>
      <c r="HGV65" s="192"/>
      <c r="HGW65" s="192"/>
      <c r="HGX65" s="192"/>
      <c r="HGY65" s="192"/>
      <c r="HGZ65" s="192"/>
      <c r="HHA65" s="192"/>
      <c r="HHB65" s="192"/>
      <c r="HHC65" s="192"/>
      <c r="HHD65" s="192"/>
      <c r="HHE65" s="192"/>
      <c r="HHF65" s="192"/>
      <c r="HHG65" s="192"/>
      <c r="HHH65" s="192"/>
      <c r="HHI65" s="192"/>
      <c r="HHJ65" s="192"/>
      <c r="HHK65" s="192"/>
      <c r="HHL65" s="192"/>
      <c r="HHM65" s="192"/>
      <c r="HHN65" s="192"/>
      <c r="HHO65" s="192"/>
      <c r="HHP65" s="192"/>
      <c r="HHQ65" s="192"/>
      <c r="HHR65" s="192"/>
      <c r="HHS65" s="192"/>
      <c r="HHT65" s="192"/>
      <c r="HHU65" s="192"/>
      <c r="HHV65" s="192"/>
      <c r="HHW65" s="192"/>
      <c r="HHX65" s="192"/>
      <c r="HHY65" s="192"/>
      <c r="HHZ65" s="192"/>
      <c r="HIA65" s="192"/>
      <c r="HIB65" s="192"/>
      <c r="HIC65" s="192"/>
      <c r="HID65" s="192"/>
      <c r="HIE65" s="192"/>
      <c r="HIF65" s="192"/>
      <c r="HIG65" s="192"/>
      <c r="HIH65" s="192"/>
      <c r="HII65" s="192"/>
      <c r="HIJ65" s="192"/>
      <c r="HIK65" s="192"/>
      <c r="HIL65" s="192"/>
      <c r="HIM65" s="192"/>
      <c r="HIN65" s="192"/>
      <c r="HIO65" s="192"/>
      <c r="HIP65" s="192"/>
      <c r="HIQ65" s="192"/>
      <c r="HIR65" s="192"/>
      <c r="HIS65" s="192"/>
      <c r="HIT65" s="192"/>
      <c r="HIU65" s="192"/>
      <c r="HIV65" s="192"/>
      <c r="HIW65" s="192"/>
      <c r="HIX65" s="192"/>
      <c r="HIY65" s="192"/>
      <c r="HIZ65" s="192"/>
      <c r="HJA65" s="192"/>
      <c r="HJB65" s="192"/>
      <c r="HJC65" s="192"/>
      <c r="HJD65" s="192"/>
      <c r="HJE65" s="192"/>
      <c r="HJF65" s="192"/>
      <c r="HJG65" s="192"/>
      <c r="HJH65" s="192"/>
      <c r="HJI65" s="192"/>
      <c r="HJJ65" s="192"/>
      <c r="HJK65" s="192"/>
      <c r="HJL65" s="192"/>
      <c r="HJM65" s="192"/>
      <c r="HJN65" s="192"/>
      <c r="HJO65" s="192"/>
      <c r="HJP65" s="192"/>
      <c r="HJQ65" s="192"/>
      <c r="HJR65" s="192"/>
      <c r="HJS65" s="192"/>
      <c r="HJT65" s="192"/>
      <c r="HJU65" s="192"/>
      <c r="HJV65" s="192"/>
      <c r="HJW65" s="192"/>
      <c r="HJX65" s="192"/>
      <c r="HJY65" s="192"/>
      <c r="HJZ65" s="192"/>
      <c r="HKA65" s="192"/>
      <c r="HKB65" s="192"/>
      <c r="HKC65" s="192"/>
      <c r="HKD65" s="192"/>
      <c r="HKE65" s="192"/>
      <c r="HKF65" s="192"/>
      <c r="HKG65" s="192"/>
      <c r="HKH65" s="192"/>
      <c r="HKI65" s="192"/>
      <c r="HKJ65" s="192"/>
      <c r="HKK65" s="192"/>
      <c r="HKL65" s="192"/>
      <c r="HKM65" s="192"/>
      <c r="HKN65" s="192"/>
      <c r="HKO65" s="192"/>
      <c r="HKP65" s="192"/>
      <c r="HKQ65" s="192"/>
      <c r="HKR65" s="192"/>
      <c r="HKS65" s="192"/>
      <c r="HKT65" s="192"/>
      <c r="HKU65" s="192"/>
      <c r="HKV65" s="192"/>
      <c r="HKW65" s="192"/>
      <c r="HKX65" s="192"/>
      <c r="HKY65" s="192"/>
      <c r="HKZ65" s="192"/>
      <c r="HLA65" s="192"/>
      <c r="HLB65" s="192"/>
      <c r="HLC65" s="192"/>
      <c r="HLD65" s="192"/>
      <c r="HLE65" s="192"/>
      <c r="HLF65" s="192"/>
      <c r="HLG65" s="192"/>
      <c r="HLH65" s="192"/>
      <c r="HLI65" s="192"/>
      <c r="HLJ65" s="192"/>
      <c r="HLK65" s="192"/>
      <c r="HLL65" s="192"/>
      <c r="HLM65" s="192"/>
      <c r="HLN65" s="192"/>
      <c r="HLO65" s="192"/>
      <c r="HLP65" s="192"/>
      <c r="HLQ65" s="192"/>
      <c r="HLR65" s="192"/>
      <c r="HLS65" s="192"/>
      <c r="HLT65" s="192"/>
      <c r="HLU65" s="192"/>
      <c r="HLV65" s="192"/>
      <c r="HLW65" s="192"/>
      <c r="HLX65" s="192"/>
      <c r="HLY65" s="192"/>
      <c r="HLZ65" s="192"/>
      <c r="HMA65" s="192"/>
      <c r="HMB65" s="192"/>
      <c r="HMC65" s="192"/>
      <c r="HMD65" s="192"/>
      <c r="HME65" s="192"/>
      <c r="HMF65" s="192"/>
      <c r="HMG65" s="192"/>
      <c r="HMH65" s="192"/>
      <c r="HMI65" s="192"/>
      <c r="HMJ65" s="192"/>
      <c r="HMK65" s="192"/>
      <c r="HML65" s="192"/>
      <c r="HMM65" s="192"/>
      <c r="HMN65" s="192"/>
      <c r="HMO65" s="192"/>
      <c r="HMP65" s="192"/>
      <c r="HMQ65" s="192"/>
      <c r="HMR65" s="192"/>
      <c r="HMS65" s="192"/>
      <c r="HMT65" s="192"/>
      <c r="HMU65" s="192"/>
      <c r="HMV65" s="192"/>
      <c r="HMW65" s="192"/>
      <c r="HMX65" s="192"/>
      <c r="HMY65" s="192"/>
      <c r="HMZ65" s="192"/>
      <c r="HNA65" s="192"/>
      <c r="HNB65" s="192"/>
      <c r="HNC65" s="192"/>
      <c r="HND65" s="192"/>
      <c r="HNE65" s="192"/>
      <c r="HNF65" s="192"/>
      <c r="HNG65" s="192"/>
      <c r="HNH65" s="192"/>
      <c r="HNI65" s="192"/>
      <c r="HNJ65" s="192"/>
      <c r="HNK65" s="192"/>
      <c r="HNL65" s="192"/>
      <c r="HNM65" s="192"/>
      <c r="HNN65" s="192"/>
      <c r="HNO65" s="192"/>
      <c r="HNP65" s="192"/>
      <c r="HNQ65" s="192"/>
      <c r="HNR65" s="192"/>
      <c r="HNS65" s="192"/>
      <c r="HNT65" s="192"/>
      <c r="HNU65" s="192"/>
      <c r="HNV65" s="192"/>
      <c r="HNW65" s="192"/>
      <c r="HNX65" s="192"/>
      <c r="HNY65" s="192"/>
      <c r="HNZ65" s="192"/>
      <c r="HOA65" s="192"/>
      <c r="HOB65" s="192"/>
      <c r="HOC65" s="192"/>
      <c r="HOD65" s="192"/>
      <c r="HOE65" s="192"/>
      <c r="HOF65" s="192"/>
      <c r="HOG65" s="192"/>
      <c r="HOH65" s="192"/>
      <c r="HOI65" s="192"/>
      <c r="HOJ65" s="192"/>
      <c r="HOK65" s="192"/>
      <c r="HOL65" s="192"/>
      <c r="HOM65" s="192"/>
      <c r="HON65" s="192"/>
      <c r="HOO65" s="192"/>
      <c r="HOP65" s="192"/>
      <c r="HOQ65" s="192"/>
      <c r="HOR65" s="192"/>
      <c r="HOS65" s="192"/>
      <c r="HOT65" s="192"/>
      <c r="HOU65" s="192"/>
      <c r="HOV65" s="192"/>
      <c r="HOW65" s="192"/>
      <c r="HOX65" s="192"/>
      <c r="HOY65" s="192"/>
      <c r="HOZ65" s="192"/>
      <c r="HPA65" s="192"/>
      <c r="HPB65" s="192"/>
      <c r="HPC65" s="192"/>
      <c r="HPD65" s="192"/>
      <c r="HPE65" s="192"/>
      <c r="HPF65" s="192"/>
      <c r="HPG65" s="192"/>
      <c r="HPH65" s="192"/>
      <c r="HPI65" s="192"/>
      <c r="HPJ65" s="192"/>
      <c r="HPK65" s="192"/>
      <c r="HPL65" s="192"/>
      <c r="HPM65" s="192"/>
      <c r="HPN65" s="192"/>
      <c r="HPO65" s="192"/>
      <c r="HPP65" s="192"/>
      <c r="HPQ65" s="192"/>
      <c r="HPR65" s="192"/>
      <c r="HPS65" s="192"/>
      <c r="HPT65" s="192"/>
      <c r="HPU65" s="192"/>
      <c r="HPV65" s="192"/>
      <c r="HPW65" s="192"/>
      <c r="HPX65" s="192"/>
      <c r="HPY65" s="192"/>
      <c r="HPZ65" s="192"/>
      <c r="HQA65" s="192"/>
      <c r="HQB65" s="192"/>
      <c r="HQC65" s="192"/>
      <c r="HQD65" s="192"/>
      <c r="HQE65" s="192"/>
      <c r="HQF65" s="192"/>
      <c r="HQG65" s="192"/>
      <c r="HQH65" s="192"/>
      <c r="HQI65" s="192"/>
      <c r="HQJ65" s="192"/>
      <c r="HQK65" s="192"/>
      <c r="HQL65" s="192"/>
      <c r="HQM65" s="192"/>
      <c r="HQN65" s="192"/>
      <c r="HQO65" s="192"/>
      <c r="HQP65" s="192"/>
      <c r="HQQ65" s="192"/>
      <c r="HQR65" s="192"/>
      <c r="HQS65" s="192"/>
      <c r="HQT65" s="192"/>
      <c r="HQU65" s="192"/>
      <c r="HQV65" s="192"/>
      <c r="HQW65" s="192"/>
      <c r="HQX65" s="192"/>
      <c r="HQY65" s="192"/>
      <c r="HQZ65" s="192"/>
      <c r="HRA65" s="192"/>
      <c r="HRB65" s="192"/>
      <c r="HRC65" s="192"/>
      <c r="HRD65" s="192"/>
      <c r="HRE65" s="192"/>
      <c r="HRF65" s="192"/>
      <c r="HRG65" s="192"/>
      <c r="HRH65" s="192"/>
      <c r="HRI65" s="192"/>
      <c r="HRJ65" s="192"/>
      <c r="HRK65" s="192"/>
      <c r="HRL65" s="192"/>
      <c r="HRM65" s="192"/>
      <c r="HRN65" s="192"/>
      <c r="HRO65" s="192"/>
      <c r="HRP65" s="192"/>
      <c r="HRQ65" s="192"/>
      <c r="HRR65" s="192"/>
      <c r="HRS65" s="192"/>
      <c r="HRT65" s="192"/>
      <c r="HRU65" s="192"/>
      <c r="HRV65" s="192"/>
      <c r="HRW65" s="192"/>
      <c r="HRX65" s="192"/>
      <c r="HRY65" s="192"/>
      <c r="HRZ65" s="192"/>
      <c r="HSA65" s="192"/>
      <c r="HSB65" s="192"/>
      <c r="HSC65" s="192"/>
      <c r="HSD65" s="192"/>
      <c r="HSE65" s="192"/>
      <c r="HSF65" s="192"/>
      <c r="HSG65" s="192"/>
      <c r="HSH65" s="192"/>
      <c r="HSI65" s="192"/>
      <c r="HSJ65" s="192"/>
      <c r="HSK65" s="192"/>
      <c r="HSL65" s="192"/>
      <c r="HSM65" s="192"/>
      <c r="HSN65" s="192"/>
      <c r="HSO65" s="192"/>
      <c r="HSP65" s="192"/>
      <c r="HSQ65" s="192"/>
      <c r="HSR65" s="192"/>
      <c r="HSS65" s="192"/>
      <c r="HST65" s="192"/>
      <c r="HSU65" s="192"/>
      <c r="HSV65" s="192"/>
      <c r="HSW65" s="192"/>
      <c r="HSX65" s="192"/>
      <c r="HSY65" s="192"/>
      <c r="HSZ65" s="192"/>
      <c r="HTA65" s="192"/>
      <c r="HTB65" s="192"/>
      <c r="HTC65" s="192"/>
      <c r="HTD65" s="192"/>
      <c r="HTE65" s="192"/>
      <c r="HTF65" s="192"/>
      <c r="HTG65" s="192"/>
      <c r="HTH65" s="192"/>
      <c r="HTI65" s="192"/>
      <c r="HTJ65" s="192"/>
      <c r="HTK65" s="192"/>
      <c r="HTL65" s="192"/>
      <c r="HTM65" s="192"/>
      <c r="HTN65" s="192"/>
      <c r="HTO65" s="192"/>
      <c r="HTP65" s="192"/>
      <c r="HTQ65" s="192"/>
      <c r="HTR65" s="192"/>
      <c r="HTS65" s="192"/>
      <c r="HTT65" s="192"/>
      <c r="HTU65" s="192"/>
      <c r="HTV65" s="192"/>
      <c r="HTW65" s="192"/>
      <c r="HTX65" s="192"/>
      <c r="HTY65" s="192"/>
      <c r="HTZ65" s="192"/>
      <c r="HUA65" s="192"/>
      <c r="HUB65" s="192"/>
      <c r="HUC65" s="192"/>
      <c r="HUD65" s="192"/>
      <c r="HUE65" s="192"/>
      <c r="HUF65" s="192"/>
      <c r="HUG65" s="192"/>
      <c r="HUH65" s="192"/>
      <c r="HUI65" s="192"/>
      <c r="HUJ65" s="192"/>
      <c r="HUK65" s="192"/>
      <c r="HUL65" s="192"/>
      <c r="HUM65" s="192"/>
      <c r="HUN65" s="192"/>
      <c r="HUO65" s="192"/>
      <c r="HUP65" s="192"/>
      <c r="HUQ65" s="192"/>
      <c r="HUR65" s="192"/>
      <c r="HUS65" s="192"/>
      <c r="HUT65" s="192"/>
      <c r="HUU65" s="192"/>
      <c r="HUV65" s="192"/>
      <c r="HUW65" s="192"/>
      <c r="HUX65" s="192"/>
      <c r="HUY65" s="192"/>
      <c r="HUZ65" s="192"/>
      <c r="HVA65" s="192"/>
      <c r="HVB65" s="192"/>
      <c r="HVC65" s="192"/>
      <c r="HVD65" s="192"/>
      <c r="HVE65" s="192"/>
      <c r="HVF65" s="192"/>
      <c r="HVG65" s="192"/>
      <c r="HVH65" s="192"/>
      <c r="HVI65" s="192"/>
      <c r="HVJ65" s="192"/>
      <c r="HVK65" s="192"/>
      <c r="HVL65" s="192"/>
      <c r="HVM65" s="192"/>
      <c r="HVN65" s="192"/>
      <c r="HVO65" s="192"/>
      <c r="HVP65" s="192"/>
      <c r="HVQ65" s="192"/>
      <c r="HVR65" s="192"/>
      <c r="HVS65" s="192"/>
      <c r="HVT65" s="192"/>
      <c r="HVU65" s="192"/>
      <c r="HVV65" s="192"/>
      <c r="HVW65" s="192"/>
      <c r="HVX65" s="192"/>
      <c r="HVY65" s="192"/>
      <c r="HVZ65" s="192"/>
      <c r="HWA65" s="192"/>
      <c r="HWB65" s="192"/>
      <c r="HWC65" s="192"/>
      <c r="HWD65" s="192"/>
      <c r="HWE65" s="192"/>
      <c r="HWF65" s="192"/>
      <c r="HWG65" s="192"/>
      <c r="HWH65" s="192"/>
      <c r="HWI65" s="192"/>
      <c r="HWJ65" s="192"/>
      <c r="HWK65" s="192"/>
      <c r="HWL65" s="192"/>
      <c r="HWM65" s="192"/>
      <c r="HWN65" s="192"/>
      <c r="HWO65" s="192"/>
      <c r="HWP65" s="192"/>
      <c r="HWQ65" s="192"/>
      <c r="HWR65" s="192"/>
      <c r="HWS65" s="192"/>
      <c r="HWT65" s="192"/>
      <c r="HWU65" s="192"/>
      <c r="HWV65" s="192"/>
      <c r="HWW65" s="192"/>
      <c r="HWX65" s="192"/>
      <c r="HWY65" s="192"/>
      <c r="HWZ65" s="192"/>
      <c r="HXA65" s="192"/>
      <c r="HXB65" s="192"/>
      <c r="HXC65" s="192"/>
      <c r="HXD65" s="192"/>
      <c r="HXE65" s="192"/>
      <c r="HXF65" s="192"/>
      <c r="HXG65" s="192"/>
      <c r="HXH65" s="192"/>
      <c r="HXI65" s="192"/>
      <c r="HXJ65" s="192"/>
      <c r="HXK65" s="192"/>
      <c r="HXL65" s="192"/>
      <c r="HXM65" s="192"/>
      <c r="HXN65" s="192"/>
      <c r="HXO65" s="192"/>
      <c r="HXP65" s="192"/>
      <c r="HXQ65" s="192"/>
      <c r="HXR65" s="192"/>
      <c r="HXS65" s="192"/>
      <c r="HXT65" s="192"/>
      <c r="HXU65" s="192"/>
      <c r="HXV65" s="192"/>
      <c r="HXW65" s="192"/>
      <c r="HXX65" s="192"/>
      <c r="HXY65" s="192"/>
      <c r="HXZ65" s="192"/>
      <c r="HYA65" s="192"/>
      <c r="HYB65" s="192"/>
      <c r="HYC65" s="192"/>
      <c r="HYD65" s="192"/>
      <c r="HYE65" s="192"/>
      <c r="HYF65" s="192"/>
      <c r="HYG65" s="192"/>
      <c r="HYH65" s="192"/>
      <c r="HYI65" s="192"/>
      <c r="HYJ65" s="192"/>
      <c r="HYK65" s="192"/>
      <c r="HYL65" s="192"/>
      <c r="HYM65" s="192"/>
      <c r="HYN65" s="192"/>
      <c r="HYO65" s="192"/>
      <c r="HYP65" s="192"/>
      <c r="HYQ65" s="192"/>
      <c r="HYR65" s="192"/>
      <c r="HYS65" s="192"/>
      <c r="HYT65" s="192"/>
      <c r="HYU65" s="192"/>
      <c r="HYV65" s="192"/>
      <c r="HYW65" s="192"/>
      <c r="HYX65" s="192"/>
      <c r="HYY65" s="192"/>
      <c r="HYZ65" s="192"/>
      <c r="HZA65" s="192"/>
      <c r="HZB65" s="192"/>
      <c r="HZC65" s="192"/>
      <c r="HZD65" s="192"/>
      <c r="HZE65" s="192"/>
      <c r="HZF65" s="192"/>
      <c r="HZG65" s="192"/>
      <c r="HZH65" s="192"/>
      <c r="HZI65" s="192"/>
      <c r="HZJ65" s="192"/>
      <c r="HZK65" s="192"/>
      <c r="HZL65" s="192"/>
      <c r="HZM65" s="192"/>
      <c r="HZN65" s="192"/>
      <c r="HZO65" s="192"/>
      <c r="HZP65" s="192"/>
      <c r="HZQ65" s="192"/>
      <c r="HZR65" s="192"/>
      <c r="HZS65" s="192"/>
      <c r="HZT65" s="192"/>
      <c r="HZU65" s="192"/>
      <c r="HZV65" s="192"/>
      <c r="HZW65" s="192"/>
      <c r="HZX65" s="192"/>
      <c r="HZY65" s="192"/>
      <c r="HZZ65" s="192"/>
      <c r="IAA65" s="192"/>
      <c r="IAB65" s="192"/>
      <c r="IAC65" s="192"/>
      <c r="IAD65" s="192"/>
      <c r="IAE65" s="192"/>
      <c r="IAF65" s="192"/>
      <c r="IAG65" s="192"/>
      <c r="IAH65" s="192"/>
      <c r="IAI65" s="192"/>
      <c r="IAJ65" s="192"/>
      <c r="IAK65" s="192"/>
      <c r="IAL65" s="192"/>
      <c r="IAM65" s="192"/>
      <c r="IAN65" s="192"/>
      <c r="IAO65" s="192"/>
      <c r="IAP65" s="192"/>
      <c r="IAQ65" s="192"/>
      <c r="IAR65" s="192"/>
      <c r="IAS65" s="192"/>
      <c r="IAT65" s="192"/>
      <c r="IAU65" s="192"/>
      <c r="IAV65" s="192"/>
      <c r="IAW65" s="192"/>
      <c r="IAX65" s="192"/>
      <c r="IAY65" s="192"/>
      <c r="IAZ65" s="192"/>
      <c r="IBA65" s="192"/>
      <c r="IBB65" s="192"/>
      <c r="IBC65" s="192"/>
      <c r="IBD65" s="192"/>
      <c r="IBE65" s="192"/>
      <c r="IBF65" s="192"/>
      <c r="IBG65" s="192"/>
      <c r="IBH65" s="192"/>
      <c r="IBI65" s="192"/>
      <c r="IBJ65" s="192"/>
      <c r="IBK65" s="192"/>
      <c r="IBL65" s="192"/>
      <c r="IBM65" s="192"/>
      <c r="IBN65" s="192"/>
      <c r="IBO65" s="192"/>
      <c r="IBP65" s="192"/>
      <c r="IBQ65" s="192"/>
      <c r="IBR65" s="192"/>
      <c r="IBS65" s="192"/>
      <c r="IBT65" s="192"/>
      <c r="IBU65" s="192"/>
      <c r="IBV65" s="192"/>
      <c r="IBW65" s="192"/>
      <c r="IBX65" s="192"/>
      <c r="IBY65" s="192"/>
      <c r="IBZ65" s="192"/>
      <c r="ICA65" s="192"/>
      <c r="ICB65" s="192"/>
      <c r="ICC65" s="192"/>
      <c r="ICD65" s="192"/>
      <c r="ICE65" s="192"/>
      <c r="ICF65" s="192"/>
      <c r="ICG65" s="192"/>
      <c r="ICH65" s="192"/>
      <c r="ICI65" s="192"/>
      <c r="ICJ65" s="192"/>
      <c r="ICK65" s="192"/>
      <c r="ICL65" s="192"/>
      <c r="ICM65" s="192"/>
      <c r="ICN65" s="192"/>
      <c r="ICO65" s="192"/>
      <c r="ICP65" s="192"/>
      <c r="ICQ65" s="192"/>
      <c r="ICR65" s="192"/>
      <c r="ICS65" s="192"/>
      <c r="ICT65" s="192"/>
      <c r="ICU65" s="192"/>
      <c r="ICV65" s="192"/>
      <c r="ICW65" s="192"/>
      <c r="ICX65" s="192"/>
      <c r="ICY65" s="192"/>
      <c r="ICZ65" s="192"/>
      <c r="IDA65" s="192"/>
      <c r="IDB65" s="192"/>
      <c r="IDC65" s="192"/>
      <c r="IDD65" s="192"/>
      <c r="IDE65" s="192"/>
      <c r="IDF65" s="192"/>
      <c r="IDG65" s="192"/>
      <c r="IDH65" s="192"/>
      <c r="IDI65" s="192"/>
      <c r="IDJ65" s="192"/>
      <c r="IDK65" s="192"/>
      <c r="IDL65" s="192"/>
      <c r="IDM65" s="192"/>
      <c r="IDN65" s="192"/>
      <c r="IDO65" s="192"/>
      <c r="IDP65" s="192"/>
      <c r="IDQ65" s="192"/>
      <c r="IDR65" s="192"/>
      <c r="IDS65" s="192"/>
      <c r="IDT65" s="192"/>
      <c r="IDU65" s="192"/>
      <c r="IDV65" s="192"/>
      <c r="IDW65" s="192"/>
      <c r="IDX65" s="192"/>
      <c r="IDY65" s="192"/>
      <c r="IDZ65" s="192"/>
      <c r="IEA65" s="192"/>
      <c r="IEB65" s="192"/>
      <c r="IEC65" s="192"/>
      <c r="IED65" s="192"/>
      <c r="IEE65" s="192"/>
      <c r="IEF65" s="192"/>
      <c r="IEG65" s="192"/>
      <c r="IEH65" s="192"/>
      <c r="IEI65" s="192"/>
      <c r="IEJ65" s="192"/>
      <c r="IEK65" s="192"/>
      <c r="IEL65" s="192"/>
      <c r="IEM65" s="192"/>
      <c r="IEN65" s="192"/>
      <c r="IEO65" s="192"/>
      <c r="IEP65" s="192"/>
      <c r="IEQ65" s="192"/>
      <c r="IER65" s="192"/>
      <c r="IES65" s="192"/>
      <c r="IET65" s="192"/>
      <c r="IEU65" s="192"/>
      <c r="IEV65" s="192"/>
      <c r="IEW65" s="192"/>
      <c r="IEX65" s="192"/>
      <c r="IEY65" s="192"/>
      <c r="IEZ65" s="192"/>
      <c r="IFA65" s="192"/>
      <c r="IFB65" s="192"/>
      <c r="IFC65" s="192"/>
      <c r="IFD65" s="192"/>
      <c r="IFE65" s="192"/>
      <c r="IFF65" s="192"/>
      <c r="IFG65" s="192"/>
      <c r="IFH65" s="192"/>
      <c r="IFI65" s="192"/>
      <c r="IFJ65" s="192"/>
      <c r="IFK65" s="192"/>
      <c r="IFL65" s="192"/>
      <c r="IFM65" s="192"/>
      <c r="IFN65" s="192"/>
      <c r="IFO65" s="192"/>
      <c r="IFP65" s="192"/>
      <c r="IFQ65" s="192"/>
      <c r="IFR65" s="192"/>
      <c r="IFS65" s="192"/>
      <c r="IFT65" s="192"/>
      <c r="IFU65" s="192"/>
      <c r="IFV65" s="192"/>
      <c r="IFW65" s="192"/>
      <c r="IFX65" s="192"/>
      <c r="IFY65" s="192"/>
      <c r="IFZ65" s="192"/>
      <c r="IGA65" s="192"/>
      <c r="IGB65" s="192"/>
      <c r="IGC65" s="192"/>
      <c r="IGD65" s="192"/>
      <c r="IGE65" s="192"/>
      <c r="IGF65" s="192"/>
      <c r="IGG65" s="192"/>
      <c r="IGH65" s="192"/>
      <c r="IGI65" s="192"/>
      <c r="IGJ65" s="192"/>
      <c r="IGK65" s="192"/>
      <c r="IGL65" s="192"/>
      <c r="IGM65" s="192"/>
      <c r="IGN65" s="192"/>
      <c r="IGO65" s="192"/>
      <c r="IGP65" s="192"/>
      <c r="IGQ65" s="192"/>
      <c r="IGR65" s="192"/>
      <c r="IGS65" s="192"/>
      <c r="IGT65" s="192"/>
      <c r="IGU65" s="192"/>
      <c r="IGV65" s="192"/>
      <c r="IGW65" s="192"/>
      <c r="IGX65" s="192"/>
      <c r="IGY65" s="192"/>
      <c r="IGZ65" s="192"/>
      <c r="IHA65" s="192"/>
      <c r="IHB65" s="192"/>
      <c r="IHC65" s="192"/>
      <c r="IHD65" s="192"/>
      <c r="IHE65" s="192"/>
      <c r="IHF65" s="192"/>
      <c r="IHG65" s="192"/>
      <c r="IHH65" s="192"/>
      <c r="IHI65" s="192"/>
      <c r="IHJ65" s="192"/>
      <c r="IHK65" s="192"/>
      <c r="IHL65" s="192"/>
      <c r="IHM65" s="192"/>
      <c r="IHN65" s="192"/>
      <c r="IHO65" s="192"/>
      <c r="IHP65" s="192"/>
      <c r="IHQ65" s="192"/>
      <c r="IHR65" s="192"/>
      <c r="IHS65" s="192"/>
      <c r="IHT65" s="192"/>
      <c r="IHU65" s="192"/>
      <c r="IHV65" s="192"/>
      <c r="IHW65" s="192"/>
      <c r="IHX65" s="192"/>
      <c r="IHY65" s="192"/>
      <c r="IHZ65" s="192"/>
      <c r="IIA65" s="192"/>
      <c r="IIB65" s="192"/>
      <c r="IIC65" s="192"/>
      <c r="IID65" s="192"/>
      <c r="IIE65" s="192"/>
      <c r="IIF65" s="192"/>
      <c r="IIG65" s="192"/>
      <c r="IIH65" s="192"/>
      <c r="III65" s="192"/>
      <c r="IIJ65" s="192"/>
      <c r="IIK65" s="192"/>
      <c r="IIL65" s="192"/>
      <c r="IIM65" s="192"/>
      <c r="IIN65" s="192"/>
      <c r="IIO65" s="192"/>
      <c r="IIP65" s="192"/>
      <c r="IIQ65" s="192"/>
      <c r="IIR65" s="192"/>
      <c r="IIS65" s="192"/>
      <c r="IIT65" s="192"/>
      <c r="IIU65" s="192"/>
      <c r="IIV65" s="192"/>
      <c r="IIW65" s="192"/>
      <c r="IIX65" s="192"/>
      <c r="IIY65" s="192"/>
      <c r="IIZ65" s="192"/>
      <c r="IJA65" s="192"/>
      <c r="IJB65" s="192"/>
      <c r="IJC65" s="192"/>
      <c r="IJD65" s="192"/>
      <c r="IJE65" s="192"/>
      <c r="IJF65" s="192"/>
      <c r="IJG65" s="192"/>
      <c r="IJH65" s="192"/>
      <c r="IJI65" s="192"/>
      <c r="IJJ65" s="192"/>
      <c r="IJK65" s="192"/>
      <c r="IJL65" s="192"/>
      <c r="IJM65" s="192"/>
      <c r="IJN65" s="192"/>
      <c r="IJO65" s="192"/>
      <c r="IJP65" s="192"/>
      <c r="IJQ65" s="192"/>
      <c r="IJR65" s="192"/>
      <c r="IJS65" s="192"/>
      <c r="IJT65" s="192"/>
      <c r="IJU65" s="192"/>
      <c r="IJV65" s="192"/>
      <c r="IJW65" s="192"/>
      <c r="IJX65" s="192"/>
      <c r="IJY65" s="192"/>
      <c r="IJZ65" s="192"/>
      <c r="IKA65" s="192"/>
      <c r="IKB65" s="192"/>
      <c r="IKC65" s="192"/>
      <c r="IKD65" s="192"/>
      <c r="IKE65" s="192"/>
      <c r="IKF65" s="192"/>
      <c r="IKG65" s="192"/>
      <c r="IKH65" s="192"/>
      <c r="IKI65" s="192"/>
      <c r="IKJ65" s="192"/>
      <c r="IKK65" s="192"/>
      <c r="IKL65" s="192"/>
      <c r="IKM65" s="192"/>
      <c r="IKN65" s="192"/>
      <c r="IKO65" s="192"/>
      <c r="IKP65" s="192"/>
      <c r="IKQ65" s="192"/>
      <c r="IKR65" s="192"/>
      <c r="IKS65" s="192"/>
      <c r="IKT65" s="192"/>
      <c r="IKU65" s="192"/>
      <c r="IKV65" s="192"/>
      <c r="IKW65" s="192"/>
      <c r="IKX65" s="192"/>
      <c r="IKY65" s="192"/>
      <c r="IKZ65" s="192"/>
      <c r="ILA65" s="192"/>
      <c r="ILB65" s="192"/>
      <c r="ILC65" s="192"/>
      <c r="ILD65" s="192"/>
      <c r="ILE65" s="192"/>
      <c r="ILF65" s="192"/>
      <c r="ILG65" s="192"/>
      <c r="ILH65" s="192"/>
      <c r="ILI65" s="192"/>
      <c r="ILJ65" s="192"/>
      <c r="ILK65" s="192"/>
      <c r="ILL65" s="192"/>
      <c r="ILM65" s="192"/>
      <c r="ILN65" s="192"/>
      <c r="ILO65" s="192"/>
      <c r="ILP65" s="192"/>
      <c r="ILQ65" s="192"/>
      <c r="ILR65" s="192"/>
      <c r="ILS65" s="192"/>
      <c r="ILT65" s="192"/>
      <c r="ILU65" s="192"/>
      <c r="ILV65" s="192"/>
      <c r="ILW65" s="192"/>
      <c r="ILX65" s="192"/>
      <c r="ILY65" s="192"/>
      <c r="ILZ65" s="192"/>
      <c r="IMA65" s="192"/>
      <c r="IMB65" s="192"/>
      <c r="IMC65" s="192"/>
      <c r="IMD65" s="192"/>
      <c r="IME65" s="192"/>
      <c r="IMF65" s="192"/>
      <c r="IMG65" s="192"/>
      <c r="IMH65" s="192"/>
      <c r="IMI65" s="192"/>
      <c r="IMJ65" s="192"/>
      <c r="IMK65" s="192"/>
      <c r="IML65" s="192"/>
      <c r="IMM65" s="192"/>
      <c r="IMN65" s="192"/>
      <c r="IMO65" s="192"/>
      <c r="IMP65" s="192"/>
      <c r="IMQ65" s="192"/>
      <c r="IMR65" s="192"/>
      <c r="IMS65" s="192"/>
      <c r="IMT65" s="192"/>
      <c r="IMU65" s="192"/>
      <c r="IMV65" s="192"/>
      <c r="IMW65" s="192"/>
      <c r="IMX65" s="192"/>
      <c r="IMY65" s="192"/>
      <c r="IMZ65" s="192"/>
      <c r="INA65" s="192"/>
      <c r="INB65" s="192"/>
      <c r="INC65" s="192"/>
      <c r="IND65" s="192"/>
      <c r="INE65" s="192"/>
      <c r="INF65" s="192"/>
      <c r="ING65" s="192"/>
      <c r="INH65" s="192"/>
      <c r="INI65" s="192"/>
      <c r="INJ65" s="192"/>
      <c r="INK65" s="192"/>
      <c r="INL65" s="192"/>
      <c r="INM65" s="192"/>
      <c r="INN65" s="192"/>
      <c r="INO65" s="192"/>
      <c r="INP65" s="192"/>
      <c r="INQ65" s="192"/>
      <c r="INR65" s="192"/>
      <c r="INS65" s="192"/>
      <c r="INT65" s="192"/>
      <c r="INU65" s="192"/>
      <c r="INV65" s="192"/>
      <c r="INW65" s="192"/>
      <c r="INX65" s="192"/>
      <c r="INY65" s="192"/>
      <c r="INZ65" s="192"/>
      <c r="IOA65" s="192"/>
      <c r="IOB65" s="192"/>
      <c r="IOC65" s="192"/>
      <c r="IOD65" s="192"/>
      <c r="IOE65" s="192"/>
      <c r="IOF65" s="192"/>
      <c r="IOG65" s="192"/>
      <c r="IOH65" s="192"/>
      <c r="IOI65" s="192"/>
      <c r="IOJ65" s="192"/>
      <c r="IOK65" s="192"/>
      <c r="IOL65" s="192"/>
      <c r="IOM65" s="192"/>
      <c r="ION65" s="192"/>
      <c r="IOO65" s="192"/>
      <c r="IOP65" s="192"/>
      <c r="IOQ65" s="192"/>
      <c r="IOR65" s="192"/>
      <c r="IOS65" s="192"/>
      <c r="IOT65" s="192"/>
      <c r="IOU65" s="192"/>
      <c r="IOV65" s="192"/>
      <c r="IOW65" s="192"/>
      <c r="IOX65" s="192"/>
      <c r="IOY65" s="192"/>
      <c r="IOZ65" s="192"/>
      <c r="IPA65" s="192"/>
      <c r="IPB65" s="192"/>
      <c r="IPC65" s="192"/>
      <c r="IPD65" s="192"/>
      <c r="IPE65" s="192"/>
      <c r="IPF65" s="192"/>
      <c r="IPG65" s="192"/>
      <c r="IPH65" s="192"/>
      <c r="IPI65" s="192"/>
      <c r="IPJ65" s="192"/>
      <c r="IPK65" s="192"/>
      <c r="IPL65" s="192"/>
      <c r="IPM65" s="192"/>
      <c r="IPN65" s="192"/>
      <c r="IPO65" s="192"/>
      <c r="IPP65" s="192"/>
      <c r="IPQ65" s="192"/>
      <c r="IPR65" s="192"/>
      <c r="IPS65" s="192"/>
      <c r="IPT65" s="192"/>
      <c r="IPU65" s="192"/>
      <c r="IPV65" s="192"/>
      <c r="IPW65" s="192"/>
      <c r="IPX65" s="192"/>
      <c r="IPY65" s="192"/>
      <c r="IPZ65" s="192"/>
      <c r="IQA65" s="192"/>
      <c r="IQB65" s="192"/>
      <c r="IQC65" s="192"/>
      <c r="IQD65" s="192"/>
      <c r="IQE65" s="192"/>
      <c r="IQF65" s="192"/>
      <c r="IQG65" s="192"/>
      <c r="IQH65" s="192"/>
      <c r="IQI65" s="192"/>
      <c r="IQJ65" s="192"/>
      <c r="IQK65" s="192"/>
      <c r="IQL65" s="192"/>
      <c r="IQM65" s="192"/>
      <c r="IQN65" s="192"/>
      <c r="IQO65" s="192"/>
      <c r="IQP65" s="192"/>
      <c r="IQQ65" s="192"/>
      <c r="IQR65" s="192"/>
      <c r="IQS65" s="192"/>
      <c r="IQT65" s="192"/>
      <c r="IQU65" s="192"/>
      <c r="IQV65" s="192"/>
      <c r="IQW65" s="192"/>
      <c r="IQX65" s="192"/>
      <c r="IQY65" s="192"/>
      <c r="IQZ65" s="192"/>
      <c r="IRA65" s="192"/>
      <c r="IRB65" s="192"/>
      <c r="IRC65" s="192"/>
      <c r="IRD65" s="192"/>
      <c r="IRE65" s="192"/>
      <c r="IRF65" s="192"/>
      <c r="IRG65" s="192"/>
      <c r="IRH65" s="192"/>
      <c r="IRI65" s="192"/>
      <c r="IRJ65" s="192"/>
      <c r="IRK65" s="192"/>
      <c r="IRL65" s="192"/>
      <c r="IRM65" s="192"/>
      <c r="IRN65" s="192"/>
      <c r="IRO65" s="192"/>
      <c r="IRP65" s="192"/>
      <c r="IRQ65" s="192"/>
      <c r="IRR65" s="192"/>
      <c r="IRS65" s="192"/>
      <c r="IRT65" s="192"/>
      <c r="IRU65" s="192"/>
      <c r="IRV65" s="192"/>
      <c r="IRW65" s="192"/>
      <c r="IRX65" s="192"/>
      <c r="IRY65" s="192"/>
      <c r="IRZ65" s="192"/>
      <c r="ISA65" s="192"/>
      <c r="ISB65" s="192"/>
      <c r="ISC65" s="192"/>
      <c r="ISD65" s="192"/>
      <c r="ISE65" s="192"/>
      <c r="ISF65" s="192"/>
      <c r="ISG65" s="192"/>
      <c r="ISH65" s="192"/>
      <c r="ISI65" s="192"/>
      <c r="ISJ65" s="192"/>
      <c r="ISK65" s="192"/>
      <c r="ISL65" s="192"/>
      <c r="ISM65" s="192"/>
      <c r="ISN65" s="192"/>
      <c r="ISO65" s="192"/>
      <c r="ISP65" s="192"/>
      <c r="ISQ65" s="192"/>
      <c r="ISR65" s="192"/>
      <c r="ISS65" s="192"/>
      <c r="IST65" s="192"/>
      <c r="ISU65" s="192"/>
      <c r="ISV65" s="192"/>
      <c r="ISW65" s="192"/>
      <c r="ISX65" s="192"/>
      <c r="ISY65" s="192"/>
      <c r="ISZ65" s="192"/>
      <c r="ITA65" s="192"/>
      <c r="ITB65" s="192"/>
      <c r="ITC65" s="192"/>
      <c r="ITD65" s="192"/>
      <c r="ITE65" s="192"/>
      <c r="ITF65" s="192"/>
      <c r="ITG65" s="192"/>
      <c r="ITH65" s="192"/>
      <c r="ITI65" s="192"/>
      <c r="ITJ65" s="192"/>
      <c r="ITK65" s="192"/>
      <c r="ITL65" s="192"/>
      <c r="ITM65" s="192"/>
      <c r="ITN65" s="192"/>
      <c r="ITO65" s="192"/>
      <c r="ITP65" s="192"/>
      <c r="ITQ65" s="192"/>
      <c r="ITR65" s="192"/>
      <c r="ITS65" s="192"/>
      <c r="ITT65" s="192"/>
      <c r="ITU65" s="192"/>
      <c r="ITV65" s="192"/>
      <c r="ITW65" s="192"/>
      <c r="ITX65" s="192"/>
      <c r="ITY65" s="192"/>
      <c r="ITZ65" s="192"/>
      <c r="IUA65" s="192"/>
      <c r="IUB65" s="192"/>
      <c r="IUC65" s="192"/>
      <c r="IUD65" s="192"/>
      <c r="IUE65" s="192"/>
      <c r="IUF65" s="192"/>
      <c r="IUG65" s="192"/>
      <c r="IUH65" s="192"/>
      <c r="IUI65" s="192"/>
      <c r="IUJ65" s="192"/>
      <c r="IUK65" s="192"/>
      <c r="IUL65" s="192"/>
      <c r="IUM65" s="192"/>
      <c r="IUN65" s="192"/>
      <c r="IUO65" s="192"/>
      <c r="IUP65" s="192"/>
      <c r="IUQ65" s="192"/>
      <c r="IUR65" s="192"/>
      <c r="IUS65" s="192"/>
      <c r="IUT65" s="192"/>
      <c r="IUU65" s="192"/>
      <c r="IUV65" s="192"/>
      <c r="IUW65" s="192"/>
      <c r="IUX65" s="192"/>
      <c r="IUY65" s="192"/>
      <c r="IUZ65" s="192"/>
      <c r="IVA65" s="192"/>
      <c r="IVB65" s="192"/>
      <c r="IVC65" s="192"/>
      <c r="IVD65" s="192"/>
      <c r="IVE65" s="192"/>
      <c r="IVF65" s="192"/>
      <c r="IVG65" s="192"/>
      <c r="IVH65" s="192"/>
      <c r="IVI65" s="192"/>
      <c r="IVJ65" s="192"/>
      <c r="IVK65" s="192"/>
      <c r="IVL65" s="192"/>
      <c r="IVM65" s="192"/>
      <c r="IVN65" s="192"/>
      <c r="IVO65" s="192"/>
      <c r="IVP65" s="192"/>
      <c r="IVQ65" s="192"/>
      <c r="IVR65" s="192"/>
      <c r="IVS65" s="192"/>
      <c r="IVT65" s="192"/>
      <c r="IVU65" s="192"/>
      <c r="IVV65" s="192"/>
      <c r="IVW65" s="192"/>
      <c r="IVX65" s="192"/>
      <c r="IVY65" s="192"/>
      <c r="IVZ65" s="192"/>
      <c r="IWA65" s="192"/>
      <c r="IWB65" s="192"/>
      <c r="IWC65" s="192"/>
      <c r="IWD65" s="192"/>
      <c r="IWE65" s="192"/>
      <c r="IWF65" s="192"/>
      <c r="IWG65" s="192"/>
      <c r="IWH65" s="192"/>
      <c r="IWI65" s="192"/>
      <c r="IWJ65" s="192"/>
      <c r="IWK65" s="192"/>
      <c r="IWL65" s="192"/>
      <c r="IWM65" s="192"/>
      <c r="IWN65" s="192"/>
      <c r="IWO65" s="192"/>
      <c r="IWP65" s="192"/>
      <c r="IWQ65" s="192"/>
      <c r="IWR65" s="192"/>
      <c r="IWS65" s="192"/>
      <c r="IWT65" s="192"/>
      <c r="IWU65" s="192"/>
      <c r="IWV65" s="192"/>
      <c r="IWW65" s="192"/>
      <c r="IWX65" s="192"/>
      <c r="IWY65" s="192"/>
      <c r="IWZ65" s="192"/>
      <c r="IXA65" s="192"/>
      <c r="IXB65" s="192"/>
      <c r="IXC65" s="192"/>
      <c r="IXD65" s="192"/>
      <c r="IXE65" s="192"/>
      <c r="IXF65" s="192"/>
      <c r="IXG65" s="192"/>
      <c r="IXH65" s="192"/>
      <c r="IXI65" s="192"/>
      <c r="IXJ65" s="192"/>
      <c r="IXK65" s="192"/>
      <c r="IXL65" s="192"/>
      <c r="IXM65" s="192"/>
      <c r="IXN65" s="192"/>
      <c r="IXO65" s="192"/>
      <c r="IXP65" s="192"/>
      <c r="IXQ65" s="192"/>
      <c r="IXR65" s="192"/>
      <c r="IXS65" s="192"/>
      <c r="IXT65" s="192"/>
      <c r="IXU65" s="192"/>
      <c r="IXV65" s="192"/>
      <c r="IXW65" s="192"/>
      <c r="IXX65" s="192"/>
      <c r="IXY65" s="192"/>
      <c r="IXZ65" s="192"/>
      <c r="IYA65" s="192"/>
      <c r="IYB65" s="192"/>
      <c r="IYC65" s="192"/>
      <c r="IYD65" s="192"/>
      <c r="IYE65" s="192"/>
      <c r="IYF65" s="192"/>
      <c r="IYG65" s="192"/>
      <c r="IYH65" s="192"/>
      <c r="IYI65" s="192"/>
      <c r="IYJ65" s="192"/>
      <c r="IYK65" s="192"/>
      <c r="IYL65" s="192"/>
      <c r="IYM65" s="192"/>
      <c r="IYN65" s="192"/>
      <c r="IYO65" s="192"/>
      <c r="IYP65" s="192"/>
      <c r="IYQ65" s="192"/>
      <c r="IYR65" s="192"/>
      <c r="IYS65" s="192"/>
      <c r="IYT65" s="192"/>
      <c r="IYU65" s="192"/>
      <c r="IYV65" s="192"/>
      <c r="IYW65" s="192"/>
      <c r="IYX65" s="192"/>
      <c r="IYY65" s="192"/>
      <c r="IYZ65" s="192"/>
      <c r="IZA65" s="192"/>
      <c r="IZB65" s="192"/>
      <c r="IZC65" s="192"/>
      <c r="IZD65" s="192"/>
      <c r="IZE65" s="192"/>
      <c r="IZF65" s="192"/>
      <c r="IZG65" s="192"/>
      <c r="IZH65" s="192"/>
      <c r="IZI65" s="192"/>
      <c r="IZJ65" s="192"/>
      <c r="IZK65" s="192"/>
      <c r="IZL65" s="192"/>
      <c r="IZM65" s="192"/>
      <c r="IZN65" s="192"/>
      <c r="IZO65" s="192"/>
      <c r="IZP65" s="192"/>
      <c r="IZQ65" s="192"/>
      <c r="IZR65" s="192"/>
      <c r="IZS65" s="192"/>
      <c r="IZT65" s="192"/>
      <c r="IZU65" s="192"/>
      <c r="IZV65" s="192"/>
      <c r="IZW65" s="192"/>
      <c r="IZX65" s="192"/>
      <c r="IZY65" s="192"/>
      <c r="IZZ65" s="192"/>
      <c r="JAA65" s="192"/>
      <c r="JAB65" s="192"/>
      <c r="JAC65" s="192"/>
      <c r="JAD65" s="192"/>
      <c r="JAE65" s="192"/>
      <c r="JAF65" s="192"/>
      <c r="JAG65" s="192"/>
      <c r="JAH65" s="192"/>
      <c r="JAI65" s="192"/>
      <c r="JAJ65" s="192"/>
      <c r="JAK65" s="192"/>
      <c r="JAL65" s="192"/>
      <c r="JAM65" s="192"/>
      <c r="JAN65" s="192"/>
      <c r="JAO65" s="192"/>
      <c r="JAP65" s="192"/>
      <c r="JAQ65" s="192"/>
      <c r="JAR65" s="192"/>
      <c r="JAS65" s="192"/>
      <c r="JAT65" s="192"/>
      <c r="JAU65" s="192"/>
      <c r="JAV65" s="192"/>
      <c r="JAW65" s="192"/>
      <c r="JAX65" s="192"/>
      <c r="JAY65" s="192"/>
      <c r="JAZ65" s="192"/>
      <c r="JBA65" s="192"/>
      <c r="JBB65" s="192"/>
      <c r="JBC65" s="192"/>
      <c r="JBD65" s="192"/>
      <c r="JBE65" s="192"/>
      <c r="JBF65" s="192"/>
      <c r="JBG65" s="192"/>
      <c r="JBH65" s="192"/>
      <c r="JBI65" s="192"/>
      <c r="JBJ65" s="192"/>
      <c r="JBK65" s="192"/>
      <c r="JBL65" s="192"/>
      <c r="JBM65" s="192"/>
      <c r="JBN65" s="192"/>
      <c r="JBO65" s="192"/>
      <c r="JBP65" s="192"/>
      <c r="JBQ65" s="192"/>
      <c r="JBR65" s="192"/>
      <c r="JBS65" s="192"/>
      <c r="JBT65" s="192"/>
      <c r="JBU65" s="192"/>
      <c r="JBV65" s="192"/>
      <c r="JBW65" s="192"/>
      <c r="JBX65" s="192"/>
      <c r="JBY65" s="192"/>
      <c r="JBZ65" s="192"/>
      <c r="JCA65" s="192"/>
      <c r="JCB65" s="192"/>
      <c r="JCC65" s="192"/>
      <c r="JCD65" s="192"/>
      <c r="JCE65" s="192"/>
      <c r="JCF65" s="192"/>
      <c r="JCG65" s="192"/>
      <c r="JCH65" s="192"/>
      <c r="JCI65" s="192"/>
      <c r="JCJ65" s="192"/>
      <c r="JCK65" s="192"/>
      <c r="JCL65" s="192"/>
      <c r="JCM65" s="192"/>
      <c r="JCN65" s="192"/>
      <c r="JCO65" s="192"/>
      <c r="JCP65" s="192"/>
      <c r="JCQ65" s="192"/>
      <c r="JCR65" s="192"/>
      <c r="JCS65" s="192"/>
      <c r="JCT65" s="192"/>
      <c r="JCU65" s="192"/>
      <c r="JCV65" s="192"/>
      <c r="JCW65" s="192"/>
      <c r="JCX65" s="192"/>
      <c r="JCY65" s="192"/>
      <c r="JCZ65" s="192"/>
      <c r="JDA65" s="192"/>
      <c r="JDB65" s="192"/>
      <c r="JDC65" s="192"/>
      <c r="JDD65" s="192"/>
      <c r="JDE65" s="192"/>
      <c r="JDF65" s="192"/>
      <c r="JDG65" s="192"/>
      <c r="JDH65" s="192"/>
      <c r="JDI65" s="192"/>
      <c r="JDJ65" s="192"/>
      <c r="JDK65" s="192"/>
      <c r="JDL65" s="192"/>
      <c r="JDM65" s="192"/>
      <c r="JDN65" s="192"/>
      <c r="JDO65" s="192"/>
      <c r="JDP65" s="192"/>
      <c r="JDQ65" s="192"/>
      <c r="JDR65" s="192"/>
      <c r="JDS65" s="192"/>
      <c r="JDT65" s="192"/>
      <c r="JDU65" s="192"/>
      <c r="JDV65" s="192"/>
      <c r="JDW65" s="192"/>
      <c r="JDX65" s="192"/>
      <c r="JDY65" s="192"/>
      <c r="JDZ65" s="192"/>
      <c r="JEA65" s="192"/>
      <c r="JEB65" s="192"/>
      <c r="JEC65" s="192"/>
      <c r="JED65" s="192"/>
      <c r="JEE65" s="192"/>
      <c r="JEF65" s="192"/>
      <c r="JEG65" s="192"/>
      <c r="JEH65" s="192"/>
      <c r="JEI65" s="192"/>
      <c r="JEJ65" s="192"/>
      <c r="JEK65" s="192"/>
      <c r="JEL65" s="192"/>
      <c r="JEM65" s="192"/>
      <c r="JEN65" s="192"/>
      <c r="JEO65" s="192"/>
      <c r="JEP65" s="192"/>
      <c r="JEQ65" s="192"/>
      <c r="JER65" s="192"/>
      <c r="JES65" s="192"/>
      <c r="JET65" s="192"/>
      <c r="JEU65" s="192"/>
      <c r="JEV65" s="192"/>
      <c r="JEW65" s="192"/>
      <c r="JEX65" s="192"/>
      <c r="JEY65" s="192"/>
      <c r="JEZ65" s="192"/>
      <c r="JFA65" s="192"/>
      <c r="JFB65" s="192"/>
      <c r="JFC65" s="192"/>
      <c r="JFD65" s="192"/>
      <c r="JFE65" s="192"/>
      <c r="JFF65" s="192"/>
      <c r="JFG65" s="192"/>
      <c r="JFH65" s="192"/>
      <c r="JFI65" s="192"/>
      <c r="JFJ65" s="192"/>
      <c r="JFK65" s="192"/>
      <c r="JFL65" s="192"/>
      <c r="JFM65" s="192"/>
      <c r="JFN65" s="192"/>
      <c r="JFO65" s="192"/>
      <c r="JFP65" s="192"/>
      <c r="JFQ65" s="192"/>
      <c r="JFR65" s="192"/>
      <c r="JFS65" s="192"/>
      <c r="JFT65" s="192"/>
      <c r="JFU65" s="192"/>
      <c r="JFV65" s="192"/>
      <c r="JFW65" s="192"/>
      <c r="JFX65" s="192"/>
      <c r="JFY65" s="192"/>
      <c r="JFZ65" s="192"/>
      <c r="JGA65" s="192"/>
      <c r="JGB65" s="192"/>
      <c r="JGC65" s="192"/>
      <c r="JGD65" s="192"/>
      <c r="JGE65" s="192"/>
      <c r="JGF65" s="192"/>
      <c r="JGG65" s="192"/>
      <c r="JGH65" s="192"/>
      <c r="JGI65" s="192"/>
      <c r="JGJ65" s="192"/>
      <c r="JGK65" s="192"/>
      <c r="JGL65" s="192"/>
      <c r="JGM65" s="192"/>
      <c r="JGN65" s="192"/>
      <c r="JGO65" s="192"/>
      <c r="JGP65" s="192"/>
      <c r="JGQ65" s="192"/>
      <c r="JGR65" s="192"/>
      <c r="JGS65" s="192"/>
      <c r="JGT65" s="192"/>
      <c r="JGU65" s="192"/>
      <c r="JGV65" s="192"/>
      <c r="JGW65" s="192"/>
      <c r="JGX65" s="192"/>
      <c r="JGY65" s="192"/>
      <c r="JGZ65" s="192"/>
      <c r="JHA65" s="192"/>
      <c r="JHB65" s="192"/>
      <c r="JHC65" s="192"/>
      <c r="JHD65" s="192"/>
      <c r="JHE65" s="192"/>
      <c r="JHF65" s="192"/>
      <c r="JHG65" s="192"/>
      <c r="JHH65" s="192"/>
      <c r="JHI65" s="192"/>
      <c r="JHJ65" s="192"/>
      <c r="JHK65" s="192"/>
      <c r="JHL65" s="192"/>
      <c r="JHM65" s="192"/>
      <c r="JHN65" s="192"/>
      <c r="JHO65" s="192"/>
      <c r="JHP65" s="192"/>
      <c r="JHQ65" s="192"/>
      <c r="JHR65" s="192"/>
      <c r="JHS65" s="192"/>
      <c r="JHT65" s="192"/>
      <c r="JHU65" s="192"/>
      <c r="JHV65" s="192"/>
      <c r="JHW65" s="192"/>
      <c r="JHX65" s="192"/>
      <c r="JHY65" s="192"/>
      <c r="JHZ65" s="192"/>
      <c r="JIA65" s="192"/>
      <c r="JIB65" s="192"/>
      <c r="JIC65" s="192"/>
      <c r="JID65" s="192"/>
      <c r="JIE65" s="192"/>
      <c r="JIF65" s="192"/>
      <c r="JIG65" s="192"/>
      <c r="JIH65" s="192"/>
      <c r="JII65" s="192"/>
      <c r="JIJ65" s="192"/>
      <c r="JIK65" s="192"/>
      <c r="JIL65" s="192"/>
      <c r="JIM65" s="192"/>
      <c r="JIN65" s="192"/>
      <c r="JIO65" s="192"/>
      <c r="JIP65" s="192"/>
      <c r="JIQ65" s="192"/>
      <c r="JIR65" s="192"/>
      <c r="JIS65" s="192"/>
      <c r="JIT65" s="192"/>
      <c r="JIU65" s="192"/>
      <c r="JIV65" s="192"/>
      <c r="JIW65" s="192"/>
      <c r="JIX65" s="192"/>
      <c r="JIY65" s="192"/>
      <c r="JIZ65" s="192"/>
      <c r="JJA65" s="192"/>
      <c r="JJB65" s="192"/>
      <c r="JJC65" s="192"/>
      <c r="JJD65" s="192"/>
      <c r="JJE65" s="192"/>
      <c r="JJF65" s="192"/>
      <c r="JJG65" s="192"/>
      <c r="JJH65" s="192"/>
      <c r="JJI65" s="192"/>
      <c r="JJJ65" s="192"/>
      <c r="JJK65" s="192"/>
      <c r="JJL65" s="192"/>
      <c r="JJM65" s="192"/>
      <c r="JJN65" s="192"/>
      <c r="JJO65" s="192"/>
      <c r="JJP65" s="192"/>
      <c r="JJQ65" s="192"/>
      <c r="JJR65" s="192"/>
      <c r="JJS65" s="192"/>
      <c r="JJT65" s="192"/>
      <c r="JJU65" s="192"/>
      <c r="JJV65" s="192"/>
      <c r="JJW65" s="192"/>
      <c r="JJX65" s="192"/>
      <c r="JJY65" s="192"/>
      <c r="JJZ65" s="192"/>
      <c r="JKA65" s="192"/>
      <c r="JKB65" s="192"/>
      <c r="JKC65" s="192"/>
      <c r="JKD65" s="192"/>
      <c r="JKE65" s="192"/>
      <c r="JKF65" s="192"/>
      <c r="JKG65" s="192"/>
      <c r="JKH65" s="192"/>
      <c r="JKI65" s="192"/>
      <c r="JKJ65" s="192"/>
      <c r="JKK65" s="192"/>
      <c r="JKL65" s="192"/>
      <c r="JKM65" s="192"/>
      <c r="JKN65" s="192"/>
      <c r="JKO65" s="192"/>
      <c r="JKP65" s="192"/>
      <c r="JKQ65" s="192"/>
      <c r="JKR65" s="192"/>
      <c r="JKS65" s="192"/>
      <c r="JKT65" s="192"/>
      <c r="JKU65" s="192"/>
      <c r="JKV65" s="192"/>
      <c r="JKW65" s="192"/>
      <c r="JKX65" s="192"/>
      <c r="JKY65" s="192"/>
      <c r="JKZ65" s="192"/>
      <c r="JLA65" s="192"/>
      <c r="JLB65" s="192"/>
      <c r="JLC65" s="192"/>
      <c r="JLD65" s="192"/>
      <c r="JLE65" s="192"/>
      <c r="JLF65" s="192"/>
      <c r="JLG65" s="192"/>
      <c r="JLH65" s="192"/>
      <c r="JLI65" s="192"/>
      <c r="JLJ65" s="192"/>
      <c r="JLK65" s="192"/>
      <c r="JLL65" s="192"/>
      <c r="JLM65" s="192"/>
      <c r="JLN65" s="192"/>
      <c r="JLO65" s="192"/>
      <c r="JLP65" s="192"/>
      <c r="JLQ65" s="192"/>
      <c r="JLR65" s="192"/>
      <c r="JLS65" s="192"/>
      <c r="JLT65" s="192"/>
      <c r="JLU65" s="192"/>
      <c r="JLV65" s="192"/>
      <c r="JLW65" s="192"/>
      <c r="JLX65" s="192"/>
      <c r="JLY65" s="192"/>
      <c r="JLZ65" s="192"/>
      <c r="JMA65" s="192"/>
      <c r="JMB65" s="192"/>
      <c r="JMC65" s="192"/>
      <c r="JMD65" s="192"/>
      <c r="JME65" s="192"/>
      <c r="JMF65" s="192"/>
      <c r="JMG65" s="192"/>
      <c r="JMH65" s="192"/>
      <c r="JMI65" s="192"/>
      <c r="JMJ65" s="192"/>
      <c r="JMK65" s="192"/>
      <c r="JML65" s="192"/>
      <c r="JMM65" s="192"/>
      <c r="JMN65" s="192"/>
      <c r="JMO65" s="192"/>
      <c r="JMP65" s="192"/>
      <c r="JMQ65" s="192"/>
      <c r="JMR65" s="192"/>
      <c r="JMS65" s="192"/>
      <c r="JMT65" s="192"/>
      <c r="JMU65" s="192"/>
      <c r="JMV65" s="192"/>
      <c r="JMW65" s="192"/>
      <c r="JMX65" s="192"/>
      <c r="JMY65" s="192"/>
      <c r="JMZ65" s="192"/>
      <c r="JNA65" s="192"/>
      <c r="JNB65" s="192"/>
      <c r="JNC65" s="192"/>
      <c r="JND65" s="192"/>
      <c r="JNE65" s="192"/>
      <c r="JNF65" s="192"/>
      <c r="JNG65" s="192"/>
      <c r="JNH65" s="192"/>
      <c r="JNI65" s="192"/>
      <c r="JNJ65" s="192"/>
      <c r="JNK65" s="192"/>
      <c r="JNL65" s="192"/>
      <c r="JNM65" s="192"/>
      <c r="JNN65" s="192"/>
      <c r="JNO65" s="192"/>
      <c r="JNP65" s="192"/>
      <c r="JNQ65" s="192"/>
      <c r="JNR65" s="192"/>
      <c r="JNS65" s="192"/>
      <c r="JNT65" s="192"/>
      <c r="JNU65" s="192"/>
      <c r="JNV65" s="192"/>
      <c r="JNW65" s="192"/>
      <c r="JNX65" s="192"/>
      <c r="JNY65" s="192"/>
      <c r="JNZ65" s="192"/>
      <c r="JOA65" s="192"/>
      <c r="JOB65" s="192"/>
      <c r="JOC65" s="192"/>
      <c r="JOD65" s="192"/>
      <c r="JOE65" s="192"/>
      <c r="JOF65" s="192"/>
      <c r="JOG65" s="192"/>
      <c r="JOH65" s="192"/>
      <c r="JOI65" s="192"/>
      <c r="JOJ65" s="192"/>
      <c r="JOK65" s="192"/>
      <c r="JOL65" s="192"/>
      <c r="JOM65" s="192"/>
      <c r="JON65" s="192"/>
      <c r="JOO65" s="192"/>
      <c r="JOP65" s="192"/>
      <c r="JOQ65" s="192"/>
      <c r="JOR65" s="192"/>
      <c r="JOS65" s="192"/>
      <c r="JOT65" s="192"/>
      <c r="JOU65" s="192"/>
      <c r="JOV65" s="192"/>
      <c r="JOW65" s="192"/>
      <c r="JOX65" s="192"/>
      <c r="JOY65" s="192"/>
      <c r="JOZ65" s="192"/>
      <c r="JPA65" s="192"/>
      <c r="JPB65" s="192"/>
      <c r="JPC65" s="192"/>
      <c r="JPD65" s="192"/>
      <c r="JPE65" s="192"/>
      <c r="JPF65" s="192"/>
      <c r="JPG65" s="192"/>
      <c r="JPH65" s="192"/>
      <c r="JPI65" s="192"/>
      <c r="JPJ65" s="192"/>
      <c r="JPK65" s="192"/>
      <c r="JPL65" s="192"/>
      <c r="JPM65" s="192"/>
      <c r="JPN65" s="192"/>
      <c r="JPO65" s="192"/>
      <c r="JPP65" s="192"/>
      <c r="JPQ65" s="192"/>
      <c r="JPR65" s="192"/>
      <c r="JPS65" s="192"/>
      <c r="JPT65" s="192"/>
      <c r="JPU65" s="192"/>
      <c r="JPV65" s="192"/>
      <c r="JPW65" s="192"/>
      <c r="JPX65" s="192"/>
      <c r="JPY65" s="192"/>
      <c r="JPZ65" s="192"/>
      <c r="JQA65" s="192"/>
      <c r="JQB65" s="192"/>
      <c r="JQC65" s="192"/>
      <c r="JQD65" s="192"/>
      <c r="JQE65" s="192"/>
      <c r="JQF65" s="192"/>
      <c r="JQG65" s="192"/>
      <c r="JQH65" s="192"/>
      <c r="JQI65" s="192"/>
      <c r="JQJ65" s="192"/>
      <c r="JQK65" s="192"/>
      <c r="JQL65" s="192"/>
      <c r="JQM65" s="192"/>
      <c r="JQN65" s="192"/>
      <c r="JQO65" s="192"/>
      <c r="JQP65" s="192"/>
      <c r="JQQ65" s="192"/>
      <c r="JQR65" s="192"/>
      <c r="JQS65" s="192"/>
      <c r="JQT65" s="192"/>
      <c r="JQU65" s="192"/>
      <c r="JQV65" s="192"/>
      <c r="JQW65" s="192"/>
      <c r="JQX65" s="192"/>
      <c r="JQY65" s="192"/>
      <c r="JQZ65" s="192"/>
      <c r="JRA65" s="192"/>
      <c r="JRB65" s="192"/>
      <c r="JRC65" s="192"/>
      <c r="JRD65" s="192"/>
      <c r="JRE65" s="192"/>
      <c r="JRF65" s="192"/>
      <c r="JRG65" s="192"/>
      <c r="JRH65" s="192"/>
      <c r="JRI65" s="192"/>
      <c r="JRJ65" s="192"/>
      <c r="JRK65" s="192"/>
      <c r="JRL65" s="192"/>
      <c r="JRM65" s="192"/>
      <c r="JRN65" s="192"/>
      <c r="JRO65" s="192"/>
      <c r="JRP65" s="192"/>
      <c r="JRQ65" s="192"/>
      <c r="JRR65" s="192"/>
      <c r="JRS65" s="192"/>
      <c r="JRT65" s="192"/>
      <c r="JRU65" s="192"/>
      <c r="JRV65" s="192"/>
      <c r="JRW65" s="192"/>
      <c r="JRX65" s="192"/>
      <c r="JRY65" s="192"/>
      <c r="JRZ65" s="192"/>
      <c r="JSA65" s="192"/>
      <c r="JSB65" s="192"/>
      <c r="JSC65" s="192"/>
      <c r="JSD65" s="192"/>
      <c r="JSE65" s="192"/>
      <c r="JSF65" s="192"/>
      <c r="JSG65" s="192"/>
      <c r="JSH65" s="192"/>
      <c r="JSI65" s="192"/>
      <c r="JSJ65" s="192"/>
      <c r="JSK65" s="192"/>
      <c r="JSL65" s="192"/>
      <c r="JSM65" s="192"/>
      <c r="JSN65" s="192"/>
      <c r="JSO65" s="192"/>
      <c r="JSP65" s="192"/>
      <c r="JSQ65" s="192"/>
      <c r="JSR65" s="192"/>
      <c r="JSS65" s="192"/>
      <c r="JST65" s="192"/>
      <c r="JSU65" s="192"/>
      <c r="JSV65" s="192"/>
      <c r="JSW65" s="192"/>
      <c r="JSX65" s="192"/>
      <c r="JSY65" s="192"/>
      <c r="JSZ65" s="192"/>
      <c r="JTA65" s="192"/>
      <c r="JTB65" s="192"/>
      <c r="JTC65" s="192"/>
      <c r="JTD65" s="192"/>
      <c r="JTE65" s="192"/>
      <c r="JTF65" s="192"/>
      <c r="JTG65" s="192"/>
      <c r="JTH65" s="192"/>
      <c r="JTI65" s="192"/>
      <c r="JTJ65" s="192"/>
      <c r="JTK65" s="192"/>
      <c r="JTL65" s="192"/>
      <c r="JTM65" s="192"/>
      <c r="JTN65" s="192"/>
      <c r="JTO65" s="192"/>
      <c r="JTP65" s="192"/>
      <c r="JTQ65" s="192"/>
      <c r="JTR65" s="192"/>
      <c r="JTS65" s="192"/>
      <c r="JTT65" s="192"/>
      <c r="JTU65" s="192"/>
      <c r="JTV65" s="192"/>
      <c r="JTW65" s="192"/>
      <c r="JTX65" s="192"/>
      <c r="JTY65" s="192"/>
      <c r="JTZ65" s="192"/>
      <c r="JUA65" s="192"/>
      <c r="JUB65" s="192"/>
      <c r="JUC65" s="192"/>
      <c r="JUD65" s="192"/>
      <c r="JUE65" s="192"/>
      <c r="JUF65" s="192"/>
      <c r="JUG65" s="192"/>
      <c r="JUH65" s="192"/>
      <c r="JUI65" s="192"/>
      <c r="JUJ65" s="192"/>
      <c r="JUK65" s="192"/>
      <c r="JUL65" s="192"/>
      <c r="JUM65" s="192"/>
      <c r="JUN65" s="192"/>
      <c r="JUO65" s="192"/>
      <c r="JUP65" s="192"/>
      <c r="JUQ65" s="192"/>
      <c r="JUR65" s="192"/>
      <c r="JUS65" s="192"/>
      <c r="JUT65" s="192"/>
      <c r="JUU65" s="192"/>
      <c r="JUV65" s="192"/>
      <c r="JUW65" s="192"/>
      <c r="JUX65" s="192"/>
      <c r="JUY65" s="192"/>
      <c r="JUZ65" s="192"/>
      <c r="JVA65" s="192"/>
      <c r="JVB65" s="192"/>
      <c r="JVC65" s="192"/>
      <c r="JVD65" s="192"/>
      <c r="JVE65" s="192"/>
      <c r="JVF65" s="192"/>
      <c r="JVG65" s="192"/>
      <c r="JVH65" s="192"/>
      <c r="JVI65" s="192"/>
      <c r="JVJ65" s="192"/>
      <c r="JVK65" s="192"/>
      <c r="JVL65" s="192"/>
      <c r="JVM65" s="192"/>
      <c r="JVN65" s="192"/>
      <c r="JVO65" s="192"/>
      <c r="JVP65" s="192"/>
      <c r="JVQ65" s="192"/>
      <c r="JVR65" s="192"/>
      <c r="JVS65" s="192"/>
      <c r="JVT65" s="192"/>
      <c r="JVU65" s="192"/>
      <c r="JVV65" s="192"/>
      <c r="JVW65" s="192"/>
      <c r="JVX65" s="192"/>
      <c r="JVY65" s="192"/>
      <c r="JVZ65" s="192"/>
      <c r="JWA65" s="192"/>
      <c r="JWB65" s="192"/>
      <c r="JWC65" s="192"/>
      <c r="JWD65" s="192"/>
      <c r="JWE65" s="192"/>
      <c r="JWF65" s="192"/>
      <c r="JWG65" s="192"/>
      <c r="JWH65" s="192"/>
      <c r="JWI65" s="192"/>
      <c r="JWJ65" s="192"/>
      <c r="JWK65" s="192"/>
      <c r="JWL65" s="192"/>
      <c r="JWM65" s="192"/>
      <c r="JWN65" s="192"/>
      <c r="JWO65" s="192"/>
      <c r="JWP65" s="192"/>
      <c r="JWQ65" s="192"/>
      <c r="JWR65" s="192"/>
      <c r="JWS65" s="192"/>
      <c r="JWT65" s="192"/>
      <c r="JWU65" s="192"/>
      <c r="JWV65" s="192"/>
      <c r="JWW65" s="192"/>
      <c r="JWX65" s="192"/>
      <c r="JWY65" s="192"/>
      <c r="JWZ65" s="192"/>
      <c r="JXA65" s="192"/>
      <c r="JXB65" s="192"/>
      <c r="JXC65" s="192"/>
      <c r="JXD65" s="192"/>
      <c r="JXE65" s="192"/>
      <c r="JXF65" s="192"/>
      <c r="JXG65" s="192"/>
      <c r="JXH65" s="192"/>
      <c r="JXI65" s="192"/>
      <c r="JXJ65" s="192"/>
      <c r="JXK65" s="192"/>
      <c r="JXL65" s="192"/>
      <c r="JXM65" s="192"/>
      <c r="JXN65" s="192"/>
      <c r="JXO65" s="192"/>
      <c r="JXP65" s="192"/>
      <c r="JXQ65" s="192"/>
      <c r="JXR65" s="192"/>
      <c r="JXS65" s="192"/>
      <c r="JXT65" s="192"/>
      <c r="JXU65" s="192"/>
      <c r="JXV65" s="192"/>
      <c r="JXW65" s="192"/>
      <c r="JXX65" s="192"/>
      <c r="JXY65" s="192"/>
      <c r="JXZ65" s="192"/>
      <c r="JYA65" s="192"/>
      <c r="JYB65" s="192"/>
      <c r="JYC65" s="192"/>
      <c r="JYD65" s="192"/>
      <c r="JYE65" s="192"/>
      <c r="JYF65" s="192"/>
      <c r="JYG65" s="192"/>
      <c r="JYH65" s="192"/>
      <c r="JYI65" s="192"/>
      <c r="JYJ65" s="192"/>
      <c r="JYK65" s="192"/>
      <c r="JYL65" s="192"/>
      <c r="JYM65" s="192"/>
      <c r="JYN65" s="192"/>
      <c r="JYO65" s="192"/>
      <c r="JYP65" s="192"/>
      <c r="JYQ65" s="192"/>
      <c r="JYR65" s="192"/>
      <c r="JYS65" s="192"/>
      <c r="JYT65" s="192"/>
      <c r="JYU65" s="192"/>
      <c r="JYV65" s="192"/>
      <c r="JYW65" s="192"/>
      <c r="JYX65" s="192"/>
      <c r="JYY65" s="192"/>
      <c r="JYZ65" s="192"/>
      <c r="JZA65" s="192"/>
      <c r="JZB65" s="192"/>
      <c r="JZC65" s="192"/>
      <c r="JZD65" s="192"/>
      <c r="JZE65" s="192"/>
      <c r="JZF65" s="192"/>
      <c r="JZG65" s="192"/>
      <c r="JZH65" s="192"/>
      <c r="JZI65" s="192"/>
      <c r="JZJ65" s="192"/>
      <c r="JZK65" s="192"/>
      <c r="JZL65" s="192"/>
      <c r="JZM65" s="192"/>
      <c r="JZN65" s="192"/>
      <c r="JZO65" s="192"/>
      <c r="JZP65" s="192"/>
      <c r="JZQ65" s="192"/>
      <c r="JZR65" s="192"/>
      <c r="JZS65" s="192"/>
      <c r="JZT65" s="192"/>
      <c r="JZU65" s="192"/>
      <c r="JZV65" s="192"/>
      <c r="JZW65" s="192"/>
      <c r="JZX65" s="192"/>
      <c r="JZY65" s="192"/>
      <c r="JZZ65" s="192"/>
      <c r="KAA65" s="192"/>
      <c r="KAB65" s="192"/>
      <c r="KAC65" s="192"/>
      <c r="KAD65" s="192"/>
      <c r="KAE65" s="192"/>
      <c r="KAF65" s="192"/>
      <c r="KAG65" s="192"/>
      <c r="KAH65" s="192"/>
      <c r="KAI65" s="192"/>
      <c r="KAJ65" s="192"/>
      <c r="KAK65" s="192"/>
      <c r="KAL65" s="192"/>
      <c r="KAM65" s="192"/>
      <c r="KAN65" s="192"/>
      <c r="KAO65" s="192"/>
      <c r="KAP65" s="192"/>
      <c r="KAQ65" s="192"/>
      <c r="KAR65" s="192"/>
      <c r="KAS65" s="192"/>
      <c r="KAT65" s="192"/>
      <c r="KAU65" s="192"/>
      <c r="KAV65" s="192"/>
      <c r="KAW65" s="192"/>
      <c r="KAX65" s="192"/>
      <c r="KAY65" s="192"/>
      <c r="KAZ65" s="192"/>
      <c r="KBA65" s="192"/>
      <c r="KBB65" s="192"/>
      <c r="KBC65" s="192"/>
      <c r="KBD65" s="192"/>
      <c r="KBE65" s="192"/>
      <c r="KBF65" s="192"/>
      <c r="KBG65" s="192"/>
      <c r="KBH65" s="192"/>
      <c r="KBI65" s="192"/>
      <c r="KBJ65" s="192"/>
      <c r="KBK65" s="192"/>
      <c r="KBL65" s="192"/>
      <c r="KBM65" s="192"/>
      <c r="KBN65" s="192"/>
      <c r="KBO65" s="192"/>
      <c r="KBP65" s="192"/>
      <c r="KBQ65" s="192"/>
      <c r="KBR65" s="192"/>
      <c r="KBS65" s="192"/>
      <c r="KBT65" s="192"/>
      <c r="KBU65" s="192"/>
      <c r="KBV65" s="192"/>
      <c r="KBW65" s="192"/>
      <c r="KBX65" s="192"/>
      <c r="KBY65" s="192"/>
      <c r="KBZ65" s="192"/>
      <c r="KCA65" s="192"/>
      <c r="KCB65" s="192"/>
      <c r="KCC65" s="192"/>
      <c r="KCD65" s="192"/>
      <c r="KCE65" s="192"/>
      <c r="KCF65" s="192"/>
      <c r="KCG65" s="192"/>
      <c r="KCH65" s="192"/>
      <c r="KCI65" s="192"/>
      <c r="KCJ65" s="192"/>
      <c r="KCK65" s="192"/>
      <c r="KCL65" s="192"/>
      <c r="KCM65" s="192"/>
      <c r="KCN65" s="192"/>
      <c r="KCO65" s="192"/>
      <c r="KCP65" s="192"/>
      <c r="KCQ65" s="192"/>
      <c r="KCR65" s="192"/>
      <c r="KCS65" s="192"/>
      <c r="KCT65" s="192"/>
      <c r="KCU65" s="192"/>
      <c r="KCV65" s="192"/>
      <c r="KCW65" s="192"/>
      <c r="KCX65" s="192"/>
      <c r="KCY65" s="192"/>
      <c r="KCZ65" s="192"/>
      <c r="KDA65" s="192"/>
      <c r="KDB65" s="192"/>
      <c r="KDC65" s="192"/>
      <c r="KDD65" s="192"/>
      <c r="KDE65" s="192"/>
      <c r="KDF65" s="192"/>
      <c r="KDG65" s="192"/>
      <c r="KDH65" s="192"/>
      <c r="KDI65" s="192"/>
      <c r="KDJ65" s="192"/>
      <c r="KDK65" s="192"/>
      <c r="KDL65" s="192"/>
      <c r="KDM65" s="192"/>
      <c r="KDN65" s="192"/>
      <c r="KDO65" s="192"/>
      <c r="KDP65" s="192"/>
      <c r="KDQ65" s="192"/>
      <c r="KDR65" s="192"/>
      <c r="KDS65" s="192"/>
      <c r="KDT65" s="192"/>
      <c r="KDU65" s="192"/>
      <c r="KDV65" s="192"/>
      <c r="KDW65" s="192"/>
      <c r="KDX65" s="192"/>
      <c r="KDY65" s="192"/>
      <c r="KDZ65" s="192"/>
      <c r="KEA65" s="192"/>
      <c r="KEB65" s="192"/>
      <c r="KEC65" s="192"/>
      <c r="KED65" s="192"/>
      <c r="KEE65" s="192"/>
      <c r="KEF65" s="192"/>
      <c r="KEG65" s="192"/>
      <c r="KEH65" s="192"/>
      <c r="KEI65" s="192"/>
      <c r="KEJ65" s="192"/>
      <c r="KEK65" s="192"/>
      <c r="KEL65" s="192"/>
      <c r="KEM65" s="192"/>
      <c r="KEN65" s="192"/>
      <c r="KEO65" s="192"/>
      <c r="KEP65" s="192"/>
      <c r="KEQ65" s="192"/>
      <c r="KER65" s="192"/>
      <c r="KES65" s="192"/>
      <c r="KET65" s="192"/>
      <c r="KEU65" s="192"/>
      <c r="KEV65" s="192"/>
      <c r="KEW65" s="192"/>
      <c r="KEX65" s="192"/>
      <c r="KEY65" s="192"/>
      <c r="KEZ65" s="192"/>
      <c r="KFA65" s="192"/>
      <c r="KFB65" s="192"/>
      <c r="KFC65" s="192"/>
      <c r="KFD65" s="192"/>
      <c r="KFE65" s="192"/>
      <c r="KFF65" s="192"/>
      <c r="KFG65" s="192"/>
      <c r="KFH65" s="192"/>
      <c r="KFI65" s="192"/>
      <c r="KFJ65" s="192"/>
      <c r="KFK65" s="192"/>
      <c r="KFL65" s="192"/>
      <c r="KFM65" s="192"/>
      <c r="KFN65" s="192"/>
      <c r="KFO65" s="192"/>
      <c r="KFP65" s="192"/>
      <c r="KFQ65" s="192"/>
      <c r="KFR65" s="192"/>
      <c r="KFS65" s="192"/>
      <c r="KFT65" s="192"/>
      <c r="KFU65" s="192"/>
      <c r="KFV65" s="192"/>
      <c r="KFW65" s="192"/>
      <c r="KFX65" s="192"/>
      <c r="KFY65" s="192"/>
      <c r="KFZ65" s="192"/>
      <c r="KGA65" s="192"/>
      <c r="KGB65" s="192"/>
      <c r="KGC65" s="192"/>
      <c r="KGD65" s="192"/>
      <c r="KGE65" s="192"/>
      <c r="KGF65" s="192"/>
      <c r="KGG65" s="192"/>
      <c r="KGH65" s="192"/>
      <c r="KGI65" s="192"/>
      <c r="KGJ65" s="192"/>
      <c r="KGK65" s="192"/>
      <c r="KGL65" s="192"/>
      <c r="KGM65" s="192"/>
      <c r="KGN65" s="192"/>
      <c r="KGO65" s="192"/>
      <c r="KGP65" s="192"/>
      <c r="KGQ65" s="192"/>
      <c r="KGR65" s="192"/>
      <c r="KGS65" s="192"/>
      <c r="KGT65" s="192"/>
      <c r="KGU65" s="192"/>
      <c r="KGV65" s="192"/>
      <c r="KGW65" s="192"/>
      <c r="KGX65" s="192"/>
      <c r="KGY65" s="192"/>
      <c r="KGZ65" s="192"/>
      <c r="KHA65" s="192"/>
      <c r="KHB65" s="192"/>
      <c r="KHC65" s="192"/>
      <c r="KHD65" s="192"/>
      <c r="KHE65" s="192"/>
      <c r="KHF65" s="192"/>
      <c r="KHG65" s="192"/>
      <c r="KHH65" s="192"/>
      <c r="KHI65" s="192"/>
      <c r="KHJ65" s="192"/>
      <c r="KHK65" s="192"/>
      <c r="KHL65" s="192"/>
      <c r="KHM65" s="192"/>
      <c r="KHN65" s="192"/>
      <c r="KHO65" s="192"/>
      <c r="KHP65" s="192"/>
      <c r="KHQ65" s="192"/>
      <c r="KHR65" s="192"/>
      <c r="KHS65" s="192"/>
      <c r="KHT65" s="192"/>
      <c r="KHU65" s="192"/>
      <c r="KHV65" s="192"/>
      <c r="KHW65" s="192"/>
      <c r="KHX65" s="192"/>
      <c r="KHY65" s="192"/>
      <c r="KHZ65" s="192"/>
      <c r="KIA65" s="192"/>
      <c r="KIB65" s="192"/>
      <c r="KIC65" s="192"/>
      <c r="KID65" s="192"/>
      <c r="KIE65" s="192"/>
      <c r="KIF65" s="192"/>
      <c r="KIG65" s="192"/>
      <c r="KIH65" s="192"/>
      <c r="KII65" s="192"/>
      <c r="KIJ65" s="192"/>
      <c r="KIK65" s="192"/>
      <c r="KIL65" s="192"/>
      <c r="KIM65" s="192"/>
      <c r="KIN65" s="192"/>
      <c r="KIO65" s="192"/>
      <c r="KIP65" s="192"/>
      <c r="KIQ65" s="192"/>
      <c r="KIR65" s="192"/>
      <c r="KIS65" s="192"/>
      <c r="KIT65" s="192"/>
      <c r="KIU65" s="192"/>
      <c r="KIV65" s="192"/>
      <c r="KIW65" s="192"/>
      <c r="KIX65" s="192"/>
      <c r="KIY65" s="192"/>
      <c r="KIZ65" s="192"/>
      <c r="KJA65" s="192"/>
      <c r="KJB65" s="192"/>
      <c r="KJC65" s="192"/>
      <c r="KJD65" s="192"/>
      <c r="KJE65" s="192"/>
      <c r="KJF65" s="192"/>
      <c r="KJG65" s="192"/>
      <c r="KJH65" s="192"/>
      <c r="KJI65" s="192"/>
      <c r="KJJ65" s="192"/>
      <c r="KJK65" s="192"/>
      <c r="KJL65" s="192"/>
      <c r="KJM65" s="192"/>
      <c r="KJN65" s="192"/>
      <c r="KJO65" s="192"/>
      <c r="KJP65" s="192"/>
      <c r="KJQ65" s="192"/>
      <c r="KJR65" s="192"/>
      <c r="KJS65" s="192"/>
      <c r="KJT65" s="192"/>
      <c r="KJU65" s="192"/>
      <c r="KJV65" s="192"/>
      <c r="KJW65" s="192"/>
      <c r="KJX65" s="192"/>
      <c r="KJY65" s="192"/>
      <c r="KJZ65" s="192"/>
      <c r="KKA65" s="192"/>
      <c r="KKB65" s="192"/>
      <c r="KKC65" s="192"/>
      <c r="KKD65" s="192"/>
      <c r="KKE65" s="192"/>
      <c r="KKF65" s="192"/>
      <c r="KKG65" s="192"/>
      <c r="KKH65" s="192"/>
      <c r="KKI65" s="192"/>
      <c r="KKJ65" s="192"/>
      <c r="KKK65" s="192"/>
      <c r="KKL65" s="192"/>
      <c r="KKM65" s="192"/>
      <c r="KKN65" s="192"/>
      <c r="KKO65" s="192"/>
      <c r="KKP65" s="192"/>
      <c r="KKQ65" s="192"/>
      <c r="KKR65" s="192"/>
      <c r="KKS65" s="192"/>
      <c r="KKT65" s="192"/>
      <c r="KKU65" s="192"/>
      <c r="KKV65" s="192"/>
      <c r="KKW65" s="192"/>
      <c r="KKX65" s="192"/>
      <c r="KKY65" s="192"/>
      <c r="KKZ65" s="192"/>
      <c r="KLA65" s="192"/>
      <c r="KLB65" s="192"/>
      <c r="KLC65" s="192"/>
      <c r="KLD65" s="192"/>
      <c r="KLE65" s="192"/>
      <c r="KLF65" s="192"/>
      <c r="KLG65" s="192"/>
      <c r="KLH65" s="192"/>
      <c r="KLI65" s="192"/>
      <c r="KLJ65" s="192"/>
      <c r="KLK65" s="192"/>
      <c r="KLL65" s="192"/>
      <c r="KLM65" s="192"/>
      <c r="KLN65" s="192"/>
      <c r="KLO65" s="192"/>
      <c r="KLP65" s="192"/>
      <c r="KLQ65" s="192"/>
      <c r="KLR65" s="192"/>
      <c r="KLS65" s="192"/>
      <c r="KLT65" s="192"/>
      <c r="KLU65" s="192"/>
      <c r="KLV65" s="192"/>
      <c r="KLW65" s="192"/>
      <c r="KLX65" s="192"/>
      <c r="KLY65" s="192"/>
      <c r="KLZ65" s="192"/>
      <c r="KMA65" s="192"/>
      <c r="KMB65" s="192"/>
      <c r="KMC65" s="192"/>
      <c r="KMD65" s="192"/>
      <c r="KME65" s="192"/>
      <c r="KMF65" s="192"/>
      <c r="KMG65" s="192"/>
      <c r="KMH65" s="192"/>
      <c r="KMI65" s="192"/>
      <c r="KMJ65" s="192"/>
      <c r="KMK65" s="192"/>
      <c r="KML65" s="192"/>
      <c r="KMM65" s="192"/>
      <c r="KMN65" s="192"/>
      <c r="KMO65" s="192"/>
      <c r="KMP65" s="192"/>
      <c r="KMQ65" s="192"/>
      <c r="KMR65" s="192"/>
      <c r="KMS65" s="192"/>
      <c r="KMT65" s="192"/>
      <c r="KMU65" s="192"/>
      <c r="KMV65" s="192"/>
      <c r="KMW65" s="192"/>
      <c r="KMX65" s="192"/>
      <c r="KMY65" s="192"/>
      <c r="KMZ65" s="192"/>
      <c r="KNA65" s="192"/>
      <c r="KNB65" s="192"/>
      <c r="KNC65" s="192"/>
      <c r="KND65" s="192"/>
      <c r="KNE65" s="192"/>
      <c r="KNF65" s="192"/>
      <c r="KNG65" s="192"/>
      <c r="KNH65" s="192"/>
      <c r="KNI65" s="192"/>
      <c r="KNJ65" s="192"/>
      <c r="KNK65" s="192"/>
      <c r="KNL65" s="192"/>
      <c r="KNM65" s="192"/>
      <c r="KNN65" s="192"/>
      <c r="KNO65" s="192"/>
      <c r="KNP65" s="192"/>
      <c r="KNQ65" s="192"/>
      <c r="KNR65" s="192"/>
      <c r="KNS65" s="192"/>
      <c r="KNT65" s="192"/>
      <c r="KNU65" s="192"/>
      <c r="KNV65" s="192"/>
      <c r="KNW65" s="192"/>
      <c r="KNX65" s="192"/>
      <c r="KNY65" s="192"/>
      <c r="KNZ65" s="192"/>
      <c r="KOA65" s="192"/>
      <c r="KOB65" s="192"/>
      <c r="KOC65" s="192"/>
      <c r="KOD65" s="192"/>
      <c r="KOE65" s="192"/>
      <c r="KOF65" s="192"/>
      <c r="KOG65" s="192"/>
      <c r="KOH65" s="192"/>
      <c r="KOI65" s="192"/>
      <c r="KOJ65" s="192"/>
      <c r="KOK65" s="192"/>
      <c r="KOL65" s="192"/>
      <c r="KOM65" s="192"/>
      <c r="KON65" s="192"/>
      <c r="KOO65" s="192"/>
      <c r="KOP65" s="192"/>
      <c r="KOQ65" s="192"/>
      <c r="KOR65" s="192"/>
      <c r="KOS65" s="192"/>
      <c r="KOT65" s="192"/>
      <c r="KOU65" s="192"/>
      <c r="KOV65" s="192"/>
      <c r="KOW65" s="192"/>
      <c r="KOX65" s="192"/>
      <c r="KOY65" s="192"/>
      <c r="KOZ65" s="192"/>
      <c r="KPA65" s="192"/>
      <c r="KPB65" s="192"/>
      <c r="KPC65" s="192"/>
      <c r="KPD65" s="192"/>
      <c r="KPE65" s="192"/>
      <c r="KPF65" s="192"/>
      <c r="KPG65" s="192"/>
      <c r="KPH65" s="192"/>
      <c r="KPI65" s="192"/>
      <c r="KPJ65" s="192"/>
      <c r="KPK65" s="192"/>
      <c r="KPL65" s="192"/>
      <c r="KPM65" s="192"/>
      <c r="KPN65" s="192"/>
      <c r="KPO65" s="192"/>
      <c r="KPP65" s="192"/>
      <c r="KPQ65" s="192"/>
      <c r="KPR65" s="192"/>
      <c r="KPS65" s="192"/>
      <c r="KPT65" s="192"/>
      <c r="KPU65" s="192"/>
      <c r="KPV65" s="192"/>
      <c r="KPW65" s="192"/>
      <c r="KPX65" s="192"/>
      <c r="KPY65" s="192"/>
      <c r="KPZ65" s="192"/>
      <c r="KQA65" s="192"/>
      <c r="KQB65" s="192"/>
      <c r="KQC65" s="192"/>
      <c r="KQD65" s="192"/>
      <c r="KQE65" s="192"/>
      <c r="KQF65" s="192"/>
      <c r="KQG65" s="192"/>
      <c r="KQH65" s="192"/>
      <c r="KQI65" s="192"/>
      <c r="KQJ65" s="192"/>
      <c r="KQK65" s="192"/>
      <c r="KQL65" s="192"/>
      <c r="KQM65" s="192"/>
      <c r="KQN65" s="192"/>
      <c r="KQO65" s="192"/>
      <c r="KQP65" s="192"/>
      <c r="KQQ65" s="192"/>
      <c r="KQR65" s="192"/>
      <c r="KQS65" s="192"/>
      <c r="KQT65" s="192"/>
      <c r="KQU65" s="192"/>
      <c r="KQV65" s="192"/>
      <c r="KQW65" s="192"/>
      <c r="KQX65" s="192"/>
      <c r="KQY65" s="192"/>
      <c r="KQZ65" s="192"/>
      <c r="KRA65" s="192"/>
      <c r="KRB65" s="192"/>
      <c r="KRC65" s="192"/>
      <c r="KRD65" s="192"/>
      <c r="KRE65" s="192"/>
      <c r="KRF65" s="192"/>
      <c r="KRG65" s="192"/>
      <c r="KRH65" s="192"/>
      <c r="KRI65" s="192"/>
      <c r="KRJ65" s="192"/>
      <c r="KRK65" s="192"/>
      <c r="KRL65" s="192"/>
      <c r="KRM65" s="192"/>
      <c r="KRN65" s="192"/>
      <c r="KRO65" s="192"/>
      <c r="KRP65" s="192"/>
      <c r="KRQ65" s="192"/>
      <c r="KRR65" s="192"/>
      <c r="KRS65" s="192"/>
      <c r="KRT65" s="192"/>
      <c r="KRU65" s="192"/>
      <c r="KRV65" s="192"/>
      <c r="KRW65" s="192"/>
      <c r="KRX65" s="192"/>
      <c r="KRY65" s="192"/>
      <c r="KRZ65" s="192"/>
      <c r="KSA65" s="192"/>
      <c r="KSB65" s="192"/>
      <c r="KSC65" s="192"/>
      <c r="KSD65" s="192"/>
      <c r="KSE65" s="192"/>
      <c r="KSF65" s="192"/>
      <c r="KSG65" s="192"/>
      <c r="KSH65" s="192"/>
      <c r="KSI65" s="192"/>
      <c r="KSJ65" s="192"/>
      <c r="KSK65" s="192"/>
      <c r="KSL65" s="192"/>
      <c r="KSM65" s="192"/>
      <c r="KSN65" s="192"/>
      <c r="KSO65" s="192"/>
      <c r="KSP65" s="192"/>
      <c r="KSQ65" s="192"/>
      <c r="KSR65" s="192"/>
      <c r="KSS65" s="192"/>
      <c r="KST65" s="192"/>
      <c r="KSU65" s="192"/>
      <c r="KSV65" s="192"/>
      <c r="KSW65" s="192"/>
      <c r="KSX65" s="192"/>
      <c r="KSY65" s="192"/>
      <c r="KSZ65" s="192"/>
      <c r="KTA65" s="192"/>
      <c r="KTB65" s="192"/>
      <c r="KTC65" s="192"/>
      <c r="KTD65" s="192"/>
      <c r="KTE65" s="192"/>
      <c r="KTF65" s="192"/>
      <c r="KTG65" s="192"/>
      <c r="KTH65" s="192"/>
      <c r="KTI65" s="192"/>
      <c r="KTJ65" s="192"/>
      <c r="KTK65" s="192"/>
      <c r="KTL65" s="192"/>
      <c r="KTM65" s="192"/>
      <c r="KTN65" s="192"/>
      <c r="KTO65" s="192"/>
      <c r="KTP65" s="192"/>
      <c r="KTQ65" s="192"/>
      <c r="KTR65" s="192"/>
      <c r="KTS65" s="192"/>
      <c r="KTT65" s="192"/>
      <c r="KTU65" s="192"/>
      <c r="KTV65" s="192"/>
      <c r="KTW65" s="192"/>
      <c r="KTX65" s="192"/>
      <c r="KTY65" s="192"/>
      <c r="KTZ65" s="192"/>
      <c r="KUA65" s="192"/>
      <c r="KUB65" s="192"/>
      <c r="KUC65" s="192"/>
      <c r="KUD65" s="192"/>
      <c r="KUE65" s="192"/>
      <c r="KUF65" s="192"/>
      <c r="KUG65" s="192"/>
      <c r="KUH65" s="192"/>
      <c r="KUI65" s="192"/>
      <c r="KUJ65" s="192"/>
      <c r="KUK65" s="192"/>
      <c r="KUL65" s="192"/>
      <c r="KUM65" s="192"/>
      <c r="KUN65" s="192"/>
      <c r="KUO65" s="192"/>
      <c r="KUP65" s="192"/>
      <c r="KUQ65" s="192"/>
      <c r="KUR65" s="192"/>
      <c r="KUS65" s="192"/>
      <c r="KUT65" s="192"/>
      <c r="KUU65" s="192"/>
      <c r="KUV65" s="192"/>
      <c r="KUW65" s="192"/>
      <c r="KUX65" s="192"/>
      <c r="KUY65" s="192"/>
      <c r="KUZ65" s="192"/>
      <c r="KVA65" s="192"/>
      <c r="KVB65" s="192"/>
      <c r="KVC65" s="192"/>
      <c r="KVD65" s="192"/>
      <c r="KVE65" s="192"/>
      <c r="KVF65" s="192"/>
      <c r="KVG65" s="192"/>
      <c r="KVH65" s="192"/>
      <c r="KVI65" s="192"/>
      <c r="KVJ65" s="192"/>
      <c r="KVK65" s="192"/>
      <c r="KVL65" s="192"/>
      <c r="KVM65" s="192"/>
      <c r="KVN65" s="192"/>
      <c r="KVO65" s="192"/>
      <c r="KVP65" s="192"/>
      <c r="KVQ65" s="192"/>
      <c r="KVR65" s="192"/>
      <c r="KVS65" s="192"/>
      <c r="KVT65" s="192"/>
      <c r="KVU65" s="192"/>
      <c r="KVV65" s="192"/>
      <c r="KVW65" s="192"/>
      <c r="KVX65" s="192"/>
      <c r="KVY65" s="192"/>
      <c r="KVZ65" s="192"/>
      <c r="KWA65" s="192"/>
      <c r="KWB65" s="192"/>
      <c r="KWC65" s="192"/>
      <c r="KWD65" s="192"/>
      <c r="KWE65" s="192"/>
      <c r="KWF65" s="192"/>
      <c r="KWG65" s="192"/>
      <c r="KWH65" s="192"/>
      <c r="KWI65" s="192"/>
      <c r="KWJ65" s="192"/>
      <c r="KWK65" s="192"/>
      <c r="KWL65" s="192"/>
      <c r="KWM65" s="192"/>
      <c r="KWN65" s="192"/>
      <c r="KWO65" s="192"/>
      <c r="KWP65" s="192"/>
      <c r="KWQ65" s="192"/>
      <c r="KWR65" s="192"/>
      <c r="KWS65" s="192"/>
      <c r="KWT65" s="192"/>
      <c r="KWU65" s="192"/>
      <c r="KWV65" s="192"/>
      <c r="KWW65" s="192"/>
      <c r="KWX65" s="192"/>
      <c r="KWY65" s="192"/>
      <c r="KWZ65" s="192"/>
      <c r="KXA65" s="192"/>
      <c r="KXB65" s="192"/>
      <c r="KXC65" s="192"/>
      <c r="KXD65" s="192"/>
      <c r="KXE65" s="192"/>
      <c r="KXF65" s="192"/>
      <c r="KXG65" s="192"/>
      <c r="KXH65" s="192"/>
      <c r="KXI65" s="192"/>
      <c r="KXJ65" s="192"/>
      <c r="KXK65" s="192"/>
      <c r="KXL65" s="192"/>
      <c r="KXM65" s="192"/>
      <c r="KXN65" s="192"/>
      <c r="KXO65" s="192"/>
      <c r="KXP65" s="192"/>
      <c r="KXQ65" s="192"/>
      <c r="KXR65" s="192"/>
      <c r="KXS65" s="192"/>
      <c r="KXT65" s="192"/>
      <c r="KXU65" s="192"/>
      <c r="KXV65" s="192"/>
      <c r="KXW65" s="192"/>
      <c r="KXX65" s="192"/>
      <c r="KXY65" s="192"/>
      <c r="KXZ65" s="192"/>
      <c r="KYA65" s="192"/>
      <c r="KYB65" s="192"/>
      <c r="KYC65" s="192"/>
      <c r="KYD65" s="192"/>
      <c r="KYE65" s="192"/>
      <c r="KYF65" s="192"/>
      <c r="KYG65" s="192"/>
      <c r="KYH65" s="192"/>
      <c r="KYI65" s="192"/>
      <c r="KYJ65" s="192"/>
      <c r="KYK65" s="192"/>
      <c r="KYL65" s="192"/>
      <c r="KYM65" s="192"/>
      <c r="KYN65" s="192"/>
      <c r="KYO65" s="192"/>
      <c r="KYP65" s="192"/>
      <c r="KYQ65" s="192"/>
      <c r="KYR65" s="192"/>
      <c r="KYS65" s="192"/>
      <c r="KYT65" s="192"/>
      <c r="KYU65" s="192"/>
      <c r="KYV65" s="192"/>
      <c r="KYW65" s="192"/>
      <c r="KYX65" s="192"/>
      <c r="KYY65" s="192"/>
      <c r="KYZ65" s="192"/>
      <c r="KZA65" s="192"/>
      <c r="KZB65" s="192"/>
      <c r="KZC65" s="192"/>
      <c r="KZD65" s="192"/>
      <c r="KZE65" s="192"/>
      <c r="KZF65" s="192"/>
      <c r="KZG65" s="192"/>
      <c r="KZH65" s="192"/>
      <c r="KZI65" s="192"/>
      <c r="KZJ65" s="192"/>
      <c r="KZK65" s="192"/>
      <c r="KZL65" s="192"/>
      <c r="KZM65" s="192"/>
      <c r="KZN65" s="192"/>
      <c r="KZO65" s="192"/>
      <c r="KZP65" s="192"/>
      <c r="KZQ65" s="192"/>
      <c r="KZR65" s="192"/>
      <c r="KZS65" s="192"/>
      <c r="KZT65" s="192"/>
      <c r="KZU65" s="192"/>
      <c r="KZV65" s="192"/>
      <c r="KZW65" s="192"/>
      <c r="KZX65" s="192"/>
      <c r="KZY65" s="192"/>
      <c r="KZZ65" s="192"/>
      <c r="LAA65" s="192"/>
      <c r="LAB65" s="192"/>
      <c r="LAC65" s="192"/>
      <c r="LAD65" s="192"/>
      <c r="LAE65" s="192"/>
      <c r="LAF65" s="192"/>
      <c r="LAG65" s="192"/>
      <c r="LAH65" s="192"/>
      <c r="LAI65" s="192"/>
      <c r="LAJ65" s="192"/>
      <c r="LAK65" s="192"/>
      <c r="LAL65" s="192"/>
      <c r="LAM65" s="192"/>
      <c r="LAN65" s="192"/>
      <c r="LAO65" s="192"/>
      <c r="LAP65" s="192"/>
      <c r="LAQ65" s="192"/>
      <c r="LAR65" s="192"/>
      <c r="LAS65" s="192"/>
      <c r="LAT65" s="192"/>
      <c r="LAU65" s="192"/>
      <c r="LAV65" s="192"/>
      <c r="LAW65" s="192"/>
      <c r="LAX65" s="192"/>
      <c r="LAY65" s="192"/>
      <c r="LAZ65" s="192"/>
      <c r="LBA65" s="192"/>
      <c r="LBB65" s="192"/>
      <c r="LBC65" s="192"/>
      <c r="LBD65" s="192"/>
      <c r="LBE65" s="192"/>
      <c r="LBF65" s="192"/>
      <c r="LBG65" s="192"/>
      <c r="LBH65" s="192"/>
      <c r="LBI65" s="192"/>
      <c r="LBJ65" s="192"/>
      <c r="LBK65" s="192"/>
      <c r="LBL65" s="192"/>
      <c r="LBM65" s="192"/>
      <c r="LBN65" s="192"/>
      <c r="LBO65" s="192"/>
      <c r="LBP65" s="192"/>
      <c r="LBQ65" s="192"/>
      <c r="LBR65" s="192"/>
      <c r="LBS65" s="192"/>
      <c r="LBT65" s="192"/>
      <c r="LBU65" s="192"/>
      <c r="LBV65" s="192"/>
      <c r="LBW65" s="192"/>
      <c r="LBX65" s="192"/>
      <c r="LBY65" s="192"/>
      <c r="LBZ65" s="192"/>
      <c r="LCA65" s="192"/>
      <c r="LCB65" s="192"/>
      <c r="LCC65" s="192"/>
      <c r="LCD65" s="192"/>
      <c r="LCE65" s="192"/>
      <c r="LCF65" s="192"/>
      <c r="LCG65" s="192"/>
      <c r="LCH65" s="192"/>
      <c r="LCI65" s="192"/>
      <c r="LCJ65" s="192"/>
      <c r="LCK65" s="192"/>
      <c r="LCL65" s="192"/>
      <c r="LCM65" s="192"/>
      <c r="LCN65" s="192"/>
      <c r="LCO65" s="192"/>
      <c r="LCP65" s="192"/>
      <c r="LCQ65" s="192"/>
      <c r="LCR65" s="192"/>
      <c r="LCS65" s="192"/>
      <c r="LCT65" s="192"/>
      <c r="LCU65" s="192"/>
      <c r="LCV65" s="192"/>
      <c r="LCW65" s="192"/>
      <c r="LCX65" s="192"/>
      <c r="LCY65" s="192"/>
      <c r="LCZ65" s="192"/>
      <c r="LDA65" s="192"/>
      <c r="LDB65" s="192"/>
      <c r="LDC65" s="192"/>
      <c r="LDD65" s="192"/>
      <c r="LDE65" s="192"/>
      <c r="LDF65" s="192"/>
      <c r="LDG65" s="192"/>
      <c r="LDH65" s="192"/>
      <c r="LDI65" s="192"/>
      <c r="LDJ65" s="192"/>
      <c r="LDK65" s="192"/>
      <c r="LDL65" s="192"/>
      <c r="LDM65" s="192"/>
      <c r="LDN65" s="192"/>
      <c r="LDO65" s="192"/>
      <c r="LDP65" s="192"/>
      <c r="LDQ65" s="192"/>
      <c r="LDR65" s="192"/>
      <c r="LDS65" s="192"/>
      <c r="LDT65" s="192"/>
      <c r="LDU65" s="192"/>
      <c r="LDV65" s="192"/>
      <c r="LDW65" s="192"/>
      <c r="LDX65" s="192"/>
      <c r="LDY65" s="192"/>
      <c r="LDZ65" s="192"/>
      <c r="LEA65" s="192"/>
      <c r="LEB65" s="192"/>
      <c r="LEC65" s="192"/>
      <c r="LED65" s="192"/>
      <c r="LEE65" s="192"/>
      <c r="LEF65" s="192"/>
      <c r="LEG65" s="192"/>
      <c r="LEH65" s="192"/>
      <c r="LEI65" s="192"/>
      <c r="LEJ65" s="192"/>
      <c r="LEK65" s="192"/>
      <c r="LEL65" s="192"/>
      <c r="LEM65" s="192"/>
      <c r="LEN65" s="192"/>
      <c r="LEO65" s="192"/>
      <c r="LEP65" s="192"/>
      <c r="LEQ65" s="192"/>
      <c r="LER65" s="192"/>
      <c r="LES65" s="192"/>
      <c r="LET65" s="192"/>
      <c r="LEU65" s="192"/>
      <c r="LEV65" s="192"/>
      <c r="LEW65" s="192"/>
      <c r="LEX65" s="192"/>
      <c r="LEY65" s="192"/>
      <c r="LEZ65" s="192"/>
      <c r="LFA65" s="192"/>
      <c r="LFB65" s="192"/>
      <c r="LFC65" s="192"/>
      <c r="LFD65" s="192"/>
      <c r="LFE65" s="192"/>
      <c r="LFF65" s="192"/>
      <c r="LFG65" s="192"/>
      <c r="LFH65" s="192"/>
      <c r="LFI65" s="192"/>
      <c r="LFJ65" s="192"/>
      <c r="LFK65" s="192"/>
      <c r="LFL65" s="192"/>
      <c r="LFM65" s="192"/>
      <c r="LFN65" s="192"/>
      <c r="LFO65" s="192"/>
      <c r="LFP65" s="192"/>
      <c r="LFQ65" s="192"/>
      <c r="LFR65" s="192"/>
      <c r="LFS65" s="192"/>
      <c r="LFT65" s="192"/>
      <c r="LFU65" s="192"/>
      <c r="LFV65" s="192"/>
      <c r="LFW65" s="192"/>
      <c r="LFX65" s="192"/>
      <c r="LFY65" s="192"/>
      <c r="LFZ65" s="192"/>
      <c r="LGA65" s="192"/>
      <c r="LGB65" s="192"/>
      <c r="LGC65" s="192"/>
      <c r="LGD65" s="192"/>
      <c r="LGE65" s="192"/>
      <c r="LGF65" s="192"/>
      <c r="LGG65" s="192"/>
      <c r="LGH65" s="192"/>
      <c r="LGI65" s="192"/>
      <c r="LGJ65" s="192"/>
      <c r="LGK65" s="192"/>
      <c r="LGL65" s="192"/>
      <c r="LGM65" s="192"/>
      <c r="LGN65" s="192"/>
      <c r="LGO65" s="192"/>
      <c r="LGP65" s="192"/>
      <c r="LGQ65" s="192"/>
      <c r="LGR65" s="192"/>
      <c r="LGS65" s="192"/>
      <c r="LGT65" s="192"/>
      <c r="LGU65" s="192"/>
      <c r="LGV65" s="192"/>
      <c r="LGW65" s="192"/>
      <c r="LGX65" s="192"/>
      <c r="LGY65" s="192"/>
      <c r="LGZ65" s="192"/>
      <c r="LHA65" s="192"/>
      <c r="LHB65" s="192"/>
      <c r="LHC65" s="192"/>
      <c r="LHD65" s="192"/>
      <c r="LHE65" s="192"/>
      <c r="LHF65" s="192"/>
      <c r="LHG65" s="192"/>
      <c r="LHH65" s="192"/>
      <c r="LHI65" s="192"/>
      <c r="LHJ65" s="192"/>
      <c r="LHK65" s="192"/>
      <c r="LHL65" s="192"/>
      <c r="LHM65" s="192"/>
      <c r="LHN65" s="192"/>
      <c r="LHO65" s="192"/>
      <c r="LHP65" s="192"/>
      <c r="LHQ65" s="192"/>
      <c r="LHR65" s="192"/>
      <c r="LHS65" s="192"/>
      <c r="LHT65" s="192"/>
      <c r="LHU65" s="192"/>
      <c r="LHV65" s="192"/>
      <c r="LHW65" s="192"/>
      <c r="LHX65" s="192"/>
      <c r="LHY65" s="192"/>
      <c r="LHZ65" s="192"/>
      <c r="LIA65" s="192"/>
      <c r="LIB65" s="192"/>
      <c r="LIC65" s="192"/>
      <c r="LID65" s="192"/>
      <c r="LIE65" s="192"/>
      <c r="LIF65" s="192"/>
      <c r="LIG65" s="192"/>
      <c r="LIH65" s="192"/>
      <c r="LII65" s="192"/>
      <c r="LIJ65" s="192"/>
      <c r="LIK65" s="192"/>
      <c r="LIL65" s="192"/>
      <c r="LIM65" s="192"/>
      <c r="LIN65" s="192"/>
      <c r="LIO65" s="192"/>
      <c r="LIP65" s="192"/>
      <c r="LIQ65" s="192"/>
      <c r="LIR65" s="192"/>
      <c r="LIS65" s="192"/>
      <c r="LIT65" s="192"/>
      <c r="LIU65" s="192"/>
      <c r="LIV65" s="192"/>
      <c r="LIW65" s="192"/>
      <c r="LIX65" s="192"/>
      <c r="LIY65" s="192"/>
      <c r="LIZ65" s="192"/>
      <c r="LJA65" s="192"/>
      <c r="LJB65" s="192"/>
      <c r="LJC65" s="192"/>
      <c r="LJD65" s="192"/>
      <c r="LJE65" s="192"/>
      <c r="LJF65" s="192"/>
      <c r="LJG65" s="192"/>
      <c r="LJH65" s="192"/>
      <c r="LJI65" s="192"/>
      <c r="LJJ65" s="192"/>
      <c r="LJK65" s="192"/>
      <c r="LJL65" s="192"/>
      <c r="LJM65" s="192"/>
      <c r="LJN65" s="192"/>
      <c r="LJO65" s="192"/>
      <c r="LJP65" s="192"/>
      <c r="LJQ65" s="192"/>
      <c r="LJR65" s="192"/>
      <c r="LJS65" s="192"/>
      <c r="LJT65" s="192"/>
      <c r="LJU65" s="192"/>
      <c r="LJV65" s="192"/>
      <c r="LJW65" s="192"/>
      <c r="LJX65" s="192"/>
      <c r="LJY65" s="192"/>
      <c r="LJZ65" s="192"/>
      <c r="LKA65" s="192"/>
      <c r="LKB65" s="192"/>
      <c r="LKC65" s="192"/>
      <c r="LKD65" s="192"/>
      <c r="LKE65" s="192"/>
      <c r="LKF65" s="192"/>
      <c r="LKG65" s="192"/>
      <c r="LKH65" s="192"/>
      <c r="LKI65" s="192"/>
      <c r="LKJ65" s="192"/>
      <c r="LKK65" s="192"/>
      <c r="LKL65" s="192"/>
      <c r="LKM65" s="192"/>
      <c r="LKN65" s="192"/>
      <c r="LKO65" s="192"/>
      <c r="LKP65" s="192"/>
      <c r="LKQ65" s="192"/>
      <c r="LKR65" s="192"/>
      <c r="LKS65" s="192"/>
      <c r="LKT65" s="192"/>
      <c r="LKU65" s="192"/>
      <c r="LKV65" s="192"/>
      <c r="LKW65" s="192"/>
      <c r="LKX65" s="192"/>
      <c r="LKY65" s="192"/>
      <c r="LKZ65" s="192"/>
      <c r="LLA65" s="192"/>
      <c r="LLB65" s="192"/>
      <c r="LLC65" s="192"/>
      <c r="LLD65" s="192"/>
      <c r="LLE65" s="192"/>
      <c r="LLF65" s="192"/>
      <c r="LLG65" s="192"/>
      <c r="LLH65" s="192"/>
      <c r="LLI65" s="192"/>
      <c r="LLJ65" s="192"/>
      <c r="LLK65" s="192"/>
      <c r="LLL65" s="192"/>
      <c r="LLM65" s="192"/>
      <c r="LLN65" s="192"/>
      <c r="LLO65" s="192"/>
      <c r="LLP65" s="192"/>
      <c r="LLQ65" s="192"/>
      <c r="LLR65" s="192"/>
      <c r="LLS65" s="192"/>
      <c r="LLT65" s="192"/>
      <c r="LLU65" s="192"/>
      <c r="LLV65" s="192"/>
      <c r="LLW65" s="192"/>
      <c r="LLX65" s="192"/>
      <c r="LLY65" s="192"/>
      <c r="LLZ65" s="192"/>
      <c r="LMA65" s="192"/>
      <c r="LMB65" s="192"/>
      <c r="LMC65" s="192"/>
      <c r="LMD65" s="192"/>
      <c r="LME65" s="192"/>
      <c r="LMF65" s="192"/>
      <c r="LMG65" s="192"/>
      <c r="LMH65" s="192"/>
      <c r="LMI65" s="192"/>
      <c r="LMJ65" s="192"/>
      <c r="LMK65" s="192"/>
      <c r="LML65" s="192"/>
      <c r="LMM65" s="192"/>
      <c r="LMN65" s="192"/>
      <c r="LMO65" s="192"/>
      <c r="LMP65" s="192"/>
      <c r="LMQ65" s="192"/>
      <c r="LMR65" s="192"/>
      <c r="LMS65" s="192"/>
      <c r="LMT65" s="192"/>
      <c r="LMU65" s="192"/>
      <c r="LMV65" s="192"/>
      <c r="LMW65" s="192"/>
      <c r="LMX65" s="192"/>
      <c r="LMY65" s="192"/>
      <c r="LMZ65" s="192"/>
      <c r="LNA65" s="192"/>
      <c r="LNB65" s="192"/>
      <c r="LNC65" s="192"/>
      <c r="LND65" s="192"/>
      <c r="LNE65" s="192"/>
      <c r="LNF65" s="192"/>
      <c r="LNG65" s="192"/>
      <c r="LNH65" s="192"/>
      <c r="LNI65" s="192"/>
      <c r="LNJ65" s="192"/>
      <c r="LNK65" s="192"/>
      <c r="LNL65" s="192"/>
      <c r="LNM65" s="192"/>
      <c r="LNN65" s="192"/>
      <c r="LNO65" s="192"/>
      <c r="LNP65" s="192"/>
      <c r="LNQ65" s="192"/>
      <c r="LNR65" s="192"/>
      <c r="LNS65" s="192"/>
      <c r="LNT65" s="192"/>
      <c r="LNU65" s="192"/>
      <c r="LNV65" s="192"/>
      <c r="LNW65" s="192"/>
      <c r="LNX65" s="192"/>
      <c r="LNY65" s="192"/>
      <c r="LNZ65" s="192"/>
      <c r="LOA65" s="192"/>
      <c r="LOB65" s="192"/>
      <c r="LOC65" s="192"/>
      <c r="LOD65" s="192"/>
      <c r="LOE65" s="192"/>
      <c r="LOF65" s="192"/>
      <c r="LOG65" s="192"/>
      <c r="LOH65" s="192"/>
      <c r="LOI65" s="192"/>
      <c r="LOJ65" s="192"/>
      <c r="LOK65" s="192"/>
      <c r="LOL65" s="192"/>
      <c r="LOM65" s="192"/>
      <c r="LON65" s="192"/>
      <c r="LOO65" s="192"/>
      <c r="LOP65" s="192"/>
      <c r="LOQ65" s="192"/>
      <c r="LOR65" s="192"/>
      <c r="LOS65" s="192"/>
      <c r="LOT65" s="192"/>
      <c r="LOU65" s="192"/>
      <c r="LOV65" s="192"/>
      <c r="LOW65" s="192"/>
      <c r="LOX65" s="192"/>
      <c r="LOY65" s="192"/>
      <c r="LOZ65" s="192"/>
      <c r="LPA65" s="192"/>
      <c r="LPB65" s="192"/>
      <c r="LPC65" s="192"/>
      <c r="LPD65" s="192"/>
      <c r="LPE65" s="192"/>
      <c r="LPF65" s="192"/>
      <c r="LPG65" s="192"/>
      <c r="LPH65" s="192"/>
      <c r="LPI65" s="192"/>
      <c r="LPJ65" s="192"/>
      <c r="LPK65" s="192"/>
      <c r="LPL65" s="192"/>
      <c r="LPM65" s="192"/>
      <c r="LPN65" s="192"/>
      <c r="LPO65" s="192"/>
      <c r="LPP65" s="192"/>
      <c r="LPQ65" s="192"/>
      <c r="LPR65" s="192"/>
      <c r="LPS65" s="192"/>
      <c r="LPT65" s="192"/>
      <c r="LPU65" s="192"/>
      <c r="LPV65" s="192"/>
      <c r="LPW65" s="192"/>
      <c r="LPX65" s="192"/>
      <c r="LPY65" s="192"/>
      <c r="LPZ65" s="192"/>
      <c r="LQA65" s="192"/>
      <c r="LQB65" s="192"/>
      <c r="LQC65" s="192"/>
      <c r="LQD65" s="192"/>
      <c r="LQE65" s="192"/>
      <c r="LQF65" s="192"/>
      <c r="LQG65" s="192"/>
      <c r="LQH65" s="192"/>
      <c r="LQI65" s="192"/>
      <c r="LQJ65" s="192"/>
      <c r="LQK65" s="192"/>
      <c r="LQL65" s="192"/>
      <c r="LQM65" s="192"/>
      <c r="LQN65" s="192"/>
      <c r="LQO65" s="192"/>
      <c r="LQP65" s="192"/>
      <c r="LQQ65" s="192"/>
      <c r="LQR65" s="192"/>
      <c r="LQS65" s="192"/>
      <c r="LQT65" s="192"/>
      <c r="LQU65" s="192"/>
      <c r="LQV65" s="192"/>
      <c r="LQW65" s="192"/>
      <c r="LQX65" s="192"/>
      <c r="LQY65" s="192"/>
      <c r="LQZ65" s="192"/>
      <c r="LRA65" s="192"/>
      <c r="LRB65" s="192"/>
      <c r="LRC65" s="192"/>
      <c r="LRD65" s="192"/>
      <c r="LRE65" s="192"/>
      <c r="LRF65" s="192"/>
      <c r="LRG65" s="192"/>
      <c r="LRH65" s="192"/>
      <c r="LRI65" s="192"/>
      <c r="LRJ65" s="192"/>
      <c r="LRK65" s="192"/>
      <c r="LRL65" s="192"/>
      <c r="LRM65" s="192"/>
      <c r="LRN65" s="192"/>
      <c r="LRO65" s="192"/>
      <c r="LRP65" s="192"/>
      <c r="LRQ65" s="192"/>
      <c r="LRR65" s="192"/>
      <c r="LRS65" s="192"/>
      <c r="LRT65" s="192"/>
      <c r="LRU65" s="192"/>
      <c r="LRV65" s="192"/>
      <c r="LRW65" s="192"/>
      <c r="LRX65" s="192"/>
      <c r="LRY65" s="192"/>
      <c r="LRZ65" s="192"/>
      <c r="LSA65" s="192"/>
      <c r="LSB65" s="192"/>
      <c r="LSC65" s="192"/>
      <c r="LSD65" s="192"/>
      <c r="LSE65" s="192"/>
      <c r="LSF65" s="192"/>
      <c r="LSG65" s="192"/>
      <c r="LSH65" s="192"/>
      <c r="LSI65" s="192"/>
      <c r="LSJ65" s="192"/>
      <c r="LSK65" s="192"/>
      <c r="LSL65" s="192"/>
      <c r="LSM65" s="192"/>
      <c r="LSN65" s="192"/>
      <c r="LSO65" s="192"/>
      <c r="LSP65" s="192"/>
      <c r="LSQ65" s="192"/>
      <c r="LSR65" s="192"/>
      <c r="LSS65" s="192"/>
      <c r="LST65" s="192"/>
      <c r="LSU65" s="192"/>
      <c r="LSV65" s="192"/>
      <c r="LSW65" s="192"/>
      <c r="LSX65" s="192"/>
      <c r="LSY65" s="192"/>
      <c r="LSZ65" s="192"/>
      <c r="LTA65" s="192"/>
      <c r="LTB65" s="192"/>
      <c r="LTC65" s="192"/>
      <c r="LTD65" s="192"/>
      <c r="LTE65" s="192"/>
      <c r="LTF65" s="192"/>
      <c r="LTG65" s="192"/>
      <c r="LTH65" s="192"/>
      <c r="LTI65" s="192"/>
      <c r="LTJ65" s="192"/>
      <c r="LTK65" s="192"/>
      <c r="LTL65" s="192"/>
      <c r="LTM65" s="192"/>
      <c r="LTN65" s="192"/>
      <c r="LTO65" s="192"/>
      <c r="LTP65" s="192"/>
      <c r="LTQ65" s="192"/>
      <c r="LTR65" s="192"/>
      <c r="LTS65" s="192"/>
      <c r="LTT65" s="192"/>
      <c r="LTU65" s="192"/>
      <c r="LTV65" s="192"/>
      <c r="LTW65" s="192"/>
      <c r="LTX65" s="192"/>
      <c r="LTY65" s="192"/>
      <c r="LTZ65" s="192"/>
      <c r="LUA65" s="192"/>
      <c r="LUB65" s="192"/>
      <c r="LUC65" s="192"/>
      <c r="LUD65" s="192"/>
      <c r="LUE65" s="192"/>
      <c r="LUF65" s="192"/>
      <c r="LUG65" s="192"/>
      <c r="LUH65" s="192"/>
      <c r="LUI65" s="192"/>
      <c r="LUJ65" s="192"/>
      <c r="LUK65" s="192"/>
      <c r="LUL65" s="192"/>
      <c r="LUM65" s="192"/>
      <c r="LUN65" s="192"/>
      <c r="LUO65" s="192"/>
      <c r="LUP65" s="192"/>
      <c r="LUQ65" s="192"/>
      <c r="LUR65" s="192"/>
      <c r="LUS65" s="192"/>
      <c r="LUT65" s="192"/>
      <c r="LUU65" s="192"/>
      <c r="LUV65" s="192"/>
      <c r="LUW65" s="192"/>
      <c r="LUX65" s="192"/>
      <c r="LUY65" s="192"/>
      <c r="LUZ65" s="192"/>
      <c r="LVA65" s="192"/>
      <c r="LVB65" s="192"/>
      <c r="LVC65" s="192"/>
      <c r="LVD65" s="192"/>
      <c r="LVE65" s="192"/>
      <c r="LVF65" s="192"/>
      <c r="LVG65" s="192"/>
      <c r="LVH65" s="192"/>
      <c r="LVI65" s="192"/>
      <c r="LVJ65" s="192"/>
      <c r="LVK65" s="192"/>
      <c r="LVL65" s="192"/>
      <c r="LVM65" s="192"/>
      <c r="LVN65" s="192"/>
      <c r="LVO65" s="192"/>
      <c r="LVP65" s="192"/>
      <c r="LVQ65" s="192"/>
      <c r="LVR65" s="192"/>
      <c r="LVS65" s="192"/>
      <c r="LVT65" s="192"/>
      <c r="LVU65" s="192"/>
      <c r="LVV65" s="192"/>
      <c r="LVW65" s="192"/>
      <c r="LVX65" s="192"/>
      <c r="LVY65" s="192"/>
      <c r="LVZ65" s="192"/>
      <c r="LWA65" s="192"/>
      <c r="LWB65" s="192"/>
      <c r="LWC65" s="192"/>
      <c r="LWD65" s="192"/>
      <c r="LWE65" s="192"/>
      <c r="LWF65" s="192"/>
      <c r="LWG65" s="192"/>
      <c r="LWH65" s="192"/>
      <c r="LWI65" s="192"/>
      <c r="LWJ65" s="192"/>
      <c r="LWK65" s="192"/>
      <c r="LWL65" s="192"/>
      <c r="LWM65" s="192"/>
      <c r="LWN65" s="192"/>
      <c r="LWO65" s="192"/>
      <c r="LWP65" s="192"/>
      <c r="LWQ65" s="192"/>
      <c r="LWR65" s="192"/>
      <c r="LWS65" s="192"/>
      <c r="LWT65" s="192"/>
      <c r="LWU65" s="192"/>
      <c r="LWV65" s="192"/>
      <c r="LWW65" s="192"/>
      <c r="LWX65" s="192"/>
      <c r="LWY65" s="192"/>
      <c r="LWZ65" s="192"/>
      <c r="LXA65" s="192"/>
      <c r="LXB65" s="192"/>
      <c r="LXC65" s="192"/>
      <c r="LXD65" s="192"/>
      <c r="LXE65" s="192"/>
      <c r="LXF65" s="192"/>
      <c r="LXG65" s="192"/>
      <c r="LXH65" s="192"/>
      <c r="LXI65" s="192"/>
      <c r="LXJ65" s="192"/>
      <c r="LXK65" s="192"/>
      <c r="LXL65" s="192"/>
      <c r="LXM65" s="192"/>
      <c r="LXN65" s="192"/>
      <c r="LXO65" s="192"/>
      <c r="LXP65" s="192"/>
      <c r="LXQ65" s="192"/>
      <c r="LXR65" s="192"/>
      <c r="LXS65" s="192"/>
      <c r="LXT65" s="192"/>
      <c r="LXU65" s="192"/>
      <c r="LXV65" s="192"/>
      <c r="LXW65" s="192"/>
      <c r="LXX65" s="192"/>
      <c r="LXY65" s="192"/>
      <c r="LXZ65" s="192"/>
      <c r="LYA65" s="192"/>
      <c r="LYB65" s="192"/>
      <c r="LYC65" s="192"/>
      <c r="LYD65" s="192"/>
      <c r="LYE65" s="192"/>
      <c r="LYF65" s="192"/>
      <c r="LYG65" s="192"/>
      <c r="LYH65" s="192"/>
      <c r="LYI65" s="192"/>
      <c r="LYJ65" s="192"/>
      <c r="LYK65" s="192"/>
      <c r="LYL65" s="192"/>
      <c r="LYM65" s="192"/>
      <c r="LYN65" s="192"/>
      <c r="LYO65" s="192"/>
      <c r="LYP65" s="192"/>
      <c r="LYQ65" s="192"/>
      <c r="LYR65" s="192"/>
      <c r="LYS65" s="192"/>
      <c r="LYT65" s="192"/>
      <c r="LYU65" s="192"/>
      <c r="LYV65" s="192"/>
      <c r="LYW65" s="192"/>
      <c r="LYX65" s="192"/>
      <c r="LYY65" s="192"/>
      <c r="LYZ65" s="192"/>
      <c r="LZA65" s="192"/>
      <c r="LZB65" s="192"/>
      <c r="LZC65" s="192"/>
      <c r="LZD65" s="192"/>
      <c r="LZE65" s="192"/>
      <c r="LZF65" s="192"/>
      <c r="LZG65" s="192"/>
      <c r="LZH65" s="192"/>
      <c r="LZI65" s="192"/>
      <c r="LZJ65" s="192"/>
      <c r="LZK65" s="192"/>
      <c r="LZL65" s="192"/>
      <c r="LZM65" s="192"/>
      <c r="LZN65" s="192"/>
      <c r="LZO65" s="192"/>
      <c r="LZP65" s="192"/>
      <c r="LZQ65" s="192"/>
      <c r="LZR65" s="192"/>
      <c r="LZS65" s="192"/>
      <c r="LZT65" s="192"/>
      <c r="LZU65" s="192"/>
      <c r="LZV65" s="192"/>
      <c r="LZW65" s="192"/>
      <c r="LZX65" s="192"/>
      <c r="LZY65" s="192"/>
      <c r="LZZ65" s="192"/>
      <c r="MAA65" s="192"/>
      <c r="MAB65" s="192"/>
      <c r="MAC65" s="192"/>
      <c r="MAD65" s="192"/>
      <c r="MAE65" s="192"/>
      <c r="MAF65" s="192"/>
      <c r="MAG65" s="192"/>
      <c r="MAH65" s="192"/>
      <c r="MAI65" s="192"/>
      <c r="MAJ65" s="192"/>
      <c r="MAK65" s="192"/>
      <c r="MAL65" s="192"/>
      <c r="MAM65" s="192"/>
      <c r="MAN65" s="192"/>
      <c r="MAO65" s="192"/>
      <c r="MAP65" s="192"/>
      <c r="MAQ65" s="192"/>
      <c r="MAR65" s="192"/>
      <c r="MAS65" s="192"/>
      <c r="MAT65" s="192"/>
      <c r="MAU65" s="192"/>
      <c r="MAV65" s="192"/>
      <c r="MAW65" s="192"/>
      <c r="MAX65" s="192"/>
      <c r="MAY65" s="192"/>
      <c r="MAZ65" s="192"/>
      <c r="MBA65" s="192"/>
      <c r="MBB65" s="192"/>
      <c r="MBC65" s="192"/>
      <c r="MBD65" s="192"/>
      <c r="MBE65" s="192"/>
      <c r="MBF65" s="192"/>
      <c r="MBG65" s="192"/>
      <c r="MBH65" s="192"/>
      <c r="MBI65" s="192"/>
      <c r="MBJ65" s="192"/>
      <c r="MBK65" s="192"/>
      <c r="MBL65" s="192"/>
      <c r="MBM65" s="192"/>
      <c r="MBN65" s="192"/>
      <c r="MBO65" s="192"/>
      <c r="MBP65" s="192"/>
      <c r="MBQ65" s="192"/>
      <c r="MBR65" s="192"/>
      <c r="MBS65" s="192"/>
      <c r="MBT65" s="192"/>
      <c r="MBU65" s="192"/>
      <c r="MBV65" s="192"/>
      <c r="MBW65" s="192"/>
      <c r="MBX65" s="192"/>
      <c r="MBY65" s="192"/>
      <c r="MBZ65" s="192"/>
      <c r="MCA65" s="192"/>
      <c r="MCB65" s="192"/>
      <c r="MCC65" s="192"/>
      <c r="MCD65" s="192"/>
      <c r="MCE65" s="192"/>
      <c r="MCF65" s="192"/>
      <c r="MCG65" s="192"/>
      <c r="MCH65" s="192"/>
      <c r="MCI65" s="192"/>
      <c r="MCJ65" s="192"/>
      <c r="MCK65" s="192"/>
      <c r="MCL65" s="192"/>
      <c r="MCM65" s="192"/>
      <c r="MCN65" s="192"/>
      <c r="MCO65" s="192"/>
      <c r="MCP65" s="192"/>
      <c r="MCQ65" s="192"/>
      <c r="MCR65" s="192"/>
      <c r="MCS65" s="192"/>
      <c r="MCT65" s="192"/>
      <c r="MCU65" s="192"/>
      <c r="MCV65" s="192"/>
      <c r="MCW65" s="192"/>
      <c r="MCX65" s="192"/>
      <c r="MCY65" s="192"/>
      <c r="MCZ65" s="192"/>
      <c r="MDA65" s="192"/>
      <c r="MDB65" s="192"/>
      <c r="MDC65" s="192"/>
      <c r="MDD65" s="192"/>
      <c r="MDE65" s="192"/>
      <c r="MDF65" s="192"/>
      <c r="MDG65" s="192"/>
      <c r="MDH65" s="192"/>
      <c r="MDI65" s="192"/>
      <c r="MDJ65" s="192"/>
      <c r="MDK65" s="192"/>
      <c r="MDL65" s="192"/>
      <c r="MDM65" s="192"/>
      <c r="MDN65" s="192"/>
      <c r="MDO65" s="192"/>
      <c r="MDP65" s="192"/>
      <c r="MDQ65" s="192"/>
      <c r="MDR65" s="192"/>
      <c r="MDS65" s="192"/>
      <c r="MDT65" s="192"/>
      <c r="MDU65" s="192"/>
      <c r="MDV65" s="192"/>
      <c r="MDW65" s="192"/>
      <c r="MDX65" s="192"/>
      <c r="MDY65" s="192"/>
      <c r="MDZ65" s="192"/>
      <c r="MEA65" s="192"/>
      <c r="MEB65" s="192"/>
      <c r="MEC65" s="192"/>
      <c r="MED65" s="192"/>
      <c r="MEE65" s="192"/>
      <c r="MEF65" s="192"/>
      <c r="MEG65" s="192"/>
      <c r="MEH65" s="192"/>
      <c r="MEI65" s="192"/>
      <c r="MEJ65" s="192"/>
      <c r="MEK65" s="192"/>
      <c r="MEL65" s="192"/>
      <c r="MEM65" s="192"/>
      <c r="MEN65" s="192"/>
      <c r="MEO65" s="192"/>
      <c r="MEP65" s="192"/>
      <c r="MEQ65" s="192"/>
      <c r="MER65" s="192"/>
      <c r="MES65" s="192"/>
      <c r="MET65" s="192"/>
      <c r="MEU65" s="192"/>
      <c r="MEV65" s="192"/>
      <c r="MEW65" s="192"/>
      <c r="MEX65" s="192"/>
      <c r="MEY65" s="192"/>
      <c r="MEZ65" s="192"/>
      <c r="MFA65" s="192"/>
      <c r="MFB65" s="192"/>
      <c r="MFC65" s="192"/>
      <c r="MFD65" s="192"/>
      <c r="MFE65" s="192"/>
      <c r="MFF65" s="192"/>
      <c r="MFG65" s="192"/>
      <c r="MFH65" s="192"/>
      <c r="MFI65" s="192"/>
      <c r="MFJ65" s="192"/>
      <c r="MFK65" s="192"/>
      <c r="MFL65" s="192"/>
      <c r="MFM65" s="192"/>
      <c r="MFN65" s="192"/>
      <c r="MFO65" s="192"/>
      <c r="MFP65" s="192"/>
      <c r="MFQ65" s="192"/>
      <c r="MFR65" s="192"/>
      <c r="MFS65" s="192"/>
      <c r="MFT65" s="192"/>
      <c r="MFU65" s="192"/>
      <c r="MFV65" s="192"/>
      <c r="MFW65" s="192"/>
      <c r="MFX65" s="192"/>
      <c r="MFY65" s="192"/>
      <c r="MFZ65" s="192"/>
      <c r="MGA65" s="192"/>
      <c r="MGB65" s="192"/>
      <c r="MGC65" s="192"/>
      <c r="MGD65" s="192"/>
      <c r="MGE65" s="192"/>
      <c r="MGF65" s="192"/>
      <c r="MGG65" s="192"/>
      <c r="MGH65" s="192"/>
      <c r="MGI65" s="192"/>
      <c r="MGJ65" s="192"/>
      <c r="MGK65" s="192"/>
      <c r="MGL65" s="192"/>
      <c r="MGM65" s="192"/>
      <c r="MGN65" s="192"/>
      <c r="MGO65" s="192"/>
      <c r="MGP65" s="192"/>
      <c r="MGQ65" s="192"/>
      <c r="MGR65" s="192"/>
      <c r="MGS65" s="192"/>
      <c r="MGT65" s="192"/>
      <c r="MGU65" s="192"/>
      <c r="MGV65" s="192"/>
      <c r="MGW65" s="192"/>
      <c r="MGX65" s="192"/>
      <c r="MGY65" s="192"/>
      <c r="MGZ65" s="192"/>
      <c r="MHA65" s="192"/>
      <c r="MHB65" s="192"/>
      <c r="MHC65" s="192"/>
      <c r="MHD65" s="192"/>
      <c r="MHE65" s="192"/>
      <c r="MHF65" s="192"/>
      <c r="MHG65" s="192"/>
      <c r="MHH65" s="192"/>
      <c r="MHI65" s="192"/>
      <c r="MHJ65" s="192"/>
      <c r="MHK65" s="192"/>
      <c r="MHL65" s="192"/>
      <c r="MHM65" s="192"/>
      <c r="MHN65" s="192"/>
      <c r="MHO65" s="192"/>
      <c r="MHP65" s="192"/>
      <c r="MHQ65" s="192"/>
      <c r="MHR65" s="192"/>
      <c r="MHS65" s="192"/>
      <c r="MHT65" s="192"/>
      <c r="MHU65" s="192"/>
      <c r="MHV65" s="192"/>
      <c r="MHW65" s="192"/>
      <c r="MHX65" s="192"/>
      <c r="MHY65" s="192"/>
      <c r="MHZ65" s="192"/>
      <c r="MIA65" s="192"/>
      <c r="MIB65" s="192"/>
      <c r="MIC65" s="192"/>
      <c r="MID65" s="192"/>
      <c r="MIE65" s="192"/>
      <c r="MIF65" s="192"/>
      <c r="MIG65" s="192"/>
      <c r="MIH65" s="192"/>
      <c r="MII65" s="192"/>
      <c r="MIJ65" s="192"/>
      <c r="MIK65" s="192"/>
      <c r="MIL65" s="192"/>
      <c r="MIM65" s="192"/>
      <c r="MIN65" s="192"/>
      <c r="MIO65" s="192"/>
      <c r="MIP65" s="192"/>
      <c r="MIQ65" s="192"/>
      <c r="MIR65" s="192"/>
      <c r="MIS65" s="192"/>
      <c r="MIT65" s="192"/>
      <c r="MIU65" s="192"/>
      <c r="MIV65" s="192"/>
      <c r="MIW65" s="192"/>
      <c r="MIX65" s="192"/>
      <c r="MIY65" s="192"/>
      <c r="MIZ65" s="192"/>
      <c r="MJA65" s="192"/>
      <c r="MJB65" s="192"/>
      <c r="MJC65" s="192"/>
      <c r="MJD65" s="192"/>
      <c r="MJE65" s="192"/>
      <c r="MJF65" s="192"/>
      <c r="MJG65" s="192"/>
      <c r="MJH65" s="192"/>
      <c r="MJI65" s="192"/>
      <c r="MJJ65" s="192"/>
      <c r="MJK65" s="192"/>
      <c r="MJL65" s="192"/>
      <c r="MJM65" s="192"/>
      <c r="MJN65" s="192"/>
      <c r="MJO65" s="192"/>
      <c r="MJP65" s="192"/>
      <c r="MJQ65" s="192"/>
      <c r="MJR65" s="192"/>
      <c r="MJS65" s="192"/>
      <c r="MJT65" s="192"/>
      <c r="MJU65" s="192"/>
      <c r="MJV65" s="192"/>
      <c r="MJW65" s="192"/>
      <c r="MJX65" s="192"/>
      <c r="MJY65" s="192"/>
      <c r="MJZ65" s="192"/>
      <c r="MKA65" s="192"/>
      <c r="MKB65" s="192"/>
      <c r="MKC65" s="192"/>
      <c r="MKD65" s="192"/>
      <c r="MKE65" s="192"/>
      <c r="MKF65" s="192"/>
      <c r="MKG65" s="192"/>
      <c r="MKH65" s="192"/>
      <c r="MKI65" s="192"/>
      <c r="MKJ65" s="192"/>
      <c r="MKK65" s="192"/>
      <c r="MKL65" s="192"/>
      <c r="MKM65" s="192"/>
      <c r="MKN65" s="192"/>
      <c r="MKO65" s="192"/>
      <c r="MKP65" s="192"/>
      <c r="MKQ65" s="192"/>
      <c r="MKR65" s="192"/>
      <c r="MKS65" s="192"/>
      <c r="MKT65" s="192"/>
      <c r="MKU65" s="192"/>
      <c r="MKV65" s="192"/>
      <c r="MKW65" s="192"/>
      <c r="MKX65" s="192"/>
      <c r="MKY65" s="192"/>
      <c r="MKZ65" s="192"/>
      <c r="MLA65" s="192"/>
      <c r="MLB65" s="192"/>
      <c r="MLC65" s="192"/>
      <c r="MLD65" s="192"/>
      <c r="MLE65" s="192"/>
      <c r="MLF65" s="192"/>
      <c r="MLG65" s="192"/>
      <c r="MLH65" s="192"/>
      <c r="MLI65" s="192"/>
      <c r="MLJ65" s="192"/>
      <c r="MLK65" s="192"/>
      <c r="MLL65" s="192"/>
      <c r="MLM65" s="192"/>
      <c r="MLN65" s="192"/>
      <c r="MLO65" s="192"/>
      <c r="MLP65" s="192"/>
      <c r="MLQ65" s="192"/>
      <c r="MLR65" s="192"/>
      <c r="MLS65" s="192"/>
      <c r="MLT65" s="192"/>
      <c r="MLU65" s="192"/>
      <c r="MLV65" s="192"/>
      <c r="MLW65" s="192"/>
      <c r="MLX65" s="192"/>
      <c r="MLY65" s="192"/>
      <c r="MLZ65" s="192"/>
      <c r="MMA65" s="192"/>
      <c r="MMB65" s="192"/>
      <c r="MMC65" s="192"/>
      <c r="MMD65" s="192"/>
      <c r="MME65" s="192"/>
      <c r="MMF65" s="192"/>
      <c r="MMG65" s="192"/>
      <c r="MMH65" s="192"/>
      <c r="MMI65" s="192"/>
      <c r="MMJ65" s="192"/>
      <c r="MMK65" s="192"/>
      <c r="MML65" s="192"/>
      <c r="MMM65" s="192"/>
      <c r="MMN65" s="192"/>
      <c r="MMO65" s="192"/>
      <c r="MMP65" s="192"/>
      <c r="MMQ65" s="192"/>
      <c r="MMR65" s="192"/>
      <c r="MMS65" s="192"/>
      <c r="MMT65" s="192"/>
      <c r="MMU65" s="192"/>
      <c r="MMV65" s="192"/>
      <c r="MMW65" s="192"/>
      <c r="MMX65" s="192"/>
      <c r="MMY65" s="192"/>
      <c r="MMZ65" s="192"/>
      <c r="MNA65" s="192"/>
      <c r="MNB65" s="192"/>
      <c r="MNC65" s="192"/>
      <c r="MND65" s="192"/>
      <c r="MNE65" s="192"/>
      <c r="MNF65" s="192"/>
      <c r="MNG65" s="192"/>
      <c r="MNH65" s="192"/>
      <c r="MNI65" s="192"/>
      <c r="MNJ65" s="192"/>
      <c r="MNK65" s="192"/>
      <c r="MNL65" s="192"/>
      <c r="MNM65" s="192"/>
      <c r="MNN65" s="192"/>
      <c r="MNO65" s="192"/>
      <c r="MNP65" s="192"/>
      <c r="MNQ65" s="192"/>
      <c r="MNR65" s="192"/>
      <c r="MNS65" s="192"/>
      <c r="MNT65" s="192"/>
      <c r="MNU65" s="192"/>
      <c r="MNV65" s="192"/>
      <c r="MNW65" s="192"/>
      <c r="MNX65" s="192"/>
      <c r="MNY65" s="192"/>
      <c r="MNZ65" s="192"/>
      <c r="MOA65" s="192"/>
      <c r="MOB65" s="192"/>
      <c r="MOC65" s="192"/>
      <c r="MOD65" s="192"/>
      <c r="MOE65" s="192"/>
      <c r="MOF65" s="192"/>
      <c r="MOG65" s="192"/>
      <c r="MOH65" s="192"/>
      <c r="MOI65" s="192"/>
      <c r="MOJ65" s="192"/>
      <c r="MOK65" s="192"/>
      <c r="MOL65" s="192"/>
      <c r="MOM65" s="192"/>
      <c r="MON65" s="192"/>
      <c r="MOO65" s="192"/>
      <c r="MOP65" s="192"/>
      <c r="MOQ65" s="192"/>
      <c r="MOR65" s="192"/>
      <c r="MOS65" s="192"/>
      <c r="MOT65" s="192"/>
      <c r="MOU65" s="192"/>
      <c r="MOV65" s="192"/>
      <c r="MOW65" s="192"/>
      <c r="MOX65" s="192"/>
      <c r="MOY65" s="192"/>
      <c r="MOZ65" s="192"/>
      <c r="MPA65" s="192"/>
      <c r="MPB65" s="192"/>
      <c r="MPC65" s="192"/>
      <c r="MPD65" s="192"/>
      <c r="MPE65" s="192"/>
      <c r="MPF65" s="192"/>
      <c r="MPG65" s="192"/>
      <c r="MPH65" s="192"/>
      <c r="MPI65" s="192"/>
      <c r="MPJ65" s="192"/>
      <c r="MPK65" s="192"/>
      <c r="MPL65" s="192"/>
      <c r="MPM65" s="192"/>
      <c r="MPN65" s="192"/>
      <c r="MPO65" s="192"/>
      <c r="MPP65" s="192"/>
      <c r="MPQ65" s="192"/>
      <c r="MPR65" s="192"/>
      <c r="MPS65" s="192"/>
      <c r="MPT65" s="192"/>
      <c r="MPU65" s="192"/>
      <c r="MPV65" s="192"/>
      <c r="MPW65" s="192"/>
      <c r="MPX65" s="192"/>
      <c r="MPY65" s="192"/>
      <c r="MPZ65" s="192"/>
      <c r="MQA65" s="192"/>
      <c r="MQB65" s="192"/>
      <c r="MQC65" s="192"/>
      <c r="MQD65" s="192"/>
      <c r="MQE65" s="192"/>
      <c r="MQF65" s="192"/>
      <c r="MQG65" s="192"/>
      <c r="MQH65" s="192"/>
      <c r="MQI65" s="192"/>
      <c r="MQJ65" s="192"/>
      <c r="MQK65" s="192"/>
      <c r="MQL65" s="192"/>
      <c r="MQM65" s="192"/>
      <c r="MQN65" s="192"/>
      <c r="MQO65" s="192"/>
      <c r="MQP65" s="192"/>
      <c r="MQQ65" s="192"/>
      <c r="MQR65" s="192"/>
      <c r="MQS65" s="192"/>
      <c r="MQT65" s="192"/>
      <c r="MQU65" s="192"/>
      <c r="MQV65" s="192"/>
      <c r="MQW65" s="192"/>
      <c r="MQX65" s="192"/>
      <c r="MQY65" s="192"/>
      <c r="MQZ65" s="192"/>
      <c r="MRA65" s="192"/>
      <c r="MRB65" s="192"/>
      <c r="MRC65" s="192"/>
      <c r="MRD65" s="192"/>
      <c r="MRE65" s="192"/>
      <c r="MRF65" s="192"/>
      <c r="MRG65" s="192"/>
      <c r="MRH65" s="192"/>
      <c r="MRI65" s="192"/>
      <c r="MRJ65" s="192"/>
      <c r="MRK65" s="192"/>
      <c r="MRL65" s="192"/>
      <c r="MRM65" s="192"/>
      <c r="MRN65" s="192"/>
      <c r="MRO65" s="192"/>
      <c r="MRP65" s="192"/>
      <c r="MRQ65" s="192"/>
      <c r="MRR65" s="192"/>
      <c r="MRS65" s="192"/>
      <c r="MRT65" s="192"/>
      <c r="MRU65" s="192"/>
      <c r="MRV65" s="192"/>
      <c r="MRW65" s="192"/>
      <c r="MRX65" s="192"/>
      <c r="MRY65" s="192"/>
      <c r="MRZ65" s="192"/>
      <c r="MSA65" s="192"/>
      <c r="MSB65" s="192"/>
      <c r="MSC65" s="192"/>
      <c r="MSD65" s="192"/>
      <c r="MSE65" s="192"/>
      <c r="MSF65" s="192"/>
      <c r="MSG65" s="192"/>
      <c r="MSH65" s="192"/>
      <c r="MSI65" s="192"/>
      <c r="MSJ65" s="192"/>
      <c r="MSK65" s="192"/>
      <c r="MSL65" s="192"/>
      <c r="MSM65" s="192"/>
      <c r="MSN65" s="192"/>
      <c r="MSO65" s="192"/>
      <c r="MSP65" s="192"/>
      <c r="MSQ65" s="192"/>
      <c r="MSR65" s="192"/>
      <c r="MSS65" s="192"/>
      <c r="MST65" s="192"/>
      <c r="MSU65" s="192"/>
      <c r="MSV65" s="192"/>
      <c r="MSW65" s="192"/>
      <c r="MSX65" s="192"/>
      <c r="MSY65" s="192"/>
      <c r="MSZ65" s="192"/>
      <c r="MTA65" s="192"/>
      <c r="MTB65" s="192"/>
      <c r="MTC65" s="192"/>
      <c r="MTD65" s="192"/>
      <c r="MTE65" s="192"/>
      <c r="MTF65" s="192"/>
      <c r="MTG65" s="192"/>
      <c r="MTH65" s="192"/>
      <c r="MTI65" s="192"/>
      <c r="MTJ65" s="192"/>
      <c r="MTK65" s="192"/>
      <c r="MTL65" s="192"/>
      <c r="MTM65" s="192"/>
      <c r="MTN65" s="192"/>
      <c r="MTO65" s="192"/>
      <c r="MTP65" s="192"/>
      <c r="MTQ65" s="192"/>
      <c r="MTR65" s="192"/>
      <c r="MTS65" s="192"/>
      <c r="MTT65" s="192"/>
      <c r="MTU65" s="192"/>
      <c r="MTV65" s="192"/>
      <c r="MTW65" s="192"/>
      <c r="MTX65" s="192"/>
      <c r="MTY65" s="192"/>
      <c r="MTZ65" s="192"/>
      <c r="MUA65" s="192"/>
      <c r="MUB65" s="192"/>
      <c r="MUC65" s="192"/>
      <c r="MUD65" s="192"/>
      <c r="MUE65" s="192"/>
      <c r="MUF65" s="192"/>
      <c r="MUG65" s="192"/>
      <c r="MUH65" s="192"/>
      <c r="MUI65" s="192"/>
      <c r="MUJ65" s="192"/>
      <c r="MUK65" s="192"/>
      <c r="MUL65" s="192"/>
      <c r="MUM65" s="192"/>
      <c r="MUN65" s="192"/>
      <c r="MUO65" s="192"/>
      <c r="MUP65" s="192"/>
      <c r="MUQ65" s="192"/>
      <c r="MUR65" s="192"/>
      <c r="MUS65" s="192"/>
      <c r="MUT65" s="192"/>
      <c r="MUU65" s="192"/>
      <c r="MUV65" s="192"/>
      <c r="MUW65" s="192"/>
      <c r="MUX65" s="192"/>
      <c r="MUY65" s="192"/>
      <c r="MUZ65" s="192"/>
      <c r="MVA65" s="192"/>
      <c r="MVB65" s="192"/>
      <c r="MVC65" s="192"/>
      <c r="MVD65" s="192"/>
      <c r="MVE65" s="192"/>
      <c r="MVF65" s="192"/>
      <c r="MVG65" s="192"/>
      <c r="MVH65" s="192"/>
      <c r="MVI65" s="192"/>
      <c r="MVJ65" s="192"/>
      <c r="MVK65" s="192"/>
      <c r="MVL65" s="192"/>
      <c r="MVM65" s="192"/>
      <c r="MVN65" s="192"/>
      <c r="MVO65" s="192"/>
      <c r="MVP65" s="192"/>
      <c r="MVQ65" s="192"/>
      <c r="MVR65" s="192"/>
      <c r="MVS65" s="192"/>
      <c r="MVT65" s="192"/>
      <c r="MVU65" s="192"/>
      <c r="MVV65" s="192"/>
      <c r="MVW65" s="192"/>
      <c r="MVX65" s="192"/>
      <c r="MVY65" s="192"/>
      <c r="MVZ65" s="192"/>
      <c r="MWA65" s="192"/>
      <c r="MWB65" s="192"/>
      <c r="MWC65" s="192"/>
      <c r="MWD65" s="192"/>
      <c r="MWE65" s="192"/>
      <c r="MWF65" s="192"/>
      <c r="MWG65" s="192"/>
      <c r="MWH65" s="192"/>
      <c r="MWI65" s="192"/>
      <c r="MWJ65" s="192"/>
      <c r="MWK65" s="192"/>
      <c r="MWL65" s="192"/>
      <c r="MWM65" s="192"/>
      <c r="MWN65" s="192"/>
      <c r="MWO65" s="192"/>
      <c r="MWP65" s="192"/>
      <c r="MWQ65" s="192"/>
      <c r="MWR65" s="192"/>
      <c r="MWS65" s="192"/>
      <c r="MWT65" s="192"/>
      <c r="MWU65" s="192"/>
      <c r="MWV65" s="192"/>
      <c r="MWW65" s="192"/>
      <c r="MWX65" s="192"/>
      <c r="MWY65" s="192"/>
      <c r="MWZ65" s="192"/>
      <c r="MXA65" s="192"/>
      <c r="MXB65" s="192"/>
      <c r="MXC65" s="192"/>
      <c r="MXD65" s="192"/>
      <c r="MXE65" s="192"/>
      <c r="MXF65" s="192"/>
      <c r="MXG65" s="192"/>
      <c r="MXH65" s="192"/>
      <c r="MXI65" s="192"/>
      <c r="MXJ65" s="192"/>
      <c r="MXK65" s="192"/>
      <c r="MXL65" s="192"/>
      <c r="MXM65" s="192"/>
      <c r="MXN65" s="192"/>
      <c r="MXO65" s="192"/>
      <c r="MXP65" s="192"/>
      <c r="MXQ65" s="192"/>
      <c r="MXR65" s="192"/>
      <c r="MXS65" s="192"/>
      <c r="MXT65" s="192"/>
      <c r="MXU65" s="192"/>
      <c r="MXV65" s="192"/>
      <c r="MXW65" s="192"/>
      <c r="MXX65" s="192"/>
      <c r="MXY65" s="192"/>
      <c r="MXZ65" s="192"/>
      <c r="MYA65" s="192"/>
      <c r="MYB65" s="192"/>
      <c r="MYC65" s="192"/>
      <c r="MYD65" s="192"/>
      <c r="MYE65" s="192"/>
      <c r="MYF65" s="192"/>
      <c r="MYG65" s="192"/>
      <c r="MYH65" s="192"/>
      <c r="MYI65" s="192"/>
      <c r="MYJ65" s="192"/>
      <c r="MYK65" s="192"/>
      <c r="MYL65" s="192"/>
      <c r="MYM65" s="192"/>
      <c r="MYN65" s="192"/>
      <c r="MYO65" s="192"/>
      <c r="MYP65" s="192"/>
      <c r="MYQ65" s="192"/>
      <c r="MYR65" s="192"/>
      <c r="MYS65" s="192"/>
      <c r="MYT65" s="192"/>
      <c r="MYU65" s="192"/>
      <c r="MYV65" s="192"/>
      <c r="MYW65" s="192"/>
      <c r="MYX65" s="192"/>
      <c r="MYY65" s="192"/>
      <c r="MYZ65" s="192"/>
      <c r="MZA65" s="192"/>
      <c r="MZB65" s="192"/>
      <c r="MZC65" s="192"/>
      <c r="MZD65" s="192"/>
      <c r="MZE65" s="192"/>
      <c r="MZF65" s="192"/>
      <c r="MZG65" s="192"/>
      <c r="MZH65" s="192"/>
      <c r="MZI65" s="192"/>
      <c r="MZJ65" s="192"/>
      <c r="MZK65" s="192"/>
      <c r="MZL65" s="192"/>
      <c r="MZM65" s="192"/>
      <c r="MZN65" s="192"/>
      <c r="MZO65" s="192"/>
      <c r="MZP65" s="192"/>
      <c r="MZQ65" s="192"/>
      <c r="MZR65" s="192"/>
      <c r="MZS65" s="192"/>
      <c r="MZT65" s="192"/>
      <c r="MZU65" s="192"/>
      <c r="MZV65" s="192"/>
      <c r="MZW65" s="192"/>
      <c r="MZX65" s="192"/>
      <c r="MZY65" s="192"/>
      <c r="MZZ65" s="192"/>
      <c r="NAA65" s="192"/>
      <c r="NAB65" s="192"/>
      <c r="NAC65" s="192"/>
      <c r="NAD65" s="192"/>
      <c r="NAE65" s="192"/>
      <c r="NAF65" s="192"/>
      <c r="NAG65" s="192"/>
      <c r="NAH65" s="192"/>
      <c r="NAI65" s="192"/>
      <c r="NAJ65" s="192"/>
      <c r="NAK65" s="192"/>
      <c r="NAL65" s="192"/>
      <c r="NAM65" s="192"/>
      <c r="NAN65" s="192"/>
      <c r="NAO65" s="192"/>
      <c r="NAP65" s="192"/>
      <c r="NAQ65" s="192"/>
      <c r="NAR65" s="192"/>
      <c r="NAS65" s="192"/>
      <c r="NAT65" s="192"/>
      <c r="NAU65" s="192"/>
      <c r="NAV65" s="192"/>
      <c r="NAW65" s="192"/>
      <c r="NAX65" s="192"/>
      <c r="NAY65" s="192"/>
      <c r="NAZ65" s="192"/>
      <c r="NBA65" s="192"/>
      <c r="NBB65" s="192"/>
      <c r="NBC65" s="192"/>
      <c r="NBD65" s="192"/>
      <c r="NBE65" s="192"/>
      <c r="NBF65" s="192"/>
      <c r="NBG65" s="192"/>
      <c r="NBH65" s="192"/>
      <c r="NBI65" s="192"/>
      <c r="NBJ65" s="192"/>
      <c r="NBK65" s="192"/>
      <c r="NBL65" s="192"/>
      <c r="NBM65" s="192"/>
      <c r="NBN65" s="192"/>
      <c r="NBO65" s="192"/>
      <c r="NBP65" s="192"/>
      <c r="NBQ65" s="192"/>
      <c r="NBR65" s="192"/>
      <c r="NBS65" s="192"/>
      <c r="NBT65" s="192"/>
      <c r="NBU65" s="192"/>
      <c r="NBV65" s="192"/>
      <c r="NBW65" s="192"/>
      <c r="NBX65" s="192"/>
      <c r="NBY65" s="192"/>
      <c r="NBZ65" s="192"/>
      <c r="NCA65" s="192"/>
      <c r="NCB65" s="192"/>
      <c r="NCC65" s="192"/>
      <c r="NCD65" s="192"/>
      <c r="NCE65" s="192"/>
      <c r="NCF65" s="192"/>
      <c r="NCG65" s="192"/>
      <c r="NCH65" s="192"/>
      <c r="NCI65" s="192"/>
      <c r="NCJ65" s="192"/>
      <c r="NCK65" s="192"/>
      <c r="NCL65" s="192"/>
      <c r="NCM65" s="192"/>
      <c r="NCN65" s="192"/>
      <c r="NCO65" s="192"/>
      <c r="NCP65" s="192"/>
      <c r="NCQ65" s="192"/>
      <c r="NCR65" s="192"/>
      <c r="NCS65" s="192"/>
      <c r="NCT65" s="192"/>
      <c r="NCU65" s="192"/>
      <c r="NCV65" s="192"/>
      <c r="NCW65" s="192"/>
      <c r="NCX65" s="192"/>
      <c r="NCY65" s="192"/>
      <c r="NCZ65" s="192"/>
      <c r="NDA65" s="192"/>
      <c r="NDB65" s="192"/>
      <c r="NDC65" s="192"/>
      <c r="NDD65" s="192"/>
      <c r="NDE65" s="192"/>
      <c r="NDF65" s="192"/>
      <c r="NDG65" s="192"/>
      <c r="NDH65" s="192"/>
      <c r="NDI65" s="192"/>
      <c r="NDJ65" s="192"/>
      <c r="NDK65" s="192"/>
      <c r="NDL65" s="192"/>
      <c r="NDM65" s="192"/>
      <c r="NDN65" s="192"/>
      <c r="NDO65" s="192"/>
      <c r="NDP65" s="192"/>
      <c r="NDQ65" s="192"/>
      <c r="NDR65" s="192"/>
      <c r="NDS65" s="192"/>
      <c r="NDT65" s="192"/>
      <c r="NDU65" s="192"/>
      <c r="NDV65" s="192"/>
      <c r="NDW65" s="192"/>
      <c r="NDX65" s="192"/>
      <c r="NDY65" s="192"/>
      <c r="NDZ65" s="192"/>
      <c r="NEA65" s="192"/>
      <c r="NEB65" s="192"/>
      <c r="NEC65" s="192"/>
      <c r="NED65" s="192"/>
      <c r="NEE65" s="192"/>
      <c r="NEF65" s="192"/>
      <c r="NEG65" s="192"/>
      <c r="NEH65" s="192"/>
      <c r="NEI65" s="192"/>
      <c r="NEJ65" s="192"/>
      <c r="NEK65" s="192"/>
      <c r="NEL65" s="192"/>
      <c r="NEM65" s="192"/>
      <c r="NEN65" s="192"/>
      <c r="NEO65" s="192"/>
      <c r="NEP65" s="192"/>
      <c r="NEQ65" s="192"/>
      <c r="NER65" s="192"/>
      <c r="NES65" s="192"/>
      <c r="NET65" s="192"/>
      <c r="NEU65" s="192"/>
      <c r="NEV65" s="192"/>
      <c r="NEW65" s="192"/>
      <c r="NEX65" s="192"/>
      <c r="NEY65" s="192"/>
      <c r="NEZ65" s="192"/>
      <c r="NFA65" s="192"/>
      <c r="NFB65" s="192"/>
      <c r="NFC65" s="192"/>
      <c r="NFD65" s="192"/>
      <c r="NFE65" s="192"/>
      <c r="NFF65" s="192"/>
      <c r="NFG65" s="192"/>
      <c r="NFH65" s="192"/>
      <c r="NFI65" s="192"/>
      <c r="NFJ65" s="192"/>
      <c r="NFK65" s="192"/>
      <c r="NFL65" s="192"/>
      <c r="NFM65" s="192"/>
      <c r="NFN65" s="192"/>
      <c r="NFO65" s="192"/>
      <c r="NFP65" s="192"/>
      <c r="NFQ65" s="192"/>
      <c r="NFR65" s="192"/>
      <c r="NFS65" s="192"/>
      <c r="NFT65" s="192"/>
      <c r="NFU65" s="192"/>
      <c r="NFV65" s="192"/>
      <c r="NFW65" s="192"/>
      <c r="NFX65" s="192"/>
      <c r="NFY65" s="192"/>
      <c r="NFZ65" s="192"/>
      <c r="NGA65" s="192"/>
      <c r="NGB65" s="192"/>
      <c r="NGC65" s="192"/>
      <c r="NGD65" s="192"/>
      <c r="NGE65" s="192"/>
      <c r="NGF65" s="192"/>
      <c r="NGG65" s="192"/>
      <c r="NGH65" s="192"/>
      <c r="NGI65" s="192"/>
      <c r="NGJ65" s="192"/>
      <c r="NGK65" s="192"/>
      <c r="NGL65" s="192"/>
      <c r="NGM65" s="192"/>
      <c r="NGN65" s="192"/>
      <c r="NGO65" s="192"/>
      <c r="NGP65" s="192"/>
      <c r="NGQ65" s="192"/>
      <c r="NGR65" s="192"/>
      <c r="NGS65" s="192"/>
      <c r="NGT65" s="192"/>
      <c r="NGU65" s="192"/>
      <c r="NGV65" s="192"/>
      <c r="NGW65" s="192"/>
      <c r="NGX65" s="192"/>
      <c r="NGY65" s="192"/>
      <c r="NGZ65" s="192"/>
      <c r="NHA65" s="192"/>
      <c r="NHB65" s="192"/>
      <c r="NHC65" s="192"/>
      <c r="NHD65" s="192"/>
      <c r="NHE65" s="192"/>
      <c r="NHF65" s="192"/>
      <c r="NHG65" s="192"/>
      <c r="NHH65" s="192"/>
      <c r="NHI65" s="192"/>
      <c r="NHJ65" s="192"/>
      <c r="NHK65" s="192"/>
      <c r="NHL65" s="192"/>
      <c r="NHM65" s="192"/>
      <c r="NHN65" s="192"/>
      <c r="NHO65" s="192"/>
      <c r="NHP65" s="192"/>
      <c r="NHQ65" s="192"/>
      <c r="NHR65" s="192"/>
      <c r="NHS65" s="192"/>
      <c r="NHT65" s="192"/>
      <c r="NHU65" s="192"/>
      <c r="NHV65" s="192"/>
      <c r="NHW65" s="192"/>
      <c r="NHX65" s="192"/>
      <c r="NHY65" s="192"/>
      <c r="NHZ65" s="192"/>
      <c r="NIA65" s="192"/>
      <c r="NIB65" s="192"/>
      <c r="NIC65" s="192"/>
      <c r="NID65" s="192"/>
      <c r="NIE65" s="192"/>
      <c r="NIF65" s="192"/>
      <c r="NIG65" s="192"/>
      <c r="NIH65" s="192"/>
      <c r="NII65" s="192"/>
      <c r="NIJ65" s="192"/>
      <c r="NIK65" s="192"/>
      <c r="NIL65" s="192"/>
      <c r="NIM65" s="192"/>
      <c r="NIN65" s="192"/>
      <c r="NIO65" s="192"/>
      <c r="NIP65" s="192"/>
      <c r="NIQ65" s="192"/>
      <c r="NIR65" s="192"/>
      <c r="NIS65" s="192"/>
      <c r="NIT65" s="192"/>
      <c r="NIU65" s="192"/>
      <c r="NIV65" s="192"/>
      <c r="NIW65" s="192"/>
      <c r="NIX65" s="192"/>
      <c r="NIY65" s="192"/>
      <c r="NIZ65" s="192"/>
      <c r="NJA65" s="192"/>
      <c r="NJB65" s="192"/>
      <c r="NJC65" s="192"/>
      <c r="NJD65" s="192"/>
      <c r="NJE65" s="192"/>
      <c r="NJF65" s="192"/>
      <c r="NJG65" s="192"/>
      <c r="NJH65" s="192"/>
      <c r="NJI65" s="192"/>
      <c r="NJJ65" s="192"/>
      <c r="NJK65" s="192"/>
      <c r="NJL65" s="192"/>
      <c r="NJM65" s="192"/>
      <c r="NJN65" s="192"/>
      <c r="NJO65" s="192"/>
      <c r="NJP65" s="192"/>
      <c r="NJQ65" s="192"/>
      <c r="NJR65" s="192"/>
      <c r="NJS65" s="192"/>
      <c r="NJT65" s="192"/>
      <c r="NJU65" s="192"/>
      <c r="NJV65" s="192"/>
      <c r="NJW65" s="192"/>
      <c r="NJX65" s="192"/>
      <c r="NJY65" s="192"/>
      <c r="NJZ65" s="192"/>
      <c r="NKA65" s="192"/>
      <c r="NKB65" s="192"/>
      <c r="NKC65" s="192"/>
      <c r="NKD65" s="192"/>
      <c r="NKE65" s="192"/>
      <c r="NKF65" s="192"/>
      <c r="NKG65" s="192"/>
      <c r="NKH65" s="192"/>
      <c r="NKI65" s="192"/>
      <c r="NKJ65" s="192"/>
      <c r="NKK65" s="192"/>
      <c r="NKL65" s="192"/>
      <c r="NKM65" s="192"/>
      <c r="NKN65" s="192"/>
      <c r="NKO65" s="192"/>
      <c r="NKP65" s="192"/>
      <c r="NKQ65" s="192"/>
      <c r="NKR65" s="192"/>
      <c r="NKS65" s="192"/>
      <c r="NKT65" s="192"/>
      <c r="NKU65" s="192"/>
      <c r="NKV65" s="192"/>
      <c r="NKW65" s="192"/>
      <c r="NKX65" s="192"/>
      <c r="NKY65" s="192"/>
      <c r="NKZ65" s="192"/>
      <c r="NLA65" s="192"/>
      <c r="NLB65" s="192"/>
      <c r="NLC65" s="192"/>
      <c r="NLD65" s="192"/>
      <c r="NLE65" s="192"/>
      <c r="NLF65" s="192"/>
      <c r="NLG65" s="192"/>
      <c r="NLH65" s="192"/>
      <c r="NLI65" s="192"/>
      <c r="NLJ65" s="192"/>
      <c r="NLK65" s="192"/>
      <c r="NLL65" s="192"/>
      <c r="NLM65" s="192"/>
      <c r="NLN65" s="192"/>
      <c r="NLO65" s="192"/>
      <c r="NLP65" s="192"/>
      <c r="NLQ65" s="192"/>
      <c r="NLR65" s="192"/>
      <c r="NLS65" s="192"/>
      <c r="NLT65" s="192"/>
      <c r="NLU65" s="192"/>
      <c r="NLV65" s="192"/>
      <c r="NLW65" s="192"/>
      <c r="NLX65" s="192"/>
      <c r="NLY65" s="192"/>
      <c r="NLZ65" s="192"/>
      <c r="NMA65" s="192"/>
      <c r="NMB65" s="192"/>
      <c r="NMC65" s="192"/>
      <c r="NMD65" s="192"/>
      <c r="NME65" s="192"/>
      <c r="NMF65" s="192"/>
      <c r="NMG65" s="192"/>
      <c r="NMH65" s="192"/>
      <c r="NMI65" s="192"/>
      <c r="NMJ65" s="192"/>
      <c r="NMK65" s="192"/>
      <c r="NML65" s="192"/>
      <c r="NMM65" s="192"/>
      <c r="NMN65" s="192"/>
      <c r="NMO65" s="192"/>
      <c r="NMP65" s="192"/>
      <c r="NMQ65" s="192"/>
      <c r="NMR65" s="192"/>
      <c r="NMS65" s="192"/>
      <c r="NMT65" s="192"/>
      <c r="NMU65" s="192"/>
      <c r="NMV65" s="192"/>
      <c r="NMW65" s="192"/>
      <c r="NMX65" s="192"/>
      <c r="NMY65" s="192"/>
      <c r="NMZ65" s="192"/>
      <c r="NNA65" s="192"/>
      <c r="NNB65" s="192"/>
      <c r="NNC65" s="192"/>
      <c r="NND65" s="192"/>
      <c r="NNE65" s="192"/>
      <c r="NNF65" s="192"/>
      <c r="NNG65" s="192"/>
      <c r="NNH65" s="192"/>
      <c r="NNI65" s="192"/>
      <c r="NNJ65" s="192"/>
      <c r="NNK65" s="192"/>
      <c r="NNL65" s="192"/>
      <c r="NNM65" s="192"/>
      <c r="NNN65" s="192"/>
      <c r="NNO65" s="192"/>
      <c r="NNP65" s="192"/>
      <c r="NNQ65" s="192"/>
      <c r="NNR65" s="192"/>
      <c r="NNS65" s="192"/>
      <c r="NNT65" s="192"/>
      <c r="NNU65" s="192"/>
      <c r="NNV65" s="192"/>
      <c r="NNW65" s="192"/>
      <c r="NNX65" s="192"/>
      <c r="NNY65" s="192"/>
      <c r="NNZ65" s="192"/>
      <c r="NOA65" s="192"/>
      <c r="NOB65" s="192"/>
      <c r="NOC65" s="192"/>
      <c r="NOD65" s="192"/>
      <c r="NOE65" s="192"/>
      <c r="NOF65" s="192"/>
      <c r="NOG65" s="192"/>
      <c r="NOH65" s="192"/>
      <c r="NOI65" s="192"/>
      <c r="NOJ65" s="192"/>
      <c r="NOK65" s="192"/>
      <c r="NOL65" s="192"/>
      <c r="NOM65" s="192"/>
      <c r="NON65" s="192"/>
      <c r="NOO65" s="192"/>
      <c r="NOP65" s="192"/>
      <c r="NOQ65" s="192"/>
      <c r="NOR65" s="192"/>
      <c r="NOS65" s="192"/>
      <c r="NOT65" s="192"/>
      <c r="NOU65" s="192"/>
      <c r="NOV65" s="192"/>
      <c r="NOW65" s="192"/>
      <c r="NOX65" s="192"/>
      <c r="NOY65" s="192"/>
      <c r="NOZ65" s="192"/>
      <c r="NPA65" s="192"/>
      <c r="NPB65" s="192"/>
      <c r="NPC65" s="192"/>
      <c r="NPD65" s="192"/>
      <c r="NPE65" s="192"/>
      <c r="NPF65" s="192"/>
      <c r="NPG65" s="192"/>
      <c r="NPH65" s="192"/>
      <c r="NPI65" s="192"/>
      <c r="NPJ65" s="192"/>
      <c r="NPK65" s="192"/>
      <c r="NPL65" s="192"/>
      <c r="NPM65" s="192"/>
      <c r="NPN65" s="192"/>
      <c r="NPO65" s="192"/>
      <c r="NPP65" s="192"/>
      <c r="NPQ65" s="192"/>
      <c r="NPR65" s="192"/>
      <c r="NPS65" s="192"/>
      <c r="NPT65" s="192"/>
      <c r="NPU65" s="192"/>
      <c r="NPV65" s="192"/>
      <c r="NPW65" s="192"/>
      <c r="NPX65" s="192"/>
      <c r="NPY65" s="192"/>
      <c r="NPZ65" s="192"/>
      <c r="NQA65" s="192"/>
      <c r="NQB65" s="192"/>
      <c r="NQC65" s="192"/>
      <c r="NQD65" s="192"/>
      <c r="NQE65" s="192"/>
      <c r="NQF65" s="192"/>
      <c r="NQG65" s="192"/>
      <c r="NQH65" s="192"/>
      <c r="NQI65" s="192"/>
      <c r="NQJ65" s="192"/>
      <c r="NQK65" s="192"/>
      <c r="NQL65" s="192"/>
      <c r="NQM65" s="192"/>
      <c r="NQN65" s="192"/>
      <c r="NQO65" s="192"/>
      <c r="NQP65" s="192"/>
      <c r="NQQ65" s="192"/>
      <c r="NQR65" s="192"/>
      <c r="NQS65" s="192"/>
      <c r="NQT65" s="192"/>
      <c r="NQU65" s="192"/>
      <c r="NQV65" s="192"/>
      <c r="NQW65" s="192"/>
      <c r="NQX65" s="192"/>
      <c r="NQY65" s="192"/>
      <c r="NQZ65" s="192"/>
      <c r="NRA65" s="192"/>
      <c r="NRB65" s="192"/>
      <c r="NRC65" s="192"/>
      <c r="NRD65" s="192"/>
      <c r="NRE65" s="192"/>
      <c r="NRF65" s="192"/>
      <c r="NRG65" s="192"/>
      <c r="NRH65" s="192"/>
      <c r="NRI65" s="192"/>
      <c r="NRJ65" s="192"/>
      <c r="NRK65" s="192"/>
      <c r="NRL65" s="192"/>
      <c r="NRM65" s="192"/>
      <c r="NRN65" s="192"/>
      <c r="NRO65" s="192"/>
      <c r="NRP65" s="192"/>
      <c r="NRQ65" s="192"/>
      <c r="NRR65" s="192"/>
      <c r="NRS65" s="192"/>
      <c r="NRT65" s="192"/>
      <c r="NRU65" s="192"/>
      <c r="NRV65" s="192"/>
      <c r="NRW65" s="192"/>
      <c r="NRX65" s="192"/>
      <c r="NRY65" s="192"/>
      <c r="NRZ65" s="192"/>
      <c r="NSA65" s="192"/>
      <c r="NSB65" s="192"/>
      <c r="NSC65" s="192"/>
      <c r="NSD65" s="192"/>
      <c r="NSE65" s="192"/>
      <c r="NSF65" s="192"/>
      <c r="NSG65" s="192"/>
      <c r="NSH65" s="192"/>
      <c r="NSI65" s="192"/>
      <c r="NSJ65" s="192"/>
      <c r="NSK65" s="192"/>
      <c r="NSL65" s="192"/>
      <c r="NSM65" s="192"/>
      <c r="NSN65" s="192"/>
      <c r="NSO65" s="192"/>
      <c r="NSP65" s="192"/>
      <c r="NSQ65" s="192"/>
      <c r="NSR65" s="192"/>
      <c r="NSS65" s="192"/>
      <c r="NST65" s="192"/>
      <c r="NSU65" s="192"/>
      <c r="NSV65" s="192"/>
      <c r="NSW65" s="192"/>
      <c r="NSX65" s="192"/>
      <c r="NSY65" s="192"/>
      <c r="NSZ65" s="192"/>
      <c r="NTA65" s="192"/>
      <c r="NTB65" s="192"/>
      <c r="NTC65" s="192"/>
      <c r="NTD65" s="192"/>
      <c r="NTE65" s="192"/>
      <c r="NTF65" s="192"/>
      <c r="NTG65" s="192"/>
      <c r="NTH65" s="192"/>
      <c r="NTI65" s="192"/>
      <c r="NTJ65" s="192"/>
      <c r="NTK65" s="192"/>
      <c r="NTL65" s="192"/>
      <c r="NTM65" s="192"/>
      <c r="NTN65" s="192"/>
      <c r="NTO65" s="192"/>
      <c r="NTP65" s="192"/>
      <c r="NTQ65" s="192"/>
      <c r="NTR65" s="192"/>
      <c r="NTS65" s="192"/>
      <c r="NTT65" s="192"/>
      <c r="NTU65" s="192"/>
      <c r="NTV65" s="192"/>
      <c r="NTW65" s="192"/>
      <c r="NTX65" s="192"/>
      <c r="NTY65" s="192"/>
      <c r="NTZ65" s="192"/>
      <c r="NUA65" s="192"/>
      <c r="NUB65" s="192"/>
      <c r="NUC65" s="192"/>
      <c r="NUD65" s="192"/>
      <c r="NUE65" s="192"/>
      <c r="NUF65" s="192"/>
      <c r="NUG65" s="192"/>
      <c r="NUH65" s="192"/>
      <c r="NUI65" s="192"/>
      <c r="NUJ65" s="192"/>
      <c r="NUK65" s="192"/>
      <c r="NUL65" s="192"/>
      <c r="NUM65" s="192"/>
      <c r="NUN65" s="192"/>
      <c r="NUO65" s="192"/>
      <c r="NUP65" s="192"/>
      <c r="NUQ65" s="192"/>
      <c r="NUR65" s="192"/>
      <c r="NUS65" s="192"/>
      <c r="NUT65" s="192"/>
      <c r="NUU65" s="192"/>
      <c r="NUV65" s="192"/>
      <c r="NUW65" s="192"/>
      <c r="NUX65" s="192"/>
      <c r="NUY65" s="192"/>
      <c r="NUZ65" s="192"/>
      <c r="NVA65" s="192"/>
      <c r="NVB65" s="192"/>
      <c r="NVC65" s="192"/>
      <c r="NVD65" s="192"/>
      <c r="NVE65" s="192"/>
      <c r="NVF65" s="192"/>
      <c r="NVG65" s="192"/>
      <c r="NVH65" s="192"/>
      <c r="NVI65" s="192"/>
      <c r="NVJ65" s="192"/>
      <c r="NVK65" s="192"/>
      <c r="NVL65" s="192"/>
      <c r="NVM65" s="192"/>
      <c r="NVN65" s="192"/>
      <c r="NVO65" s="192"/>
      <c r="NVP65" s="192"/>
      <c r="NVQ65" s="192"/>
      <c r="NVR65" s="192"/>
      <c r="NVS65" s="192"/>
      <c r="NVT65" s="192"/>
      <c r="NVU65" s="192"/>
      <c r="NVV65" s="192"/>
      <c r="NVW65" s="192"/>
      <c r="NVX65" s="192"/>
      <c r="NVY65" s="192"/>
      <c r="NVZ65" s="192"/>
      <c r="NWA65" s="192"/>
      <c r="NWB65" s="192"/>
      <c r="NWC65" s="192"/>
      <c r="NWD65" s="192"/>
      <c r="NWE65" s="192"/>
      <c r="NWF65" s="192"/>
      <c r="NWG65" s="192"/>
      <c r="NWH65" s="192"/>
      <c r="NWI65" s="192"/>
      <c r="NWJ65" s="192"/>
      <c r="NWK65" s="192"/>
      <c r="NWL65" s="192"/>
      <c r="NWM65" s="192"/>
      <c r="NWN65" s="192"/>
      <c r="NWO65" s="192"/>
      <c r="NWP65" s="192"/>
      <c r="NWQ65" s="192"/>
      <c r="NWR65" s="192"/>
      <c r="NWS65" s="192"/>
      <c r="NWT65" s="192"/>
      <c r="NWU65" s="192"/>
      <c r="NWV65" s="192"/>
      <c r="NWW65" s="192"/>
      <c r="NWX65" s="192"/>
      <c r="NWY65" s="192"/>
      <c r="NWZ65" s="192"/>
      <c r="NXA65" s="192"/>
      <c r="NXB65" s="192"/>
      <c r="NXC65" s="192"/>
      <c r="NXD65" s="192"/>
      <c r="NXE65" s="192"/>
      <c r="NXF65" s="192"/>
      <c r="NXG65" s="192"/>
      <c r="NXH65" s="192"/>
      <c r="NXI65" s="192"/>
      <c r="NXJ65" s="192"/>
      <c r="NXK65" s="192"/>
      <c r="NXL65" s="192"/>
      <c r="NXM65" s="192"/>
      <c r="NXN65" s="192"/>
      <c r="NXO65" s="192"/>
      <c r="NXP65" s="192"/>
      <c r="NXQ65" s="192"/>
      <c r="NXR65" s="192"/>
      <c r="NXS65" s="192"/>
      <c r="NXT65" s="192"/>
      <c r="NXU65" s="192"/>
      <c r="NXV65" s="192"/>
      <c r="NXW65" s="192"/>
      <c r="NXX65" s="192"/>
      <c r="NXY65" s="192"/>
      <c r="NXZ65" s="192"/>
      <c r="NYA65" s="192"/>
      <c r="NYB65" s="192"/>
      <c r="NYC65" s="192"/>
      <c r="NYD65" s="192"/>
      <c r="NYE65" s="192"/>
      <c r="NYF65" s="192"/>
      <c r="NYG65" s="192"/>
      <c r="NYH65" s="192"/>
      <c r="NYI65" s="192"/>
      <c r="NYJ65" s="192"/>
      <c r="NYK65" s="192"/>
      <c r="NYL65" s="192"/>
      <c r="NYM65" s="192"/>
      <c r="NYN65" s="192"/>
      <c r="NYO65" s="192"/>
      <c r="NYP65" s="192"/>
      <c r="NYQ65" s="192"/>
      <c r="NYR65" s="192"/>
      <c r="NYS65" s="192"/>
      <c r="NYT65" s="192"/>
      <c r="NYU65" s="192"/>
      <c r="NYV65" s="192"/>
      <c r="NYW65" s="192"/>
      <c r="NYX65" s="192"/>
      <c r="NYY65" s="192"/>
      <c r="NYZ65" s="192"/>
      <c r="NZA65" s="192"/>
      <c r="NZB65" s="192"/>
      <c r="NZC65" s="192"/>
      <c r="NZD65" s="192"/>
      <c r="NZE65" s="192"/>
      <c r="NZF65" s="192"/>
      <c r="NZG65" s="192"/>
      <c r="NZH65" s="192"/>
      <c r="NZI65" s="192"/>
      <c r="NZJ65" s="192"/>
      <c r="NZK65" s="192"/>
      <c r="NZL65" s="192"/>
      <c r="NZM65" s="192"/>
      <c r="NZN65" s="192"/>
      <c r="NZO65" s="192"/>
      <c r="NZP65" s="192"/>
      <c r="NZQ65" s="192"/>
      <c r="NZR65" s="192"/>
      <c r="NZS65" s="192"/>
      <c r="NZT65" s="192"/>
      <c r="NZU65" s="192"/>
      <c r="NZV65" s="192"/>
      <c r="NZW65" s="192"/>
      <c r="NZX65" s="192"/>
      <c r="NZY65" s="192"/>
      <c r="NZZ65" s="192"/>
      <c r="OAA65" s="192"/>
      <c r="OAB65" s="192"/>
      <c r="OAC65" s="192"/>
      <c r="OAD65" s="192"/>
      <c r="OAE65" s="192"/>
      <c r="OAF65" s="192"/>
      <c r="OAG65" s="192"/>
      <c r="OAH65" s="192"/>
      <c r="OAI65" s="192"/>
      <c r="OAJ65" s="192"/>
      <c r="OAK65" s="192"/>
      <c r="OAL65" s="192"/>
      <c r="OAM65" s="192"/>
      <c r="OAN65" s="192"/>
      <c r="OAO65" s="192"/>
      <c r="OAP65" s="192"/>
      <c r="OAQ65" s="192"/>
      <c r="OAR65" s="192"/>
      <c r="OAS65" s="192"/>
      <c r="OAT65" s="192"/>
      <c r="OAU65" s="192"/>
      <c r="OAV65" s="192"/>
      <c r="OAW65" s="192"/>
      <c r="OAX65" s="192"/>
      <c r="OAY65" s="192"/>
      <c r="OAZ65" s="192"/>
      <c r="OBA65" s="192"/>
      <c r="OBB65" s="192"/>
      <c r="OBC65" s="192"/>
      <c r="OBD65" s="192"/>
      <c r="OBE65" s="192"/>
      <c r="OBF65" s="192"/>
      <c r="OBG65" s="192"/>
      <c r="OBH65" s="192"/>
      <c r="OBI65" s="192"/>
      <c r="OBJ65" s="192"/>
      <c r="OBK65" s="192"/>
      <c r="OBL65" s="192"/>
      <c r="OBM65" s="192"/>
      <c r="OBN65" s="192"/>
      <c r="OBO65" s="192"/>
      <c r="OBP65" s="192"/>
      <c r="OBQ65" s="192"/>
      <c r="OBR65" s="192"/>
      <c r="OBS65" s="192"/>
      <c r="OBT65" s="192"/>
      <c r="OBU65" s="192"/>
      <c r="OBV65" s="192"/>
      <c r="OBW65" s="192"/>
      <c r="OBX65" s="192"/>
      <c r="OBY65" s="192"/>
      <c r="OBZ65" s="192"/>
      <c r="OCA65" s="192"/>
      <c r="OCB65" s="192"/>
      <c r="OCC65" s="192"/>
      <c r="OCD65" s="192"/>
      <c r="OCE65" s="192"/>
      <c r="OCF65" s="192"/>
      <c r="OCG65" s="192"/>
      <c r="OCH65" s="192"/>
      <c r="OCI65" s="192"/>
      <c r="OCJ65" s="192"/>
      <c r="OCK65" s="192"/>
      <c r="OCL65" s="192"/>
      <c r="OCM65" s="192"/>
      <c r="OCN65" s="192"/>
      <c r="OCO65" s="192"/>
      <c r="OCP65" s="192"/>
      <c r="OCQ65" s="192"/>
      <c r="OCR65" s="192"/>
      <c r="OCS65" s="192"/>
      <c r="OCT65" s="192"/>
      <c r="OCU65" s="192"/>
      <c r="OCV65" s="192"/>
      <c r="OCW65" s="192"/>
      <c r="OCX65" s="192"/>
      <c r="OCY65" s="192"/>
      <c r="OCZ65" s="192"/>
      <c r="ODA65" s="192"/>
      <c r="ODB65" s="192"/>
      <c r="ODC65" s="192"/>
      <c r="ODD65" s="192"/>
      <c r="ODE65" s="192"/>
      <c r="ODF65" s="192"/>
      <c r="ODG65" s="192"/>
      <c r="ODH65" s="192"/>
      <c r="ODI65" s="192"/>
      <c r="ODJ65" s="192"/>
      <c r="ODK65" s="192"/>
      <c r="ODL65" s="192"/>
      <c r="ODM65" s="192"/>
      <c r="ODN65" s="192"/>
      <c r="ODO65" s="192"/>
      <c r="ODP65" s="192"/>
      <c r="ODQ65" s="192"/>
      <c r="ODR65" s="192"/>
      <c r="ODS65" s="192"/>
      <c r="ODT65" s="192"/>
      <c r="ODU65" s="192"/>
      <c r="ODV65" s="192"/>
      <c r="ODW65" s="192"/>
      <c r="ODX65" s="192"/>
      <c r="ODY65" s="192"/>
      <c r="ODZ65" s="192"/>
      <c r="OEA65" s="192"/>
      <c r="OEB65" s="192"/>
      <c r="OEC65" s="192"/>
      <c r="OED65" s="192"/>
      <c r="OEE65" s="192"/>
      <c r="OEF65" s="192"/>
      <c r="OEG65" s="192"/>
      <c r="OEH65" s="192"/>
      <c r="OEI65" s="192"/>
      <c r="OEJ65" s="192"/>
      <c r="OEK65" s="192"/>
      <c r="OEL65" s="192"/>
      <c r="OEM65" s="192"/>
      <c r="OEN65" s="192"/>
      <c r="OEO65" s="192"/>
      <c r="OEP65" s="192"/>
      <c r="OEQ65" s="192"/>
      <c r="OER65" s="192"/>
      <c r="OES65" s="192"/>
      <c r="OET65" s="192"/>
      <c r="OEU65" s="192"/>
      <c r="OEV65" s="192"/>
      <c r="OEW65" s="192"/>
      <c r="OEX65" s="192"/>
      <c r="OEY65" s="192"/>
      <c r="OEZ65" s="192"/>
      <c r="OFA65" s="192"/>
      <c r="OFB65" s="192"/>
      <c r="OFC65" s="192"/>
      <c r="OFD65" s="192"/>
      <c r="OFE65" s="192"/>
      <c r="OFF65" s="192"/>
      <c r="OFG65" s="192"/>
      <c r="OFH65" s="192"/>
      <c r="OFI65" s="192"/>
      <c r="OFJ65" s="192"/>
      <c r="OFK65" s="192"/>
      <c r="OFL65" s="192"/>
      <c r="OFM65" s="192"/>
      <c r="OFN65" s="192"/>
      <c r="OFO65" s="192"/>
      <c r="OFP65" s="192"/>
      <c r="OFQ65" s="192"/>
      <c r="OFR65" s="192"/>
      <c r="OFS65" s="192"/>
      <c r="OFT65" s="192"/>
      <c r="OFU65" s="192"/>
      <c r="OFV65" s="192"/>
      <c r="OFW65" s="192"/>
      <c r="OFX65" s="192"/>
      <c r="OFY65" s="192"/>
      <c r="OFZ65" s="192"/>
      <c r="OGA65" s="192"/>
      <c r="OGB65" s="192"/>
      <c r="OGC65" s="192"/>
      <c r="OGD65" s="192"/>
      <c r="OGE65" s="192"/>
      <c r="OGF65" s="192"/>
      <c r="OGG65" s="192"/>
      <c r="OGH65" s="192"/>
      <c r="OGI65" s="192"/>
      <c r="OGJ65" s="192"/>
      <c r="OGK65" s="192"/>
      <c r="OGL65" s="192"/>
      <c r="OGM65" s="192"/>
      <c r="OGN65" s="192"/>
      <c r="OGO65" s="192"/>
      <c r="OGP65" s="192"/>
      <c r="OGQ65" s="192"/>
      <c r="OGR65" s="192"/>
      <c r="OGS65" s="192"/>
      <c r="OGT65" s="192"/>
      <c r="OGU65" s="192"/>
      <c r="OGV65" s="192"/>
      <c r="OGW65" s="192"/>
      <c r="OGX65" s="192"/>
      <c r="OGY65" s="192"/>
      <c r="OGZ65" s="192"/>
      <c r="OHA65" s="192"/>
      <c r="OHB65" s="192"/>
      <c r="OHC65" s="192"/>
      <c r="OHD65" s="192"/>
      <c r="OHE65" s="192"/>
      <c r="OHF65" s="192"/>
      <c r="OHG65" s="192"/>
      <c r="OHH65" s="192"/>
      <c r="OHI65" s="192"/>
      <c r="OHJ65" s="192"/>
      <c r="OHK65" s="192"/>
      <c r="OHL65" s="192"/>
      <c r="OHM65" s="192"/>
      <c r="OHN65" s="192"/>
      <c r="OHO65" s="192"/>
      <c r="OHP65" s="192"/>
      <c r="OHQ65" s="192"/>
      <c r="OHR65" s="192"/>
      <c r="OHS65" s="192"/>
      <c r="OHT65" s="192"/>
      <c r="OHU65" s="192"/>
      <c r="OHV65" s="192"/>
      <c r="OHW65" s="192"/>
      <c r="OHX65" s="192"/>
      <c r="OHY65" s="192"/>
      <c r="OHZ65" s="192"/>
      <c r="OIA65" s="192"/>
      <c r="OIB65" s="192"/>
      <c r="OIC65" s="192"/>
      <c r="OID65" s="192"/>
      <c r="OIE65" s="192"/>
      <c r="OIF65" s="192"/>
      <c r="OIG65" s="192"/>
      <c r="OIH65" s="192"/>
      <c r="OII65" s="192"/>
      <c r="OIJ65" s="192"/>
      <c r="OIK65" s="192"/>
      <c r="OIL65" s="192"/>
      <c r="OIM65" s="192"/>
      <c r="OIN65" s="192"/>
      <c r="OIO65" s="192"/>
      <c r="OIP65" s="192"/>
      <c r="OIQ65" s="192"/>
      <c r="OIR65" s="192"/>
      <c r="OIS65" s="192"/>
      <c r="OIT65" s="192"/>
      <c r="OIU65" s="192"/>
      <c r="OIV65" s="192"/>
      <c r="OIW65" s="192"/>
      <c r="OIX65" s="192"/>
      <c r="OIY65" s="192"/>
      <c r="OIZ65" s="192"/>
      <c r="OJA65" s="192"/>
      <c r="OJB65" s="192"/>
      <c r="OJC65" s="192"/>
      <c r="OJD65" s="192"/>
      <c r="OJE65" s="192"/>
      <c r="OJF65" s="192"/>
      <c r="OJG65" s="192"/>
      <c r="OJH65" s="192"/>
      <c r="OJI65" s="192"/>
      <c r="OJJ65" s="192"/>
      <c r="OJK65" s="192"/>
      <c r="OJL65" s="192"/>
      <c r="OJM65" s="192"/>
      <c r="OJN65" s="192"/>
      <c r="OJO65" s="192"/>
      <c r="OJP65" s="192"/>
      <c r="OJQ65" s="192"/>
      <c r="OJR65" s="192"/>
      <c r="OJS65" s="192"/>
      <c r="OJT65" s="192"/>
      <c r="OJU65" s="192"/>
      <c r="OJV65" s="192"/>
      <c r="OJW65" s="192"/>
      <c r="OJX65" s="192"/>
      <c r="OJY65" s="192"/>
      <c r="OJZ65" s="192"/>
      <c r="OKA65" s="192"/>
      <c r="OKB65" s="192"/>
      <c r="OKC65" s="192"/>
      <c r="OKD65" s="192"/>
      <c r="OKE65" s="192"/>
      <c r="OKF65" s="192"/>
      <c r="OKG65" s="192"/>
      <c r="OKH65" s="192"/>
      <c r="OKI65" s="192"/>
      <c r="OKJ65" s="192"/>
      <c r="OKK65" s="192"/>
      <c r="OKL65" s="192"/>
      <c r="OKM65" s="192"/>
      <c r="OKN65" s="192"/>
      <c r="OKO65" s="192"/>
      <c r="OKP65" s="192"/>
      <c r="OKQ65" s="192"/>
      <c r="OKR65" s="192"/>
      <c r="OKS65" s="192"/>
      <c r="OKT65" s="192"/>
      <c r="OKU65" s="192"/>
      <c r="OKV65" s="192"/>
      <c r="OKW65" s="192"/>
      <c r="OKX65" s="192"/>
      <c r="OKY65" s="192"/>
      <c r="OKZ65" s="192"/>
      <c r="OLA65" s="192"/>
      <c r="OLB65" s="192"/>
      <c r="OLC65" s="192"/>
      <c r="OLD65" s="192"/>
      <c r="OLE65" s="192"/>
      <c r="OLF65" s="192"/>
      <c r="OLG65" s="192"/>
      <c r="OLH65" s="192"/>
      <c r="OLI65" s="192"/>
      <c r="OLJ65" s="192"/>
      <c r="OLK65" s="192"/>
      <c r="OLL65" s="192"/>
      <c r="OLM65" s="192"/>
      <c r="OLN65" s="192"/>
      <c r="OLO65" s="192"/>
      <c r="OLP65" s="192"/>
      <c r="OLQ65" s="192"/>
      <c r="OLR65" s="192"/>
      <c r="OLS65" s="192"/>
      <c r="OLT65" s="192"/>
      <c r="OLU65" s="192"/>
      <c r="OLV65" s="192"/>
      <c r="OLW65" s="192"/>
      <c r="OLX65" s="192"/>
      <c r="OLY65" s="192"/>
      <c r="OLZ65" s="192"/>
      <c r="OMA65" s="192"/>
      <c r="OMB65" s="192"/>
      <c r="OMC65" s="192"/>
      <c r="OMD65" s="192"/>
      <c r="OME65" s="192"/>
      <c r="OMF65" s="192"/>
      <c r="OMG65" s="192"/>
      <c r="OMH65" s="192"/>
      <c r="OMI65" s="192"/>
      <c r="OMJ65" s="192"/>
      <c r="OMK65" s="192"/>
      <c r="OML65" s="192"/>
      <c r="OMM65" s="192"/>
      <c r="OMN65" s="192"/>
      <c r="OMO65" s="192"/>
      <c r="OMP65" s="192"/>
      <c r="OMQ65" s="192"/>
      <c r="OMR65" s="192"/>
      <c r="OMS65" s="192"/>
      <c r="OMT65" s="192"/>
      <c r="OMU65" s="192"/>
      <c r="OMV65" s="192"/>
      <c r="OMW65" s="192"/>
      <c r="OMX65" s="192"/>
      <c r="OMY65" s="192"/>
      <c r="OMZ65" s="192"/>
      <c r="ONA65" s="192"/>
      <c r="ONB65" s="192"/>
      <c r="ONC65" s="192"/>
      <c r="OND65" s="192"/>
      <c r="ONE65" s="192"/>
      <c r="ONF65" s="192"/>
      <c r="ONG65" s="192"/>
      <c r="ONH65" s="192"/>
      <c r="ONI65" s="192"/>
      <c r="ONJ65" s="192"/>
      <c r="ONK65" s="192"/>
      <c r="ONL65" s="192"/>
      <c r="ONM65" s="192"/>
      <c r="ONN65" s="192"/>
      <c r="ONO65" s="192"/>
      <c r="ONP65" s="192"/>
      <c r="ONQ65" s="192"/>
      <c r="ONR65" s="192"/>
      <c r="ONS65" s="192"/>
      <c r="ONT65" s="192"/>
      <c r="ONU65" s="192"/>
      <c r="ONV65" s="192"/>
      <c r="ONW65" s="192"/>
      <c r="ONX65" s="192"/>
      <c r="ONY65" s="192"/>
      <c r="ONZ65" s="192"/>
      <c r="OOA65" s="192"/>
      <c r="OOB65" s="192"/>
      <c r="OOC65" s="192"/>
      <c r="OOD65" s="192"/>
      <c r="OOE65" s="192"/>
      <c r="OOF65" s="192"/>
      <c r="OOG65" s="192"/>
      <c r="OOH65" s="192"/>
      <c r="OOI65" s="192"/>
      <c r="OOJ65" s="192"/>
      <c r="OOK65" s="192"/>
      <c r="OOL65" s="192"/>
      <c r="OOM65" s="192"/>
      <c r="OON65" s="192"/>
      <c r="OOO65" s="192"/>
      <c r="OOP65" s="192"/>
      <c r="OOQ65" s="192"/>
      <c r="OOR65" s="192"/>
      <c r="OOS65" s="192"/>
      <c r="OOT65" s="192"/>
      <c r="OOU65" s="192"/>
      <c r="OOV65" s="192"/>
      <c r="OOW65" s="192"/>
      <c r="OOX65" s="192"/>
      <c r="OOY65" s="192"/>
      <c r="OOZ65" s="192"/>
      <c r="OPA65" s="192"/>
      <c r="OPB65" s="192"/>
      <c r="OPC65" s="192"/>
      <c r="OPD65" s="192"/>
      <c r="OPE65" s="192"/>
      <c r="OPF65" s="192"/>
      <c r="OPG65" s="192"/>
      <c r="OPH65" s="192"/>
      <c r="OPI65" s="192"/>
      <c r="OPJ65" s="192"/>
      <c r="OPK65" s="192"/>
      <c r="OPL65" s="192"/>
      <c r="OPM65" s="192"/>
      <c r="OPN65" s="192"/>
      <c r="OPO65" s="192"/>
      <c r="OPP65" s="192"/>
      <c r="OPQ65" s="192"/>
      <c r="OPR65" s="192"/>
      <c r="OPS65" s="192"/>
      <c r="OPT65" s="192"/>
      <c r="OPU65" s="192"/>
      <c r="OPV65" s="192"/>
      <c r="OPW65" s="192"/>
      <c r="OPX65" s="192"/>
      <c r="OPY65" s="192"/>
      <c r="OPZ65" s="192"/>
      <c r="OQA65" s="192"/>
      <c r="OQB65" s="192"/>
      <c r="OQC65" s="192"/>
      <c r="OQD65" s="192"/>
      <c r="OQE65" s="192"/>
      <c r="OQF65" s="192"/>
      <c r="OQG65" s="192"/>
      <c r="OQH65" s="192"/>
      <c r="OQI65" s="192"/>
      <c r="OQJ65" s="192"/>
      <c r="OQK65" s="192"/>
      <c r="OQL65" s="192"/>
      <c r="OQM65" s="192"/>
      <c r="OQN65" s="192"/>
      <c r="OQO65" s="192"/>
      <c r="OQP65" s="192"/>
      <c r="OQQ65" s="192"/>
      <c r="OQR65" s="192"/>
      <c r="OQS65" s="192"/>
      <c r="OQT65" s="192"/>
      <c r="OQU65" s="192"/>
      <c r="OQV65" s="192"/>
      <c r="OQW65" s="192"/>
      <c r="OQX65" s="192"/>
      <c r="OQY65" s="192"/>
      <c r="OQZ65" s="192"/>
      <c r="ORA65" s="192"/>
      <c r="ORB65" s="192"/>
      <c r="ORC65" s="192"/>
      <c r="ORD65" s="192"/>
      <c r="ORE65" s="192"/>
      <c r="ORF65" s="192"/>
      <c r="ORG65" s="192"/>
      <c r="ORH65" s="192"/>
      <c r="ORI65" s="192"/>
      <c r="ORJ65" s="192"/>
      <c r="ORK65" s="192"/>
      <c r="ORL65" s="192"/>
      <c r="ORM65" s="192"/>
      <c r="ORN65" s="192"/>
      <c r="ORO65" s="192"/>
      <c r="ORP65" s="192"/>
      <c r="ORQ65" s="192"/>
      <c r="ORR65" s="192"/>
      <c r="ORS65" s="192"/>
      <c r="ORT65" s="192"/>
      <c r="ORU65" s="192"/>
      <c r="ORV65" s="192"/>
      <c r="ORW65" s="192"/>
      <c r="ORX65" s="192"/>
      <c r="ORY65" s="192"/>
      <c r="ORZ65" s="192"/>
      <c r="OSA65" s="192"/>
      <c r="OSB65" s="192"/>
      <c r="OSC65" s="192"/>
      <c r="OSD65" s="192"/>
      <c r="OSE65" s="192"/>
      <c r="OSF65" s="192"/>
      <c r="OSG65" s="192"/>
      <c r="OSH65" s="192"/>
      <c r="OSI65" s="192"/>
      <c r="OSJ65" s="192"/>
      <c r="OSK65" s="192"/>
      <c r="OSL65" s="192"/>
      <c r="OSM65" s="192"/>
      <c r="OSN65" s="192"/>
      <c r="OSO65" s="192"/>
      <c r="OSP65" s="192"/>
      <c r="OSQ65" s="192"/>
      <c r="OSR65" s="192"/>
      <c r="OSS65" s="192"/>
      <c r="OST65" s="192"/>
      <c r="OSU65" s="192"/>
      <c r="OSV65" s="192"/>
      <c r="OSW65" s="192"/>
      <c r="OSX65" s="192"/>
      <c r="OSY65" s="192"/>
      <c r="OSZ65" s="192"/>
      <c r="OTA65" s="192"/>
      <c r="OTB65" s="192"/>
      <c r="OTC65" s="192"/>
      <c r="OTD65" s="192"/>
      <c r="OTE65" s="192"/>
      <c r="OTF65" s="192"/>
      <c r="OTG65" s="192"/>
      <c r="OTH65" s="192"/>
      <c r="OTI65" s="192"/>
      <c r="OTJ65" s="192"/>
      <c r="OTK65" s="192"/>
      <c r="OTL65" s="192"/>
      <c r="OTM65" s="192"/>
      <c r="OTN65" s="192"/>
      <c r="OTO65" s="192"/>
      <c r="OTP65" s="192"/>
      <c r="OTQ65" s="192"/>
      <c r="OTR65" s="192"/>
      <c r="OTS65" s="192"/>
      <c r="OTT65" s="192"/>
      <c r="OTU65" s="192"/>
      <c r="OTV65" s="192"/>
      <c r="OTW65" s="192"/>
      <c r="OTX65" s="192"/>
      <c r="OTY65" s="192"/>
      <c r="OTZ65" s="192"/>
      <c r="OUA65" s="192"/>
      <c r="OUB65" s="192"/>
      <c r="OUC65" s="192"/>
      <c r="OUD65" s="192"/>
      <c r="OUE65" s="192"/>
      <c r="OUF65" s="192"/>
      <c r="OUG65" s="192"/>
      <c r="OUH65" s="192"/>
      <c r="OUI65" s="192"/>
      <c r="OUJ65" s="192"/>
      <c r="OUK65" s="192"/>
      <c r="OUL65" s="192"/>
      <c r="OUM65" s="192"/>
      <c r="OUN65" s="192"/>
      <c r="OUO65" s="192"/>
      <c r="OUP65" s="192"/>
      <c r="OUQ65" s="192"/>
      <c r="OUR65" s="192"/>
      <c r="OUS65" s="192"/>
      <c r="OUT65" s="192"/>
      <c r="OUU65" s="192"/>
      <c r="OUV65" s="192"/>
      <c r="OUW65" s="192"/>
      <c r="OUX65" s="192"/>
      <c r="OUY65" s="192"/>
      <c r="OUZ65" s="192"/>
      <c r="OVA65" s="192"/>
      <c r="OVB65" s="192"/>
      <c r="OVC65" s="192"/>
      <c r="OVD65" s="192"/>
      <c r="OVE65" s="192"/>
      <c r="OVF65" s="192"/>
      <c r="OVG65" s="192"/>
      <c r="OVH65" s="192"/>
      <c r="OVI65" s="192"/>
      <c r="OVJ65" s="192"/>
      <c r="OVK65" s="192"/>
      <c r="OVL65" s="192"/>
      <c r="OVM65" s="192"/>
      <c r="OVN65" s="192"/>
      <c r="OVO65" s="192"/>
      <c r="OVP65" s="192"/>
      <c r="OVQ65" s="192"/>
      <c r="OVR65" s="192"/>
      <c r="OVS65" s="192"/>
      <c r="OVT65" s="192"/>
      <c r="OVU65" s="192"/>
      <c r="OVV65" s="192"/>
      <c r="OVW65" s="192"/>
      <c r="OVX65" s="192"/>
      <c r="OVY65" s="192"/>
      <c r="OVZ65" s="192"/>
      <c r="OWA65" s="192"/>
      <c r="OWB65" s="192"/>
      <c r="OWC65" s="192"/>
      <c r="OWD65" s="192"/>
      <c r="OWE65" s="192"/>
      <c r="OWF65" s="192"/>
      <c r="OWG65" s="192"/>
      <c r="OWH65" s="192"/>
      <c r="OWI65" s="192"/>
      <c r="OWJ65" s="192"/>
      <c r="OWK65" s="192"/>
      <c r="OWL65" s="192"/>
      <c r="OWM65" s="192"/>
      <c r="OWN65" s="192"/>
      <c r="OWO65" s="192"/>
      <c r="OWP65" s="192"/>
      <c r="OWQ65" s="192"/>
      <c r="OWR65" s="192"/>
      <c r="OWS65" s="192"/>
      <c r="OWT65" s="192"/>
      <c r="OWU65" s="192"/>
      <c r="OWV65" s="192"/>
      <c r="OWW65" s="192"/>
      <c r="OWX65" s="192"/>
      <c r="OWY65" s="192"/>
      <c r="OWZ65" s="192"/>
      <c r="OXA65" s="192"/>
      <c r="OXB65" s="192"/>
      <c r="OXC65" s="192"/>
      <c r="OXD65" s="192"/>
      <c r="OXE65" s="192"/>
      <c r="OXF65" s="192"/>
      <c r="OXG65" s="192"/>
      <c r="OXH65" s="192"/>
      <c r="OXI65" s="192"/>
      <c r="OXJ65" s="192"/>
      <c r="OXK65" s="192"/>
      <c r="OXL65" s="192"/>
      <c r="OXM65" s="192"/>
      <c r="OXN65" s="192"/>
      <c r="OXO65" s="192"/>
      <c r="OXP65" s="192"/>
      <c r="OXQ65" s="192"/>
      <c r="OXR65" s="192"/>
      <c r="OXS65" s="192"/>
      <c r="OXT65" s="192"/>
      <c r="OXU65" s="192"/>
      <c r="OXV65" s="192"/>
      <c r="OXW65" s="192"/>
      <c r="OXX65" s="192"/>
      <c r="OXY65" s="192"/>
      <c r="OXZ65" s="192"/>
      <c r="OYA65" s="192"/>
      <c r="OYB65" s="192"/>
      <c r="OYC65" s="192"/>
      <c r="OYD65" s="192"/>
      <c r="OYE65" s="192"/>
      <c r="OYF65" s="192"/>
      <c r="OYG65" s="192"/>
      <c r="OYH65" s="192"/>
      <c r="OYI65" s="192"/>
      <c r="OYJ65" s="192"/>
      <c r="OYK65" s="192"/>
      <c r="OYL65" s="192"/>
      <c r="OYM65" s="192"/>
      <c r="OYN65" s="192"/>
      <c r="OYO65" s="192"/>
      <c r="OYP65" s="192"/>
      <c r="OYQ65" s="192"/>
      <c r="OYR65" s="192"/>
      <c r="OYS65" s="192"/>
      <c r="OYT65" s="192"/>
      <c r="OYU65" s="192"/>
      <c r="OYV65" s="192"/>
      <c r="OYW65" s="192"/>
      <c r="OYX65" s="192"/>
      <c r="OYY65" s="192"/>
      <c r="OYZ65" s="192"/>
      <c r="OZA65" s="192"/>
      <c r="OZB65" s="192"/>
      <c r="OZC65" s="192"/>
      <c r="OZD65" s="192"/>
      <c r="OZE65" s="192"/>
      <c r="OZF65" s="192"/>
      <c r="OZG65" s="192"/>
      <c r="OZH65" s="192"/>
      <c r="OZI65" s="192"/>
      <c r="OZJ65" s="192"/>
      <c r="OZK65" s="192"/>
      <c r="OZL65" s="192"/>
      <c r="OZM65" s="192"/>
      <c r="OZN65" s="192"/>
      <c r="OZO65" s="192"/>
      <c r="OZP65" s="192"/>
      <c r="OZQ65" s="192"/>
      <c r="OZR65" s="192"/>
      <c r="OZS65" s="192"/>
      <c r="OZT65" s="192"/>
      <c r="OZU65" s="192"/>
      <c r="OZV65" s="192"/>
      <c r="OZW65" s="192"/>
      <c r="OZX65" s="192"/>
      <c r="OZY65" s="192"/>
      <c r="OZZ65" s="192"/>
      <c r="PAA65" s="192"/>
      <c r="PAB65" s="192"/>
      <c r="PAC65" s="192"/>
      <c r="PAD65" s="192"/>
      <c r="PAE65" s="192"/>
      <c r="PAF65" s="192"/>
      <c r="PAG65" s="192"/>
      <c r="PAH65" s="192"/>
      <c r="PAI65" s="192"/>
      <c r="PAJ65" s="192"/>
      <c r="PAK65" s="192"/>
      <c r="PAL65" s="192"/>
      <c r="PAM65" s="192"/>
      <c r="PAN65" s="192"/>
      <c r="PAO65" s="192"/>
      <c r="PAP65" s="192"/>
      <c r="PAQ65" s="192"/>
      <c r="PAR65" s="192"/>
      <c r="PAS65" s="192"/>
      <c r="PAT65" s="192"/>
      <c r="PAU65" s="192"/>
      <c r="PAV65" s="192"/>
      <c r="PAW65" s="192"/>
      <c r="PAX65" s="192"/>
      <c r="PAY65" s="192"/>
      <c r="PAZ65" s="192"/>
      <c r="PBA65" s="192"/>
      <c r="PBB65" s="192"/>
      <c r="PBC65" s="192"/>
      <c r="PBD65" s="192"/>
      <c r="PBE65" s="192"/>
      <c r="PBF65" s="192"/>
      <c r="PBG65" s="192"/>
      <c r="PBH65" s="192"/>
      <c r="PBI65" s="192"/>
      <c r="PBJ65" s="192"/>
      <c r="PBK65" s="192"/>
      <c r="PBL65" s="192"/>
      <c r="PBM65" s="192"/>
      <c r="PBN65" s="192"/>
      <c r="PBO65" s="192"/>
      <c r="PBP65" s="192"/>
      <c r="PBQ65" s="192"/>
      <c r="PBR65" s="192"/>
      <c r="PBS65" s="192"/>
      <c r="PBT65" s="192"/>
      <c r="PBU65" s="192"/>
      <c r="PBV65" s="192"/>
      <c r="PBW65" s="192"/>
      <c r="PBX65" s="192"/>
      <c r="PBY65" s="192"/>
      <c r="PBZ65" s="192"/>
      <c r="PCA65" s="192"/>
      <c r="PCB65" s="192"/>
      <c r="PCC65" s="192"/>
      <c r="PCD65" s="192"/>
      <c r="PCE65" s="192"/>
      <c r="PCF65" s="192"/>
      <c r="PCG65" s="192"/>
      <c r="PCH65" s="192"/>
      <c r="PCI65" s="192"/>
      <c r="PCJ65" s="192"/>
      <c r="PCK65" s="192"/>
      <c r="PCL65" s="192"/>
      <c r="PCM65" s="192"/>
      <c r="PCN65" s="192"/>
      <c r="PCO65" s="192"/>
      <c r="PCP65" s="192"/>
      <c r="PCQ65" s="192"/>
      <c r="PCR65" s="192"/>
      <c r="PCS65" s="192"/>
      <c r="PCT65" s="192"/>
      <c r="PCU65" s="192"/>
      <c r="PCV65" s="192"/>
      <c r="PCW65" s="192"/>
      <c r="PCX65" s="192"/>
      <c r="PCY65" s="192"/>
      <c r="PCZ65" s="192"/>
      <c r="PDA65" s="192"/>
      <c r="PDB65" s="192"/>
      <c r="PDC65" s="192"/>
      <c r="PDD65" s="192"/>
      <c r="PDE65" s="192"/>
      <c r="PDF65" s="192"/>
      <c r="PDG65" s="192"/>
      <c r="PDH65" s="192"/>
      <c r="PDI65" s="192"/>
      <c r="PDJ65" s="192"/>
      <c r="PDK65" s="192"/>
      <c r="PDL65" s="192"/>
      <c r="PDM65" s="192"/>
      <c r="PDN65" s="192"/>
      <c r="PDO65" s="192"/>
      <c r="PDP65" s="192"/>
      <c r="PDQ65" s="192"/>
      <c r="PDR65" s="192"/>
      <c r="PDS65" s="192"/>
      <c r="PDT65" s="192"/>
      <c r="PDU65" s="192"/>
      <c r="PDV65" s="192"/>
      <c r="PDW65" s="192"/>
      <c r="PDX65" s="192"/>
      <c r="PDY65" s="192"/>
      <c r="PDZ65" s="192"/>
      <c r="PEA65" s="192"/>
      <c r="PEB65" s="192"/>
      <c r="PEC65" s="192"/>
      <c r="PED65" s="192"/>
      <c r="PEE65" s="192"/>
      <c r="PEF65" s="192"/>
      <c r="PEG65" s="192"/>
      <c r="PEH65" s="192"/>
      <c r="PEI65" s="192"/>
      <c r="PEJ65" s="192"/>
      <c r="PEK65" s="192"/>
      <c r="PEL65" s="192"/>
      <c r="PEM65" s="192"/>
      <c r="PEN65" s="192"/>
      <c r="PEO65" s="192"/>
      <c r="PEP65" s="192"/>
      <c r="PEQ65" s="192"/>
      <c r="PER65" s="192"/>
      <c r="PES65" s="192"/>
      <c r="PET65" s="192"/>
      <c r="PEU65" s="192"/>
      <c r="PEV65" s="192"/>
      <c r="PEW65" s="192"/>
      <c r="PEX65" s="192"/>
      <c r="PEY65" s="192"/>
      <c r="PEZ65" s="192"/>
      <c r="PFA65" s="192"/>
      <c r="PFB65" s="192"/>
      <c r="PFC65" s="192"/>
      <c r="PFD65" s="192"/>
      <c r="PFE65" s="192"/>
      <c r="PFF65" s="192"/>
      <c r="PFG65" s="192"/>
      <c r="PFH65" s="192"/>
      <c r="PFI65" s="192"/>
      <c r="PFJ65" s="192"/>
      <c r="PFK65" s="192"/>
      <c r="PFL65" s="192"/>
      <c r="PFM65" s="192"/>
      <c r="PFN65" s="192"/>
      <c r="PFO65" s="192"/>
      <c r="PFP65" s="192"/>
      <c r="PFQ65" s="192"/>
      <c r="PFR65" s="192"/>
      <c r="PFS65" s="192"/>
      <c r="PFT65" s="192"/>
      <c r="PFU65" s="192"/>
      <c r="PFV65" s="192"/>
      <c r="PFW65" s="192"/>
      <c r="PFX65" s="192"/>
      <c r="PFY65" s="192"/>
      <c r="PFZ65" s="192"/>
      <c r="PGA65" s="192"/>
      <c r="PGB65" s="192"/>
      <c r="PGC65" s="192"/>
      <c r="PGD65" s="192"/>
      <c r="PGE65" s="192"/>
      <c r="PGF65" s="192"/>
      <c r="PGG65" s="192"/>
      <c r="PGH65" s="192"/>
      <c r="PGI65" s="192"/>
      <c r="PGJ65" s="192"/>
      <c r="PGK65" s="192"/>
      <c r="PGL65" s="192"/>
      <c r="PGM65" s="192"/>
      <c r="PGN65" s="192"/>
      <c r="PGO65" s="192"/>
      <c r="PGP65" s="192"/>
      <c r="PGQ65" s="192"/>
      <c r="PGR65" s="192"/>
      <c r="PGS65" s="192"/>
      <c r="PGT65" s="192"/>
      <c r="PGU65" s="192"/>
      <c r="PGV65" s="192"/>
      <c r="PGW65" s="192"/>
      <c r="PGX65" s="192"/>
      <c r="PGY65" s="192"/>
      <c r="PGZ65" s="192"/>
      <c r="PHA65" s="192"/>
      <c r="PHB65" s="192"/>
      <c r="PHC65" s="192"/>
      <c r="PHD65" s="192"/>
      <c r="PHE65" s="192"/>
      <c r="PHF65" s="192"/>
      <c r="PHG65" s="192"/>
      <c r="PHH65" s="192"/>
      <c r="PHI65" s="192"/>
      <c r="PHJ65" s="192"/>
      <c r="PHK65" s="192"/>
      <c r="PHL65" s="192"/>
      <c r="PHM65" s="192"/>
      <c r="PHN65" s="192"/>
      <c r="PHO65" s="192"/>
      <c r="PHP65" s="192"/>
      <c r="PHQ65" s="192"/>
      <c r="PHR65" s="192"/>
      <c r="PHS65" s="192"/>
      <c r="PHT65" s="192"/>
      <c r="PHU65" s="192"/>
      <c r="PHV65" s="192"/>
      <c r="PHW65" s="192"/>
      <c r="PHX65" s="192"/>
      <c r="PHY65" s="192"/>
      <c r="PHZ65" s="192"/>
      <c r="PIA65" s="192"/>
      <c r="PIB65" s="192"/>
      <c r="PIC65" s="192"/>
      <c r="PID65" s="192"/>
      <c r="PIE65" s="192"/>
      <c r="PIF65" s="192"/>
      <c r="PIG65" s="192"/>
      <c r="PIH65" s="192"/>
      <c r="PII65" s="192"/>
      <c r="PIJ65" s="192"/>
      <c r="PIK65" s="192"/>
      <c r="PIL65" s="192"/>
      <c r="PIM65" s="192"/>
      <c r="PIN65" s="192"/>
      <c r="PIO65" s="192"/>
      <c r="PIP65" s="192"/>
      <c r="PIQ65" s="192"/>
      <c r="PIR65" s="192"/>
      <c r="PIS65" s="192"/>
      <c r="PIT65" s="192"/>
      <c r="PIU65" s="192"/>
      <c r="PIV65" s="192"/>
      <c r="PIW65" s="192"/>
      <c r="PIX65" s="192"/>
      <c r="PIY65" s="192"/>
      <c r="PIZ65" s="192"/>
      <c r="PJA65" s="192"/>
      <c r="PJB65" s="192"/>
      <c r="PJC65" s="192"/>
      <c r="PJD65" s="192"/>
      <c r="PJE65" s="192"/>
      <c r="PJF65" s="192"/>
      <c r="PJG65" s="192"/>
      <c r="PJH65" s="192"/>
      <c r="PJI65" s="192"/>
      <c r="PJJ65" s="192"/>
      <c r="PJK65" s="192"/>
      <c r="PJL65" s="192"/>
      <c r="PJM65" s="192"/>
      <c r="PJN65" s="192"/>
      <c r="PJO65" s="192"/>
      <c r="PJP65" s="192"/>
      <c r="PJQ65" s="192"/>
      <c r="PJR65" s="192"/>
      <c r="PJS65" s="192"/>
      <c r="PJT65" s="192"/>
      <c r="PJU65" s="192"/>
      <c r="PJV65" s="192"/>
      <c r="PJW65" s="192"/>
      <c r="PJX65" s="192"/>
      <c r="PJY65" s="192"/>
      <c r="PJZ65" s="192"/>
      <c r="PKA65" s="192"/>
      <c r="PKB65" s="192"/>
      <c r="PKC65" s="192"/>
      <c r="PKD65" s="192"/>
      <c r="PKE65" s="192"/>
      <c r="PKF65" s="192"/>
      <c r="PKG65" s="192"/>
      <c r="PKH65" s="192"/>
      <c r="PKI65" s="192"/>
      <c r="PKJ65" s="192"/>
      <c r="PKK65" s="192"/>
      <c r="PKL65" s="192"/>
      <c r="PKM65" s="192"/>
      <c r="PKN65" s="192"/>
      <c r="PKO65" s="192"/>
      <c r="PKP65" s="192"/>
      <c r="PKQ65" s="192"/>
      <c r="PKR65" s="192"/>
      <c r="PKS65" s="192"/>
      <c r="PKT65" s="192"/>
      <c r="PKU65" s="192"/>
      <c r="PKV65" s="192"/>
      <c r="PKW65" s="192"/>
      <c r="PKX65" s="192"/>
      <c r="PKY65" s="192"/>
      <c r="PKZ65" s="192"/>
      <c r="PLA65" s="192"/>
      <c r="PLB65" s="192"/>
      <c r="PLC65" s="192"/>
      <c r="PLD65" s="192"/>
      <c r="PLE65" s="192"/>
      <c r="PLF65" s="192"/>
      <c r="PLG65" s="192"/>
      <c r="PLH65" s="192"/>
      <c r="PLI65" s="192"/>
      <c r="PLJ65" s="192"/>
      <c r="PLK65" s="192"/>
      <c r="PLL65" s="192"/>
      <c r="PLM65" s="192"/>
      <c r="PLN65" s="192"/>
      <c r="PLO65" s="192"/>
      <c r="PLP65" s="192"/>
      <c r="PLQ65" s="192"/>
      <c r="PLR65" s="192"/>
      <c r="PLS65" s="192"/>
      <c r="PLT65" s="192"/>
      <c r="PLU65" s="192"/>
      <c r="PLV65" s="192"/>
      <c r="PLW65" s="192"/>
      <c r="PLX65" s="192"/>
      <c r="PLY65" s="192"/>
      <c r="PLZ65" s="192"/>
      <c r="PMA65" s="192"/>
      <c r="PMB65" s="192"/>
      <c r="PMC65" s="192"/>
      <c r="PMD65" s="192"/>
      <c r="PME65" s="192"/>
      <c r="PMF65" s="192"/>
      <c r="PMG65" s="192"/>
      <c r="PMH65" s="192"/>
      <c r="PMI65" s="192"/>
      <c r="PMJ65" s="192"/>
      <c r="PMK65" s="192"/>
      <c r="PML65" s="192"/>
      <c r="PMM65" s="192"/>
      <c r="PMN65" s="192"/>
      <c r="PMO65" s="192"/>
      <c r="PMP65" s="192"/>
      <c r="PMQ65" s="192"/>
      <c r="PMR65" s="192"/>
      <c r="PMS65" s="192"/>
      <c r="PMT65" s="192"/>
      <c r="PMU65" s="192"/>
      <c r="PMV65" s="192"/>
      <c r="PMW65" s="192"/>
      <c r="PMX65" s="192"/>
      <c r="PMY65" s="192"/>
      <c r="PMZ65" s="192"/>
      <c r="PNA65" s="192"/>
      <c r="PNB65" s="192"/>
      <c r="PNC65" s="192"/>
      <c r="PND65" s="192"/>
      <c r="PNE65" s="192"/>
      <c r="PNF65" s="192"/>
      <c r="PNG65" s="192"/>
      <c r="PNH65" s="192"/>
      <c r="PNI65" s="192"/>
      <c r="PNJ65" s="192"/>
      <c r="PNK65" s="192"/>
      <c r="PNL65" s="192"/>
      <c r="PNM65" s="192"/>
      <c r="PNN65" s="192"/>
      <c r="PNO65" s="192"/>
      <c r="PNP65" s="192"/>
      <c r="PNQ65" s="192"/>
      <c r="PNR65" s="192"/>
      <c r="PNS65" s="192"/>
      <c r="PNT65" s="192"/>
      <c r="PNU65" s="192"/>
      <c r="PNV65" s="192"/>
      <c r="PNW65" s="192"/>
      <c r="PNX65" s="192"/>
      <c r="PNY65" s="192"/>
      <c r="PNZ65" s="192"/>
      <c r="POA65" s="192"/>
      <c r="POB65" s="192"/>
      <c r="POC65" s="192"/>
      <c r="POD65" s="192"/>
      <c r="POE65" s="192"/>
      <c r="POF65" s="192"/>
      <c r="POG65" s="192"/>
      <c r="POH65" s="192"/>
      <c r="POI65" s="192"/>
      <c r="POJ65" s="192"/>
      <c r="POK65" s="192"/>
      <c r="POL65" s="192"/>
      <c r="POM65" s="192"/>
      <c r="PON65" s="192"/>
      <c r="POO65" s="192"/>
      <c r="POP65" s="192"/>
      <c r="POQ65" s="192"/>
      <c r="POR65" s="192"/>
      <c r="POS65" s="192"/>
      <c r="POT65" s="192"/>
      <c r="POU65" s="192"/>
      <c r="POV65" s="192"/>
      <c r="POW65" s="192"/>
      <c r="POX65" s="192"/>
      <c r="POY65" s="192"/>
      <c r="POZ65" s="192"/>
      <c r="PPA65" s="192"/>
      <c r="PPB65" s="192"/>
      <c r="PPC65" s="192"/>
      <c r="PPD65" s="192"/>
      <c r="PPE65" s="192"/>
      <c r="PPF65" s="192"/>
      <c r="PPG65" s="192"/>
      <c r="PPH65" s="192"/>
      <c r="PPI65" s="192"/>
      <c r="PPJ65" s="192"/>
      <c r="PPK65" s="192"/>
      <c r="PPL65" s="192"/>
      <c r="PPM65" s="192"/>
      <c r="PPN65" s="192"/>
      <c r="PPO65" s="192"/>
      <c r="PPP65" s="192"/>
      <c r="PPQ65" s="192"/>
      <c r="PPR65" s="192"/>
      <c r="PPS65" s="192"/>
      <c r="PPT65" s="192"/>
      <c r="PPU65" s="192"/>
      <c r="PPV65" s="192"/>
      <c r="PPW65" s="192"/>
      <c r="PPX65" s="192"/>
      <c r="PPY65" s="192"/>
      <c r="PPZ65" s="192"/>
      <c r="PQA65" s="192"/>
      <c r="PQB65" s="192"/>
      <c r="PQC65" s="192"/>
      <c r="PQD65" s="192"/>
      <c r="PQE65" s="192"/>
      <c r="PQF65" s="192"/>
      <c r="PQG65" s="192"/>
      <c r="PQH65" s="192"/>
      <c r="PQI65" s="192"/>
      <c r="PQJ65" s="192"/>
      <c r="PQK65" s="192"/>
      <c r="PQL65" s="192"/>
      <c r="PQM65" s="192"/>
      <c r="PQN65" s="192"/>
      <c r="PQO65" s="192"/>
      <c r="PQP65" s="192"/>
      <c r="PQQ65" s="192"/>
      <c r="PQR65" s="192"/>
      <c r="PQS65" s="192"/>
      <c r="PQT65" s="192"/>
      <c r="PQU65" s="192"/>
      <c r="PQV65" s="192"/>
      <c r="PQW65" s="192"/>
      <c r="PQX65" s="192"/>
      <c r="PQY65" s="192"/>
      <c r="PQZ65" s="192"/>
      <c r="PRA65" s="192"/>
      <c r="PRB65" s="192"/>
      <c r="PRC65" s="192"/>
      <c r="PRD65" s="192"/>
      <c r="PRE65" s="192"/>
      <c r="PRF65" s="192"/>
      <c r="PRG65" s="192"/>
      <c r="PRH65" s="192"/>
      <c r="PRI65" s="192"/>
      <c r="PRJ65" s="192"/>
      <c r="PRK65" s="192"/>
      <c r="PRL65" s="192"/>
      <c r="PRM65" s="192"/>
      <c r="PRN65" s="192"/>
      <c r="PRO65" s="192"/>
      <c r="PRP65" s="192"/>
      <c r="PRQ65" s="192"/>
      <c r="PRR65" s="192"/>
      <c r="PRS65" s="192"/>
      <c r="PRT65" s="192"/>
      <c r="PRU65" s="192"/>
      <c r="PRV65" s="192"/>
      <c r="PRW65" s="192"/>
      <c r="PRX65" s="192"/>
      <c r="PRY65" s="192"/>
      <c r="PRZ65" s="192"/>
      <c r="PSA65" s="192"/>
      <c r="PSB65" s="192"/>
      <c r="PSC65" s="192"/>
      <c r="PSD65" s="192"/>
      <c r="PSE65" s="192"/>
      <c r="PSF65" s="192"/>
      <c r="PSG65" s="192"/>
      <c r="PSH65" s="192"/>
      <c r="PSI65" s="192"/>
      <c r="PSJ65" s="192"/>
      <c r="PSK65" s="192"/>
      <c r="PSL65" s="192"/>
      <c r="PSM65" s="192"/>
      <c r="PSN65" s="192"/>
      <c r="PSO65" s="192"/>
      <c r="PSP65" s="192"/>
      <c r="PSQ65" s="192"/>
      <c r="PSR65" s="192"/>
      <c r="PSS65" s="192"/>
      <c r="PST65" s="192"/>
      <c r="PSU65" s="192"/>
      <c r="PSV65" s="192"/>
      <c r="PSW65" s="192"/>
      <c r="PSX65" s="192"/>
      <c r="PSY65" s="192"/>
      <c r="PSZ65" s="192"/>
      <c r="PTA65" s="192"/>
      <c r="PTB65" s="192"/>
      <c r="PTC65" s="192"/>
      <c r="PTD65" s="192"/>
      <c r="PTE65" s="192"/>
      <c r="PTF65" s="192"/>
      <c r="PTG65" s="192"/>
      <c r="PTH65" s="192"/>
      <c r="PTI65" s="192"/>
      <c r="PTJ65" s="192"/>
      <c r="PTK65" s="192"/>
      <c r="PTL65" s="192"/>
      <c r="PTM65" s="192"/>
      <c r="PTN65" s="192"/>
      <c r="PTO65" s="192"/>
      <c r="PTP65" s="192"/>
      <c r="PTQ65" s="192"/>
      <c r="PTR65" s="192"/>
      <c r="PTS65" s="192"/>
      <c r="PTT65" s="192"/>
      <c r="PTU65" s="192"/>
      <c r="PTV65" s="192"/>
      <c r="PTW65" s="192"/>
      <c r="PTX65" s="192"/>
      <c r="PTY65" s="192"/>
      <c r="PTZ65" s="192"/>
      <c r="PUA65" s="192"/>
      <c r="PUB65" s="192"/>
      <c r="PUC65" s="192"/>
      <c r="PUD65" s="192"/>
      <c r="PUE65" s="192"/>
      <c r="PUF65" s="192"/>
      <c r="PUG65" s="192"/>
      <c r="PUH65" s="192"/>
      <c r="PUI65" s="192"/>
      <c r="PUJ65" s="192"/>
      <c r="PUK65" s="192"/>
      <c r="PUL65" s="192"/>
      <c r="PUM65" s="192"/>
      <c r="PUN65" s="192"/>
      <c r="PUO65" s="192"/>
      <c r="PUP65" s="192"/>
      <c r="PUQ65" s="192"/>
      <c r="PUR65" s="192"/>
      <c r="PUS65" s="192"/>
      <c r="PUT65" s="192"/>
      <c r="PUU65" s="192"/>
      <c r="PUV65" s="192"/>
      <c r="PUW65" s="192"/>
      <c r="PUX65" s="192"/>
      <c r="PUY65" s="192"/>
      <c r="PUZ65" s="192"/>
      <c r="PVA65" s="192"/>
      <c r="PVB65" s="192"/>
      <c r="PVC65" s="192"/>
      <c r="PVD65" s="192"/>
      <c r="PVE65" s="192"/>
      <c r="PVF65" s="192"/>
      <c r="PVG65" s="192"/>
      <c r="PVH65" s="192"/>
      <c r="PVI65" s="192"/>
      <c r="PVJ65" s="192"/>
      <c r="PVK65" s="192"/>
      <c r="PVL65" s="192"/>
      <c r="PVM65" s="192"/>
      <c r="PVN65" s="192"/>
      <c r="PVO65" s="192"/>
      <c r="PVP65" s="192"/>
      <c r="PVQ65" s="192"/>
      <c r="PVR65" s="192"/>
      <c r="PVS65" s="192"/>
      <c r="PVT65" s="192"/>
      <c r="PVU65" s="192"/>
      <c r="PVV65" s="192"/>
      <c r="PVW65" s="192"/>
      <c r="PVX65" s="192"/>
      <c r="PVY65" s="192"/>
      <c r="PVZ65" s="192"/>
      <c r="PWA65" s="192"/>
      <c r="PWB65" s="192"/>
      <c r="PWC65" s="192"/>
      <c r="PWD65" s="192"/>
      <c r="PWE65" s="192"/>
      <c r="PWF65" s="192"/>
      <c r="PWG65" s="192"/>
      <c r="PWH65" s="192"/>
      <c r="PWI65" s="192"/>
      <c r="PWJ65" s="192"/>
      <c r="PWK65" s="192"/>
      <c r="PWL65" s="192"/>
      <c r="PWM65" s="192"/>
      <c r="PWN65" s="192"/>
      <c r="PWO65" s="192"/>
      <c r="PWP65" s="192"/>
      <c r="PWQ65" s="192"/>
      <c r="PWR65" s="192"/>
      <c r="PWS65" s="192"/>
      <c r="PWT65" s="192"/>
      <c r="PWU65" s="192"/>
      <c r="PWV65" s="192"/>
      <c r="PWW65" s="192"/>
      <c r="PWX65" s="192"/>
      <c r="PWY65" s="192"/>
      <c r="PWZ65" s="192"/>
      <c r="PXA65" s="192"/>
      <c r="PXB65" s="192"/>
      <c r="PXC65" s="192"/>
      <c r="PXD65" s="192"/>
      <c r="PXE65" s="192"/>
      <c r="PXF65" s="192"/>
      <c r="PXG65" s="192"/>
      <c r="PXH65" s="192"/>
      <c r="PXI65" s="192"/>
      <c r="PXJ65" s="192"/>
      <c r="PXK65" s="192"/>
      <c r="PXL65" s="192"/>
      <c r="PXM65" s="192"/>
      <c r="PXN65" s="192"/>
      <c r="PXO65" s="192"/>
      <c r="PXP65" s="192"/>
      <c r="PXQ65" s="192"/>
      <c r="PXR65" s="192"/>
      <c r="PXS65" s="192"/>
      <c r="PXT65" s="192"/>
      <c r="PXU65" s="192"/>
      <c r="PXV65" s="192"/>
      <c r="PXW65" s="192"/>
      <c r="PXX65" s="192"/>
      <c r="PXY65" s="192"/>
      <c r="PXZ65" s="192"/>
      <c r="PYA65" s="192"/>
      <c r="PYB65" s="192"/>
      <c r="PYC65" s="192"/>
      <c r="PYD65" s="192"/>
      <c r="PYE65" s="192"/>
      <c r="PYF65" s="192"/>
      <c r="PYG65" s="192"/>
      <c r="PYH65" s="192"/>
      <c r="PYI65" s="192"/>
      <c r="PYJ65" s="192"/>
      <c r="PYK65" s="192"/>
      <c r="PYL65" s="192"/>
      <c r="PYM65" s="192"/>
      <c r="PYN65" s="192"/>
      <c r="PYO65" s="192"/>
      <c r="PYP65" s="192"/>
      <c r="PYQ65" s="192"/>
      <c r="PYR65" s="192"/>
      <c r="PYS65" s="192"/>
      <c r="PYT65" s="192"/>
      <c r="PYU65" s="192"/>
      <c r="PYV65" s="192"/>
      <c r="PYW65" s="192"/>
      <c r="PYX65" s="192"/>
      <c r="PYY65" s="192"/>
      <c r="PYZ65" s="192"/>
      <c r="PZA65" s="192"/>
      <c r="PZB65" s="192"/>
      <c r="PZC65" s="192"/>
      <c r="PZD65" s="192"/>
      <c r="PZE65" s="192"/>
      <c r="PZF65" s="192"/>
      <c r="PZG65" s="192"/>
      <c r="PZH65" s="192"/>
      <c r="PZI65" s="192"/>
      <c r="PZJ65" s="192"/>
      <c r="PZK65" s="192"/>
      <c r="PZL65" s="192"/>
      <c r="PZM65" s="192"/>
      <c r="PZN65" s="192"/>
      <c r="PZO65" s="192"/>
      <c r="PZP65" s="192"/>
      <c r="PZQ65" s="192"/>
      <c r="PZR65" s="192"/>
      <c r="PZS65" s="192"/>
      <c r="PZT65" s="192"/>
      <c r="PZU65" s="192"/>
      <c r="PZV65" s="192"/>
      <c r="PZW65" s="192"/>
      <c r="PZX65" s="192"/>
      <c r="PZY65" s="192"/>
      <c r="PZZ65" s="192"/>
      <c r="QAA65" s="192"/>
      <c r="QAB65" s="192"/>
      <c r="QAC65" s="192"/>
      <c r="QAD65" s="192"/>
      <c r="QAE65" s="192"/>
      <c r="QAF65" s="192"/>
      <c r="QAG65" s="192"/>
      <c r="QAH65" s="192"/>
      <c r="QAI65" s="192"/>
      <c r="QAJ65" s="192"/>
      <c r="QAK65" s="192"/>
      <c r="QAL65" s="192"/>
      <c r="QAM65" s="192"/>
      <c r="QAN65" s="192"/>
      <c r="QAO65" s="192"/>
      <c r="QAP65" s="192"/>
      <c r="QAQ65" s="192"/>
      <c r="QAR65" s="192"/>
      <c r="QAS65" s="192"/>
      <c r="QAT65" s="192"/>
      <c r="QAU65" s="192"/>
      <c r="QAV65" s="192"/>
      <c r="QAW65" s="192"/>
      <c r="QAX65" s="192"/>
      <c r="QAY65" s="192"/>
      <c r="QAZ65" s="192"/>
      <c r="QBA65" s="192"/>
      <c r="QBB65" s="192"/>
      <c r="QBC65" s="192"/>
      <c r="QBD65" s="192"/>
      <c r="QBE65" s="192"/>
      <c r="QBF65" s="192"/>
      <c r="QBG65" s="192"/>
      <c r="QBH65" s="192"/>
      <c r="QBI65" s="192"/>
      <c r="QBJ65" s="192"/>
      <c r="QBK65" s="192"/>
      <c r="QBL65" s="192"/>
      <c r="QBM65" s="192"/>
      <c r="QBN65" s="192"/>
      <c r="QBO65" s="192"/>
      <c r="QBP65" s="192"/>
      <c r="QBQ65" s="192"/>
      <c r="QBR65" s="192"/>
      <c r="QBS65" s="192"/>
      <c r="QBT65" s="192"/>
      <c r="QBU65" s="192"/>
      <c r="QBV65" s="192"/>
      <c r="QBW65" s="192"/>
      <c r="QBX65" s="192"/>
      <c r="QBY65" s="192"/>
      <c r="QBZ65" s="192"/>
      <c r="QCA65" s="192"/>
      <c r="QCB65" s="192"/>
      <c r="QCC65" s="192"/>
      <c r="QCD65" s="192"/>
      <c r="QCE65" s="192"/>
      <c r="QCF65" s="192"/>
      <c r="QCG65" s="192"/>
      <c r="QCH65" s="192"/>
      <c r="QCI65" s="192"/>
      <c r="QCJ65" s="192"/>
      <c r="QCK65" s="192"/>
      <c r="QCL65" s="192"/>
      <c r="QCM65" s="192"/>
      <c r="QCN65" s="192"/>
      <c r="QCO65" s="192"/>
      <c r="QCP65" s="192"/>
      <c r="QCQ65" s="192"/>
      <c r="QCR65" s="192"/>
      <c r="QCS65" s="192"/>
      <c r="QCT65" s="192"/>
      <c r="QCU65" s="192"/>
      <c r="QCV65" s="192"/>
      <c r="QCW65" s="192"/>
      <c r="QCX65" s="192"/>
      <c r="QCY65" s="192"/>
      <c r="QCZ65" s="192"/>
      <c r="QDA65" s="192"/>
      <c r="QDB65" s="192"/>
      <c r="QDC65" s="192"/>
      <c r="QDD65" s="192"/>
      <c r="QDE65" s="192"/>
      <c r="QDF65" s="192"/>
      <c r="QDG65" s="192"/>
      <c r="QDH65" s="192"/>
      <c r="QDI65" s="192"/>
      <c r="QDJ65" s="192"/>
      <c r="QDK65" s="192"/>
      <c r="QDL65" s="192"/>
      <c r="QDM65" s="192"/>
      <c r="QDN65" s="192"/>
      <c r="QDO65" s="192"/>
      <c r="QDP65" s="192"/>
      <c r="QDQ65" s="192"/>
      <c r="QDR65" s="192"/>
      <c r="QDS65" s="192"/>
      <c r="QDT65" s="192"/>
      <c r="QDU65" s="192"/>
      <c r="QDV65" s="192"/>
      <c r="QDW65" s="192"/>
      <c r="QDX65" s="192"/>
      <c r="QDY65" s="192"/>
      <c r="QDZ65" s="192"/>
      <c r="QEA65" s="192"/>
      <c r="QEB65" s="192"/>
      <c r="QEC65" s="192"/>
      <c r="QED65" s="192"/>
      <c r="QEE65" s="192"/>
      <c r="QEF65" s="192"/>
      <c r="QEG65" s="192"/>
      <c r="QEH65" s="192"/>
      <c r="QEI65" s="192"/>
      <c r="QEJ65" s="192"/>
      <c r="QEK65" s="192"/>
      <c r="QEL65" s="192"/>
      <c r="QEM65" s="192"/>
      <c r="QEN65" s="192"/>
      <c r="QEO65" s="192"/>
      <c r="QEP65" s="192"/>
      <c r="QEQ65" s="192"/>
      <c r="QER65" s="192"/>
      <c r="QES65" s="192"/>
      <c r="QET65" s="192"/>
      <c r="QEU65" s="192"/>
      <c r="QEV65" s="192"/>
      <c r="QEW65" s="192"/>
      <c r="QEX65" s="192"/>
      <c r="QEY65" s="192"/>
      <c r="QEZ65" s="192"/>
      <c r="QFA65" s="192"/>
      <c r="QFB65" s="192"/>
      <c r="QFC65" s="192"/>
      <c r="QFD65" s="192"/>
      <c r="QFE65" s="192"/>
      <c r="QFF65" s="192"/>
      <c r="QFG65" s="192"/>
      <c r="QFH65" s="192"/>
      <c r="QFI65" s="192"/>
      <c r="QFJ65" s="192"/>
      <c r="QFK65" s="192"/>
      <c r="QFL65" s="192"/>
      <c r="QFM65" s="192"/>
      <c r="QFN65" s="192"/>
      <c r="QFO65" s="192"/>
      <c r="QFP65" s="192"/>
      <c r="QFQ65" s="192"/>
      <c r="QFR65" s="192"/>
      <c r="QFS65" s="192"/>
      <c r="QFT65" s="192"/>
      <c r="QFU65" s="192"/>
      <c r="QFV65" s="192"/>
      <c r="QFW65" s="192"/>
      <c r="QFX65" s="192"/>
      <c r="QFY65" s="192"/>
      <c r="QFZ65" s="192"/>
      <c r="QGA65" s="192"/>
      <c r="QGB65" s="192"/>
      <c r="QGC65" s="192"/>
      <c r="QGD65" s="192"/>
      <c r="QGE65" s="192"/>
      <c r="QGF65" s="192"/>
      <c r="QGG65" s="192"/>
      <c r="QGH65" s="192"/>
      <c r="QGI65" s="192"/>
      <c r="QGJ65" s="192"/>
      <c r="QGK65" s="192"/>
      <c r="QGL65" s="192"/>
      <c r="QGM65" s="192"/>
      <c r="QGN65" s="192"/>
      <c r="QGO65" s="192"/>
      <c r="QGP65" s="192"/>
      <c r="QGQ65" s="192"/>
      <c r="QGR65" s="192"/>
      <c r="QGS65" s="192"/>
      <c r="QGT65" s="192"/>
      <c r="QGU65" s="192"/>
      <c r="QGV65" s="192"/>
      <c r="QGW65" s="192"/>
      <c r="QGX65" s="192"/>
      <c r="QGY65" s="192"/>
      <c r="QGZ65" s="192"/>
      <c r="QHA65" s="192"/>
      <c r="QHB65" s="192"/>
      <c r="QHC65" s="192"/>
      <c r="QHD65" s="192"/>
      <c r="QHE65" s="192"/>
      <c r="QHF65" s="192"/>
      <c r="QHG65" s="192"/>
      <c r="QHH65" s="192"/>
      <c r="QHI65" s="192"/>
      <c r="QHJ65" s="192"/>
      <c r="QHK65" s="192"/>
      <c r="QHL65" s="192"/>
      <c r="QHM65" s="192"/>
      <c r="QHN65" s="192"/>
      <c r="QHO65" s="192"/>
      <c r="QHP65" s="192"/>
      <c r="QHQ65" s="192"/>
      <c r="QHR65" s="192"/>
      <c r="QHS65" s="192"/>
      <c r="QHT65" s="192"/>
      <c r="QHU65" s="192"/>
      <c r="QHV65" s="192"/>
      <c r="QHW65" s="192"/>
      <c r="QHX65" s="192"/>
      <c r="QHY65" s="192"/>
      <c r="QHZ65" s="192"/>
      <c r="QIA65" s="192"/>
      <c r="QIB65" s="192"/>
      <c r="QIC65" s="192"/>
      <c r="QID65" s="192"/>
      <c r="QIE65" s="192"/>
      <c r="QIF65" s="192"/>
      <c r="QIG65" s="192"/>
      <c r="QIH65" s="192"/>
      <c r="QII65" s="192"/>
      <c r="QIJ65" s="192"/>
      <c r="QIK65" s="192"/>
      <c r="QIL65" s="192"/>
      <c r="QIM65" s="192"/>
      <c r="QIN65" s="192"/>
      <c r="QIO65" s="192"/>
      <c r="QIP65" s="192"/>
      <c r="QIQ65" s="192"/>
      <c r="QIR65" s="192"/>
      <c r="QIS65" s="192"/>
      <c r="QIT65" s="192"/>
      <c r="QIU65" s="192"/>
      <c r="QIV65" s="192"/>
      <c r="QIW65" s="192"/>
      <c r="QIX65" s="192"/>
      <c r="QIY65" s="192"/>
      <c r="QIZ65" s="192"/>
      <c r="QJA65" s="192"/>
      <c r="QJB65" s="192"/>
      <c r="QJC65" s="192"/>
      <c r="QJD65" s="192"/>
      <c r="QJE65" s="192"/>
      <c r="QJF65" s="192"/>
      <c r="QJG65" s="192"/>
      <c r="QJH65" s="192"/>
      <c r="QJI65" s="192"/>
      <c r="QJJ65" s="192"/>
      <c r="QJK65" s="192"/>
      <c r="QJL65" s="192"/>
      <c r="QJM65" s="192"/>
      <c r="QJN65" s="192"/>
      <c r="QJO65" s="192"/>
      <c r="QJP65" s="192"/>
      <c r="QJQ65" s="192"/>
      <c r="QJR65" s="192"/>
      <c r="QJS65" s="192"/>
      <c r="QJT65" s="192"/>
      <c r="QJU65" s="192"/>
      <c r="QJV65" s="192"/>
      <c r="QJW65" s="192"/>
      <c r="QJX65" s="192"/>
      <c r="QJY65" s="192"/>
      <c r="QJZ65" s="192"/>
      <c r="QKA65" s="192"/>
      <c r="QKB65" s="192"/>
      <c r="QKC65" s="192"/>
      <c r="QKD65" s="192"/>
      <c r="QKE65" s="192"/>
      <c r="QKF65" s="192"/>
      <c r="QKG65" s="192"/>
      <c r="QKH65" s="192"/>
      <c r="QKI65" s="192"/>
      <c r="QKJ65" s="192"/>
      <c r="QKK65" s="192"/>
      <c r="QKL65" s="192"/>
      <c r="QKM65" s="192"/>
      <c r="QKN65" s="192"/>
      <c r="QKO65" s="192"/>
      <c r="QKP65" s="192"/>
      <c r="QKQ65" s="192"/>
      <c r="QKR65" s="192"/>
      <c r="QKS65" s="192"/>
      <c r="QKT65" s="192"/>
      <c r="QKU65" s="192"/>
      <c r="QKV65" s="192"/>
      <c r="QKW65" s="192"/>
      <c r="QKX65" s="192"/>
      <c r="QKY65" s="192"/>
      <c r="QKZ65" s="192"/>
      <c r="QLA65" s="192"/>
      <c r="QLB65" s="192"/>
      <c r="QLC65" s="192"/>
      <c r="QLD65" s="192"/>
      <c r="QLE65" s="192"/>
      <c r="QLF65" s="192"/>
      <c r="QLG65" s="192"/>
      <c r="QLH65" s="192"/>
      <c r="QLI65" s="192"/>
      <c r="QLJ65" s="192"/>
      <c r="QLK65" s="192"/>
      <c r="QLL65" s="192"/>
      <c r="QLM65" s="192"/>
      <c r="QLN65" s="192"/>
      <c r="QLO65" s="192"/>
      <c r="QLP65" s="192"/>
      <c r="QLQ65" s="192"/>
      <c r="QLR65" s="192"/>
      <c r="QLS65" s="192"/>
      <c r="QLT65" s="192"/>
      <c r="QLU65" s="192"/>
      <c r="QLV65" s="192"/>
      <c r="QLW65" s="192"/>
      <c r="QLX65" s="192"/>
      <c r="QLY65" s="192"/>
      <c r="QLZ65" s="192"/>
      <c r="QMA65" s="192"/>
      <c r="QMB65" s="192"/>
      <c r="QMC65" s="192"/>
      <c r="QMD65" s="192"/>
      <c r="QME65" s="192"/>
      <c r="QMF65" s="192"/>
      <c r="QMG65" s="192"/>
      <c r="QMH65" s="192"/>
      <c r="QMI65" s="192"/>
      <c r="QMJ65" s="192"/>
      <c r="QMK65" s="192"/>
      <c r="QML65" s="192"/>
      <c r="QMM65" s="192"/>
      <c r="QMN65" s="192"/>
      <c r="QMO65" s="192"/>
      <c r="QMP65" s="192"/>
      <c r="QMQ65" s="192"/>
      <c r="QMR65" s="192"/>
      <c r="QMS65" s="192"/>
      <c r="QMT65" s="192"/>
      <c r="QMU65" s="192"/>
      <c r="QMV65" s="192"/>
      <c r="QMW65" s="192"/>
      <c r="QMX65" s="192"/>
      <c r="QMY65" s="192"/>
      <c r="QMZ65" s="192"/>
      <c r="QNA65" s="192"/>
      <c r="QNB65" s="192"/>
      <c r="QNC65" s="192"/>
      <c r="QND65" s="192"/>
      <c r="QNE65" s="192"/>
      <c r="QNF65" s="192"/>
      <c r="QNG65" s="192"/>
      <c r="QNH65" s="192"/>
      <c r="QNI65" s="192"/>
      <c r="QNJ65" s="192"/>
      <c r="QNK65" s="192"/>
      <c r="QNL65" s="192"/>
      <c r="QNM65" s="192"/>
      <c r="QNN65" s="192"/>
      <c r="QNO65" s="192"/>
      <c r="QNP65" s="192"/>
      <c r="QNQ65" s="192"/>
      <c r="QNR65" s="192"/>
      <c r="QNS65" s="192"/>
      <c r="QNT65" s="192"/>
      <c r="QNU65" s="192"/>
      <c r="QNV65" s="192"/>
      <c r="QNW65" s="192"/>
      <c r="QNX65" s="192"/>
      <c r="QNY65" s="192"/>
      <c r="QNZ65" s="192"/>
      <c r="QOA65" s="192"/>
      <c r="QOB65" s="192"/>
      <c r="QOC65" s="192"/>
      <c r="QOD65" s="192"/>
      <c r="QOE65" s="192"/>
      <c r="QOF65" s="192"/>
      <c r="QOG65" s="192"/>
      <c r="QOH65" s="192"/>
      <c r="QOI65" s="192"/>
      <c r="QOJ65" s="192"/>
      <c r="QOK65" s="192"/>
      <c r="QOL65" s="192"/>
      <c r="QOM65" s="192"/>
      <c r="QON65" s="192"/>
      <c r="QOO65" s="192"/>
      <c r="QOP65" s="192"/>
      <c r="QOQ65" s="192"/>
      <c r="QOR65" s="192"/>
      <c r="QOS65" s="192"/>
      <c r="QOT65" s="192"/>
      <c r="QOU65" s="192"/>
      <c r="QOV65" s="192"/>
      <c r="QOW65" s="192"/>
      <c r="QOX65" s="192"/>
      <c r="QOY65" s="192"/>
      <c r="QOZ65" s="192"/>
      <c r="QPA65" s="192"/>
      <c r="QPB65" s="192"/>
      <c r="QPC65" s="192"/>
      <c r="QPD65" s="192"/>
      <c r="QPE65" s="192"/>
      <c r="QPF65" s="192"/>
      <c r="QPG65" s="192"/>
      <c r="QPH65" s="192"/>
      <c r="QPI65" s="192"/>
      <c r="QPJ65" s="192"/>
      <c r="QPK65" s="192"/>
      <c r="QPL65" s="192"/>
      <c r="QPM65" s="192"/>
      <c r="QPN65" s="192"/>
      <c r="QPO65" s="192"/>
      <c r="QPP65" s="192"/>
      <c r="QPQ65" s="192"/>
      <c r="QPR65" s="192"/>
      <c r="QPS65" s="192"/>
      <c r="QPT65" s="192"/>
      <c r="QPU65" s="192"/>
      <c r="QPV65" s="192"/>
      <c r="QPW65" s="192"/>
      <c r="QPX65" s="192"/>
      <c r="QPY65" s="192"/>
      <c r="QPZ65" s="192"/>
      <c r="QQA65" s="192"/>
      <c r="QQB65" s="192"/>
      <c r="QQC65" s="192"/>
      <c r="QQD65" s="192"/>
      <c r="QQE65" s="192"/>
      <c r="QQF65" s="192"/>
      <c r="QQG65" s="192"/>
      <c r="QQH65" s="192"/>
      <c r="QQI65" s="192"/>
      <c r="QQJ65" s="192"/>
      <c r="QQK65" s="192"/>
      <c r="QQL65" s="192"/>
      <c r="QQM65" s="192"/>
      <c r="QQN65" s="192"/>
      <c r="QQO65" s="192"/>
      <c r="QQP65" s="192"/>
      <c r="QQQ65" s="192"/>
      <c r="QQR65" s="192"/>
      <c r="QQS65" s="192"/>
      <c r="QQT65" s="192"/>
      <c r="QQU65" s="192"/>
      <c r="QQV65" s="192"/>
      <c r="QQW65" s="192"/>
      <c r="QQX65" s="192"/>
      <c r="QQY65" s="192"/>
      <c r="QQZ65" s="192"/>
      <c r="QRA65" s="192"/>
      <c r="QRB65" s="192"/>
      <c r="QRC65" s="192"/>
      <c r="QRD65" s="192"/>
      <c r="QRE65" s="192"/>
      <c r="QRF65" s="192"/>
      <c r="QRG65" s="192"/>
      <c r="QRH65" s="192"/>
      <c r="QRI65" s="192"/>
      <c r="QRJ65" s="192"/>
      <c r="QRK65" s="192"/>
      <c r="QRL65" s="192"/>
      <c r="QRM65" s="192"/>
      <c r="QRN65" s="192"/>
      <c r="QRO65" s="192"/>
      <c r="QRP65" s="192"/>
      <c r="QRQ65" s="192"/>
      <c r="QRR65" s="192"/>
      <c r="QRS65" s="192"/>
      <c r="QRT65" s="192"/>
      <c r="QRU65" s="192"/>
      <c r="QRV65" s="192"/>
      <c r="QRW65" s="192"/>
      <c r="QRX65" s="192"/>
      <c r="QRY65" s="192"/>
      <c r="QRZ65" s="192"/>
      <c r="QSA65" s="192"/>
      <c r="QSB65" s="192"/>
      <c r="QSC65" s="192"/>
      <c r="QSD65" s="192"/>
      <c r="QSE65" s="192"/>
      <c r="QSF65" s="192"/>
      <c r="QSG65" s="192"/>
      <c r="QSH65" s="192"/>
      <c r="QSI65" s="192"/>
      <c r="QSJ65" s="192"/>
      <c r="QSK65" s="192"/>
      <c r="QSL65" s="192"/>
      <c r="QSM65" s="192"/>
      <c r="QSN65" s="192"/>
      <c r="QSO65" s="192"/>
      <c r="QSP65" s="192"/>
      <c r="QSQ65" s="192"/>
      <c r="QSR65" s="192"/>
      <c r="QSS65" s="192"/>
      <c r="QST65" s="192"/>
      <c r="QSU65" s="192"/>
      <c r="QSV65" s="192"/>
      <c r="QSW65" s="192"/>
      <c r="QSX65" s="192"/>
      <c r="QSY65" s="192"/>
      <c r="QSZ65" s="192"/>
      <c r="QTA65" s="192"/>
      <c r="QTB65" s="192"/>
      <c r="QTC65" s="192"/>
      <c r="QTD65" s="192"/>
      <c r="QTE65" s="192"/>
      <c r="QTF65" s="192"/>
      <c r="QTG65" s="192"/>
      <c r="QTH65" s="192"/>
      <c r="QTI65" s="192"/>
      <c r="QTJ65" s="192"/>
      <c r="QTK65" s="192"/>
      <c r="QTL65" s="192"/>
      <c r="QTM65" s="192"/>
      <c r="QTN65" s="192"/>
      <c r="QTO65" s="192"/>
      <c r="QTP65" s="192"/>
      <c r="QTQ65" s="192"/>
      <c r="QTR65" s="192"/>
      <c r="QTS65" s="192"/>
      <c r="QTT65" s="192"/>
      <c r="QTU65" s="192"/>
      <c r="QTV65" s="192"/>
      <c r="QTW65" s="192"/>
      <c r="QTX65" s="192"/>
      <c r="QTY65" s="192"/>
      <c r="QTZ65" s="192"/>
      <c r="QUA65" s="192"/>
      <c r="QUB65" s="192"/>
      <c r="QUC65" s="192"/>
      <c r="QUD65" s="192"/>
      <c r="QUE65" s="192"/>
      <c r="QUF65" s="192"/>
      <c r="QUG65" s="192"/>
      <c r="QUH65" s="192"/>
      <c r="QUI65" s="192"/>
      <c r="QUJ65" s="192"/>
      <c r="QUK65" s="192"/>
      <c r="QUL65" s="192"/>
      <c r="QUM65" s="192"/>
      <c r="QUN65" s="192"/>
      <c r="QUO65" s="192"/>
      <c r="QUP65" s="192"/>
      <c r="QUQ65" s="192"/>
      <c r="QUR65" s="192"/>
      <c r="QUS65" s="192"/>
      <c r="QUT65" s="192"/>
      <c r="QUU65" s="192"/>
      <c r="QUV65" s="192"/>
      <c r="QUW65" s="192"/>
      <c r="QUX65" s="192"/>
      <c r="QUY65" s="192"/>
      <c r="QUZ65" s="192"/>
      <c r="QVA65" s="192"/>
      <c r="QVB65" s="192"/>
      <c r="QVC65" s="192"/>
      <c r="QVD65" s="192"/>
      <c r="QVE65" s="192"/>
      <c r="QVF65" s="192"/>
      <c r="QVG65" s="192"/>
      <c r="QVH65" s="192"/>
      <c r="QVI65" s="192"/>
      <c r="QVJ65" s="192"/>
      <c r="QVK65" s="192"/>
      <c r="QVL65" s="192"/>
      <c r="QVM65" s="192"/>
      <c r="QVN65" s="192"/>
      <c r="QVO65" s="192"/>
      <c r="QVP65" s="192"/>
      <c r="QVQ65" s="192"/>
      <c r="QVR65" s="192"/>
      <c r="QVS65" s="192"/>
      <c r="QVT65" s="192"/>
      <c r="QVU65" s="192"/>
      <c r="QVV65" s="192"/>
      <c r="QVW65" s="192"/>
      <c r="QVX65" s="192"/>
      <c r="QVY65" s="192"/>
      <c r="QVZ65" s="192"/>
      <c r="QWA65" s="192"/>
      <c r="QWB65" s="192"/>
      <c r="QWC65" s="192"/>
      <c r="QWD65" s="192"/>
      <c r="QWE65" s="192"/>
      <c r="QWF65" s="192"/>
      <c r="QWG65" s="192"/>
      <c r="QWH65" s="192"/>
      <c r="QWI65" s="192"/>
      <c r="QWJ65" s="192"/>
      <c r="QWK65" s="192"/>
      <c r="QWL65" s="192"/>
      <c r="QWM65" s="192"/>
      <c r="QWN65" s="192"/>
      <c r="QWO65" s="192"/>
      <c r="QWP65" s="192"/>
      <c r="QWQ65" s="192"/>
      <c r="QWR65" s="192"/>
      <c r="QWS65" s="192"/>
      <c r="QWT65" s="192"/>
      <c r="QWU65" s="192"/>
      <c r="QWV65" s="192"/>
      <c r="QWW65" s="192"/>
      <c r="QWX65" s="192"/>
      <c r="QWY65" s="192"/>
      <c r="QWZ65" s="192"/>
      <c r="QXA65" s="192"/>
      <c r="QXB65" s="192"/>
      <c r="QXC65" s="192"/>
      <c r="QXD65" s="192"/>
      <c r="QXE65" s="192"/>
      <c r="QXF65" s="192"/>
      <c r="QXG65" s="192"/>
      <c r="QXH65" s="192"/>
      <c r="QXI65" s="192"/>
      <c r="QXJ65" s="192"/>
      <c r="QXK65" s="192"/>
      <c r="QXL65" s="192"/>
      <c r="QXM65" s="192"/>
      <c r="QXN65" s="192"/>
      <c r="QXO65" s="192"/>
      <c r="QXP65" s="192"/>
      <c r="QXQ65" s="192"/>
      <c r="QXR65" s="192"/>
      <c r="QXS65" s="192"/>
      <c r="QXT65" s="192"/>
      <c r="QXU65" s="192"/>
      <c r="QXV65" s="192"/>
      <c r="QXW65" s="192"/>
      <c r="QXX65" s="192"/>
      <c r="QXY65" s="192"/>
      <c r="QXZ65" s="192"/>
      <c r="QYA65" s="192"/>
      <c r="QYB65" s="192"/>
      <c r="QYC65" s="192"/>
      <c r="QYD65" s="192"/>
      <c r="QYE65" s="192"/>
      <c r="QYF65" s="192"/>
      <c r="QYG65" s="192"/>
      <c r="QYH65" s="192"/>
      <c r="QYI65" s="192"/>
      <c r="QYJ65" s="192"/>
      <c r="QYK65" s="192"/>
      <c r="QYL65" s="192"/>
      <c r="QYM65" s="192"/>
      <c r="QYN65" s="192"/>
      <c r="QYO65" s="192"/>
      <c r="QYP65" s="192"/>
      <c r="QYQ65" s="192"/>
      <c r="QYR65" s="192"/>
      <c r="QYS65" s="192"/>
      <c r="QYT65" s="192"/>
      <c r="QYU65" s="192"/>
      <c r="QYV65" s="192"/>
      <c r="QYW65" s="192"/>
      <c r="QYX65" s="192"/>
      <c r="QYY65" s="192"/>
      <c r="QYZ65" s="192"/>
      <c r="QZA65" s="192"/>
      <c r="QZB65" s="192"/>
      <c r="QZC65" s="192"/>
      <c r="QZD65" s="192"/>
      <c r="QZE65" s="192"/>
      <c r="QZF65" s="192"/>
      <c r="QZG65" s="192"/>
      <c r="QZH65" s="192"/>
      <c r="QZI65" s="192"/>
      <c r="QZJ65" s="192"/>
      <c r="QZK65" s="192"/>
      <c r="QZL65" s="192"/>
      <c r="QZM65" s="192"/>
      <c r="QZN65" s="192"/>
      <c r="QZO65" s="192"/>
      <c r="QZP65" s="192"/>
      <c r="QZQ65" s="192"/>
      <c r="QZR65" s="192"/>
      <c r="QZS65" s="192"/>
      <c r="QZT65" s="192"/>
      <c r="QZU65" s="192"/>
      <c r="QZV65" s="192"/>
      <c r="QZW65" s="192"/>
      <c r="QZX65" s="192"/>
      <c r="QZY65" s="192"/>
      <c r="QZZ65" s="192"/>
      <c r="RAA65" s="192"/>
      <c r="RAB65" s="192"/>
      <c r="RAC65" s="192"/>
      <c r="RAD65" s="192"/>
      <c r="RAE65" s="192"/>
      <c r="RAF65" s="192"/>
      <c r="RAG65" s="192"/>
      <c r="RAH65" s="192"/>
      <c r="RAI65" s="192"/>
      <c r="RAJ65" s="192"/>
      <c r="RAK65" s="192"/>
      <c r="RAL65" s="192"/>
      <c r="RAM65" s="192"/>
      <c r="RAN65" s="192"/>
      <c r="RAO65" s="192"/>
      <c r="RAP65" s="192"/>
      <c r="RAQ65" s="192"/>
      <c r="RAR65" s="192"/>
      <c r="RAS65" s="192"/>
      <c r="RAT65" s="192"/>
      <c r="RAU65" s="192"/>
      <c r="RAV65" s="192"/>
      <c r="RAW65" s="192"/>
      <c r="RAX65" s="192"/>
      <c r="RAY65" s="192"/>
      <c r="RAZ65" s="192"/>
      <c r="RBA65" s="192"/>
      <c r="RBB65" s="192"/>
      <c r="RBC65" s="192"/>
      <c r="RBD65" s="192"/>
      <c r="RBE65" s="192"/>
      <c r="RBF65" s="192"/>
      <c r="RBG65" s="192"/>
      <c r="RBH65" s="192"/>
      <c r="RBI65" s="192"/>
      <c r="RBJ65" s="192"/>
      <c r="RBK65" s="192"/>
      <c r="RBL65" s="192"/>
      <c r="RBM65" s="192"/>
      <c r="RBN65" s="192"/>
      <c r="RBO65" s="192"/>
      <c r="RBP65" s="192"/>
      <c r="RBQ65" s="192"/>
      <c r="RBR65" s="192"/>
      <c r="RBS65" s="192"/>
      <c r="RBT65" s="192"/>
      <c r="RBU65" s="192"/>
      <c r="RBV65" s="192"/>
      <c r="RBW65" s="192"/>
      <c r="RBX65" s="192"/>
      <c r="RBY65" s="192"/>
      <c r="RBZ65" s="192"/>
      <c r="RCA65" s="192"/>
      <c r="RCB65" s="192"/>
      <c r="RCC65" s="192"/>
      <c r="RCD65" s="192"/>
      <c r="RCE65" s="192"/>
      <c r="RCF65" s="192"/>
      <c r="RCG65" s="192"/>
      <c r="RCH65" s="192"/>
      <c r="RCI65" s="192"/>
      <c r="RCJ65" s="192"/>
      <c r="RCK65" s="192"/>
      <c r="RCL65" s="192"/>
      <c r="RCM65" s="192"/>
      <c r="RCN65" s="192"/>
      <c r="RCO65" s="192"/>
      <c r="RCP65" s="192"/>
      <c r="RCQ65" s="192"/>
      <c r="RCR65" s="192"/>
      <c r="RCS65" s="192"/>
      <c r="RCT65" s="192"/>
      <c r="RCU65" s="192"/>
      <c r="RCV65" s="192"/>
      <c r="RCW65" s="192"/>
      <c r="RCX65" s="192"/>
      <c r="RCY65" s="192"/>
      <c r="RCZ65" s="192"/>
      <c r="RDA65" s="192"/>
      <c r="RDB65" s="192"/>
      <c r="RDC65" s="192"/>
      <c r="RDD65" s="192"/>
      <c r="RDE65" s="192"/>
      <c r="RDF65" s="192"/>
      <c r="RDG65" s="192"/>
      <c r="RDH65" s="192"/>
      <c r="RDI65" s="192"/>
      <c r="RDJ65" s="192"/>
      <c r="RDK65" s="192"/>
      <c r="RDL65" s="192"/>
      <c r="RDM65" s="192"/>
      <c r="RDN65" s="192"/>
      <c r="RDO65" s="192"/>
      <c r="RDP65" s="192"/>
      <c r="RDQ65" s="192"/>
      <c r="RDR65" s="192"/>
      <c r="RDS65" s="192"/>
      <c r="RDT65" s="192"/>
      <c r="RDU65" s="192"/>
      <c r="RDV65" s="192"/>
      <c r="RDW65" s="192"/>
      <c r="RDX65" s="192"/>
      <c r="RDY65" s="192"/>
      <c r="RDZ65" s="192"/>
      <c r="REA65" s="192"/>
      <c r="REB65" s="192"/>
      <c r="REC65" s="192"/>
      <c r="RED65" s="192"/>
      <c r="REE65" s="192"/>
      <c r="REF65" s="192"/>
      <c r="REG65" s="192"/>
      <c r="REH65" s="192"/>
      <c r="REI65" s="192"/>
      <c r="REJ65" s="192"/>
      <c r="REK65" s="192"/>
      <c r="REL65" s="192"/>
      <c r="REM65" s="192"/>
      <c r="REN65" s="192"/>
      <c r="REO65" s="192"/>
      <c r="REP65" s="192"/>
      <c r="REQ65" s="192"/>
      <c r="RER65" s="192"/>
      <c r="RES65" s="192"/>
      <c r="RET65" s="192"/>
      <c r="REU65" s="192"/>
      <c r="REV65" s="192"/>
      <c r="REW65" s="192"/>
      <c r="REX65" s="192"/>
      <c r="REY65" s="192"/>
      <c r="REZ65" s="192"/>
      <c r="RFA65" s="192"/>
      <c r="RFB65" s="192"/>
      <c r="RFC65" s="192"/>
      <c r="RFD65" s="192"/>
      <c r="RFE65" s="192"/>
      <c r="RFF65" s="192"/>
      <c r="RFG65" s="192"/>
      <c r="RFH65" s="192"/>
      <c r="RFI65" s="192"/>
      <c r="RFJ65" s="192"/>
      <c r="RFK65" s="192"/>
      <c r="RFL65" s="192"/>
      <c r="RFM65" s="192"/>
      <c r="RFN65" s="192"/>
      <c r="RFO65" s="192"/>
      <c r="RFP65" s="192"/>
      <c r="RFQ65" s="192"/>
      <c r="RFR65" s="192"/>
      <c r="RFS65" s="192"/>
      <c r="RFT65" s="192"/>
      <c r="RFU65" s="192"/>
      <c r="RFV65" s="192"/>
      <c r="RFW65" s="192"/>
      <c r="RFX65" s="192"/>
      <c r="RFY65" s="192"/>
      <c r="RFZ65" s="192"/>
      <c r="RGA65" s="192"/>
      <c r="RGB65" s="192"/>
      <c r="RGC65" s="192"/>
      <c r="RGD65" s="192"/>
      <c r="RGE65" s="192"/>
      <c r="RGF65" s="192"/>
      <c r="RGG65" s="192"/>
      <c r="RGH65" s="192"/>
      <c r="RGI65" s="192"/>
      <c r="RGJ65" s="192"/>
      <c r="RGK65" s="192"/>
      <c r="RGL65" s="192"/>
      <c r="RGM65" s="192"/>
      <c r="RGN65" s="192"/>
      <c r="RGO65" s="192"/>
      <c r="RGP65" s="192"/>
      <c r="RGQ65" s="192"/>
      <c r="RGR65" s="192"/>
      <c r="RGS65" s="192"/>
      <c r="RGT65" s="192"/>
      <c r="RGU65" s="192"/>
      <c r="RGV65" s="192"/>
      <c r="RGW65" s="192"/>
      <c r="RGX65" s="192"/>
      <c r="RGY65" s="192"/>
      <c r="RGZ65" s="192"/>
      <c r="RHA65" s="192"/>
      <c r="RHB65" s="192"/>
      <c r="RHC65" s="192"/>
      <c r="RHD65" s="192"/>
      <c r="RHE65" s="192"/>
      <c r="RHF65" s="192"/>
      <c r="RHG65" s="192"/>
      <c r="RHH65" s="192"/>
      <c r="RHI65" s="192"/>
      <c r="RHJ65" s="192"/>
      <c r="RHK65" s="192"/>
      <c r="RHL65" s="192"/>
      <c r="RHM65" s="192"/>
      <c r="RHN65" s="192"/>
      <c r="RHO65" s="192"/>
      <c r="RHP65" s="192"/>
      <c r="RHQ65" s="192"/>
      <c r="RHR65" s="192"/>
      <c r="RHS65" s="192"/>
      <c r="RHT65" s="192"/>
      <c r="RHU65" s="192"/>
      <c r="RHV65" s="192"/>
      <c r="RHW65" s="192"/>
      <c r="RHX65" s="192"/>
      <c r="RHY65" s="192"/>
      <c r="RHZ65" s="192"/>
      <c r="RIA65" s="192"/>
      <c r="RIB65" s="192"/>
      <c r="RIC65" s="192"/>
      <c r="RID65" s="192"/>
      <c r="RIE65" s="192"/>
      <c r="RIF65" s="192"/>
      <c r="RIG65" s="192"/>
      <c r="RIH65" s="192"/>
      <c r="RII65" s="192"/>
      <c r="RIJ65" s="192"/>
      <c r="RIK65" s="192"/>
      <c r="RIL65" s="192"/>
      <c r="RIM65" s="192"/>
      <c r="RIN65" s="192"/>
      <c r="RIO65" s="192"/>
      <c r="RIP65" s="192"/>
      <c r="RIQ65" s="192"/>
      <c r="RIR65" s="192"/>
      <c r="RIS65" s="192"/>
      <c r="RIT65" s="192"/>
      <c r="RIU65" s="192"/>
      <c r="RIV65" s="192"/>
      <c r="RIW65" s="192"/>
      <c r="RIX65" s="192"/>
      <c r="RIY65" s="192"/>
      <c r="RIZ65" s="192"/>
      <c r="RJA65" s="192"/>
      <c r="RJB65" s="192"/>
      <c r="RJC65" s="192"/>
      <c r="RJD65" s="192"/>
      <c r="RJE65" s="192"/>
      <c r="RJF65" s="192"/>
      <c r="RJG65" s="192"/>
      <c r="RJH65" s="192"/>
      <c r="RJI65" s="192"/>
      <c r="RJJ65" s="192"/>
      <c r="RJK65" s="192"/>
      <c r="RJL65" s="192"/>
      <c r="RJM65" s="192"/>
      <c r="RJN65" s="192"/>
      <c r="RJO65" s="192"/>
      <c r="RJP65" s="192"/>
      <c r="RJQ65" s="192"/>
      <c r="RJR65" s="192"/>
      <c r="RJS65" s="192"/>
      <c r="RJT65" s="192"/>
      <c r="RJU65" s="192"/>
      <c r="RJV65" s="192"/>
      <c r="RJW65" s="192"/>
      <c r="RJX65" s="192"/>
      <c r="RJY65" s="192"/>
      <c r="RJZ65" s="192"/>
      <c r="RKA65" s="192"/>
      <c r="RKB65" s="192"/>
      <c r="RKC65" s="192"/>
      <c r="RKD65" s="192"/>
      <c r="RKE65" s="192"/>
      <c r="RKF65" s="192"/>
      <c r="RKG65" s="192"/>
      <c r="RKH65" s="192"/>
      <c r="RKI65" s="192"/>
      <c r="RKJ65" s="192"/>
      <c r="RKK65" s="192"/>
      <c r="RKL65" s="192"/>
      <c r="RKM65" s="192"/>
      <c r="RKN65" s="192"/>
      <c r="RKO65" s="192"/>
      <c r="RKP65" s="192"/>
      <c r="RKQ65" s="192"/>
      <c r="RKR65" s="192"/>
      <c r="RKS65" s="192"/>
      <c r="RKT65" s="192"/>
      <c r="RKU65" s="192"/>
      <c r="RKV65" s="192"/>
      <c r="RKW65" s="192"/>
      <c r="RKX65" s="192"/>
      <c r="RKY65" s="192"/>
      <c r="RKZ65" s="192"/>
      <c r="RLA65" s="192"/>
      <c r="RLB65" s="192"/>
      <c r="RLC65" s="192"/>
      <c r="RLD65" s="192"/>
      <c r="RLE65" s="192"/>
      <c r="RLF65" s="192"/>
      <c r="RLG65" s="192"/>
      <c r="RLH65" s="192"/>
      <c r="RLI65" s="192"/>
      <c r="RLJ65" s="192"/>
      <c r="RLK65" s="192"/>
      <c r="RLL65" s="192"/>
      <c r="RLM65" s="192"/>
      <c r="RLN65" s="192"/>
      <c r="RLO65" s="192"/>
      <c r="RLP65" s="192"/>
      <c r="RLQ65" s="192"/>
      <c r="RLR65" s="192"/>
      <c r="RLS65" s="192"/>
      <c r="RLT65" s="192"/>
      <c r="RLU65" s="192"/>
      <c r="RLV65" s="192"/>
      <c r="RLW65" s="192"/>
      <c r="RLX65" s="192"/>
      <c r="RLY65" s="192"/>
      <c r="RLZ65" s="192"/>
      <c r="RMA65" s="192"/>
      <c r="RMB65" s="192"/>
      <c r="RMC65" s="192"/>
      <c r="RMD65" s="192"/>
      <c r="RME65" s="192"/>
      <c r="RMF65" s="192"/>
      <c r="RMG65" s="192"/>
      <c r="RMH65" s="192"/>
      <c r="RMI65" s="192"/>
      <c r="RMJ65" s="192"/>
      <c r="RMK65" s="192"/>
      <c r="RML65" s="192"/>
      <c r="RMM65" s="192"/>
      <c r="RMN65" s="192"/>
      <c r="RMO65" s="192"/>
      <c r="RMP65" s="192"/>
      <c r="RMQ65" s="192"/>
      <c r="RMR65" s="192"/>
      <c r="RMS65" s="192"/>
      <c r="RMT65" s="192"/>
      <c r="RMU65" s="192"/>
      <c r="RMV65" s="192"/>
      <c r="RMW65" s="192"/>
      <c r="RMX65" s="192"/>
      <c r="RMY65" s="192"/>
      <c r="RMZ65" s="192"/>
      <c r="RNA65" s="192"/>
      <c r="RNB65" s="192"/>
      <c r="RNC65" s="192"/>
      <c r="RND65" s="192"/>
      <c r="RNE65" s="192"/>
      <c r="RNF65" s="192"/>
      <c r="RNG65" s="192"/>
      <c r="RNH65" s="192"/>
      <c r="RNI65" s="192"/>
      <c r="RNJ65" s="192"/>
      <c r="RNK65" s="192"/>
      <c r="RNL65" s="192"/>
      <c r="RNM65" s="192"/>
      <c r="RNN65" s="192"/>
      <c r="RNO65" s="192"/>
      <c r="RNP65" s="192"/>
      <c r="RNQ65" s="192"/>
      <c r="RNR65" s="192"/>
      <c r="RNS65" s="192"/>
      <c r="RNT65" s="192"/>
      <c r="RNU65" s="192"/>
      <c r="RNV65" s="192"/>
      <c r="RNW65" s="192"/>
      <c r="RNX65" s="192"/>
      <c r="RNY65" s="192"/>
      <c r="RNZ65" s="192"/>
      <c r="ROA65" s="192"/>
      <c r="ROB65" s="192"/>
      <c r="ROC65" s="192"/>
      <c r="ROD65" s="192"/>
      <c r="ROE65" s="192"/>
      <c r="ROF65" s="192"/>
      <c r="ROG65" s="192"/>
      <c r="ROH65" s="192"/>
      <c r="ROI65" s="192"/>
      <c r="ROJ65" s="192"/>
      <c r="ROK65" s="192"/>
      <c r="ROL65" s="192"/>
      <c r="ROM65" s="192"/>
      <c r="RON65" s="192"/>
      <c r="ROO65" s="192"/>
      <c r="ROP65" s="192"/>
      <c r="ROQ65" s="192"/>
      <c r="ROR65" s="192"/>
      <c r="ROS65" s="192"/>
      <c r="ROT65" s="192"/>
      <c r="ROU65" s="192"/>
      <c r="ROV65" s="192"/>
      <c r="ROW65" s="192"/>
      <c r="ROX65" s="192"/>
      <c r="ROY65" s="192"/>
      <c r="ROZ65" s="192"/>
      <c r="RPA65" s="192"/>
      <c r="RPB65" s="192"/>
      <c r="RPC65" s="192"/>
      <c r="RPD65" s="192"/>
      <c r="RPE65" s="192"/>
      <c r="RPF65" s="192"/>
      <c r="RPG65" s="192"/>
      <c r="RPH65" s="192"/>
      <c r="RPI65" s="192"/>
      <c r="RPJ65" s="192"/>
      <c r="RPK65" s="192"/>
      <c r="RPL65" s="192"/>
      <c r="RPM65" s="192"/>
      <c r="RPN65" s="192"/>
      <c r="RPO65" s="192"/>
      <c r="RPP65" s="192"/>
      <c r="RPQ65" s="192"/>
      <c r="RPR65" s="192"/>
      <c r="RPS65" s="192"/>
      <c r="RPT65" s="192"/>
      <c r="RPU65" s="192"/>
      <c r="RPV65" s="192"/>
      <c r="RPW65" s="192"/>
      <c r="RPX65" s="192"/>
      <c r="RPY65" s="192"/>
      <c r="RPZ65" s="192"/>
      <c r="RQA65" s="192"/>
      <c r="RQB65" s="192"/>
      <c r="RQC65" s="192"/>
      <c r="RQD65" s="192"/>
      <c r="RQE65" s="192"/>
      <c r="RQF65" s="192"/>
      <c r="RQG65" s="192"/>
      <c r="RQH65" s="192"/>
      <c r="RQI65" s="192"/>
      <c r="RQJ65" s="192"/>
      <c r="RQK65" s="192"/>
      <c r="RQL65" s="192"/>
      <c r="RQM65" s="192"/>
      <c r="RQN65" s="192"/>
      <c r="RQO65" s="192"/>
      <c r="RQP65" s="192"/>
      <c r="RQQ65" s="192"/>
      <c r="RQR65" s="192"/>
      <c r="RQS65" s="192"/>
      <c r="RQT65" s="192"/>
      <c r="RQU65" s="192"/>
      <c r="RQV65" s="192"/>
      <c r="RQW65" s="192"/>
      <c r="RQX65" s="192"/>
      <c r="RQY65" s="192"/>
      <c r="RQZ65" s="192"/>
      <c r="RRA65" s="192"/>
      <c r="RRB65" s="192"/>
      <c r="RRC65" s="192"/>
      <c r="RRD65" s="192"/>
      <c r="RRE65" s="192"/>
      <c r="RRF65" s="192"/>
      <c r="RRG65" s="192"/>
      <c r="RRH65" s="192"/>
      <c r="RRI65" s="192"/>
      <c r="RRJ65" s="192"/>
      <c r="RRK65" s="192"/>
      <c r="RRL65" s="192"/>
      <c r="RRM65" s="192"/>
      <c r="RRN65" s="192"/>
      <c r="RRO65" s="192"/>
      <c r="RRP65" s="192"/>
      <c r="RRQ65" s="192"/>
      <c r="RRR65" s="192"/>
      <c r="RRS65" s="192"/>
      <c r="RRT65" s="192"/>
      <c r="RRU65" s="192"/>
      <c r="RRV65" s="192"/>
      <c r="RRW65" s="192"/>
      <c r="RRX65" s="192"/>
      <c r="RRY65" s="192"/>
      <c r="RRZ65" s="192"/>
      <c r="RSA65" s="192"/>
      <c r="RSB65" s="192"/>
      <c r="RSC65" s="192"/>
      <c r="RSD65" s="192"/>
      <c r="RSE65" s="192"/>
      <c r="RSF65" s="192"/>
      <c r="RSG65" s="192"/>
      <c r="RSH65" s="192"/>
      <c r="RSI65" s="192"/>
      <c r="RSJ65" s="192"/>
      <c r="RSK65" s="192"/>
      <c r="RSL65" s="192"/>
      <c r="RSM65" s="192"/>
      <c r="RSN65" s="192"/>
      <c r="RSO65" s="192"/>
      <c r="RSP65" s="192"/>
      <c r="RSQ65" s="192"/>
      <c r="RSR65" s="192"/>
      <c r="RSS65" s="192"/>
      <c r="RST65" s="192"/>
      <c r="RSU65" s="192"/>
      <c r="RSV65" s="192"/>
      <c r="RSW65" s="192"/>
      <c r="RSX65" s="192"/>
      <c r="RSY65" s="192"/>
      <c r="RSZ65" s="192"/>
      <c r="RTA65" s="192"/>
      <c r="RTB65" s="192"/>
      <c r="RTC65" s="192"/>
      <c r="RTD65" s="192"/>
      <c r="RTE65" s="192"/>
      <c r="RTF65" s="192"/>
      <c r="RTG65" s="192"/>
      <c r="RTH65" s="192"/>
      <c r="RTI65" s="192"/>
      <c r="RTJ65" s="192"/>
      <c r="RTK65" s="192"/>
      <c r="RTL65" s="192"/>
      <c r="RTM65" s="192"/>
      <c r="RTN65" s="192"/>
      <c r="RTO65" s="192"/>
      <c r="RTP65" s="192"/>
      <c r="RTQ65" s="192"/>
      <c r="RTR65" s="192"/>
      <c r="RTS65" s="192"/>
      <c r="RTT65" s="192"/>
      <c r="RTU65" s="192"/>
      <c r="RTV65" s="192"/>
      <c r="RTW65" s="192"/>
      <c r="RTX65" s="192"/>
      <c r="RTY65" s="192"/>
      <c r="RTZ65" s="192"/>
      <c r="RUA65" s="192"/>
      <c r="RUB65" s="192"/>
      <c r="RUC65" s="192"/>
      <c r="RUD65" s="192"/>
      <c r="RUE65" s="192"/>
      <c r="RUF65" s="192"/>
      <c r="RUG65" s="192"/>
      <c r="RUH65" s="192"/>
      <c r="RUI65" s="192"/>
      <c r="RUJ65" s="192"/>
      <c r="RUK65" s="192"/>
      <c r="RUL65" s="192"/>
      <c r="RUM65" s="192"/>
      <c r="RUN65" s="192"/>
      <c r="RUO65" s="192"/>
      <c r="RUP65" s="192"/>
      <c r="RUQ65" s="192"/>
      <c r="RUR65" s="192"/>
      <c r="RUS65" s="192"/>
      <c r="RUT65" s="192"/>
      <c r="RUU65" s="192"/>
      <c r="RUV65" s="192"/>
      <c r="RUW65" s="192"/>
      <c r="RUX65" s="192"/>
      <c r="RUY65" s="192"/>
      <c r="RUZ65" s="192"/>
      <c r="RVA65" s="192"/>
      <c r="RVB65" s="192"/>
      <c r="RVC65" s="192"/>
      <c r="RVD65" s="192"/>
      <c r="RVE65" s="192"/>
      <c r="RVF65" s="192"/>
      <c r="RVG65" s="192"/>
      <c r="RVH65" s="192"/>
      <c r="RVI65" s="192"/>
      <c r="RVJ65" s="192"/>
      <c r="RVK65" s="192"/>
      <c r="RVL65" s="192"/>
      <c r="RVM65" s="192"/>
      <c r="RVN65" s="192"/>
      <c r="RVO65" s="192"/>
      <c r="RVP65" s="192"/>
      <c r="RVQ65" s="192"/>
      <c r="RVR65" s="192"/>
      <c r="RVS65" s="192"/>
      <c r="RVT65" s="192"/>
      <c r="RVU65" s="192"/>
      <c r="RVV65" s="192"/>
      <c r="RVW65" s="192"/>
      <c r="RVX65" s="192"/>
      <c r="RVY65" s="192"/>
      <c r="RVZ65" s="192"/>
      <c r="RWA65" s="192"/>
      <c r="RWB65" s="192"/>
      <c r="RWC65" s="192"/>
      <c r="RWD65" s="192"/>
      <c r="RWE65" s="192"/>
      <c r="RWF65" s="192"/>
      <c r="RWG65" s="192"/>
      <c r="RWH65" s="192"/>
      <c r="RWI65" s="192"/>
      <c r="RWJ65" s="192"/>
      <c r="RWK65" s="192"/>
      <c r="RWL65" s="192"/>
      <c r="RWM65" s="192"/>
      <c r="RWN65" s="192"/>
      <c r="RWO65" s="192"/>
      <c r="RWP65" s="192"/>
      <c r="RWQ65" s="192"/>
      <c r="RWR65" s="192"/>
      <c r="RWS65" s="192"/>
      <c r="RWT65" s="192"/>
      <c r="RWU65" s="192"/>
      <c r="RWV65" s="192"/>
      <c r="RWW65" s="192"/>
      <c r="RWX65" s="192"/>
      <c r="RWY65" s="192"/>
      <c r="RWZ65" s="192"/>
      <c r="RXA65" s="192"/>
      <c r="RXB65" s="192"/>
      <c r="RXC65" s="192"/>
      <c r="RXD65" s="192"/>
      <c r="RXE65" s="192"/>
      <c r="RXF65" s="192"/>
      <c r="RXG65" s="192"/>
      <c r="RXH65" s="192"/>
      <c r="RXI65" s="192"/>
      <c r="RXJ65" s="192"/>
      <c r="RXK65" s="192"/>
      <c r="RXL65" s="192"/>
      <c r="RXM65" s="192"/>
      <c r="RXN65" s="192"/>
      <c r="RXO65" s="192"/>
      <c r="RXP65" s="192"/>
      <c r="RXQ65" s="192"/>
      <c r="RXR65" s="192"/>
      <c r="RXS65" s="192"/>
      <c r="RXT65" s="192"/>
      <c r="RXU65" s="192"/>
      <c r="RXV65" s="192"/>
      <c r="RXW65" s="192"/>
      <c r="RXX65" s="192"/>
      <c r="RXY65" s="192"/>
      <c r="RXZ65" s="192"/>
      <c r="RYA65" s="192"/>
      <c r="RYB65" s="192"/>
      <c r="RYC65" s="192"/>
      <c r="RYD65" s="192"/>
      <c r="RYE65" s="192"/>
      <c r="RYF65" s="192"/>
      <c r="RYG65" s="192"/>
      <c r="RYH65" s="192"/>
      <c r="RYI65" s="192"/>
      <c r="RYJ65" s="192"/>
      <c r="RYK65" s="192"/>
      <c r="RYL65" s="192"/>
      <c r="RYM65" s="192"/>
      <c r="RYN65" s="192"/>
      <c r="RYO65" s="192"/>
      <c r="RYP65" s="192"/>
      <c r="RYQ65" s="192"/>
      <c r="RYR65" s="192"/>
      <c r="RYS65" s="192"/>
      <c r="RYT65" s="192"/>
      <c r="RYU65" s="192"/>
      <c r="RYV65" s="192"/>
      <c r="RYW65" s="192"/>
      <c r="RYX65" s="192"/>
      <c r="RYY65" s="192"/>
      <c r="RYZ65" s="192"/>
      <c r="RZA65" s="192"/>
      <c r="RZB65" s="192"/>
      <c r="RZC65" s="192"/>
      <c r="RZD65" s="192"/>
      <c r="RZE65" s="192"/>
      <c r="RZF65" s="192"/>
      <c r="RZG65" s="192"/>
      <c r="RZH65" s="192"/>
      <c r="RZI65" s="192"/>
      <c r="RZJ65" s="192"/>
      <c r="RZK65" s="192"/>
      <c r="RZL65" s="192"/>
      <c r="RZM65" s="192"/>
      <c r="RZN65" s="192"/>
      <c r="RZO65" s="192"/>
      <c r="RZP65" s="192"/>
      <c r="RZQ65" s="192"/>
      <c r="RZR65" s="192"/>
      <c r="RZS65" s="192"/>
      <c r="RZT65" s="192"/>
      <c r="RZU65" s="192"/>
      <c r="RZV65" s="192"/>
      <c r="RZW65" s="192"/>
      <c r="RZX65" s="192"/>
      <c r="RZY65" s="192"/>
      <c r="RZZ65" s="192"/>
      <c r="SAA65" s="192"/>
      <c r="SAB65" s="192"/>
      <c r="SAC65" s="192"/>
      <c r="SAD65" s="192"/>
      <c r="SAE65" s="192"/>
      <c r="SAF65" s="192"/>
      <c r="SAG65" s="192"/>
      <c r="SAH65" s="192"/>
      <c r="SAI65" s="192"/>
      <c r="SAJ65" s="192"/>
      <c r="SAK65" s="192"/>
      <c r="SAL65" s="192"/>
      <c r="SAM65" s="192"/>
      <c r="SAN65" s="192"/>
      <c r="SAO65" s="192"/>
      <c r="SAP65" s="192"/>
      <c r="SAQ65" s="192"/>
      <c r="SAR65" s="192"/>
      <c r="SAS65" s="192"/>
      <c r="SAT65" s="192"/>
      <c r="SAU65" s="192"/>
      <c r="SAV65" s="192"/>
      <c r="SAW65" s="192"/>
      <c r="SAX65" s="192"/>
      <c r="SAY65" s="192"/>
      <c r="SAZ65" s="192"/>
      <c r="SBA65" s="192"/>
      <c r="SBB65" s="192"/>
      <c r="SBC65" s="192"/>
      <c r="SBD65" s="192"/>
      <c r="SBE65" s="192"/>
      <c r="SBF65" s="192"/>
      <c r="SBG65" s="192"/>
      <c r="SBH65" s="192"/>
      <c r="SBI65" s="192"/>
      <c r="SBJ65" s="192"/>
      <c r="SBK65" s="192"/>
      <c r="SBL65" s="192"/>
      <c r="SBM65" s="192"/>
      <c r="SBN65" s="192"/>
      <c r="SBO65" s="192"/>
      <c r="SBP65" s="192"/>
      <c r="SBQ65" s="192"/>
      <c r="SBR65" s="192"/>
      <c r="SBS65" s="192"/>
      <c r="SBT65" s="192"/>
      <c r="SBU65" s="192"/>
      <c r="SBV65" s="192"/>
      <c r="SBW65" s="192"/>
      <c r="SBX65" s="192"/>
      <c r="SBY65" s="192"/>
      <c r="SBZ65" s="192"/>
      <c r="SCA65" s="192"/>
      <c r="SCB65" s="192"/>
      <c r="SCC65" s="192"/>
      <c r="SCD65" s="192"/>
      <c r="SCE65" s="192"/>
      <c r="SCF65" s="192"/>
      <c r="SCG65" s="192"/>
      <c r="SCH65" s="192"/>
      <c r="SCI65" s="192"/>
      <c r="SCJ65" s="192"/>
      <c r="SCK65" s="192"/>
      <c r="SCL65" s="192"/>
      <c r="SCM65" s="192"/>
      <c r="SCN65" s="192"/>
      <c r="SCO65" s="192"/>
      <c r="SCP65" s="192"/>
      <c r="SCQ65" s="192"/>
      <c r="SCR65" s="192"/>
      <c r="SCS65" s="192"/>
      <c r="SCT65" s="192"/>
      <c r="SCU65" s="192"/>
      <c r="SCV65" s="192"/>
      <c r="SCW65" s="192"/>
      <c r="SCX65" s="192"/>
      <c r="SCY65" s="192"/>
      <c r="SCZ65" s="192"/>
      <c r="SDA65" s="192"/>
      <c r="SDB65" s="192"/>
      <c r="SDC65" s="192"/>
      <c r="SDD65" s="192"/>
      <c r="SDE65" s="192"/>
      <c r="SDF65" s="192"/>
      <c r="SDG65" s="192"/>
      <c r="SDH65" s="192"/>
      <c r="SDI65" s="192"/>
      <c r="SDJ65" s="192"/>
      <c r="SDK65" s="192"/>
      <c r="SDL65" s="192"/>
      <c r="SDM65" s="192"/>
      <c r="SDN65" s="192"/>
      <c r="SDO65" s="192"/>
      <c r="SDP65" s="192"/>
      <c r="SDQ65" s="192"/>
      <c r="SDR65" s="192"/>
      <c r="SDS65" s="192"/>
      <c r="SDT65" s="192"/>
      <c r="SDU65" s="192"/>
      <c r="SDV65" s="192"/>
      <c r="SDW65" s="192"/>
      <c r="SDX65" s="192"/>
      <c r="SDY65" s="192"/>
      <c r="SDZ65" s="192"/>
      <c r="SEA65" s="192"/>
      <c r="SEB65" s="192"/>
      <c r="SEC65" s="192"/>
      <c r="SED65" s="192"/>
      <c r="SEE65" s="192"/>
      <c r="SEF65" s="192"/>
      <c r="SEG65" s="192"/>
      <c r="SEH65" s="192"/>
      <c r="SEI65" s="192"/>
      <c r="SEJ65" s="192"/>
      <c r="SEK65" s="192"/>
      <c r="SEL65" s="192"/>
      <c r="SEM65" s="192"/>
      <c r="SEN65" s="192"/>
      <c r="SEO65" s="192"/>
      <c r="SEP65" s="192"/>
      <c r="SEQ65" s="192"/>
      <c r="SER65" s="192"/>
      <c r="SES65" s="192"/>
      <c r="SET65" s="192"/>
      <c r="SEU65" s="192"/>
      <c r="SEV65" s="192"/>
      <c r="SEW65" s="192"/>
      <c r="SEX65" s="192"/>
      <c r="SEY65" s="192"/>
      <c r="SEZ65" s="192"/>
      <c r="SFA65" s="192"/>
      <c r="SFB65" s="192"/>
      <c r="SFC65" s="192"/>
      <c r="SFD65" s="192"/>
      <c r="SFE65" s="192"/>
      <c r="SFF65" s="192"/>
      <c r="SFG65" s="192"/>
      <c r="SFH65" s="192"/>
      <c r="SFI65" s="192"/>
      <c r="SFJ65" s="192"/>
      <c r="SFK65" s="192"/>
      <c r="SFL65" s="192"/>
      <c r="SFM65" s="192"/>
      <c r="SFN65" s="192"/>
      <c r="SFO65" s="192"/>
      <c r="SFP65" s="192"/>
      <c r="SFQ65" s="192"/>
      <c r="SFR65" s="192"/>
      <c r="SFS65" s="192"/>
      <c r="SFT65" s="192"/>
      <c r="SFU65" s="192"/>
      <c r="SFV65" s="192"/>
      <c r="SFW65" s="192"/>
      <c r="SFX65" s="192"/>
      <c r="SFY65" s="192"/>
      <c r="SFZ65" s="192"/>
      <c r="SGA65" s="192"/>
      <c r="SGB65" s="192"/>
      <c r="SGC65" s="192"/>
      <c r="SGD65" s="192"/>
      <c r="SGE65" s="192"/>
      <c r="SGF65" s="192"/>
      <c r="SGG65" s="192"/>
      <c r="SGH65" s="192"/>
      <c r="SGI65" s="192"/>
      <c r="SGJ65" s="192"/>
      <c r="SGK65" s="192"/>
      <c r="SGL65" s="192"/>
      <c r="SGM65" s="192"/>
      <c r="SGN65" s="192"/>
      <c r="SGO65" s="192"/>
      <c r="SGP65" s="192"/>
      <c r="SGQ65" s="192"/>
      <c r="SGR65" s="192"/>
      <c r="SGS65" s="192"/>
      <c r="SGT65" s="192"/>
      <c r="SGU65" s="192"/>
      <c r="SGV65" s="192"/>
      <c r="SGW65" s="192"/>
      <c r="SGX65" s="192"/>
      <c r="SGY65" s="192"/>
      <c r="SGZ65" s="192"/>
      <c r="SHA65" s="192"/>
      <c r="SHB65" s="192"/>
      <c r="SHC65" s="192"/>
      <c r="SHD65" s="192"/>
      <c r="SHE65" s="192"/>
      <c r="SHF65" s="192"/>
      <c r="SHG65" s="192"/>
      <c r="SHH65" s="192"/>
      <c r="SHI65" s="192"/>
      <c r="SHJ65" s="192"/>
      <c r="SHK65" s="192"/>
      <c r="SHL65" s="192"/>
      <c r="SHM65" s="192"/>
      <c r="SHN65" s="192"/>
      <c r="SHO65" s="192"/>
      <c r="SHP65" s="192"/>
      <c r="SHQ65" s="192"/>
      <c r="SHR65" s="192"/>
      <c r="SHS65" s="192"/>
      <c r="SHT65" s="192"/>
      <c r="SHU65" s="192"/>
      <c r="SHV65" s="192"/>
      <c r="SHW65" s="192"/>
      <c r="SHX65" s="192"/>
      <c r="SHY65" s="192"/>
      <c r="SHZ65" s="192"/>
      <c r="SIA65" s="192"/>
      <c r="SIB65" s="192"/>
      <c r="SIC65" s="192"/>
      <c r="SID65" s="192"/>
      <c r="SIE65" s="192"/>
      <c r="SIF65" s="192"/>
      <c r="SIG65" s="192"/>
      <c r="SIH65" s="192"/>
      <c r="SII65" s="192"/>
      <c r="SIJ65" s="192"/>
      <c r="SIK65" s="192"/>
      <c r="SIL65" s="192"/>
      <c r="SIM65" s="192"/>
      <c r="SIN65" s="192"/>
      <c r="SIO65" s="192"/>
      <c r="SIP65" s="192"/>
      <c r="SIQ65" s="192"/>
      <c r="SIR65" s="192"/>
      <c r="SIS65" s="192"/>
      <c r="SIT65" s="192"/>
      <c r="SIU65" s="192"/>
      <c r="SIV65" s="192"/>
      <c r="SIW65" s="192"/>
      <c r="SIX65" s="192"/>
      <c r="SIY65" s="192"/>
      <c r="SIZ65" s="192"/>
      <c r="SJA65" s="192"/>
      <c r="SJB65" s="192"/>
      <c r="SJC65" s="192"/>
      <c r="SJD65" s="192"/>
      <c r="SJE65" s="192"/>
      <c r="SJF65" s="192"/>
      <c r="SJG65" s="192"/>
      <c r="SJH65" s="192"/>
      <c r="SJI65" s="192"/>
      <c r="SJJ65" s="192"/>
      <c r="SJK65" s="192"/>
      <c r="SJL65" s="192"/>
      <c r="SJM65" s="192"/>
      <c r="SJN65" s="192"/>
      <c r="SJO65" s="192"/>
      <c r="SJP65" s="192"/>
      <c r="SJQ65" s="192"/>
      <c r="SJR65" s="192"/>
      <c r="SJS65" s="192"/>
      <c r="SJT65" s="192"/>
      <c r="SJU65" s="192"/>
      <c r="SJV65" s="192"/>
      <c r="SJW65" s="192"/>
      <c r="SJX65" s="192"/>
      <c r="SJY65" s="192"/>
      <c r="SJZ65" s="192"/>
      <c r="SKA65" s="192"/>
      <c r="SKB65" s="192"/>
      <c r="SKC65" s="192"/>
      <c r="SKD65" s="192"/>
      <c r="SKE65" s="192"/>
      <c r="SKF65" s="192"/>
      <c r="SKG65" s="192"/>
      <c r="SKH65" s="192"/>
      <c r="SKI65" s="192"/>
      <c r="SKJ65" s="192"/>
      <c r="SKK65" s="192"/>
      <c r="SKL65" s="192"/>
      <c r="SKM65" s="192"/>
      <c r="SKN65" s="192"/>
      <c r="SKO65" s="192"/>
      <c r="SKP65" s="192"/>
      <c r="SKQ65" s="192"/>
      <c r="SKR65" s="192"/>
      <c r="SKS65" s="192"/>
      <c r="SKT65" s="192"/>
      <c r="SKU65" s="192"/>
      <c r="SKV65" s="192"/>
      <c r="SKW65" s="192"/>
      <c r="SKX65" s="192"/>
      <c r="SKY65" s="192"/>
      <c r="SKZ65" s="192"/>
      <c r="SLA65" s="192"/>
      <c r="SLB65" s="192"/>
      <c r="SLC65" s="192"/>
      <c r="SLD65" s="192"/>
      <c r="SLE65" s="192"/>
      <c r="SLF65" s="192"/>
      <c r="SLG65" s="192"/>
      <c r="SLH65" s="192"/>
      <c r="SLI65" s="192"/>
      <c r="SLJ65" s="192"/>
      <c r="SLK65" s="192"/>
      <c r="SLL65" s="192"/>
      <c r="SLM65" s="192"/>
      <c r="SLN65" s="192"/>
      <c r="SLO65" s="192"/>
      <c r="SLP65" s="192"/>
      <c r="SLQ65" s="192"/>
      <c r="SLR65" s="192"/>
      <c r="SLS65" s="192"/>
      <c r="SLT65" s="192"/>
      <c r="SLU65" s="192"/>
      <c r="SLV65" s="192"/>
      <c r="SLW65" s="192"/>
      <c r="SLX65" s="192"/>
      <c r="SLY65" s="192"/>
      <c r="SLZ65" s="192"/>
      <c r="SMA65" s="192"/>
      <c r="SMB65" s="192"/>
      <c r="SMC65" s="192"/>
      <c r="SMD65" s="192"/>
      <c r="SME65" s="192"/>
      <c r="SMF65" s="192"/>
      <c r="SMG65" s="192"/>
      <c r="SMH65" s="192"/>
      <c r="SMI65" s="192"/>
      <c r="SMJ65" s="192"/>
      <c r="SMK65" s="192"/>
      <c r="SML65" s="192"/>
      <c r="SMM65" s="192"/>
      <c r="SMN65" s="192"/>
      <c r="SMO65" s="192"/>
      <c r="SMP65" s="192"/>
      <c r="SMQ65" s="192"/>
      <c r="SMR65" s="192"/>
      <c r="SMS65" s="192"/>
      <c r="SMT65" s="192"/>
      <c r="SMU65" s="192"/>
      <c r="SMV65" s="192"/>
      <c r="SMW65" s="192"/>
      <c r="SMX65" s="192"/>
      <c r="SMY65" s="192"/>
      <c r="SMZ65" s="192"/>
      <c r="SNA65" s="192"/>
      <c r="SNB65" s="192"/>
      <c r="SNC65" s="192"/>
      <c r="SND65" s="192"/>
      <c r="SNE65" s="192"/>
      <c r="SNF65" s="192"/>
      <c r="SNG65" s="192"/>
      <c r="SNH65" s="192"/>
      <c r="SNI65" s="192"/>
      <c r="SNJ65" s="192"/>
      <c r="SNK65" s="192"/>
      <c r="SNL65" s="192"/>
      <c r="SNM65" s="192"/>
      <c r="SNN65" s="192"/>
      <c r="SNO65" s="192"/>
      <c r="SNP65" s="192"/>
      <c r="SNQ65" s="192"/>
      <c r="SNR65" s="192"/>
      <c r="SNS65" s="192"/>
      <c r="SNT65" s="192"/>
      <c r="SNU65" s="192"/>
      <c r="SNV65" s="192"/>
      <c r="SNW65" s="192"/>
      <c r="SNX65" s="192"/>
      <c r="SNY65" s="192"/>
      <c r="SNZ65" s="192"/>
      <c r="SOA65" s="192"/>
      <c r="SOB65" s="192"/>
      <c r="SOC65" s="192"/>
      <c r="SOD65" s="192"/>
      <c r="SOE65" s="192"/>
      <c r="SOF65" s="192"/>
      <c r="SOG65" s="192"/>
      <c r="SOH65" s="192"/>
      <c r="SOI65" s="192"/>
      <c r="SOJ65" s="192"/>
      <c r="SOK65" s="192"/>
      <c r="SOL65" s="192"/>
      <c r="SOM65" s="192"/>
      <c r="SON65" s="192"/>
      <c r="SOO65" s="192"/>
      <c r="SOP65" s="192"/>
      <c r="SOQ65" s="192"/>
      <c r="SOR65" s="192"/>
      <c r="SOS65" s="192"/>
      <c r="SOT65" s="192"/>
      <c r="SOU65" s="192"/>
      <c r="SOV65" s="192"/>
      <c r="SOW65" s="192"/>
      <c r="SOX65" s="192"/>
      <c r="SOY65" s="192"/>
      <c r="SOZ65" s="192"/>
      <c r="SPA65" s="192"/>
      <c r="SPB65" s="192"/>
      <c r="SPC65" s="192"/>
      <c r="SPD65" s="192"/>
      <c r="SPE65" s="192"/>
      <c r="SPF65" s="192"/>
      <c r="SPG65" s="192"/>
      <c r="SPH65" s="192"/>
      <c r="SPI65" s="192"/>
      <c r="SPJ65" s="192"/>
      <c r="SPK65" s="192"/>
      <c r="SPL65" s="192"/>
      <c r="SPM65" s="192"/>
      <c r="SPN65" s="192"/>
      <c r="SPO65" s="192"/>
      <c r="SPP65" s="192"/>
      <c r="SPQ65" s="192"/>
      <c r="SPR65" s="192"/>
      <c r="SPS65" s="192"/>
      <c r="SPT65" s="192"/>
      <c r="SPU65" s="192"/>
      <c r="SPV65" s="192"/>
      <c r="SPW65" s="192"/>
      <c r="SPX65" s="192"/>
      <c r="SPY65" s="192"/>
      <c r="SPZ65" s="192"/>
      <c r="SQA65" s="192"/>
      <c r="SQB65" s="192"/>
      <c r="SQC65" s="192"/>
      <c r="SQD65" s="192"/>
      <c r="SQE65" s="192"/>
      <c r="SQF65" s="192"/>
      <c r="SQG65" s="192"/>
      <c r="SQH65" s="192"/>
      <c r="SQI65" s="192"/>
      <c r="SQJ65" s="192"/>
      <c r="SQK65" s="192"/>
      <c r="SQL65" s="192"/>
      <c r="SQM65" s="192"/>
      <c r="SQN65" s="192"/>
      <c r="SQO65" s="192"/>
      <c r="SQP65" s="192"/>
      <c r="SQQ65" s="192"/>
      <c r="SQR65" s="192"/>
      <c r="SQS65" s="192"/>
      <c r="SQT65" s="192"/>
      <c r="SQU65" s="192"/>
      <c r="SQV65" s="192"/>
      <c r="SQW65" s="192"/>
      <c r="SQX65" s="192"/>
      <c r="SQY65" s="192"/>
      <c r="SQZ65" s="192"/>
      <c r="SRA65" s="192"/>
      <c r="SRB65" s="192"/>
      <c r="SRC65" s="192"/>
      <c r="SRD65" s="192"/>
      <c r="SRE65" s="192"/>
      <c r="SRF65" s="192"/>
      <c r="SRG65" s="192"/>
      <c r="SRH65" s="192"/>
      <c r="SRI65" s="192"/>
      <c r="SRJ65" s="192"/>
      <c r="SRK65" s="192"/>
      <c r="SRL65" s="192"/>
      <c r="SRM65" s="192"/>
      <c r="SRN65" s="192"/>
      <c r="SRO65" s="192"/>
      <c r="SRP65" s="192"/>
      <c r="SRQ65" s="192"/>
      <c r="SRR65" s="192"/>
      <c r="SRS65" s="192"/>
      <c r="SRT65" s="192"/>
      <c r="SRU65" s="192"/>
      <c r="SRV65" s="192"/>
      <c r="SRW65" s="192"/>
      <c r="SRX65" s="192"/>
      <c r="SRY65" s="192"/>
      <c r="SRZ65" s="192"/>
      <c r="SSA65" s="192"/>
      <c r="SSB65" s="192"/>
      <c r="SSC65" s="192"/>
      <c r="SSD65" s="192"/>
      <c r="SSE65" s="192"/>
      <c r="SSF65" s="192"/>
      <c r="SSG65" s="192"/>
      <c r="SSH65" s="192"/>
      <c r="SSI65" s="192"/>
      <c r="SSJ65" s="192"/>
      <c r="SSK65" s="192"/>
      <c r="SSL65" s="192"/>
      <c r="SSM65" s="192"/>
      <c r="SSN65" s="192"/>
      <c r="SSO65" s="192"/>
      <c r="SSP65" s="192"/>
      <c r="SSQ65" s="192"/>
      <c r="SSR65" s="192"/>
      <c r="SSS65" s="192"/>
      <c r="SST65" s="192"/>
      <c r="SSU65" s="192"/>
      <c r="SSV65" s="192"/>
      <c r="SSW65" s="192"/>
      <c r="SSX65" s="192"/>
      <c r="SSY65" s="192"/>
      <c r="SSZ65" s="192"/>
      <c r="STA65" s="192"/>
      <c r="STB65" s="192"/>
      <c r="STC65" s="192"/>
      <c r="STD65" s="192"/>
      <c r="STE65" s="192"/>
      <c r="STF65" s="192"/>
      <c r="STG65" s="192"/>
      <c r="STH65" s="192"/>
      <c r="STI65" s="192"/>
      <c r="STJ65" s="192"/>
      <c r="STK65" s="192"/>
      <c r="STL65" s="192"/>
      <c r="STM65" s="192"/>
      <c r="STN65" s="192"/>
      <c r="STO65" s="192"/>
      <c r="STP65" s="192"/>
      <c r="STQ65" s="192"/>
      <c r="STR65" s="192"/>
      <c r="STS65" s="192"/>
      <c r="STT65" s="192"/>
      <c r="STU65" s="192"/>
      <c r="STV65" s="192"/>
      <c r="STW65" s="192"/>
      <c r="STX65" s="192"/>
      <c r="STY65" s="192"/>
      <c r="STZ65" s="192"/>
      <c r="SUA65" s="192"/>
      <c r="SUB65" s="192"/>
      <c r="SUC65" s="192"/>
      <c r="SUD65" s="192"/>
      <c r="SUE65" s="192"/>
      <c r="SUF65" s="192"/>
      <c r="SUG65" s="192"/>
      <c r="SUH65" s="192"/>
      <c r="SUI65" s="192"/>
      <c r="SUJ65" s="192"/>
      <c r="SUK65" s="192"/>
      <c r="SUL65" s="192"/>
      <c r="SUM65" s="192"/>
      <c r="SUN65" s="192"/>
      <c r="SUO65" s="192"/>
      <c r="SUP65" s="192"/>
      <c r="SUQ65" s="192"/>
      <c r="SUR65" s="192"/>
      <c r="SUS65" s="192"/>
      <c r="SUT65" s="192"/>
      <c r="SUU65" s="192"/>
      <c r="SUV65" s="192"/>
      <c r="SUW65" s="192"/>
      <c r="SUX65" s="192"/>
      <c r="SUY65" s="192"/>
      <c r="SUZ65" s="192"/>
      <c r="SVA65" s="192"/>
      <c r="SVB65" s="192"/>
      <c r="SVC65" s="192"/>
      <c r="SVD65" s="192"/>
      <c r="SVE65" s="192"/>
      <c r="SVF65" s="192"/>
      <c r="SVG65" s="192"/>
      <c r="SVH65" s="192"/>
      <c r="SVI65" s="192"/>
      <c r="SVJ65" s="192"/>
      <c r="SVK65" s="192"/>
      <c r="SVL65" s="192"/>
      <c r="SVM65" s="192"/>
      <c r="SVN65" s="192"/>
      <c r="SVO65" s="192"/>
      <c r="SVP65" s="192"/>
      <c r="SVQ65" s="192"/>
      <c r="SVR65" s="192"/>
      <c r="SVS65" s="192"/>
      <c r="SVT65" s="192"/>
      <c r="SVU65" s="192"/>
      <c r="SVV65" s="192"/>
      <c r="SVW65" s="192"/>
      <c r="SVX65" s="192"/>
      <c r="SVY65" s="192"/>
      <c r="SVZ65" s="192"/>
      <c r="SWA65" s="192"/>
      <c r="SWB65" s="192"/>
      <c r="SWC65" s="192"/>
      <c r="SWD65" s="192"/>
      <c r="SWE65" s="192"/>
      <c r="SWF65" s="192"/>
      <c r="SWG65" s="192"/>
      <c r="SWH65" s="192"/>
      <c r="SWI65" s="192"/>
      <c r="SWJ65" s="192"/>
      <c r="SWK65" s="192"/>
      <c r="SWL65" s="192"/>
      <c r="SWM65" s="192"/>
      <c r="SWN65" s="192"/>
      <c r="SWO65" s="192"/>
      <c r="SWP65" s="192"/>
      <c r="SWQ65" s="192"/>
      <c r="SWR65" s="192"/>
      <c r="SWS65" s="192"/>
      <c r="SWT65" s="192"/>
      <c r="SWU65" s="192"/>
      <c r="SWV65" s="192"/>
      <c r="SWW65" s="192"/>
      <c r="SWX65" s="192"/>
      <c r="SWY65" s="192"/>
      <c r="SWZ65" s="192"/>
      <c r="SXA65" s="192"/>
      <c r="SXB65" s="192"/>
      <c r="SXC65" s="192"/>
      <c r="SXD65" s="192"/>
      <c r="SXE65" s="192"/>
      <c r="SXF65" s="192"/>
      <c r="SXG65" s="192"/>
      <c r="SXH65" s="192"/>
      <c r="SXI65" s="192"/>
      <c r="SXJ65" s="192"/>
      <c r="SXK65" s="192"/>
      <c r="SXL65" s="192"/>
      <c r="SXM65" s="192"/>
      <c r="SXN65" s="192"/>
      <c r="SXO65" s="192"/>
      <c r="SXP65" s="192"/>
      <c r="SXQ65" s="192"/>
      <c r="SXR65" s="192"/>
      <c r="SXS65" s="192"/>
      <c r="SXT65" s="192"/>
      <c r="SXU65" s="192"/>
      <c r="SXV65" s="192"/>
      <c r="SXW65" s="192"/>
      <c r="SXX65" s="192"/>
      <c r="SXY65" s="192"/>
      <c r="SXZ65" s="192"/>
      <c r="SYA65" s="192"/>
      <c r="SYB65" s="192"/>
      <c r="SYC65" s="192"/>
      <c r="SYD65" s="192"/>
      <c r="SYE65" s="192"/>
      <c r="SYF65" s="192"/>
      <c r="SYG65" s="192"/>
      <c r="SYH65" s="192"/>
      <c r="SYI65" s="192"/>
      <c r="SYJ65" s="192"/>
      <c r="SYK65" s="192"/>
      <c r="SYL65" s="192"/>
      <c r="SYM65" s="192"/>
      <c r="SYN65" s="192"/>
      <c r="SYO65" s="192"/>
      <c r="SYP65" s="192"/>
      <c r="SYQ65" s="192"/>
      <c r="SYR65" s="192"/>
      <c r="SYS65" s="192"/>
      <c r="SYT65" s="192"/>
      <c r="SYU65" s="192"/>
      <c r="SYV65" s="192"/>
      <c r="SYW65" s="192"/>
      <c r="SYX65" s="192"/>
      <c r="SYY65" s="192"/>
      <c r="SYZ65" s="192"/>
      <c r="SZA65" s="192"/>
      <c r="SZB65" s="192"/>
      <c r="SZC65" s="192"/>
      <c r="SZD65" s="192"/>
      <c r="SZE65" s="192"/>
      <c r="SZF65" s="192"/>
      <c r="SZG65" s="192"/>
      <c r="SZH65" s="192"/>
      <c r="SZI65" s="192"/>
      <c r="SZJ65" s="192"/>
      <c r="SZK65" s="192"/>
      <c r="SZL65" s="192"/>
      <c r="SZM65" s="192"/>
      <c r="SZN65" s="192"/>
      <c r="SZO65" s="192"/>
      <c r="SZP65" s="192"/>
      <c r="SZQ65" s="192"/>
      <c r="SZR65" s="192"/>
      <c r="SZS65" s="192"/>
      <c r="SZT65" s="192"/>
      <c r="SZU65" s="192"/>
      <c r="SZV65" s="192"/>
      <c r="SZW65" s="192"/>
      <c r="SZX65" s="192"/>
      <c r="SZY65" s="192"/>
      <c r="SZZ65" s="192"/>
      <c r="TAA65" s="192"/>
      <c r="TAB65" s="192"/>
      <c r="TAC65" s="192"/>
      <c r="TAD65" s="192"/>
      <c r="TAE65" s="192"/>
      <c r="TAF65" s="192"/>
      <c r="TAG65" s="192"/>
      <c r="TAH65" s="192"/>
      <c r="TAI65" s="192"/>
      <c r="TAJ65" s="192"/>
      <c r="TAK65" s="192"/>
      <c r="TAL65" s="192"/>
      <c r="TAM65" s="192"/>
      <c r="TAN65" s="192"/>
      <c r="TAO65" s="192"/>
      <c r="TAP65" s="192"/>
      <c r="TAQ65" s="192"/>
      <c r="TAR65" s="192"/>
      <c r="TAS65" s="192"/>
      <c r="TAT65" s="192"/>
      <c r="TAU65" s="192"/>
      <c r="TAV65" s="192"/>
      <c r="TAW65" s="192"/>
      <c r="TAX65" s="192"/>
      <c r="TAY65" s="192"/>
      <c r="TAZ65" s="192"/>
      <c r="TBA65" s="192"/>
      <c r="TBB65" s="192"/>
      <c r="TBC65" s="192"/>
      <c r="TBD65" s="192"/>
      <c r="TBE65" s="192"/>
      <c r="TBF65" s="192"/>
      <c r="TBG65" s="192"/>
      <c r="TBH65" s="192"/>
      <c r="TBI65" s="192"/>
      <c r="TBJ65" s="192"/>
      <c r="TBK65" s="192"/>
      <c r="TBL65" s="192"/>
      <c r="TBM65" s="192"/>
      <c r="TBN65" s="192"/>
      <c r="TBO65" s="192"/>
      <c r="TBP65" s="192"/>
      <c r="TBQ65" s="192"/>
      <c r="TBR65" s="192"/>
      <c r="TBS65" s="192"/>
      <c r="TBT65" s="192"/>
      <c r="TBU65" s="192"/>
      <c r="TBV65" s="192"/>
      <c r="TBW65" s="192"/>
      <c r="TBX65" s="192"/>
      <c r="TBY65" s="192"/>
      <c r="TBZ65" s="192"/>
      <c r="TCA65" s="192"/>
      <c r="TCB65" s="192"/>
      <c r="TCC65" s="192"/>
      <c r="TCD65" s="192"/>
      <c r="TCE65" s="192"/>
      <c r="TCF65" s="192"/>
      <c r="TCG65" s="192"/>
      <c r="TCH65" s="192"/>
      <c r="TCI65" s="192"/>
      <c r="TCJ65" s="192"/>
      <c r="TCK65" s="192"/>
      <c r="TCL65" s="192"/>
      <c r="TCM65" s="192"/>
      <c r="TCN65" s="192"/>
      <c r="TCO65" s="192"/>
      <c r="TCP65" s="192"/>
      <c r="TCQ65" s="192"/>
      <c r="TCR65" s="192"/>
      <c r="TCS65" s="192"/>
      <c r="TCT65" s="192"/>
      <c r="TCU65" s="192"/>
      <c r="TCV65" s="192"/>
      <c r="TCW65" s="192"/>
      <c r="TCX65" s="192"/>
      <c r="TCY65" s="192"/>
      <c r="TCZ65" s="192"/>
      <c r="TDA65" s="192"/>
      <c r="TDB65" s="192"/>
      <c r="TDC65" s="192"/>
      <c r="TDD65" s="192"/>
      <c r="TDE65" s="192"/>
      <c r="TDF65" s="192"/>
      <c r="TDG65" s="192"/>
      <c r="TDH65" s="192"/>
      <c r="TDI65" s="192"/>
      <c r="TDJ65" s="192"/>
      <c r="TDK65" s="192"/>
      <c r="TDL65" s="192"/>
      <c r="TDM65" s="192"/>
      <c r="TDN65" s="192"/>
      <c r="TDO65" s="192"/>
      <c r="TDP65" s="192"/>
      <c r="TDQ65" s="192"/>
      <c r="TDR65" s="192"/>
      <c r="TDS65" s="192"/>
      <c r="TDT65" s="192"/>
      <c r="TDU65" s="192"/>
      <c r="TDV65" s="192"/>
      <c r="TDW65" s="192"/>
      <c r="TDX65" s="192"/>
      <c r="TDY65" s="192"/>
      <c r="TDZ65" s="192"/>
      <c r="TEA65" s="192"/>
      <c r="TEB65" s="192"/>
      <c r="TEC65" s="192"/>
      <c r="TED65" s="192"/>
      <c r="TEE65" s="192"/>
      <c r="TEF65" s="192"/>
      <c r="TEG65" s="192"/>
      <c r="TEH65" s="192"/>
      <c r="TEI65" s="192"/>
      <c r="TEJ65" s="192"/>
      <c r="TEK65" s="192"/>
      <c r="TEL65" s="192"/>
      <c r="TEM65" s="192"/>
      <c r="TEN65" s="192"/>
      <c r="TEO65" s="192"/>
      <c r="TEP65" s="192"/>
      <c r="TEQ65" s="192"/>
      <c r="TER65" s="192"/>
      <c r="TES65" s="192"/>
      <c r="TET65" s="192"/>
      <c r="TEU65" s="192"/>
      <c r="TEV65" s="192"/>
      <c r="TEW65" s="192"/>
      <c r="TEX65" s="192"/>
      <c r="TEY65" s="192"/>
      <c r="TEZ65" s="192"/>
      <c r="TFA65" s="192"/>
      <c r="TFB65" s="192"/>
      <c r="TFC65" s="192"/>
      <c r="TFD65" s="192"/>
      <c r="TFE65" s="192"/>
      <c r="TFF65" s="192"/>
      <c r="TFG65" s="192"/>
      <c r="TFH65" s="192"/>
      <c r="TFI65" s="192"/>
      <c r="TFJ65" s="192"/>
      <c r="TFK65" s="192"/>
      <c r="TFL65" s="192"/>
      <c r="TFM65" s="192"/>
      <c r="TFN65" s="192"/>
      <c r="TFO65" s="192"/>
      <c r="TFP65" s="192"/>
      <c r="TFQ65" s="192"/>
      <c r="TFR65" s="192"/>
      <c r="TFS65" s="192"/>
      <c r="TFT65" s="192"/>
      <c r="TFU65" s="192"/>
      <c r="TFV65" s="192"/>
      <c r="TFW65" s="192"/>
      <c r="TFX65" s="192"/>
      <c r="TFY65" s="192"/>
      <c r="TFZ65" s="192"/>
      <c r="TGA65" s="192"/>
      <c r="TGB65" s="192"/>
      <c r="TGC65" s="192"/>
      <c r="TGD65" s="192"/>
      <c r="TGE65" s="192"/>
      <c r="TGF65" s="192"/>
      <c r="TGG65" s="192"/>
      <c r="TGH65" s="192"/>
      <c r="TGI65" s="192"/>
      <c r="TGJ65" s="192"/>
      <c r="TGK65" s="192"/>
      <c r="TGL65" s="192"/>
      <c r="TGM65" s="192"/>
      <c r="TGN65" s="192"/>
      <c r="TGO65" s="192"/>
      <c r="TGP65" s="192"/>
      <c r="TGQ65" s="192"/>
      <c r="TGR65" s="192"/>
      <c r="TGS65" s="192"/>
      <c r="TGT65" s="192"/>
      <c r="TGU65" s="192"/>
      <c r="TGV65" s="192"/>
      <c r="TGW65" s="192"/>
      <c r="TGX65" s="192"/>
      <c r="TGY65" s="192"/>
      <c r="TGZ65" s="192"/>
      <c r="THA65" s="192"/>
      <c r="THB65" s="192"/>
      <c r="THC65" s="192"/>
      <c r="THD65" s="192"/>
      <c r="THE65" s="192"/>
      <c r="THF65" s="192"/>
      <c r="THG65" s="192"/>
      <c r="THH65" s="192"/>
      <c r="THI65" s="192"/>
      <c r="THJ65" s="192"/>
      <c r="THK65" s="192"/>
      <c r="THL65" s="192"/>
      <c r="THM65" s="192"/>
      <c r="THN65" s="192"/>
      <c r="THO65" s="192"/>
      <c r="THP65" s="192"/>
      <c r="THQ65" s="192"/>
      <c r="THR65" s="192"/>
      <c r="THS65" s="192"/>
      <c r="THT65" s="192"/>
      <c r="THU65" s="192"/>
      <c r="THV65" s="192"/>
      <c r="THW65" s="192"/>
      <c r="THX65" s="192"/>
      <c r="THY65" s="192"/>
      <c r="THZ65" s="192"/>
      <c r="TIA65" s="192"/>
      <c r="TIB65" s="192"/>
      <c r="TIC65" s="192"/>
      <c r="TID65" s="192"/>
      <c r="TIE65" s="192"/>
      <c r="TIF65" s="192"/>
      <c r="TIG65" s="192"/>
      <c r="TIH65" s="192"/>
      <c r="TII65" s="192"/>
      <c r="TIJ65" s="192"/>
      <c r="TIK65" s="192"/>
      <c r="TIL65" s="192"/>
      <c r="TIM65" s="192"/>
      <c r="TIN65" s="192"/>
      <c r="TIO65" s="192"/>
      <c r="TIP65" s="192"/>
      <c r="TIQ65" s="192"/>
      <c r="TIR65" s="192"/>
      <c r="TIS65" s="192"/>
      <c r="TIT65" s="192"/>
      <c r="TIU65" s="192"/>
      <c r="TIV65" s="192"/>
      <c r="TIW65" s="192"/>
      <c r="TIX65" s="192"/>
      <c r="TIY65" s="192"/>
      <c r="TIZ65" s="192"/>
      <c r="TJA65" s="192"/>
      <c r="TJB65" s="192"/>
      <c r="TJC65" s="192"/>
      <c r="TJD65" s="192"/>
      <c r="TJE65" s="192"/>
      <c r="TJF65" s="192"/>
      <c r="TJG65" s="192"/>
      <c r="TJH65" s="192"/>
      <c r="TJI65" s="192"/>
      <c r="TJJ65" s="192"/>
      <c r="TJK65" s="192"/>
      <c r="TJL65" s="192"/>
      <c r="TJM65" s="192"/>
      <c r="TJN65" s="192"/>
      <c r="TJO65" s="192"/>
      <c r="TJP65" s="192"/>
      <c r="TJQ65" s="192"/>
      <c r="TJR65" s="192"/>
      <c r="TJS65" s="192"/>
      <c r="TJT65" s="192"/>
      <c r="TJU65" s="192"/>
      <c r="TJV65" s="192"/>
      <c r="TJW65" s="192"/>
      <c r="TJX65" s="192"/>
      <c r="TJY65" s="192"/>
      <c r="TJZ65" s="192"/>
      <c r="TKA65" s="192"/>
      <c r="TKB65" s="192"/>
      <c r="TKC65" s="192"/>
      <c r="TKD65" s="192"/>
      <c r="TKE65" s="192"/>
      <c r="TKF65" s="192"/>
      <c r="TKG65" s="192"/>
      <c r="TKH65" s="192"/>
      <c r="TKI65" s="192"/>
      <c r="TKJ65" s="192"/>
      <c r="TKK65" s="192"/>
      <c r="TKL65" s="192"/>
      <c r="TKM65" s="192"/>
      <c r="TKN65" s="192"/>
      <c r="TKO65" s="192"/>
      <c r="TKP65" s="192"/>
      <c r="TKQ65" s="192"/>
      <c r="TKR65" s="192"/>
      <c r="TKS65" s="192"/>
      <c r="TKT65" s="192"/>
      <c r="TKU65" s="192"/>
      <c r="TKV65" s="192"/>
      <c r="TKW65" s="192"/>
      <c r="TKX65" s="192"/>
      <c r="TKY65" s="192"/>
      <c r="TKZ65" s="192"/>
      <c r="TLA65" s="192"/>
      <c r="TLB65" s="192"/>
      <c r="TLC65" s="192"/>
      <c r="TLD65" s="192"/>
      <c r="TLE65" s="192"/>
      <c r="TLF65" s="192"/>
      <c r="TLG65" s="192"/>
      <c r="TLH65" s="192"/>
      <c r="TLI65" s="192"/>
      <c r="TLJ65" s="192"/>
      <c r="TLK65" s="192"/>
      <c r="TLL65" s="192"/>
      <c r="TLM65" s="192"/>
      <c r="TLN65" s="192"/>
      <c r="TLO65" s="192"/>
      <c r="TLP65" s="192"/>
      <c r="TLQ65" s="192"/>
      <c r="TLR65" s="192"/>
      <c r="TLS65" s="192"/>
      <c r="TLT65" s="192"/>
      <c r="TLU65" s="192"/>
      <c r="TLV65" s="192"/>
      <c r="TLW65" s="192"/>
      <c r="TLX65" s="192"/>
      <c r="TLY65" s="192"/>
      <c r="TLZ65" s="192"/>
      <c r="TMA65" s="192"/>
      <c r="TMB65" s="192"/>
      <c r="TMC65" s="192"/>
      <c r="TMD65" s="192"/>
      <c r="TME65" s="192"/>
      <c r="TMF65" s="192"/>
      <c r="TMG65" s="192"/>
      <c r="TMH65" s="192"/>
      <c r="TMI65" s="192"/>
      <c r="TMJ65" s="192"/>
      <c r="TMK65" s="192"/>
      <c r="TML65" s="192"/>
      <c r="TMM65" s="192"/>
      <c r="TMN65" s="192"/>
      <c r="TMO65" s="192"/>
      <c r="TMP65" s="192"/>
      <c r="TMQ65" s="192"/>
      <c r="TMR65" s="192"/>
      <c r="TMS65" s="192"/>
      <c r="TMT65" s="192"/>
      <c r="TMU65" s="192"/>
      <c r="TMV65" s="192"/>
      <c r="TMW65" s="192"/>
      <c r="TMX65" s="192"/>
      <c r="TMY65" s="192"/>
      <c r="TMZ65" s="192"/>
      <c r="TNA65" s="192"/>
      <c r="TNB65" s="192"/>
      <c r="TNC65" s="192"/>
      <c r="TND65" s="192"/>
      <c r="TNE65" s="192"/>
      <c r="TNF65" s="192"/>
      <c r="TNG65" s="192"/>
      <c r="TNH65" s="192"/>
      <c r="TNI65" s="192"/>
      <c r="TNJ65" s="192"/>
      <c r="TNK65" s="192"/>
      <c r="TNL65" s="192"/>
      <c r="TNM65" s="192"/>
      <c r="TNN65" s="192"/>
      <c r="TNO65" s="192"/>
      <c r="TNP65" s="192"/>
      <c r="TNQ65" s="192"/>
      <c r="TNR65" s="192"/>
      <c r="TNS65" s="192"/>
      <c r="TNT65" s="192"/>
      <c r="TNU65" s="192"/>
      <c r="TNV65" s="192"/>
      <c r="TNW65" s="192"/>
      <c r="TNX65" s="192"/>
      <c r="TNY65" s="192"/>
      <c r="TNZ65" s="192"/>
      <c r="TOA65" s="192"/>
      <c r="TOB65" s="192"/>
      <c r="TOC65" s="192"/>
      <c r="TOD65" s="192"/>
      <c r="TOE65" s="192"/>
      <c r="TOF65" s="192"/>
      <c r="TOG65" s="192"/>
      <c r="TOH65" s="192"/>
      <c r="TOI65" s="192"/>
      <c r="TOJ65" s="192"/>
      <c r="TOK65" s="192"/>
      <c r="TOL65" s="192"/>
      <c r="TOM65" s="192"/>
      <c r="TON65" s="192"/>
      <c r="TOO65" s="192"/>
      <c r="TOP65" s="192"/>
      <c r="TOQ65" s="192"/>
      <c r="TOR65" s="192"/>
      <c r="TOS65" s="192"/>
      <c r="TOT65" s="192"/>
      <c r="TOU65" s="192"/>
      <c r="TOV65" s="192"/>
      <c r="TOW65" s="192"/>
      <c r="TOX65" s="192"/>
      <c r="TOY65" s="192"/>
      <c r="TOZ65" s="192"/>
      <c r="TPA65" s="192"/>
      <c r="TPB65" s="192"/>
      <c r="TPC65" s="192"/>
      <c r="TPD65" s="192"/>
      <c r="TPE65" s="192"/>
      <c r="TPF65" s="192"/>
      <c r="TPG65" s="192"/>
      <c r="TPH65" s="192"/>
      <c r="TPI65" s="192"/>
      <c r="TPJ65" s="192"/>
      <c r="TPK65" s="192"/>
      <c r="TPL65" s="192"/>
      <c r="TPM65" s="192"/>
      <c r="TPN65" s="192"/>
      <c r="TPO65" s="192"/>
      <c r="TPP65" s="192"/>
      <c r="TPQ65" s="192"/>
      <c r="TPR65" s="192"/>
      <c r="TPS65" s="192"/>
      <c r="TPT65" s="192"/>
      <c r="TPU65" s="192"/>
      <c r="TPV65" s="192"/>
      <c r="TPW65" s="192"/>
      <c r="TPX65" s="192"/>
      <c r="TPY65" s="192"/>
      <c r="TPZ65" s="192"/>
      <c r="TQA65" s="192"/>
      <c r="TQB65" s="192"/>
      <c r="TQC65" s="192"/>
      <c r="TQD65" s="192"/>
      <c r="TQE65" s="192"/>
      <c r="TQF65" s="192"/>
      <c r="TQG65" s="192"/>
      <c r="TQH65" s="192"/>
      <c r="TQI65" s="192"/>
      <c r="TQJ65" s="192"/>
      <c r="TQK65" s="192"/>
      <c r="TQL65" s="192"/>
      <c r="TQM65" s="192"/>
      <c r="TQN65" s="192"/>
      <c r="TQO65" s="192"/>
      <c r="TQP65" s="192"/>
      <c r="TQQ65" s="192"/>
      <c r="TQR65" s="192"/>
      <c r="TQS65" s="192"/>
      <c r="TQT65" s="192"/>
      <c r="TQU65" s="192"/>
      <c r="TQV65" s="192"/>
      <c r="TQW65" s="192"/>
      <c r="TQX65" s="192"/>
      <c r="TQY65" s="192"/>
      <c r="TQZ65" s="192"/>
      <c r="TRA65" s="192"/>
      <c r="TRB65" s="192"/>
      <c r="TRC65" s="192"/>
      <c r="TRD65" s="192"/>
      <c r="TRE65" s="192"/>
      <c r="TRF65" s="192"/>
      <c r="TRG65" s="192"/>
      <c r="TRH65" s="192"/>
      <c r="TRI65" s="192"/>
      <c r="TRJ65" s="192"/>
      <c r="TRK65" s="192"/>
      <c r="TRL65" s="192"/>
      <c r="TRM65" s="192"/>
      <c r="TRN65" s="192"/>
      <c r="TRO65" s="192"/>
      <c r="TRP65" s="192"/>
      <c r="TRQ65" s="192"/>
      <c r="TRR65" s="192"/>
      <c r="TRS65" s="192"/>
      <c r="TRT65" s="192"/>
      <c r="TRU65" s="192"/>
      <c r="TRV65" s="192"/>
      <c r="TRW65" s="192"/>
      <c r="TRX65" s="192"/>
      <c r="TRY65" s="192"/>
      <c r="TRZ65" s="192"/>
      <c r="TSA65" s="192"/>
      <c r="TSB65" s="192"/>
      <c r="TSC65" s="192"/>
      <c r="TSD65" s="192"/>
      <c r="TSE65" s="192"/>
      <c r="TSF65" s="192"/>
      <c r="TSG65" s="192"/>
      <c r="TSH65" s="192"/>
      <c r="TSI65" s="192"/>
      <c r="TSJ65" s="192"/>
      <c r="TSK65" s="192"/>
      <c r="TSL65" s="192"/>
      <c r="TSM65" s="192"/>
      <c r="TSN65" s="192"/>
      <c r="TSO65" s="192"/>
      <c r="TSP65" s="192"/>
      <c r="TSQ65" s="192"/>
      <c r="TSR65" s="192"/>
      <c r="TSS65" s="192"/>
      <c r="TST65" s="192"/>
      <c r="TSU65" s="192"/>
      <c r="TSV65" s="192"/>
      <c r="TSW65" s="192"/>
      <c r="TSX65" s="192"/>
      <c r="TSY65" s="192"/>
      <c r="TSZ65" s="192"/>
      <c r="TTA65" s="192"/>
      <c r="TTB65" s="192"/>
      <c r="TTC65" s="192"/>
      <c r="TTD65" s="192"/>
      <c r="TTE65" s="192"/>
      <c r="TTF65" s="192"/>
      <c r="TTG65" s="192"/>
      <c r="TTH65" s="192"/>
      <c r="TTI65" s="192"/>
      <c r="TTJ65" s="192"/>
      <c r="TTK65" s="192"/>
      <c r="TTL65" s="192"/>
      <c r="TTM65" s="192"/>
      <c r="TTN65" s="192"/>
      <c r="TTO65" s="192"/>
      <c r="TTP65" s="192"/>
      <c r="TTQ65" s="192"/>
      <c r="TTR65" s="192"/>
      <c r="TTS65" s="192"/>
      <c r="TTT65" s="192"/>
      <c r="TTU65" s="192"/>
      <c r="TTV65" s="192"/>
      <c r="TTW65" s="192"/>
      <c r="TTX65" s="192"/>
      <c r="TTY65" s="192"/>
      <c r="TTZ65" s="192"/>
      <c r="TUA65" s="192"/>
      <c r="TUB65" s="192"/>
      <c r="TUC65" s="192"/>
      <c r="TUD65" s="192"/>
      <c r="TUE65" s="192"/>
      <c r="TUF65" s="192"/>
      <c r="TUG65" s="192"/>
      <c r="TUH65" s="192"/>
      <c r="TUI65" s="192"/>
      <c r="TUJ65" s="192"/>
      <c r="TUK65" s="192"/>
      <c r="TUL65" s="192"/>
      <c r="TUM65" s="192"/>
      <c r="TUN65" s="192"/>
      <c r="TUO65" s="192"/>
      <c r="TUP65" s="192"/>
      <c r="TUQ65" s="192"/>
      <c r="TUR65" s="192"/>
      <c r="TUS65" s="192"/>
      <c r="TUT65" s="192"/>
      <c r="TUU65" s="192"/>
      <c r="TUV65" s="192"/>
      <c r="TUW65" s="192"/>
      <c r="TUX65" s="192"/>
      <c r="TUY65" s="192"/>
      <c r="TUZ65" s="192"/>
      <c r="TVA65" s="192"/>
      <c r="TVB65" s="192"/>
      <c r="TVC65" s="192"/>
      <c r="TVD65" s="192"/>
      <c r="TVE65" s="192"/>
      <c r="TVF65" s="192"/>
      <c r="TVG65" s="192"/>
      <c r="TVH65" s="192"/>
      <c r="TVI65" s="192"/>
      <c r="TVJ65" s="192"/>
      <c r="TVK65" s="192"/>
      <c r="TVL65" s="192"/>
      <c r="TVM65" s="192"/>
      <c r="TVN65" s="192"/>
      <c r="TVO65" s="192"/>
      <c r="TVP65" s="192"/>
      <c r="TVQ65" s="192"/>
      <c r="TVR65" s="192"/>
      <c r="TVS65" s="192"/>
      <c r="TVT65" s="192"/>
      <c r="TVU65" s="192"/>
      <c r="TVV65" s="192"/>
      <c r="TVW65" s="192"/>
      <c r="TVX65" s="192"/>
      <c r="TVY65" s="192"/>
      <c r="TVZ65" s="192"/>
      <c r="TWA65" s="192"/>
      <c r="TWB65" s="192"/>
      <c r="TWC65" s="192"/>
      <c r="TWD65" s="192"/>
      <c r="TWE65" s="192"/>
      <c r="TWF65" s="192"/>
      <c r="TWG65" s="192"/>
      <c r="TWH65" s="192"/>
      <c r="TWI65" s="192"/>
      <c r="TWJ65" s="192"/>
      <c r="TWK65" s="192"/>
      <c r="TWL65" s="192"/>
      <c r="TWM65" s="192"/>
      <c r="TWN65" s="192"/>
      <c r="TWO65" s="192"/>
      <c r="TWP65" s="192"/>
      <c r="TWQ65" s="192"/>
      <c r="TWR65" s="192"/>
      <c r="TWS65" s="192"/>
      <c r="TWT65" s="192"/>
      <c r="TWU65" s="192"/>
      <c r="TWV65" s="192"/>
      <c r="TWW65" s="192"/>
      <c r="TWX65" s="192"/>
      <c r="TWY65" s="192"/>
      <c r="TWZ65" s="192"/>
      <c r="TXA65" s="192"/>
      <c r="TXB65" s="192"/>
      <c r="TXC65" s="192"/>
      <c r="TXD65" s="192"/>
      <c r="TXE65" s="192"/>
      <c r="TXF65" s="192"/>
      <c r="TXG65" s="192"/>
      <c r="TXH65" s="192"/>
      <c r="TXI65" s="192"/>
      <c r="TXJ65" s="192"/>
      <c r="TXK65" s="192"/>
      <c r="TXL65" s="192"/>
      <c r="TXM65" s="192"/>
      <c r="TXN65" s="192"/>
      <c r="TXO65" s="192"/>
      <c r="TXP65" s="192"/>
      <c r="TXQ65" s="192"/>
      <c r="TXR65" s="192"/>
      <c r="TXS65" s="192"/>
      <c r="TXT65" s="192"/>
      <c r="TXU65" s="192"/>
      <c r="TXV65" s="192"/>
      <c r="TXW65" s="192"/>
      <c r="TXX65" s="192"/>
      <c r="TXY65" s="192"/>
      <c r="TXZ65" s="192"/>
      <c r="TYA65" s="192"/>
      <c r="TYB65" s="192"/>
      <c r="TYC65" s="192"/>
      <c r="TYD65" s="192"/>
      <c r="TYE65" s="192"/>
      <c r="TYF65" s="192"/>
      <c r="TYG65" s="192"/>
      <c r="TYH65" s="192"/>
      <c r="TYI65" s="192"/>
      <c r="TYJ65" s="192"/>
      <c r="TYK65" s="192"/>
      <c r="TYL65" s="192"/>
      <c r="TYM65" s="192"/>
      <c r="TYN65" s="192"/>
      <c r="TYO65" s="192"/>
      <c r="TYP65" s="192"/>
      <c r="TYQ65" s="192"/>
      <c r="TYR65" s="192"/>
      <c r="TYS65" s="192"/>
      <c r="TYT65" s="192"/>
      <c r="TYU65" s="192"/>
      <c r="TYV65" s="192"/>
      <c r="TYW65" s="192"/>
      <c r="TYX65" s="192"/>
      <c r="TYY65" s="192"/>
      <c r="TYZ65" s="192"/>
      <c r="TZA65" s="192"/>
      <c r="TZB65" s="192"/>
      <c r="TZC65" s="192"/>
      <c r="TZD65" s="192"/>
      <c r="TZE65" s="192"/>
      <c r="TZF65" s="192"/>
      <c r="TZG65" s="192"/>
      <c r="TZH65" s="192"/>
      <c r="TZI65" s="192"/>
      <c r="TZJ65" s="192"/>
      <c r="TZK65" s="192"/>
      <c r="TZL65" s="192"/>
      <c r="TZM65" s="192"/>
      <c r="TZN65" s="192"/>
      <c r="TZO65" s="192"/>
      <c r="TZP65" s="192"/>
      <c r="TZQ65" s="192"/>
      <c r="TZR65" s="192"/>
      <c r="TZS65" s="192"/>
      <c r="TZT65" s="192"/>
      <c r="TZU65" s="192"/>
      <c r="TZV65" s="192"/>
      <c r="TZW65" s="192"/>
      <c r="TZX65" s="192"/>
      <c r="TZY65" s="192"/>
      <c r="TZZ65" s="192"/>
      <c r="UAA65" s="192"/>
      <c r="UAB65" s="192"/>
      <c r="UAC65" s="192"/>
      <c r="UAD65" s="192"/>
      <c r="UAE65" s="192"/>
      <c r="UAF65" s="192"/>
      <c r="UAG65" s="192"/>
      <c r="UAH65" s="192"/>
      <c r="UAI65" s="192"/>
      <c r="UAJ65" s="192"/>
      <c r="UAK65" s="192"/>
      <c r="UAL65" s="192"/>
      <c r="UAM65" s="192"/>
      <c r="UAN65" s="192"/>
      <c r="UAO65" s="192"/>
      <c r="UAP65" s="192"/>
      <c r="UAQ65" s="192"/>
      <c r="UAR65" s="192"/>
      <c r="UAS65" s="192"/>
      <c r="UAT65" s="192"/>
      <c r="UAU65" s="192"/>
      <c r="UAV65" s="192"/>
      <c r="UAW65" s="192"/>
      <c r="UAX65" s="192"/>
      <c r="UAY65" s="192"/>
      <c r="UAZ65" s="192"/>
      <c r="UBA65" s="192"/>
      <c r="UBB65" s="192"/>
      <c r="UBC65" s="192"/>
      <c r="UBD65" s="192"/>
      <c r="UBE65" s="192"/>
      <c r="UBF65" s="192"/>
      <c r="UBG65" s="192"/>
      <c r="UBH65" s="192"/>
      <c r="UBI65" s="192"/>
      <c r="UBJ65" s="192"/>
      <c r="UBK65" s="192"/>
      <c r="UBL65" s="192"/>
      <c r="UBM65" s="192"/>
      <c r="UBN65" s="192"/>
      <c r="UBO65" s="192"/>
      <c r="UBP65" s="192"/>
      <c r="UBQ65" s="192"/>
      <c r="UBR65" s="192"/>
      <c r="UBS65" s="192"/>
      <c r="UBT65" s="192"/>
      <c r="UBU65" s="192"/>
      <c r="UBV65" s="192"/>
      <c r="UBW65" s="192"/>
      <c r="UBX65" s="192"/>
      <c r="UBY65" s="192"/>
      <c r="UBZ65" s="192"/>
      <c r="UCA65" s="192"/>
      <c r="UCB65" s="192"/>
      <c r="UCC65" s="192"/>
      <c r="UCD65" s="192"/>
      <c r="UCE65" s="192"/>
      <c r="UCF65" s="192"/>
      <c r="UCG65" s="192"/>
      <c r="UCH65" s="192"/>
      <c r="UCI65" s="192"/>
      <c r="UCJ65" s="192"/>
      <c r="UCK65" s="192"/>
      <c r="UCL65" s="192"/>
      <c r="UCM65" s="192"/>
      <c r="UCN65" s="192"/>
      <c r="UCO65" s="192"/>
      <c r="UCP65" s="192"/>
      <c r="UCQ65" s="192"/>
      <c r="UCR65" s="192"/>
      <c r="UCS65" s="192"/>
      <c r="UCT65" s="192"/>
      <c r="UCU65" s="192"/>
      <c r="UCV65" s="192"/>
      <c r="UCW65" s="192"/>
      <c r="UCX65" s="192"/>
      <c r="UCY65" s="192"/>
      <c r="UCZ65" s="192"/>
      <c r="UDA65" s="192"/>
      <c r="UDB65" s="192"/>
      <c r="UDC65" s="192"/>
      <c r="UDD65" s="192"/>
      <c r="UDE65" s="192"/>
      <c r="UDF65" s="192"/>
      <c r="UDG65" s="192"/>
      <c r="UDH65" s="192"/>
      <c r="UDI65" s="192"/>
      <c r="UDJ65" s="192"/>
      <c r="UDK65" s="192"/>
      <c r="UDL65" s="192"/>
      <c r="UDM65" s="192"/>
      <c r="UDN65" s="192"/>
      <c r="UDO65" s="192"/>
      <c r="UDP65" s="192"/>
      <c r="UDQ65" s="192"/>
      <c r="UDR65" s="192"/>
      <c r="UDS65" s="192"/>
      <c r="UDT65" s="192"/>
      <c r="UDU65" s="192"/>
      <c r="UDV65" s="192"/>
      <c r="UDW65" s="192"/>
      <c r="UDX65" s="192"/>
      <c r="UDY65" s="192"/>
      <c r="UDZ65" s="192"/>
      <c r="UEA65" s="192"/>
      <c r="UEB65" s="192"/>
      <c r="UEC65" s="192"/>
      <c r="UED65" s="192"/>
      <c r="UEE65" s="192"/>
      <c r="UEF65" s="192"/>
      <c r="UEG65" s="192"/>
      <c r="UEH65" s="192"/>
      <c r="UEI65" s="192"/>
      <c r="UEJ65" s="192"/>
      <c r="UEK65" s="192"/>
      <c r="UEL65" s="192"/>
      <c r="UEM65" s="192"/>
      <c r="UEN65" s="192"/>
      <c r="UEO65" s="192"/>
      <c r="UEP65" s="192"/>
      <c r="UEQ65" s="192"/>
      <c r="UER65" s="192"/>
      <c r="UES65" s="192"/>
      <c r="UET65" s="192"/>
      <c r="UEU65" s="192"/>
      <c r="UEV65" s="192"/>
      <c r="UEW65" s="192"/>
      <c r="UEX65" s="192"/>
      <c r="UEY65" s="192"/>
      <c r="UEZ65" s="192"/>
      <c r="UFA65" s="192"/>
      <c r="UFB65" s="192"/>
      <c r="UFC65" s="192"/>
      <c r="UFD65" s="192"/>
      <c r="UFE65" s="192"/>
      <c r="UFF65" s="192"/>
      <c r="UFG65" s="192"/>
      <c r="UFH65" s="192"/>
      <c r="UFI65" s="192"/>
      <c r="UFJ65" s="192"/>
      <c r="UFK65" s="192"/>
      <c r="UFL65" s="192"/>
      <c r="UFM65" s="192"/>
      <c r="UFN65" s="192"/>
      <c r="UFO65" s="192"/>
      <c r="UFP65" s="192"/>
      <c r="UFQ65" s="192"/>
      <c r="UFR65" s="192"/>
      <c r="UFS65" s="192"/>
      <c r="UFT65" s="192"/>
      <c r="UFU65" s="192"/>
      <c r="UFV65" s="192"/>
      <c r="UFW65" s="192"/>
      <c r="UFX65" s="192"/>
      <c r="UFY65" s="192"/>
      <c r="UFZ65" s="192"/>
      <c r="UGA65" s="192"/>
      <c r="UGB65" s="192"/>
      <c r="UGC65" s="192"/>
      <c r="UGD65" s="192"/>
      <c r="UGE65" s="192"/>
      <c r="UGF65" s="192"/>
      <c r="UGG65" s="192"/>
      <c r="UGH65" s="192"/>
      <c r="UGI65" s="192"/>
      <c r="UGJ65" s="192"/>
      <c r="UGK65" s="192"/>
      <c r="UGL65" s="192"/>
      <c r="UGM65" s="192"/>
      <c r="UGN65" s="192"/>
      <c r="UGO65" s="192"/>
      <c r="UGP65" s="192"/>
      <c r="UGQ65" s="192"/>
      <c r="UGR65" s="192"/>
      <c r="UGS65" s="192"/>
      <c r="UGT65" s="192"/>
      <c r="UGU65" s="192"/>
      <c r="UGV65" s="192"/>
      <c r="UGW65" s="192"/>
      <c r="UGX65" s="192"/>
      <c r="UGY65" s="192"/>
      <c r="UGZ65" s="192"/>
      <c r="UHA65" s="192"/>
      <c r="UHB65" s="192"/>
      <c r="UHC65" s="192"/>
      <c r="UHD65" s="192"/>
      <c r="UHE65" s="192"/>
      <c r="UHF65" s="192"/>
      <c r="UHG65" s="192"/>
      <c r="UHH65" s="192"/>
      <c r="UHI65" s="192"/>
      <c r="UHJ65" s="192"/>
      <c r="UHK65" s="192"/>
      <c r="UHL65" s="192"/>
      <c r="UHM65" s="192"/>
      <c r="UHN65" s="192"/>
      <c r="UHO65" s="192"/>
      <c r="UHP65" s="192"/>
      <c r="UHQ65" s="192"/>
      <c r="UHR65" s="192"/>
      <c r="UHS65" s="192"/>
      <c r="UHT65" s="192"/>
      <c r="UHU65" s="192"/>
      <c r="UHV65" s="192"/>
      <c r="UHW65" s="192"/>
      <c r="UHX65" s="192"/>
      <c r="UHY65" s="192"/>
      <c r="UHZ65" s="192"/>
      <c r="UIA65" s="192"/>
      <c r="UIB65" s="192"/>
      <c r="UIC65" s="192"/>
      <c r="UID65" s="192"/>
      <c r="UIE65" s="192"/>
      <c r="UIF65" s="192"/>
      <c r="UIG65" s="192"/>
      <c r="UIH65" s="192"/>
      <c r="UII65" s="192"/>
      <c r="UIJ65" s="192"/>
      <c r="UIK65" s="192"/>
      <c r="UIL65" s="192"/>
      <c r="UIM65" s="192"/>
      <c r="UIN65" s="192"/>
      <c r="UIO65" s="192"/>
      <c r="UIP65" s="192"/>
      <c r="UIQ65" s="192"/>
      <c r="UIR65" s="192"/>
      <c r="UIS65" s="192"/>
      <c r="UIT65" s="192"/>
      <c r="UIU65" s="192"/>
      <c r="UIV65" s="192"/>
      <c r="UIW65" s="192"/>
      <c r="UIX65" s="192"/>
      <c r="UIY65" s="192"/>
      <c r="UIZ65" s="192"/>
      <c r="UJA65" s="192"/>
      <c r="UJB65" s="192"/>
      <c r="UJC65" s="192"/>
      <c r="UJD65" s="192"/>
      <c r="UJE65" s="192"/>
      <c r="UJF65" s="192"/>
      <c r="UJG65" s="192"/>
      <c r="UJH65" s="192"/>
      <c r="UJI65" s="192"/>
      <c r="UJJ65" s="192"/>
      <c r="UJK65" s="192"/>
      <c r="UJL65" s="192"/>
      <c r="UJM65" s="192"/>
      <c r="UJN65" s="192"/>
      <c r="UJO65" s="192"/>
      <c r="UJP65" s="192"/>
      <c r="UJQ65" s="192"/>
      <c r="UJR65" s="192"/>
      <c r="UJS65" s="192"/>
      <c r="UJT65" s="192"/>
      <c r="UJU65" s="192"/>
      <c r="UJV65" s="192"/>
      <c r="UJW65" s="192"/>
      <c r="UJX65" s="192"/>
      <c r="UJY65" s="192"/>
      <c r="UJZ65" s="192"/>
      <c r="UKA65" s="192"/>
      <c r="UKB65" s="192"/>
      <c r="UKC65" s="192"/>
      <c r="UKD65" s="192"/>
      <c r="UKE65" s="192"/>
      <c r="UKF65" s="192"/>
      <c r="UKG65" s="192"/>
      <c r="UKH65" s="192"/>
      <c r="UKI65" s="192"/>
      <c r="UKJ65" s="192"/>
      <c r="UKK65" s="192"/>
      <c r="UKL65" s="192"/>
      <c r="UKM65" s="192"/>
      <c r="UKN65" s="192"/>
      <c r="UKO65" s="192"/>
      <c r="UKP65" s="192"/>
      <c r="UKQ65" s="192"/>
      <c r="UKR65" s="192"/>
      <c r="UKS65" s="192"/>
      <c r="UKT65" s="192"/>
      <c r="UKU65" s="192"/>
      <c r="UKV65" s="192"/>
      <c r="UKW65" s="192"/>
      <c r="UKX65" s="192"/>
      <c r="UKY65" s="192"/>
      <c r="UKZ65" s="192"/>
      <c r="ULA65" s="192"/>
      <c r="ULB65" s="192"/>
      <c r="ULC65" s="192"/>
      <c r="ULD65" s="192"/>
      <c r="ULE65" s="192"/>
      <c r="ULF65" s="192"/>
      <c r="ULG65" s="192"/>
      <c r="ULH65" s="192"/>
      <c r="ULI65" s="192"/>
      <c r="ULJ65" s="192"/>
      <c r="ULK65" s="192"/>
      <c r="ULL65" s="192"/>
      <c r="ULM65" s="192"/>
      <c r="ULN65" s="192"/>
      <c r="ULO65" s="192"/>
      <c r="ULP65" s="192"/>
      <c r="ULQ65" s="192"/>
      <c r="ULR65" s="192"/>
      <c r="ULS65" s="192"/>
      <c r="ULT65" s="192"/>
      <c r="ULU65" s="192"/>
      <c r="ULV65" s="192"/>
      <c r="ULW65" s="192"/>
      <c r="ULX65" s="192"/>
      <c r="ULY65" s="192"/>
      <c r="ULZ65" s="192"/>
      <c r="UMA65" s="192"/>
      <c r="UMB65" s="192"/>
      <c r="UMC65" s="192"/>
      <c r="UMD65" s="192"/>
      <c r="UME65" s="192"/>
      <c r="UMF65" s="192"/>
      <c r="UMG65" s="192"/>
      <c r="UMH65" s="192"/>
      <c r="UMI65" s="192"/>
      <c r="UMJ65" s="192"/>
      <c r="UMK65" s="192"/>
      <c r="UML65" s="192"/>
      <c r="UMM65" s="192"/>
      <c r="UMN65" s="192"/>
      <c r="UMO65" s="192"/>
      <c r="UMP65" s="192"/>
      <c r="UMQ65" s="192"/>
      <c r="UMR65" s="192"/>
      <c r="UMS65" s="192"/>
      <c r="UMT65" s="192"/>
      <c r="UMU65" s="192"/>
      <c r="UMV65" s="192"/>
      <c r="UMW65" s="192"/>
      <c r="UMX65" s="192"/>
      <c r="UMY65" s="192"/>
      <c r="UMZ65" s="192"/>
      <c r="UNA65" s="192"/>
      <c r="UNB65" s="192"/>
      <c r="UNC65" s="192"/>
      <c r="UND65" s="192"/>
      <c r="UNE65" s="192"/>
      <c r="UNF65" s="192"/>
      <c r="UNG65" s="192"/>
      <c r="UNH65" s="192"/>
      <c r="UNI65" s="192"/>
      <c r="UNJ65" s="192"/>
      <c r="UNK65" s="192"/>
      <c r="UNL65" s="192"/>
      <c r="UNM65" s="192"/>
      <c r="UNN65" s="192"/>
      <c r="UNO65" s="192"/>
      <c r="UNP65" s="192"/>
      <c r="UNQ65" s="192"/>
      <c r="UNR65" s="192"/>
      <c r="UNS65" s="192"/>
      <c r="UNT65" s="192"/>
      <c r="UNU65" s="192"/>
      <c r="UNV65" s="192"/>
      <c r="UNW65" s="192"/>
      <c r="UNX65" s="192"/>
      <c r="UNY65" s="192"/>
      <c r="UNZ65" s="192"/>
      <c r="UOA65" s="192"/>
      <c r="UOB65" s="192"/>
      <c r="UOC65" s="192"/>
      <c r="UOD65" s="192"/>
      <c r="UOE65" s="192"/>
      <c r="UOF65" s="192"/>
      <c r="UOG65" s="192"/>
      <c r="UOH65" s="192"/>
      <c r="UOI65" s="192"/>
      <c r="UOJ65" s="192"/>
      <c r="UOK65" s="192"/>
      <c r="UOL65" s="192"/>
      <c r="UOM65" s="192"/>
      <c r="UON65" s="192"/>
      <c r="UOO65" s="192"/>
      <c r="UOP65" s="192"/>
      <c r="UOQ65" s="192"/>
      <c r="UOR65" s="192"/>
      <c r="UOS65" s="192"/>
      <c r="UOT65" s="192"/>
      <c r="UOU65" s="192"/>
      <c r="UOV65" s="192"/>
      <c r="UOW65" s="192"/>
      <c r="UOX65" s="192"/>
      <c r="UOY65" s="192"/>
      <c r="UOZ65" s="192"/>
      <c r="UPA65" s="192"/>
      <c r="UPB65" s="192"/>
      <c r="UPC65" s="192"/>
      <c r="UPD65" s="192"/>
      <c r="UPE65" s="192"/>
      <c r="UPF65" s="192"/>
      <c r="UPG65" s="192"/>
      <c r="UPH65" s="192"/>
      <c r="UPI65" s="192"/>
      <c r="UPJ65" s="192"/>
      <c r="UPK65" s="192"/>
      <c r="UPL65" s="192"/>
      <c r="UPM65" s="192"/>
      <c r="UPN65" s="192"/>
      <c r="UPO65" s="192"/>
      <c r="UPP65" s="192"/>
      <c r="UPQ65" s="192"/>
      <c r="UPR65" s="192"/>
      <c r="UPS65" s="192"/>
      <c r="UPT65" s="192"/>
      <c r="UPU65" s="192"/>
      <c r="UPV65" s="192"/>
      <c r="UPW65" s="192"/>
      <c r="UPX65" s="192"/>
      <c r="UPY65" s="192"/>
      <c r="UPZ65" s="192"/>
      <c r="UQA65" s="192"/>
      <c r="UQB65" s="192"/>
      <c r="UQC65" s="192"/>
      <c r="UQD65" s="192"/>
      <c r="UQE65" s="192"/>
      <c r="UQF65" s="192"/>
      <c r="UQG65" s="192"/>
      <c r="UQH65" s="192"/>
      <c r="UQI65" s="192"/>
      <c r="UQJ65" s="192"/>
      <c r="UQK65" s="192"/>
      <c r="UQL65" s="192"/>
      <c r="UQM65" s="192"/>
      <c r="UQN65" s="192"/>
      <c r="UQO65" s="192"/>
      <c r="UQP65" s="192"/>
      <c r="UQQ65" s="192"/>
      <c r="UQR65" s="192"/>
      <c r="UQS65" s="192"/>
      <c r="UQT65" s="192"/>
      <c r="UQU65" s="192"/>
      <c r="UQV65" s="192"/>
      <c r="UQW65" s="192"/>
      <c r="UQX65" s="192"/>
      <c r="UQY65" s="192"/>
      <c r="UQZ65" s="192"/>
      <c r="URA65" s="192"/>
      <c r="URB65" s="192"/>
      <c r="URC65" s="192"/>
      <c r="URD65" s="192"/>
      <c r="URE65" s="192"/>
      <c r="URF65" s="192"/>
      <c r="URG65" s="192"/>
      <c r="URH65" s="192"/>
      <c r="URI65" s="192"/>
      <c r="URJ65" s="192"/>
      <c r="URK65" s="192"/>
      <c r="URL65" s="192"/>
      <c r="URM65" s="192"/>
      <c r="URN65" s="192"/>
      <c r="URO65" s="192"/>
      <c r="URP65" s="192"/>
      <c r="URQ65" s="192"/>
      <c r="URR65" s="192"/>
      <c r="URS65" s="192"/>
      <c r="URT65" s="192"/>
      <c r="URU65" s="192"/>
      <c r="URV65" s="192"/>
      <c r="URW65" s="192"/>
      <c r="URX65" s="192"/>
      <c r="URY65" s="192"/>
      <c r="URZ65" s="192"/>
      <c r="USA65" s="192"/>
      <c r="USB65" s="192"/>
      <c r="USC65" s="192"/>
      <c r="USD65" s="192"/>
      <c r="USE65" s="192"/>
      <c r="USF65" s="192"/>
      <c r="USG65" s="192"/>
      <c r="USH65" s="192"/>
      <c r="USI65" s="192"/>
      <c r="USJ65" s="192"/>
      <c r="USK65" s="192"/>
      <c r="USL65" s="192"/>
      <c r="USM65" s="192"/>
      <c r="USN65" s="192"/>
      <c r="USO65" s="192"/>
      <c r="USP65" s="192"/>
      <c r="USQ65" s="192"/>
      <c r="USR65" s="192"/>
      <c r="USS65" s="192"/>
      <c r="UST65" s="192"/>
      <c r="USU65" s="192"/>
      <c r="USV65" s="192"/>
      <c r="USW65" s="192"/>
      <c r="USX65" s="192"/>
      <c r="USY65" s="192"/>
      <c r="USZ65" s="192"/>
      <c r="UTA65" s="192"/>
      <c r="UTB65" s="192"/>
      <c r="UTC65" s="192"/>
      <c r="UTD65" s="192"/>
      <c r="UTE65" s="192"/>
      <c r="UTF65" s="192"/>
      <c r="UTG65" s="192"/>
      <c r="UTH65" s="192"/>
      <c r="UTI65" s="192"/>
      <c r="UTJ65" s="192"/>
      <c r="UTK65" s="192"/>
      <c r="UTL65" s="192"/>
      <c r="UTM65" s="192"/>
      <c r="UTN65" s="192"/>
      <c r="UTO65" s="192"/>
      <c r="UTP65" s="192"/>
      <c r="UTQ65" s="192"/>
      <c r="UTR65" s="192"/>
      <c r="UTS65" s="192"/>
      <c r="UTT65" s="192"/>
      <c r="UTU65" s="192"/>
      <c r="UTV65" s="192"/>
      <c r="UTW65" s="192"/>
      <c r="UTX65" s="192"/>
      <c r="UTY65" s="192"/>
      <c r="UTZ65" s="192"/>
      <c r="UUA65" s="192"/>
      <c r="UUB65" s="192"/>
      <c r="UUC65" s="192"/>
      <c r="UUD65" s="192"/>
      <c r="UUE65" s="192"/>
      <c r="UUF65" s="192"/>
      <c r="UUG65" s="192"/>
      <c r="UUH65" s="192"/>
      <c r="UUI65" s="192"/>
      <c r="UUJ65" s="192"/>
      <c r="UUK65" s="192"/>
      <c r="UUL65" s="192"/>
      <c r="UUM65" s="192"/>
      <c r="UUN65" s="192"/>
      <c r="UUO65" s="192"/>
      <c r="UUP65" s="192"/>
      <c r="UUQ65" s="192"/>
      <c r="UUR65" s="192"/>
      <c r="UUS65" s="192"/>
      <c r="UUT65" s="192"/>
      <c r="UUU65" s="192"/>
      <c r="UUV65" s="192"/>
      <c r="UUW65" s="192"/>
      <c r="UUX65" s="192"/>
      <c r="UUY65" s="192"/>
      <c r="UUZ65" s="192"/>
      <c r="UVA65" s="192"/>
      <c r="UVB65" s="192"/>
      <c r="UVC65" s="192"/>
      <c r="UVD65" s="192"/>
      <c r="UVE65" s="192"/>
      <c r="UVF65" s="192"/>
      <c r="UVG65" s="192"/>
      <c r="UVH65" s="192"/>
      <c r="UVI65" s="192"/>
      <c r="UVJ65" s="192"/>
      <c r="UVK65" s="192"/>
      <c r="UVL65" s="192"/>
      <c r="UVM65" s="192"/>
      <c r="UVN65" s="192"/>
      <c r="UVO65" s="192"/>
      <c r="UVP65" s="192"/>
      <c r="UVQ65" s="192"/>
      <c r="UVR65" s="192"/>
      <c r="UVS65" s="192"/>
      <c r="UVT65" s="192"/>
      <c r="UVU65" s="192"/>
      <c r="UVV65" s="192"/>
      <c r="UVW65" s="192"/>
      <c r="UVX65" s="192"/>
      <c r="UVY65" s="192"/>
      <c r="UVZ65" s="192"/>
      <c r="UWA65" s="192"/>
      <c r="UWB65" s="192"/>
      <c r="UWC65" s="192"/>
      <c r="UWD65" s="192"/>
      <c r="UWE65" s="192"/>
      <c r="UWF65" s="192"/>
      <c r="UWG65" s="192"/>
      <c r="UWH65" s="192"/>
      <c r="UWI65" s="192"/>
      <c r="UWJ65" s="192"/>
      <c r="UWK65" s="192"/>
      <c r="UWL65" s="192"/>
      <c r="UWM65" s="192"/>
      <c r="UWN65" s="192"/>
      <c r="UWO65" s="192"/>
      <c r="UWP65" s="192"/>
      <c r="UWQ65" s="192"/>
      <c r="UWR65" s="192"/>
      <c r="UWS65" s="192"/>
      <c r="UWT65" s="192"/>
      <c r="UWU65" s="192"/>
      <c r="UWV65" s="192"/>
      <c r="UWW65" s="192"/>
      <c r="UWX65" s="192"/>
      <c r="UWY65" s="192"/>
      <c r="UWZ65" s="192"/>
      <c r="UXA65" s="192"/>
      <c r="UXB65" s="192"/>
      <c r="UXC65" s="192"/>
      <c r="UXD65" s="192"/>
      <c r="UXE65" s="192"/>
      <c r="UXF65" s="192"/>
      <c r="UXG65" s="192"/>
      <c r="UXH65" s="192"/>
      <c r="UXI65" s="192"/>
      <c r="UXJ65" s="192"/>
      <c r="UXK65" s="192"/>
      <c r="UXL65" s="192"/>
      <c r="UXM65" s="192"/>
      <c r="UXN65" s="192"/>
      <c r="UXO65" s="192"/>
      <c r="UXP65" s="192"/>
      <c r="UXQ65" s="192"/>
      <c r="UXR65" s="192"/>
      <c r="UXS65" s="192"/>
      <c r="UXT65" s="192"/>
      <c r="UXU65" s="192"/>
      <c r="UXV65" s="192"/>
      <c r="UXW65" s="192"/>
      <c r="UXX65" s="192"/>
      <c r="UXY65" s="192"/>
      <c r="UXZ65" s="192"/>
      <c r="UYA65" s="192"/>
      <c r="UYB65" s="192"/>
      <c r="UYC65" s="192"/>
      <c r="UYD65" s="192"/>
      <c r="UYE65" s="192"/>
      <c r="UYF65" s="192"/>
      <c r="UYG65" s="192"/>
      <c r="UYH65" s="192"/>
      <c r="UYI65" s="192"/>
      <c r="UYJ65" s="192"/>
      <c r="UYK65" s="192"/>
      <c r="UYL65" s="192"/>
      <c r="UYM65" s="192"/>
      <c r="UYN65" s="192"/>
      <c r="UYO65" s="192"/>
      <c r="UYP65" s="192"/>
      <c r="UYQ65" s="192"/>
      <c r="UYR65" s="192"/>
      <c r="UYS65" s="192"/>
      <c r="UYT65" s="192"/>
      <c r="UYU65" s="192"/>
      <c r="UYV65" s="192"/>
      <c r="UYW65" s="192"/>
      <c r="UYX65" s="192"/>
      <c r="UYY65" s="192"/>
      <c r="UYZ65" s="192"/>
      <c r="UZA65" s="192"/>
      <c r="UZB65" s="192"/>
      <c r="UZC65" s="192"/>
      <c r="UZD65" s="192"/>
      <c r="UZE65" s="192"/>
      <c r="UZF65" s="192"/>
      <c r="UZG65" s="192"/>
      <c r="UZH65" s="192"/>
      <c r="UZI65" s="192"/>
      <c r="UZJ65" s="192"/>
      <c r="UZK65" s="192"/>
      <c r="UZL65" s="192"/>
      <c r="UZM65" s="192"/>
      <c r="UZN65" s="192"/>
      <c r="UZO65" s="192"/>
      <c r="UZP65" s="192"/>
      <c r="UZQ65" s="192"/>
      <c r="UZR65" s="192"/>
      <c r="UZS65" s="192"/>
      <c r="UZT65" s="192"/>
      <c r="UZU65" s="192"/>
      <c r="UZV65" s="192"/>
      <c r="UZW65" s="192"/>
      <c r="UZX65" s="192"/>
      <c r="UZY65" s="192"/>
      <c r="UZZ65" s="192"/>
      <c r="VAA65" s="192"/>
      <c r="VAB65" s="192"/>
      <c r="VAC65" s="192"/>
      <c r="VAD65" s="192"/>
      <c r="VAE65" s="192"/>
      <c r="VAF65" s="192"/>
      <c r="VAG65" s="192"/>
      <c r="VAH65" s="192"/>
      <c r="VAI65" s="192"/>
      <c r="VAJ65" s="192"/>
      <c r="VAK65" s="192"/>
      <c r="VAL65" s="192"/>
      <c r="VAM65" s="192"/>
      <c r="VAN65" s="192"/>
      <c r="VAO65" s="192"/>
      <c r="VAP65" s="192"/>
      <c r="VAQ65" s="192"/>
      <c r="VAR65" s="192"/>
      <c r="VAS65" s="192"/>
      <c r="VAT65" s="192"/>
      <c r="VAU65" s="192"/>
      <c r="VAV65" s="192"/>
      <c r="VAW65" s="192"/>
      <c r="VAX65" s="192"/>
      <c r="VAY65" s="192"/>
      <c r="VAZ65" s="192"/>
      <c r="VBA65" s="192"/>
      <c r="VBB65" s="192"/>
      <c r="VBC65" s="192"/>
      <c r="VBD65" s="192"/>
      <c r="VBE65" s="192"/>
      <c r="VBF65" s="192"/>
      <c r="VBG65" s="192"/>
      <c r="VBH65" s="192"/>
      <c r="VBI65" s="192"/>
      <c r="VBJ65" s="192"/>
      <c r="VBK65" s="192"/>
      <c r="VBL65" s="192"/>
      <c r="VBM65" s="192"/>
      <c r="VBN65" s="192"/>
      <c r="VBO65" s="192"/>
      <c r="VBP65" s="192"/>
      <c r="VBQ65" s="192"/>
      <c r="VBR65" s="192"/>
      <c r="VBS65" s="192"/>
      <c r="VBT65" s="192"/>
      <c r="VBU65" s="192"/>
      <c r="VBV65" s="192"/>
      <c r="VBW65" s="192"/>
      <c r="VBX65" s="192"/>
      <c r="VBY65" s="192"/>
      <c r="VBZ65" s="192"/>
      <c r="VCA65" s="192"/>
      <c r="VCB65" s="192"/>
      <c r="VCC65" s="192"/>
      <c r="VCD65" s="192"/>
      <c r="VCE65" s="192"/>
      <c r="VCF65" s="192"/>
      <c r="VCG65" s="192"/>
      <c r="VCH65" s="192"/>
      <c r="VCI65" s="192"/>
      <c r="VCJ65" s="192"/>
      <c r="VCK65" s="192"/>
      <c r="VCL65" s="192"/>
      <c r="VCM65" s="192"/>
      <c r="VCN65" s="192"/>
      <c r="VCO65" s="192"/>
      <c r="VCP65" s="192"/>
      <c r="VCQ65" s="192"/>
      <c r="VCR65" s="192"/>
      <c r="VCS65" s="192"/>
      <c r="VCT65" s="192"/>
      <c r="VCU65" s="192"/>
      <c r="VCV65" s="192"/>
      <c r="VCW65" s="192"/>
      <c r="VCX65" s="192"/>
      <c r="VCY65" s="192"/>
      <c r="VCZ65" s="192"/>
      <c r="VDA65" s="192"/>
      <c r="VDB65" s="192"/>
      <c r="VDC65" s="192"/>
      <c r="VDD65" s="192"/>
      <c r="VDE65" s="192"/>
      <c r="VDF65" s="192"/>
      <c r="VDG65" s="192"/>
      <c r="VDH65" s="192"/>
      <c r="VDI65" s="192"/>
      <c r="VDJ65" s="192"/>
      <c r="VDK65" s="192"/>
      <c r="VDL65" s="192"/>
      <c r="VDM65" s="192"/>
      <c r="VDN65" s="192"/>
      <c r="VDO65" s="192"/>
      <c r="VDP65" s="192"/>
      <c r="VDQ65" s="192"/>
      <c r="VDR65" s="192"/>
      <c r="VDS65" s="192"/>
      <c r="VDT65" s="192"/>
      <c r="VDU65" s="192"/>
      <c r="VDV65" s="192"/>
      <c r="VDW65" s="192"/>
      <c r="VDX65" s="192"/>
      <c r="VDY65" s="192"/>
      <c r="VDZ65" s="192"/>
      <c r="VEA65" s="192"/>
      <c r="VEB65" s="192"/>
      <c r="VEC65" s="192"/>
      <c r="VED65" s="192"/>
      <c r="VEE65" s="192"/>
      <c r="VEF65" s="192"/>
      <c r="VEG65" s="192"/>
      <c r="VEH65" s="192"/>
      <c r="VEI65" s="192"/>
      <c r="VEJ65" s="192"/>
      <c r="VEK65" s="192"/>
      <c r="VEL65" s="192"/>
      <c r="VEM65" s="192"/>
      <c r="VEN65" s="192"/>
      <c r="VEO65" s="192"/>
      <c r="VEP65" s="192"/>
      <c r="VEQ65" s="192"/>
      <c r="VER65" s="192"/>
      <c r="VES65" s="192"/>
      <c r="VET65" s="192"/>
      <c r="VEU65" s="192"/>
      <c r="VEV65" s="192"/>
      <c r="VEW65" s="192"/>
      <c r="VEX65" s="192"/>
      <c r="VEY65" s="192"/>
      <c r="VEZ65" s="192"/>
      <c r="VFA65" s="192"/>
      <c r="VFB65" s="192"/>
      <c r="VFC65" s="192"/>
      <c r="VFD65" s="192"/>
      <c r="VFE65" s="192"/>
      <c r="VFF65" s="192"/>
      <c r="VFG65" s="192"/>
      <c r="VFH65" s="192"/>
      <c r="VFI65" s="192"/>
      <c r="VFJ65" s="192"/>
      <c r="VFK65" s="192"/>
      <c r="VFL65" s="192"/>
      <c r="VFM65" s="192"/>
      <c r="VFN65" s="192"/>
      <c r="VFO65" s="192"/>
      <c r="VFP65" s="192"/>
      <c r="VFQ65" s="192"/>
      <c r="VFR65" s="192"/>
      <c r="VFS65" s="192"/>
      <c r="VFT65" s="192"/>
      <c r="VFU65" s="192"/>
      <c r="VFV65" s="192"/>
      <c r="VFW65" s="192"/>
      <c r="VFX65" s="192"/>
      <c r="VFY65" s="192"/>
      <c r="VFZ65" s="192"/>
      <c r="VGA65" s="192"/>
      <c r="VGB65" s="192"/>
      <c r="VGC65" s="192"/>
      <c r="VGD65" s="192"/>
      <c r="VGE65" s="192"/>
      <c r="VGF65" s="192"/>
      <c r="VGG65" s="192"/>
      <c r="VGH65" s="192"/>
      <c r="VGI65" s="192"/>
      <c r="VGJ65" s="192"/>
      <c r="VGK65" s="192"/>
      <c r="VGL65" s="192"/>
      <c r="VGM65" s="192"/>
      <c r="VGN65" s="192"/>
      <c r="VGO65" s="192"/>
      <c r="VGP65" s="192"/>
      <c r="VGQ65" s="192"/>
      <c r="VGR65" s="192"/>
      <c r="VGS65" s="192"/>
      <c r="VGT65" s="192"/>
      <c r="VGU65" s="192"/>
      <c r="VGV65" s="192"/>
      <c r="VGW65" s="192"/>
      <c r="VGX65" s="192"/>
      <c r="VGY65" s="192"/>
      <c r="VGZ65" s="192"/>
      <c r="VHA65" s="192"/>
      <c r="VHB65" s="192"/>
      <c r="VHC65" s="192"/>
      <c r="VHD65" s="192"/>
      <c r="VHE65" s="192"/>
      <c r="VHF65" s="192"/>
      <c r="VHG65" s="192"/>
      <c r="VHH65" s="192"/>
      <c r="VHI65" s="192"/>
      <c r="VHJ65" s="192"/>
      <c r="VHK65" s="192"/>
      <c r="VHL65" s="192"/>
      <c r="VHM65" s="192"/>
      <c r="VHN65" s="192"/>
      <c r="VHO65" s="192"/>
      <c r="VHP65" s="192"/>
      <c r="VHQ65" s="192"/>
      <c r="VHR65" s="192"/>
      <c r="VHS65" s="192"/>
      <c r="VHT65" s="192"/>
      <c r="VHU65" s="192"/>
      <c r="VHV65" s="192"/>
      <c r="VHW65" s="192"/>
      <c r="VHX65" s="192"/>
      <c r="VHY65" s="192"/>
      <c r="VHZ65" s="192"/>
      <c r="VIA65" s="192"/>
      <c r="VIB65" s="192"/>
      <c r="VIC65" s="192"/>
      <c r="VID65" s="192"/>
      <c r="VIE65" s="192"/>
      <c r="VIF65" s="192"/>
      <c r="VIG65" s="192"/>
      <c r="VIH65" s="192"/>
      <c r="VII65" s="192"/>
      <c r="VIJ65" s="192"/>
      <c r="VIK65" s="192"/>
      <c r="VIL65" s="192"/>
      <c r="VIM65" s="192"/>
      <c r="VIN65" s="192"/>
      <c r="VIO65" s="192"/>
      <c r="VIP65" s="192"/>
      <c r="VIQ65" s="192"/>
      <c r="VIR65" s="192"/>
      <c r="VIS65" s="192"/>
      <c r="VIT65" s="192"/>
      <c r="VIU65" s="192"/>
      <c r="VIV65" s="192"/>
      <c r="VIW65" s="192"/>
      <c r="VIX65" s="192"/>
      <c r="VIY65" s="192"/>
      <c r="VIZ65" s="192"/>
      <c r="VJA65" s="192"/>
      <c r="VJB65" s="192"/>
      <c r="VJC65" s="192"/>
      <c r="VJD65" s="192"/>
      <c r="VJE65" s="192"/>
      <c r="VJF65" s="192"/>
      <c r="VJG65" s="192"/>
      <c r="VJH65" s="192"/>
      <c r="VJI65" s="192"/>
      <c r="VJJ65" s="192"/>
      <c r="VJK65" s="192"/>
      <c r="VJL65" s="192"/>
      <c r="VJM65" s="192"/>
      <c r="VJN65" s="192"/>
      <c r="VJO65" s="192"/>
      <c r="VJP65" s="192"/>
      <c r="VJQ65" s="192"/>
      <c r="VJR65" s="192"/>
      <c r="VJS65" s="192"/>
      <c r="VJT65" s="192"/>
      <c r="VJU65" s="192"/>
      <c r="VJV65" s="192"/>
      <c r="VJW65" s="192"/>
      <c r="VJX65" s="192"/>
      <c r="VJY65" s="192"/>
      <c r="VJZ65" s="192"/>
      <c r="VKA65" s="192"/>
      <c r="VKB65" s="192"/>
      <c r="VKC65" s="192"/>
      <c r="VKD65" s="192"/>
      <c r="VKE65" s="192"/>
      <c r="VKF65" s="192"/>
      <c r="VKG65" s="192"/>
      <c r="VKH65" s="192"/>
      <c r="VKI65" s="192"/>
      <c r="VKJ65" s="192"/>
      <c r="VKK65" s="192"/>
      <c r="VKL65" s="192"/>
      <c r="VKM65" s="192"/>
      <c r="VKN65" s="192"/>
      <c r="VKO65" s="192"/>
      <c r="VKP65" s="192"/>
      <c r="VKQ65" s="192"/>
      <c r="VKR65" s="192"/>
      <c r="VKS65" s="192"/>
      <c r="VKT65" s="192"/>
      <c r="VKU65" s="192"/>
      <c r="VKV65" s="192"/>
      <c r="VKW65" s="192"/>
      <c r="VKX65" s="192"/>
      <c r="VKY65" s="192"/>
      <c r="VKZ65" s="192"/>
      <c r="VLA65" s="192"/>
      <c r="VLB65" s="192"/>
      <c r="VLC65" s="192"/>
      <c r="VLD65" s="192"/>
      <c r="VLE65" s="192"/>
      <c r="VLF65" s="192"/>
      <c r="VLG65" s="192"/>
      <c r="VLH65" s="192"/>
      <c r="VLI65" s="192"/>
      <c r="VLJ65" s="192"/>
      <c r="VLK65" s="192"/>
      <c r="VLL65" s="192"/>
      <c r="VLM65" s="192"/>
      <c r="VLN65" s="192"/>
      <c r="VLO65" s="192"/>
      <c r="VLP65" s="192"/>
      <c r="VLQ65" s="192"/>
      <c r="VLR65" s="192"/>
      <c r="VLS65" s="192"/>
      <c r="VLT65" s="192"/>
      <c r="VLU65" s="192"/>
      <c r="VLV65" s="192"/>
      <c r="VLW65" s="192"/>
      <c r="VLX65" s="192"/>
      <c r="VLY65" s="192"/>
      <c r="VLZ65" s="192"/>
      <c r="VMA65" s="192"/>
      <c r="VMB65" s="192"/>
      <c r="VMC65" s="192"/>
      <c r="VMD65" s="192"/>
      <c r="VME65" s="192"/>
      <c r="VMF65" s="192"/>
      <c r="VMG65" s="192"/>
      <c r="VMH65" s="192"/>
      <c r="VMI65" s="192"/>
      <c r="VMJ65" s="192"/>
      <c r="VMK65" s="192"/>
      <c r="VML65" s="192"/>
      <c r="VMM65" s="192"/>
      <c r="VMN65" s="192"/>
      <c r="VMO65" s="192"/>
      <c r="VMP65" s="192"/>
      <c r="VMQ65" s="192"/>
      <c r="VMR65" s="192"/>
      <c r="VMS65" s="192"/>
      <c r="VMT65" s="192"/>
      <c r="VMU65" s="192"/>
      <c r="VMV65" s="192"/>
      <c r="VMW65" s="192"/>
      <c r="VMX65" s="192"/>
      <c r="VMY65" s="192"/>
      <c r="VMZ65" s="192"/>
      <c r="VNA65" s="192"/>
      <c r="VNB65" s="192"/>
      <c r="VNC65" s="192"/>
      <c r="VND65" s="192"/>
      <c r="VNE65" s="192"/>
      <c r="VNF65" s="192"/>
      <c r="VNG65" s="192"/>
      <c r="VNH65" s="192"/>
      <c r="VNI65" s="192"/>
      <c r="VNJ65" s="192"/>
      <c r="VNK65" s="192"/>
      <c r="VNL65" s="192"/>
      <c r="VNM65" s="192"/>
      <c r="VNN65" s="192"/>
      <c r="VNO65" s="192"/>
      <c r="VNP65" s="192"/>
      <c r="VNQ65" s="192"/>
      <c r="VNR65" s="192"/>
      <c r="VNS65" s="192"/>
      <c r="VNT65" s="192"/>
      <c r="VNU65" s="192"/>
      <c r="VNV65" s="192"/>
      <c r="VNW65" s="192"/>
      <c r="VNX65" s="192"/>
      <c r="VNY65" s="192"/>
      <c r="VNZ65" s="192"/>
      <c r="VOA65" s="192"/>
      <c r="VOB65" s="192"/>
      <c r="VOC65" s="192"/>
      <c r="VOD65" s="192"/>
      <c r="VOE65" s="192"/>
      <c r="VOF65" s="192"/>
      <c r="VOG65" s="192"/>
      <c r="VOH65" s="192"/>
      <c r="VOI65" s="192"/>
      <c r="VOJ65" s="192"/>
      <c r="VOK65" s="192"/>
      <c r="VOL65" s="192"/>
      <c r="VOM65" s="192"/>
      <c r="VON65" s="192"/>
      <c r="VOO65" s="192"/>
      <c r="VOP65" s="192"/>
      <c r="VOQ65" s="192"/>
      <c r="VOR65" s="192"/>
      <c r="VOS65" s="192"/>
      <c r="VOT65" s="192"/>
      <c r="VOU65" s="192"/>
      <c r="VOV65" s="192"/>
      <c r="VOW65" s="192"/>
      <c r="VOX65" s="192"/>
      <c r="VOY65" s="192"/>
      <c r="VOZ65" s="192"/>
      <c r="VPA65" s="192"/>
      <c r="VPB65" s="192"/>
      <c r="VPC65" s="192"/>
      <c r="VPD65" s="192"/>
      <c r="VPE65" s="192"/>
      <c r="VPF65" s="192"/>
      <c r="VPG65" s="192"/>
      <c r="VPH65" s="192"/>
      <c r="VPI65" s="192"/>
      <c r="VPJ65" s="192"/>
      <c r="VPK65" s="192"/>
      <c r="VPL65" s="192"/>
      <c r="VPM65" s="192"/>
      <c r="VPN65" s="192"/>
      <c r="VPO65" s="192"/>
      <c r="VPP65" s="192"/>
      <c r="VPQ65" s="192"/>
      <c r="VPR65" s="192"/>
      <c r="VPS65" s="192"/>
      <c r="VPT65" s="192"/>
      <c r="VPU65" s="192"/>
      <c r="VPV65" s="192"/>
      <c r="VPW65" s="192"/>
      <c r="VPX65" s="192"/>
      <c r="VPY65" s="192"/>
      <c r="VPZ65" s="192"/>
      <c r="VQA65" s="192"/>
      <c r="VQB65" s="192"/>
      <c r="VQC65" s="192"/>
      <c r="VQD65" s="192"/>
      <c r="VQE65" s="192"/>
      <c r="VQF65" s="192"/>
      <c r="VQG65" s="192"/>
      <c r="VQH65" s="192"/>
      <c r="VQI65" s="192"/>
      <c r="VQJ65" s="192"/>
      <c r="VQK65" s="192"/>
      <c r="VQL65" s="192"/>
      <c r="VQM65" s="192"/>
      <c r="VQN65" s="192"/>
      <c r="VQO65" s="192"/>
      <c r="VQP65" s="192"/>
      <c r="VQQ65" s="192"/>
      <c r="VQR65" s="192"/>
      <c r="VQS65" s="192"/>
      <c r="VQT65" s="192"/>
      <c r="VQU65" s="192"/>
      <c r="VQV65" s="192"/>
      <c r="VQW65" s="192"/>
      <c r="VQX65" s="192"/>
      <c r="VQY65" s="192"/>
      <c r="VQZ65" s="192"/>
      <c r="VRA65" s="192"/>
      <c r="VRB65" s="192"/>
      <c r="VRC65" s="192"/>
      <c r="VRD65" s="192"/>
      <c r="VRE65" s="192"/>
      <c r="VRF65" s="192"/>
      <c r="VRG65" s="192"/>
      <c r="VRH65" s="192"/>
      <c r="VRI65" s="192"/>
      <c r="VRJ65" s="192"/>
      <c r="VRK65" s="192"/>
      <c r="VRL65" s="192"/>
      <c r="VRM65" s="192"/>
      <c r="VRN65" s="192"/>
      <c r="VRO65" s="192"/>
      <c r="VRP65" s="192"/>
      <c r="VRQ65" s="192"/>
      <c r="VRR65" s="192"/>
      <c r="VRS65" s="192"/>
      <c r="VRT65" s="192"/>
      <c r="VRU65" s="192"/>
      <c r="VRV65" s="192"/>
      <c r="VRW65" s="192"/>
      <c r="VRX65" s="192"/>
      <c r="VRY65" s="192"/>
      <c r="VRZ65" s="192"/>
      <c r="VSA65" s="192"/>
      <c r="VSB65" s="192"/>
      <c r="VSC65" s="192"/>
      <c r="VSD65" s="192"/>
      <c r="VSE65" s="192"/>
      <c r="VSF65" s="192"/>
      <c r="VSG65" s="192"/>
      <c r="VSH65" s="192"/>
      <c r="VSI65" s="192"/>
      <c r="VSJ65" s="192"/>
      <c r="VSK65" s="192"/>
      <c r="VSL65" s="192"/>
      <c r="VSM65" s="192"/>
      <c r="VSN65" s="192"/>
      <c r="VSO65" s="192"/>
      <c r="VSP65" s="192"/>
      <c r="VSQ65" s="192"/>
      <c r="VSR65" s="192"/>
      <c r="VSS65" s="192"/>
      <c r="VST65" s="192"/>
      <c r="VSU65" s="192"/>
      <c r="VSV65" s="192"/>
      <c r="VSW65" s="192"/>
      <c r="VSX65" s="192"/>
      <c r="VSY65" s="192"/>
      <c r="VSZ65" s="192"/>
      <c r="VTA65" s="192"/>
      <c r="VTB65" s="192"/>
      <c r="VTC65" s="192"/>
      <c r="VTD65" s="192"/>
      <c r="VTE65" s="192"/>
      <c r="VTF65" s="192"/>
      <c r="VTG65" s="192"/>
      <c r="VTH65" s="192"/>
      <c r="VTI65" s="192"/>
      <c r="VTJ65" s="192"/>
      <c r="VTK65" s="192"/>
      <c r="VTL65" s="192"/>
      <c r="VTM65" s="192"/>
      <c r="VTN65" s="192"/>
      <c r="VTO65" s="192"/>
      <c r="VTP65" s="192"/>
      <c r="VTQ65" s="192"/>
      <c r="VTR65" s="192"/>
      <c r="VTS65" s="192"/>
      <c r="VTT65" s="192"/>
      <c r="VTU65" s="192"/>
      <c r="VTV65" s="192"/>
      <c r="VTW65" s="192"/>
      <c r="VTX65" s="192"/>
      <c r="VTY65" s="192"/>
      <c r="VTZ65" s="192"/>
      <c r="VUA65" s="192"/>
      <c r="VUB65" s="192"/>
      <c r="VUC65" s="192"/>
      <c r="VUD65" s="192"/>
      <c r="VUE65" s="192"/>
      <c r="VUF65" s="192"/>
      <c r="VUG65" s="192"/>
      <c r="VUH65" s="192"/>
      <c r="VUI65" s="192"/>
      <c r="VUJ65" s="192"/>
      <c r="VUK65" s="192"/>
      <c r="VUL65" s="192"/>
      <c r="VUM65" s="192"/>
      <c r="VUN65" s="192"/>
      <c r="VUO65" s="192"/>
      <c r="VUP65" s="192"/>
      <c r="VUQ65" s="192"/>
      <c r="VUR65" s="192"/>
      <c r="VUS65" s="192"/>
      <c r="VUT65" s="192"/>
      <c r="VUU65" s="192"/>
      <c r="VUV65" s="192"/>
      <c r="VUW65" s="192"/>
      <c r="VUX65" s="192"/>
      <c r="VUY65" s="192"/>
      <c r="VUZ65" s="192"/>
      <c r="VVA65" s="192"/>
      <c r="VVB65" s="192"/>
      <c r="VVC65" s="192"/>
      <c r="VVD65" s="192"/>
      <c r="VVE65" s="192"/>
      <c r="VVF65" s="192"/>
      <c r="VVG65" s="192"/>
      <c r="VVH65" s="192"/>
      <c r="VVI65" s="192"/>
      <c r="VVJ65" s="192"/>
      <c r="VVK65" s="192"/>
      <c r="VVL65" s="192"/>
      <c r="VVM65" s="192"/>
      <c r="VVN65" s="192"/>
      <c r="VVO65" s="192"/>
      <c r="VVP65" s="192"/>
      <c r="VVQ65" s="192"/>
      <c r="VVR65" s="192"/>
      <c r="VVS65" s="192"/>
      <c r="VVT65" s="192"/>
      <c r="VVU65" s="192"/>
      <c r="VVV65" s="192"/>
      <c r="VVW65" s="192"/>
      <c r="VVX65" s="192"/>
      <c r="VVY65" s="192"/>
      <c r="VVZ65" s="192"/>
      <c r="VWA65" s="192"/>
      <c r="VWB65" s="192"/>
      <c r="VWC65" s="192"/>
      <c r="VWD65" s="192"/>
      <c r="VWE65" s="192"/>
      <c r="VWF65" s="192"/>
      <c r="VWG65" s="192"/>
      <c r="VWH65" s="192"/>
      <c r="VWI65" s="192"/>
      <c r="VWJ65" s="192"/>
      <c r="VWK65" s="192"/>
      <c r="VWL65" s="192"/>
      <c r="VWM65" s="192"/>
      <c r="VWN65" s="192"/>
      <c r="VWO65" s="192"/>
      <c r="VWP65" s="192"/>
      <c r="VWQ65" s="192"/>
      <c r="VWR65" s="192"/>
      <c r="VWS65" s="192"/>
      <c r="VWT65" s="192"/>
      <c r="VWU65" s="192"/>
      <c r="VWV65" s="192"/>
      <c r="VWW65" s="192"/>
      <c r="VWX65" s="192"/>
      <c r="VWY65" s="192"/>
      <c r="VWZ65" s="192"/>
      <c r="VXA65" s="192"/>
      <c r="VXB65" s="192"/>
      <c r="VXC65" s="192"/>
      <c r="VXD65" s="192"/>
      <c r="VXE65" s="192"/>
      <c r="VXF65" s="192"/>
      <c r="VXG65" s="192"/>
      <c r="VXH65" s="192"/>
      <c r="VXI65" s="192"/>
      <c r="VXJ65" s="192"/>
      <c r="VXK65" s="192"/>
      <c r="VXL65" s="192"/>
      <c r="VXM65" s="192"/>
      <c r="VXN65" s="192"/>
      <c r="VXO65" s="192"/>
      <c r="VXP65" s="192"/>
      <c r="VXQ65" s="192"/>
      <c r="VXR65" s="192"/>
      <c r="VXS65" s="192"/>
      <c r="VXT65" s="192"/>
      <c r="VXU65" s="192"/>
      <c r="VXV65" s="192"/>
      <c r="VXW65" s="192"/>
      <c r="VXX65" s="192"/>
      <c r="VXY65" s="192"/>
      <c r="VXZ65" s="192"/>
      <c r="VYA65" s="192"/>
      <c r="VYB65" s="192"/>
      <c r="VYC65" s="192"/>
      <c r="VYD65" s="192"/>
      <c r="VYE65" s="192"/>
      <c r="VYF65" s="192"/>
      <c r="VYG65" s="192"/>
      <c r="VYH65" s="192"/>
      <c r="VYI65" s="192"/>
      <c r="VYJ65" s="192"/>
      <c r="VYK65" s="192"/>
      <c r="VYL65" s="192"/>
      <c r="VYM65" s="192"/>
      <c r="VYN65" s="192"/>
      <c r="VYO65" s="192"/>
      <c r="VYP65" s="192"/>
      <c r="VYQ65" s="192"/>
      <c r="VYR65" s="192"/>
      <c r="VYS65" s="192"/>
      <c r="VYT65" s="192"/>
      <c r="VYU65" s="192"/>
      <c r="VYV65" s="192"/>
      <c r="VYW65" s="192"/>
      <c r="VYX65" s="192"/>
      <c r="VYY65" s="192"/>
      <c r="VYZ65" s="192"/>
      <c r="VZA65" s="192"/>
      <c r="VZB65" s="192"/>
      <c r="VZC65" s="192"/>
      <c r="VZD65" s="192"/>
      <c r="VZE65" s="192"/>
      <c r="VZF65" s="192"/>
      <c r="VZG65" s="192"/>
      <c r="VZH65" s="192"/>
      <c r="VZI65" s="192"/>
      <c r="VZJ65" s="192"/>
      <c r="VZK65" s="192"/>
      <c r="VZL65" s="192"/>
      <c r="VZM65" s="192"/>
      <c r="VZN65" s="192"/>
      <c r="VZO65" s="192"/>
      <c r="VZP65" s="192"/>
      <c r="VZQ65" s="192"/>
      <c r="VZR65" s="192"/>
      <c r="VZS65" s="192"/>
      <c r="VZT65" s="192"/>
      <c r="VZU65" s="192"/>
      <c r="VZV65" s="192"/>
      <c r="VZW65" s="192"/>
      <c r="VZX65" s="192"/>
      <c r="VZY65" s="192"/>
      <c r="VZZ65" s="192"/>
      <c r="WAA65" s="192"/>
      <c r="WAB65" s="192"/>
      <c r="WAC65" s="192"/>
      <c r="WAD65" s="192"/>
      <c r="WAE65" s="192"/>
      <c r="WAF65" s="192"/>
      <c r="WAG65" s="192"/>
      <c r="WAH65" s="192"/>
      <c r="WAI65" s="192"/>
      <c r="WAJ65" s="192"/>
      <c r="WAK65" s="192"/>
      <c r="WAL65" s="192"/>
      <c r="WAM65" s="192"/>
      <c r="WAN65" s="192"/>
      <c r="WAO65" s="192"/>
      <c r="WAP65" s="192"/>
      <c r="WAQ65" s="192"/>
      <c r="WAR65" s="192"/>
      <c r="WAS65" s="192"/>
      <c r="WAT65" s="192"/>
      <c r="WAU65" s="192"/>
      <c r="WAV65" s="192"/>
      <c r="WAW65" s="192"/>
      <c r="WAX65" s="192"/>
      <c r="WAY65" s="192"/>
      <c r="WAZ65" s="192"/>
      <c r="WBA65" s="192"/>
      <c r="WBB65" s="192"/>
      <c r="WBC65" s="192"/>
      <c r="WBD65" s="192"/>
      <c r="WBE65" s="192"/>
      <c r="WBF65" s="192"/>
      <c r="WBG65" s="192"/>
      <c r="WBH65" s="192"/>
      <c r="WBI65" s="192"/>
      <c r="WBJ65" s="192"/>
      <c r="WBK65" s="192"/>
      <c r="WBL65" s="192"/>
      <c r="WBM65" s="192"/>
      <c r="WBN65" s="192"/>
      <c r="WBO65" s="192"/>
      <c r="WBP65" s="192"/>
      <c r="WBQ65" s="192"/>
      <c r="WBR65" s="192"/>
      <c r="WBS65" s="192"/>
      <c r="WBT65" s="192"/>
      <c r="WBU65" s="192"/>
      <c r="WBV65" s="192"/>
      <c r="WBW65" s="192"/>
      <c r="WBX65" s="192"/>
      <c r="WBY65" s="192"/>
      <c r="WBZ65" s="192"/>
      <c r="WCA65" s="192"/>
      <c r="WCB65" s="192"/>
      <c r="WCC65" s="192"/>
      <c r="WCD65" s="192"/>
      <c r="WCE65" s="192"/>
      <c r="WCF65" s="192"/>
      <c r="WCG65" s="192"/>
      <c r="WCH65" s="192"/>
      <c r="WCI65" s="192"/>
      <c r="WCJ65" s="192"/>
      <c r="WCK65" s="192"/>
      <c r="WCL65" s="192"/>
      <c r="WCM65" s="192"/>
      <c r="WCN65" s="192"/>
      <c r="WCO65" s="192"/>
      <c r="WCP65" s="192"/>
      <c r="WCQ65" s="192"/>
      <c r="WCR65" s="192"/>
      <c r="WCS65" s="192"/>
      <c r="WCT65" s="192"/>
      <c r="WCU65" s="192"/>
      <c r="WCV65" s="192"/>
      <c r="WCW65" s="192"/>
      <c r="WCX65" s="192"/>
      <c r="WCY65" s="192"/>
      <c r="WCZ65" s="192"/>
      <c r="WDA65" s="192"/>
      <c r="WDB65" s="192"/>
      <c r="WDC65" s="192"/>
      <c r="WDD65" s="192"/>
      <c r="WDE65" s="192"/>
      <c r="WDF65" s="192"/>
      <c r="WDG65" s="192"/>
      <c r="WDH65" s="192"/>
      <c r="WDI65" s="192"/>
      <c r="WDJ65" s="192"/>
      <c r="WDK65" s="192"/>
      <c r="WDL65" s="192"/>
      <c r="WDM65" s="192"/>
      <c r="WDN65" s="192"/>
      <c r="WDO65" s="192"/>
      <c r="WDP65" s="192"/>
      <c r="WDQ65" s="192"/>
      <c r="WDR65" s="192"/>
      <c r="WDS65" s="192"/>
      <c r="WDT65" s="192"/>
      <c r="WDU65" s="192"/>
      <c r="WDV65" s="192"/>
      <c r="WDW65" s="192"/>
      <c r="WDX65" s="192"/>
      <c r="WDY65" s="192"/>
      <c r="WDZ65" s="192"/>
      <c r="WEA65" s="192"/>
      <c r="WEB65" s="192"/>
      <c r="WEC65" s="192"/>
      <c r="WED65" s="192"/>
      <c r="WEE65" s="192"/>
      <c r="WEF65" s="192"/>
      <c r="WEG65" s="192"/>
      <c r="WEH65" s="192"/>
      <c r="WEI65" s="192"/>
      <c r="WEJ65" s="192"/>
      <c r="WEK65" s="192"/>
      <c r="WEL65" s="192"/>
      <c r="WEM65" s="192"/>
      <c r="WEN65" s="192"/>
      <c r="WEO65" s="192"/>
      <c r="WEP65" s="192"/>
      <c r="WEQ65" s="192"/>
      <c r="WER65" s="192"/>
      <c r="WES65" s="192"/>
      <c r="WET65" s="192"/>
      <c r="WEU65" s="192"/>
      <c r="WEV65" s="192"/>
      <c r="WEW65" s="192"/>
      <c r="WEX65" s="192"/>
      <c r="WEY65" s="192"/>
      <c r="WEZ65" s="192"/>
      <c r="WFA65" s="192"/>
      <c r="WFB65" s="192"/>
      <c r="WFC65" s="192"/>
      <c r="WFD65" s="192"/>
      <c r="WFE65" s="192"/>
      <c r="WFF65" s="192"/>
      <c r="WFG65" s="192"/>
      <c r="WFH65" s="192"/>
      <c r="WFI65" s="192"/>
      <c r="WFJ65" s="192"/>
      <c r="WFK65" s="192"/>
      <c r="WFL65" s="192"/>
      <c r="WFM65" s="192"/>
      <c r="WFN65" s="192"/>
      <c r="WFO65" s="192"/>
      <c r="WFP65" s="192"/>
      <c r="WFQ65" s="192"/>
      <c r="WFR65" s="192"/>
      <c r="WFS65" s="192"/>
      <c r="WFT65" s="192"/>
      <c r="WFU65" s="192"/>
      <c r="WFV65" s="192"/>
      <c r="WFW65" s="192"/>
      <c r="WFX65" s="192"/>
      <c r="WFY65" s="192"/>
      <c r="WFZ65" s="192"/>
      <c r="WGA65" s="192"/>
      <c r="WGB65" s="192"/>
      <c r="WGC65" s="192"/>
      <c r="WGD65" s="192"/>
      <c r="WGE65" s="192"/>
      <c r="WGF65" s="192"/>
      <c r="WGG65" s="192"/>
      <c r="WGH65" s="192"/>
      <c r="WGI65" s="192"/>
      <c r="WGJ65" s="192"/>
      <c r="WGK65" s="192"/>
      <c r="WGL65" s="192"/>
      <c r="WGM65" s="192"/>
      <c r="WGN65" s="192"/>
      <c r="WGO65" s="192"/>
      <c r="WGP65" s="192"/>
      <c r="WGQ65" s="192"/>
      <c r="WGR65" s="192"/>
      <c r="WGS65" s="192"/>
      <c r="WGT65" s="192"/>
      <c r="WGU65" s="192"/>
      <c r="WGV65" s="192"/>
      <c r="WGW65" s="192"/>
      <c r="WGX65" s="192"/>
      <c r="WGY65" s="192"/>
      <c r="WGZ65" s="192"/>
      <c r="WHA65" s="192"/>
      <c r="WHB65" s="192"/>
      <c r="WHC65" s="192"/>
      <c r="WHD65" s="192"/>
      <c r="WHE65" s="192"/>
      <c r="WHF65" s="192"/>
      <c r="WHG65" s="192"/>
      <c r="WHH65" s="192"/>
      <c r="WHI65" s="192"/>
      <c r="WHJ65" s="192"/>
      <c r="WHK65" s="192"/>
      <c r="WHL65" s="192"/>
      <c r="WHM65" s="192"/>
      <c r="WHN65" s="192"/>
      <c r="WHO65" s="192"/>
      <c r="WHP65" s="192"/>
      <c r="WHQ65" s="192"/>
      <c r="WHR65" s="192"/>
      <c r="WHS65" s="192"/>
      <c r="WHT65" s="192"/>
      <c r="WHU65" s="192"/>
      <c r="WHV65" s="192"/>
      <c r="WHW65" s="192"/>
      <c r="WHX65" s="192"/>
      <c r="WHY65" s="192"/>
      <c r="WHZ65" s="192"/>
      <c r="WIA65" s="192"/>
      <c r="WIB65" s="192"/>
      <c r="WIC65" s="192"/>
      <c r="WID65" s="192"/>
      <c r="WIE65" s="192"/>
      <c r="WIF65" s="192"/>
      <c r="WIG65" s="192"/>
      <c r="WIH65" s="192"/>
      <c r="WII65" s="192"/>
      <c r="WIJ65" s="192"/>
      <c r="WIK65" s="192"/>
      <c r="WIL65" s="192"/>
      <c r="WIM65" s="192"/>
      <c r="WIN65" s="192"/>
      <c r="WIO65" s="192"/>
      <c r="WIP65" s="192"/>
      <c r="WIQ65" s="192"/>
      <c r="WIR65" s="192"/>
      <c r="WIS65" s="192"/>
      <c r="WIT65" s="192"/>
      <c r="WIU65" s="192"/>
      <c r="WIV65" s="192"/>
      <c r="WIW65" s="192"/>
      <c r="WIX65" s="192"/>
      <c r="WIY65" s="192"/>
      <c r="WIZ65" s="192"/>
      <c r="WJA65" s="192"/>
      <c r="WJB65" s="192"/>
      <c r="WJC65" s="192"/>
      <c r="WJD65" s="192"/>
      <c r="WJE65" s="192"/>
      <c r="WJF65" s="192"/>
      <c r="WJG65" s="192"/>
      <c r="WJH65" s="192"/>
      <c r="WJI65" s="192"/>
      <c r="WJJ65" s="192"/>
      <c r="WJK65" s="192"/>
      <c r="WJL65" s="192"/>
      <c r="WJM65" s="192"/>
      <c r="WJN65" s="192"/>
      <c r="WJO65" s="192"/>
      <c r="WJP65" s="192"/>
      <c r="WJQ65" s="192"/>
      <c r="WJR65" s="192"/>
      <c r="WJS65" s="192"/>
      <c r="WJT65" s="192"/>
      <c r="WJU65" s="192"/>
      <c r="WJV65" s="192"/>
      <c r="WJW65" s="192"/>
      <c r="WJX65" s="192"/>
      <c r="WJY65" s="192"/>
      <c r="WJZ65" s="192"/>
      <c r="WKA65" s="192"/>
      <c r="WKB65" s="192"/>
      <c r="WKC65" s="192"/>
      <c r="WKD65" s="192"/>
      <c r="WKE65" s="192"/>
      <c r="WKF65" s="192"/>
      <c r="WKG65" s="192"/>
      <c r="WKH65" s="192"/>
      <c r="WKI65" s="192"/>
      <c r="WKJ65" s="192"/>
      <c r="WKK65" s="192"/>
      <c r="WKL65" s="192"/>
      <c r="WKM65" s="192"/>
      <c r="WKN65" s="192"/>
      <c r="WKO65" s="192"/>
      <c r="WKP65" s="192"/>
      <c r="WKQ65" s="192"/>
      <c r="WKR65" s="192"/>
      <c r="WKS65" s="192"/>
      <c r="WKT65" s="192"/>
      <c r="WKU65" s="192"/>
      <c r="WKV65" s="192"/>
      <c r="WKW65" s="192"/>
      <c r="WKX65" s="192"/>
      <c r="WKY65" s="192"/>
      <c r="WKZ65" s="192"/>
      <c r="WLA65" s="192"/>
      <c r="WLB65" s="192"/>
      <c r="WLC65" s="192"/>
      <c r="WLD65" s="192"/>
      <c r="WLE65" s="192"/>
      <c r="WLF65" s="192"/>
      <c r="WLG65" s="192"/>
      <c r="WLH65" s="192"/>
      <c r="WLI65" s="192"/>
      <c r="WLJ65" s="192"/>
      <c r="WLK65" s="192"/>
      <c r="WLL65" s="192"/>
      <c r="WLM65" s="192"/>
      <c r="WLN65" s="192"/>
      <c r="WLO65" s="192"/>
      <c r="WLP65" s="192"/>
      <c r="WLQ65" s="192"/>
      <c r="WLR65" s="192"/>
      <c r="WLS65" s="192"/>
      <c r="WLT65" s="192"/>
      <c r="WLU65" s="192"/>
      <c r="WLV65" s="192"/>
      <c r="WLW65" s="192"/>
      <c r="WLX65" s="192"/>
      <c r="WLY65" s="192"/>
      <c r="WLZ65" s="192"/>
      <c r="WMA65" s="192"/>
      <c r="WMB65" s="192"/>
      <c r="WMC65" s="192"/>
      <c r="WMD65" s="192"/>
      <c r="WME65" s="192"/>
      <c r="WMF65" s="192"/>
      <c r="WMG65" s="192"/>
      <c r="WMH65" s="192"/>
      <c r="WMI65" s="192"/>
      <c r="WMJ65" s="192"/>
      <c r="WMK65" s="192"/>
      <c r="WML65" s="192"/>
      <c r="WMM65" s="192"/>
      <c r="WMN65" s="192"/>
      <c r="WMO65" s="192"/>
      <c r="WMP65" s="192"/>
      <c r="WMQ65" s="192"/>
      <c r="WMR65" s="192"/>
      <c r="WMS65" s="192"/>
      <c r="WMT65" s="192"/>
      <c r="WMU65" s="192"/>
      <c r="WMV65" s="192"/>
      <c r="WMW65" s="192"/>
      <c r="WMX65" s="192"/>
      <c r="WMY65" s="192"/>
      <c r="WMZ65" s="192"/>
      <c r="WNA65" s="192"/>
      <c r="WNB65" s="192"/>
      <c r="WNC65" s="192"/>
      <c r="WND65" s="192"/>
      <c r="WNE65" s="192"/>
      <c r="WNF65" s="192"/>
      <c r="WNG65" s="192"/>
      <c r="WNH65" s="192"/>
      <c r="WNI65" s="192"/>
      <c r="WNJ65" s="192"/>
      <c r="WNK65" s="192"/>
      <c r="WNL65" s="192"/>
      <c r="WNM65" s="192"/>
      <c r="WNN65" s="192"/>
      <c r="WNO65" s="192"/>
      <c r="WNP65" s="192"/>
      <c r="WNQ65" s="192"/>
      <c r="WNR65" s="192"/>
      <c r="WNS65" s="192"/>
      <c r="WNT65" s="192"/>
      <c r="WNU65" s="192"/>
      <c r="WNV65" s="192"/>
      <c r="WNW65" s="192"/>
      <c r="WNX65" s="192"/>
      <c r="WNY65" s="192"/>
      <c r="WNZ65" s="192"/>
      <c r="WOA65" s="192"/>
      <c r="WOB65" s="192"/>
      <c r="WOC65" s="192"/>
      <c r="WOD65" s="192"/>
      <c r="WOE65" s="192"/>
      <c r="WOF65" s="192"/>
      <c r="WOG65" s="192"/>
      <c r="WOH65" s="192"/>
      <c r="WOI65" s="192"/>
      <c r="WOJ65" s="192"/>
      <c r="WOK65" s="192"/>
      <c r="WOL65" s="192"/>
      <c r="WOM65" s="192"/>
      <c r="WON65" s="192"/>
      <c r="WOO65" s="192"/>
      <c r="WOP65" s="192"/>
      <c r="WOQ65" s="192"/>
      <c r="WOR65" s="192"/>
      <c r="WOS65" s="192"/>
      <c r="WOT65" s="192"/>
      <c r="WOU65" s="192"/>
      <c r="WOV65" s="192"/>
      <c r="WOW65" s="192"/>
      <c r="WOX65" s="192"/>
      <c r="WOY65" s="192"/>
      <c r="WOZ65" s="192"/>
      <c r="WPA65" s="192"/>
      <c r="WPB65" s="192"/>
      <c r="WPC65" s="192"/>
      <c r="WPD65" s="192"/>
      <c r="WPE65" s="192"/>
      <c r="WPF65" s="192"/>
      <c r="WPG65" s="192"/>
      <c r="WPH65" s="192"/>
      <c r="WPI65" s="192"/>
      <c r="WPJ65" s="192"/>
      <c r="WPK65" s="192"/>
      <c r="WPL65" s="192"/>
      <c r="WPM65" s="192"/>
      <c r="WPN65" s="192"/>
      <c r="WPO65" s="192"/>
      <c r="WPP65" s="192"/>
      <c r="WPQ65" s="192"/>
      <c r="WPR65" s="192"/>
      <c r="WPS65" s="192"/>
      <c r="WPT65" s="192"/>
      <c r="WPU65" s="192"/>
      <c r="WPV65" s="192"/>
      <c r="WPW65" s="192"/>
      <c r="WPX65" s="192"/>
      <c r="WPY65" s="192"/>
      <c r="WPZ65" s="192"/>
      <c r="WQA65" s="192"/>
      <c r="WQB65" s="192"/>
      <c r="WQC65" s="192"/>
      <c r="WQD65" s="192"/>
      <c r="WQE65" s="192"/>
      <c r="WQF65" s="192"/>
      <c r="WQG65" s="192"/>
      <c r="WQH65" s="192"/>
      <c r="WQI65" s="192"/>
      <c r="WQJ65" s="192"/>
      <c r="WQK65" s="192"/>
      <c r="WQL65" s="192"/>
      <c r="WQM65" s="192"/>
      <c r="WQN65" s="192"/>
      <c r="WQO65" s="192"/>
      <c r="WQP65" s="192"/>
      <c r="WQQ65" s="192"/>
      <c r="WQR65" s="192"/>
      <c r="WQS65" s="192"/>
      <c r="WQT65" s="192"/>
      <c r="WQU65" s="192"/>
      <c r="WQV65" s="192"/>
      <c r="WQW65" s="192"/>
      <c r="WQX65" s="192"/>
      <c r="WQY65" s="192"/>
      <c r="WQZ65" s="192"/>
      <c r="WRA65" s="192"/>
      <c r="WRB65" s="192"/>
      <c r="WRC65" s="192"/>
      <c r="WRD65" s="192"/>
      <c r="WRE65" s="192"/>
      <c r="WRF65" s="192"/>
      <c r="WRG65" s="192"/>
      <c r="WRH65" s="192"/>
      <c r="WRI65" s="192"/>
      <c r="WRJ65" s="192"/>
      <c r="WRK65" s="192"/>
      <c r="WRL65" s="192"/>
      <c r="WRM65" s="192"/>
      <c r="WRN65" s="192"/>
      <c r="WRO65" s="192"/>
      <c r="WRP65" s="192"/>
      <c r="WRQ65" s="192"/>
      <c r="WRR65" s="192"/>
      <c r="WRS65" s="192"/>
      <c r="WRT65" s="192"/>
      <c r="WRU65" s="192"/>
      <c r="WRV65" s="192"/>
      <c r="WRW65" s="192"/>
      <c r="WRX65" s="192"/>
      <c r="WRY65" s="192"/>
      <c r="WRZ65" s="192"/>
      <c r="WSA65" s="192"/>
      <c r="WSB65" s="192"/>
      <c r="WSC65" s="192"/>
      <c r="WSD65" s="192"/>
      <c r="WSE65" s="192"/>
      <c r="WSF65" s="192"/>
      <c r="WSG65" s="192"/>
      <c r="WSH65" s="192"/>
      <c r="WSI65" s="192"/>
      <c r="WSJ65" s="192"/>
      <c r="WSK65" s="192"/>
      <c r="WSL65" s="192"/>
      <c r="WSM65" s="192"/>
      <c r="WSN65" s="192"/>
      <c r="WSO65" s="192"/>
      <c r="WSP65" s="192"/>
      <c r="WSQ65" s="192"/>
      <c r="WSR65" s="192"/>
      <c r="WSS65" s="192"/>
      <c r="WST65" s="192"/>
      <c r="WSU65" s="192"/>
      <c r="WSV65" s="192"/>
      <c r="WSW65" s="192"/>
      <c r="WSX65" s="192"/>
      <c r="WSY65" s="192"/>
      <c r="WSZ65" s="192"/>
      <c r="WTA65" s="192"/>
      <c r="WTB65" s="192"/>
      <c r="WTC65" s="192"/>
      <c r="WTD65" s="192"/>
      <c r="WTE65" s="192"/>
      <c r="WTF65" s="192"/>
      <c r="WTG65" s="192"/>
      <c r="WTH65" s="192"/>
      <c r="WTI65" s="192"/>
      <c r="WTJ65" s="192"/>
      <c r="WTK65" s="192"/>
      <c r="WTL65" s="192"/>
      <c r="WTM65" s="192"/>
      <c r="WTN65" s="192"/>
      <c r="WTO65" s="192"/>
      <c r="WTP65" s="192"/>
      <c r="WTQ65" s="192"/>
      <c r="WTR65" s="192"/>
      <c r="WTS65" s="192"/>
      <c r="WTT65" s="192"/>
      <c r="WTU65" s="192"/>
      <c r="WTV65" s="192"/>
      <c r="WTW65" s="192"/>
      <c r="WTX65" s="192"/>
      <c r="WTY65" s="192"/>
      <c r="WTZ65" s="192"/>
      <c r="WUA65" s="192"/>
      <c r="WUB65" s="192"/>
      <c r="WUC65" s="192"/>
      <c r="WUD65" s="192"/>
      <c r="WUE65" s="192"/>
      <c r="WUF65" s="192"/>
      <c r="WUG65" s="192"/>
      <c r="WUH65" s="192"/>
      <c r="WUI65" s="192"/>
      <c r="WUJ65" s="192"/>
      <c r="WUK65" s="192"/>
      <c r="WUL65" s="192"/>
      <c r="WUM65" s="192"/>
      <c r="WUN65" s="192"/>
      <c r="WUO65" s="192"/>
      <c r="WUP65" s="192"/>
      <c r="WUQ65" s="192"/>
      <c r="WUR65" s="192"/>
      <c r="WUS65" s="192"/>
      <c r="WUT65" s="192"/>
      <c r="WUU65" s="192"/>
      <c r="WUV65" s="192"/>
      <c r="WUW65" s="192"/>
      <c r="WUX65" s="192"/>
      <c r="WUY65" s="192"/>
      <c r="WUZ65" s="192"/>
      <c r="WVA65" s="192"/>
      <c r="WVB65" s="192"/>
      <c r="WVC65" s="192"/>
      <c r="WVD65" s="192"/>
      <c r="WVE65" s="192"/>
      <c r="WVF65" s="192"/>
      <c r="WVG65" s="192"/>
      <c r="WVH65" s="192"/>
      <c r="WVI65" s="192"/>
      <c r="WVJ65" s="192"/>
      <c r="WVK65" s="192"/>
      <c r="WVL65" s="192"/>
      <c r="WVM65" s="192"/>
      <c r="WVN65" s="192"/>
      <c r="WVO65" s="192"/>
      <c r="WVP65" s="192"/>
      <c r="WVQ65" s="192"/>
      <c r="WVR65" s="192"/>
      <c r="WVS65" s="192"/>
      <c r="WVT65" s="192"/>
      <c r="WVU65" s="192"/>
      <c r="WVV65" s="192"/>
      <c r="WVW65" s="192"/>
      <c r="WVX65" s="192"/>
      <c r="WVY65" s="192"/>
      <c r="WVZ65" s="192"/>
      <c r="WWA65" s="192"/>
      <c r="WWB65" s="192"/>
      <c r="WWC65" s="192"/>
      <c r="WWD65" s="192"/>
      <c r="WWE65" s="192"/>
      <c r="WWF65" s="192"/>
      <c r="WWG65" s="192"/>
      <c r="WWH65" s="192"/>
      <c r="WWI65" s="192"/>
      <c r="WWJ65" s="192"/>
      <c r="WWK65" s="192"/>
      <c r="WWL65" s="192"/>
      <c r="WWM65" s="192"/>
      <c r="WWN65" s="192"/>
      <c r="WWO65" s="192"/>
      <c r="WWP65" s="192"/>
      <c r="WWQ65" s="192"/>
      <c r="WWR65" s="192"/>
      <c r="WWS65" s="192"/>
      <c r="WWT65" s="192"/>
      <c r="WWU65" s="192"/>
      <c r="WWV65" s="192"/>
      <c r="WWW65" s="192"/>
      <c r="WWX65" s="192"/>
      <c r="WWY65" s="192"/>
      <c r="WWZ65" s="192"/>
      <c r="WXA65" s="192"/>
      <c r="WXB65" s="192"/>
      <c r="WXC65" s="192"/>
      <c r="WXD65" s="192"/>
      <c r="WXE65" s="192"/>
      <c r="WXF65" s="192"/>
      <c r="WXG65" s="192"/>
      <c r="WXH65" s="192"/>
      <c r="WXI65" s="192"/>
      <c r="WXJ65" s="192"/>
      <c r="WXK65" s="192"/>
      <c r="WXL65" s="192"/>
      <c r="WXM65" s="192"/>
      <c r="WXN65" s="192"/>
      <c r="WXO65" s="192"/>
      <c r="WXP65" s="192"/>
      <c r="WXQ65" s="192"/>
      <c r="WXR65" s="192"/>
      <c r="WXS65" s="192"/>
      <c r="WXT65" s="192"/>
      <c r="WXU65" s="192"/>
      <c r="WXV65" s="192"/>
      <c r="WXW65" s="192"/>
      <c r="WXX65" s="192"/>
      <c r="WXY65" s="192"/>
      <c r="WXZ65" s="192"/>
      <c r="WYA65" s="192"/>
      <c r="WYB65" s="192"/>
      <c r="WYC65" s="192"/>
      <c r="WYD65" s="192"/>
      <c r="WYE65" s="192"/>
      <c r="WYF65" s="192"/>
      <c r="WYG65" s="192"/>
      <c r="WYH65" s="192"/>
      <c r="WYI65" s="192"/>
      <c r="WYJ65" s="192"/>
      <c r="WYK65" s="192"/>
      <c r="WYL65" s="192"/>
      <c r="WYM65" s="192"/>
      <c r="WYN65" s="192"/>
      <c r="WYO65" s="192"/>
      <c r="WYP65" s="192"/>
      <c r="WYQ65" s="192"/>
      <c r="WYR65" s="192"/>
      <c r="WYS65" s="192"/>
      <c r="WYT65" s="192"/>
      <c r="WYU65" s="192"/>
      <c r="WYV65" s="192"/>
      <c r="WYW65" s="192"/>
      <c r="WYX65" s="192"/>
      <c r="WYY65" s="192"/>
      <c r="WYZ65" s="192"/>
      <c r="WZA65" s="192"/>
      <c r="WZB65" s="192"/>
      <c r="WZC65" s="192"/>
      <c r="WZD65" s="192"/>
      <c r="WZE65" s="192"/>
      <c r="WZF65" s="192"/>
      <c r="WZG65" s="192"/>
      <c r="WZH65" s="192"/>
      <c r="WZI65" s="192"/>
      <c r="WZJ65" s="192"/>
      <c r="WZK65" s="192"/>
      <c r="WZL65" s="192"/>
      <c r="WZM65" s="192"/>
      <c r="WZN65" s="192"/>
      <c r="WZO65" s="192"/>
      <c r="WZP65" s="192"/>
      <c r="WZQ65" s="192"/>
      <c r="WZR65" s="192"/>
      <c r="WZS65" s="192"/>
      <c r="WZT65" s="192"/>
      <c r="WZU65" s="192"/>
      <c r="WZV65" s="192"/>
      <c r="WZW65" s="192"/>
      <c r="WZX65" s="192"/>
      <c r="WZY65" s="192"/>
      <c r="WZZ65" s="192"/>
      <c r="XAA65" s="192"/>
      <c r="XAB65" s="192"/>
      <c r="XAC65" s="192"/>
      <c r="XAD65" s="192"/>
      <c r="XAE65" s="192"/>
      <c r="XAF65" s="192"/>
      <c r="XAG65" s="192"/>
      <c r="XAH65" s="192"/>
      <c r="XAI65" s="192"/>
      <c r="XAJ65" s="192"/>
      <c r="XAK65" s="192"/>
      <c r="XAL65" s="192"/>
      <c r="XAM65" s="192"/>
      <c r="XAN65" s="192"/>
      <c r="XAO65" s="192"/>
      <c r="XAP65" s="192"/>
      <c r="XAQ65" s="192"/>
      <c r="XAR65" s="192"/>
      <c r="XAS65" s="192"/>
      <c r="XAT65" s="192"/>
      <c r="XAU65" s="192"/>
      <c r="XAV65" s="192"/>
      <c r="XAW65" s="192"/>
      <c r="XAX65" s="192"/>
      <c r="XAY65" s="192"/>
      <c r="XAZ65" s="192"/>
      <c r="XBA65" s="192"/>
      <c r="XBB65" s="192"/>
      <c r="XBC65" s="192"/>
      <c r="XBD65" s="192"/>
      <c r="XBE65" s="192"/>
      <c r="XBF65" s="192"/>
      <c r="XBG65" s="192"/>
      <c r="XBH65" s="192"/>
      <c r="XBI65" s="192"/>
      <c r="XBJ65" s="192"/>
      <c r="XBK65" s="192"/>
      <c r="XBL65" s="192"/>
      <c r="XBM65" s="192"/>
      <c r="XBN65" s="192"/>
      <c r="XBO65" s="192"/>
      <c r="XBP65" s="192"/>
      <c r="XBQ65" s="192"/>
      <c r="XBR65" s="192"/>
      <c r="XBS65" s="192"/>
      <c r="XBT65" s="192"/>
      <c r="XBU65" s="192"/>
      <c r="XBV65" s="192"/>
      <c r="XBW65" s="192"/>
      <c r="XBX65" s="192"/>
      <c r="XBY65" s="192"/>
      <c r="XBZ65" s="192"/>
      <c r="XCA65" s="192"/>
      <c r="XCB65" s="192"/>
      <c r="XCC65" s="192"/>
      <c r="XCD65" s="192"/>
      <c r="XCE65" s="192"/>
      <c r="XCF65" s="192"/>
      <c r="XCG65" s="192"/>
      <c r="XCH65" s="192"/>
      <c r="XCI65" s="192"/>
      <c r="XCJ65" s="192"/>
      <c r="XCK65" s="192"/>
      <c r="XCL65" s="192"/>
      <c r="XCM65" s="192"/>
      <c r="XCN65" s="192"/>
      <c r="XCO65" s="192"/>
      <c r="XCP65" s="192"/>
      <c r="XCQ65" s="192"/>
      <c r="XCR65" s="192"/>
      <c r="XCS65" s="192"/>
      <c r="XCT65" s="192"/>
      <c r="XCU65" s="192"/>
      <c r="XCV65" s="192"/>
      <c r="XCW65" s="192"/>
      <c r="XCX65" s="192"/>
      <c r="XCY65" s="192"/>
      <c r="XCZ65" s="192"/>
      <c r="XDA65" s="192"/>
      <c r="XDB65" s="192"/>
      <c r="XDC65" s="192"/>
      <c r="XDD65" s="192"/>
      <c r="XDE65" s="192"/>
      <c r="XDF65" s="192"/>
      <c r="XDG65" s="192"/>
      <c r="XDH65" s="192"/>
      <c r="XDI65" s="192"/>
      <c r="XDJ65" s="192"/>
      <c r="XDK65" s="192"/>
      <c r="XDL65" s="192"/>
      <c r="XDM65" s="192"/>
      <c r="XDN65" s="192"/>
      <c r="XDO65" s="192"/>
      <c r="XDP65" s="192"/>
      <c r="XDQ65" s="192"/>
      <c r="XDR65" s="192"/>
      <c r="XDS65" s="192"/>
      <c r="XDT65" s="192"/>
      <c r="XDU65" s="192"/>
      <c r="XDV65" s="192"/>
      <c r="XDW65" s="192"/>
      <c r="XDX65" s="192"/>
      <c r="XDY65" s="192"/>
      <c r="XDZ65" s="192"/>
      <c r="XEA65" s="192"/>
      <c r="XEB65" s="192"/>
      <c r="XEC65" s="192"/>
      <c r="XED65" s="192"/>
      <c r="XEE65" s="192"/>
      <c r="XEF65" s="192"/>
      <c r="XEG65" s="192"/>
      <c r="XEH65" s="192"/>
      <c r="XEI65" s="192"/>
      <c r="XEJ65" s="192"/>
      <c r="XEK65" s="192"/>
      <c r="XEL65" s="192"/>
      <c r="XEM65" s="192"/>
      <c r="XEN65" s="192"/>
      <c r="XEO65" s="192"/>
      <c r="XEP65" s="192"/>
      <c r="XEQ65" s="192"/>
      <c r="XER65" s="192"/>
      <c r="XES65" s="192"/>
      <c r="XET65" s="192"/>
      <c r="XEU65" s="192"/>
      <c r="XEV65" s="192"/>
      <c r="XEW65" s="192"/>
      <c r="XEX65" s="192"/>
      <c r="XEY65" s="192"/>
      <c r="XEZ65" s="192"/>
      <c r="XFA65" s="192"/>
      <c r="XFB65" s="192"/>
      <c r="XFC65" s="192"/>
      <c r="XFD65" s="192"/>
    </row>
    <row r="66" ht="15.75" hidden="1" spans="1:1024 1025:16384">
      <c r="A66" s="53"/>
      <c r="B66" s="53"/>
      <c r="C66" s="162" t="s">
        <v>20</v>
      </c>
      <c r="D66" s="162" t="s">
        <v>21</v>
      </c>
      <c r="E66" s="162" t="s">
        <v>154</v>
      </c>
      <c r="F66" s="162" t="s">
        <v>23</v>
      </c>
      <c r="G66" s="162" t="s">
        <v>219</v>
      </c>
      <c r="H66" s="162" t="s">
        <v>27</v>
      </c>
      <c r="I66" s="162" t="s">
        <v>28</v>
      </c>
      <c r="J66" s="162" t="s">
        <v>29</v>
      </c>
      <c r="K66" s="162" t="s">
        <v>32</v>
      </c>
      <c r="L66" s="162" t="s">
        <v>220</v>
      </c>
      <c r="M66" s="162" t="s">
        <v>157</v>
      </c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  <c r="AB66" s="293"/>
      <c r="AC66" s="293"/>
      <c r="AD66" s="293"/>
      <c r="AE66" s="293"/>
      <c r="AF66" s="293"/>
      <c r="AG66" s="293"/>
      <c r="AH66" s="293"/>
      <c r="AI66" s="53"/>
      <c r="AJ66" s="162" t="s">
        <v>20</v>
      </c>
      <c r="AK66" s="162" t="s">
        <v>21</v>
      </c>
      <c r="AL66" s="162" t="s">
        <v>154</v>
      </c>
      <c r="AM66" s="162" t="s">
        <v>23</v>
      </c>
      <c r="AN66" s="162" t="s">
        <v>219</v>
      </c>
      <c r="AO66" s="162" t="s">
        <v>27</v>
      </c>
      <c r="AP66" s="162" t="s">
        <v>28</v>
      </c>
      <c r="AQ66" s="162" t="s">
        <v>29</v>
      </c>
      <c r="AR66" s="162" t="s">
        <v>32</v>
      </c>
      <c r="AS66" s="162" t="s">
        <v>220</v>
      </c>
      <c r="AT66" s="162" t="s">
        <v>157</v>
      </c>
      <c r="AU66" s="293"/>
      <c r="AV66" s="293"/>
      <c r="AW66" s="293"/>
      <c r="AX66" s="293"/>
      <c r="AY66" s="293"/>
      <c r="AZ66" s="293"/>
      <c r="BA66" s="293"/>
      <c r="BB66" s="293"/>
      <c r="BC66" s="293"/>
      <c r="BD66" s="293"/>
      <c r="BE66" s="293"/>
      <c r="BF66" s="293"/>
      <c r="BG66" s="293"/>
      <c r="BH66" s="293"/>
      <c r="BI66" s="293"/>
      <c r="BJ66" s="293"/>
      <c r="BK66" s="293"/>
      <c r="BL66" s="293"/>
      <c r="BM66" s="293"/>
      <c r="BN66" s="293"/>
      <c r="BO66" s="293"/>
      <c r="BP66" s="53"/>
      <c r="BQ66" s="162" t="s">
        <v>20</v>
      </c>
      <c r="BR66" s="162" t="s">
        <v>21</v>
      </c>
      <c r="BS66" s="162" t="s">
        <v>154</v>
      </c>
      <c r="BT66" s="162" t="s">
        <v>23</v>
      </c>
      <c r="BU66" s="162" t="s">
        <v>219</v>
      </c>
      <c r="BV66" s="162" t="s">
        <v>27</v>
      </c>
      <c r="BW66" s="162" t="s">
        <v>28</v>
      </c>
      <c r="BX66" s="162" t="s">
        <v>29</v>
      </c>
      <c r="BY66" s="162" t="s">
        <v>32</v>
      </c>
      <c r="BZ66" s="162" t="s">
        <v>220</v>
      </c>
      <c r="CA66" s="162" t="s">
        <v>157</v>
      </c>
      <c r="CB66" s="293"/>
      <c r="CC66" s="293"/>
      <c r="CD66" s="293"/>
      <c r="CE66" s="293"/>
      <c r="CF66" s="293"/>
      <c r="CG66" s="293"/>
      <c r="CH66" s="293"/>
      <c r="CI66" s="293"/>
      <c r="CJ66" s="293"/>
      <c r="CK66" s="293"/>
      <c r="CL66" s="293"/>
      <c r="CM66" s="293"/>
      <c r="CN66" s="293"/>
      <c r="CO66" s="293"/>
      <c r="CP66" s="293"/>
      <c r="CQ66" s="293"/>
      <c r="CR66" s="293"/>
      <c r="CS66" s="293"/>
      <c r="CT66" s="293"/>
      <c r="CU66" s="293"/>
      <c r="CV66" s="293"/>
      <c r="CW66" s="53"/>
      <c r="CX66" s="162" t="s">
        <v>20</v>
      </c>
      <c r="CY66" s="162" t="s">
        <v>21</v>
      </c>
      <c r="CZ66" s="162" t="s">
        <v>154</v>
      </c>
      <c r="DA66" s="162" t="s">
        <v>23</v>
      </c>
      <c r="DB66" s="162" t="s">
        <v>219</v>
      </c>
      <c r="DC66" s="162" t="s">
        <v>27</v>
      </c>
      <c r="DD66" s="162" t="s">
        <v>28</v>
      </c>
      <c r="DE66" s="162" t="s">
        <v>29</v>
      </c>
      <c r="DF66" s="162" t="s">
        <v>32</v>
      </c>
      <c r="DG66" s="162" t="s">
        <v>220</v>
      </c>
      <c r="DH66" s="162" t="s">
        <v>157</v>
      </c>
      <c r="DI66" s="293"/>
      <c r="DJ66" s="293"/>
      <c r="DK66" s="293"/>
      <c r="DL66" s="293"/>
      <c r="DM66" s="293"/>
      <c r="DN66" s="293"/>
      <c r="DO66" s="293"/>
      <c r="DP66" s="293"/>
      <c r="DQ66" s="293"/>
      <c r="DR66" s="293"/>
      <c r="DS66" s="293"/>
      <c r="DT66" s="293"/>
      <c r="DU66" s="293"/>
      <c r="DV66" s="293"/>
      <c r="DW66" s="293"/>
      <c r="DX66" s="293"/>
      <c r="DY66" s="293"/>
      <c r="DZ66" s="293"/>
      <c r="EA66" s="293"/>
      <c r="EB66" s="293"/>
      <c r="EC66" s="293"/>
      <c r="ED66" s="53"/>
      <c r="EE66" s="347" t="s">
        <v>20</v>
      </c>
      <c r="EF66" s="347" t="s">
        <v>21</v>
      </c>
      <c r="EG66" s="347" t="s">
        <v>154</v>
      </c>
      <c r="EH66" s="347" t="s">
        <v>23</v>
      </c>
      <c r="EI66" s="347" t="s">
        <v>219</v>
      </c>
      <c r="EJ66" s="347" t="s">
        <v>27</v>
      </c>
      <c r="EK66" s="347" t="s">
        <v>28</v>
      </c>
      <c r="EL66" s="347" t="s">
        <v>29</v>
      </c>
      <c r="EM66" s="347" t="s">
        <v>32</v>
      </c>
      <c r="EN66" s="347" t="s">
        <v>220</v>
      </c>
      <c r="EO66" s="347" t="s">
        <v>157</v>
      </c>
      <c r="EP66" s="53"/>
      <c r="EQ66" s="53"/>
      <c r="ER66" s="192"/>
      <c r="ES66" s="192"/>
      <c r="ET66" s="192"/>
      <c r="EU66" s="192"/>
      <c r="EV66" s="192"/>
      <c r="EW66" s="192"/>
      <c r="EX66" s="192"/>
      <c r="EY66" s="192"/>
      <c r="EZ66" s="192"/>
      <c r="FA66" s="192"/>
      <c r="FB66" s="192"/>
      <c r="FC66" s="192"/>
      <c r="FD66" s="192"/>
      <c r="FE66" s="192"/>
      <c r="FF66" s="192"/>
      <c r="FG66" s="192"/>
      <c r="FH66" s="192"/>
      <c r="FI66" s="192"/>
      <c r="FJ66" s="192"/>
      <c r="FK66" s="53"/>
      <c r="FL66" s="53"/>
      <c r="FM66" s="53"/>
      <c r="FN66" s="347" t="s">
        <v>20</v>
      </c>
      <c r="FO66" s="347" t="s">
        <v>21</v>
      </c>
      <c r="FP66" s="347" t="s">
        <v>154</v>
      </c>
      <c r="FQ66" s="347" t="s">
        <v>23</v>
      </c>
      <c r="FR66" s="347" t="s">
        <v>219</v>
      </c>
      <c r="FS66" s="347" t="s">
        <v>27</v>
      </c>
      <c r="FT66" s="347" t="s">
        <v>28</v>
      </c>
      <c r="FU66" s="347" t="s">
        <v>29</v>
      </c>
      <c r="FV66" s="347" t="s">
        <v>32</v>
      </c>
      <c r="FW66" s="347" t="s">
        <v>220</v>
      </c>
      <c r="FX66" s="347" t="s">
        <v>157</v>
      </c>
      <c r="FY66" s="53"/>
      <c r="FZ66" s="192"/>
      <c r="GA66" s="192"/>
      <c r="GB66" s="192"/>
      <c r="GC66" s="192"/>
      <c r="GD66" s="192"/>
      <c r="GE66" s="192"/>
      <c r="GF66" s="192"/>
      <c r="GG66" s="192"/>
      <c r="GH66" s="192"/>
      <c r="GI66" s="192"/>
      <c r="GJ66" s="192"/>
      <c r="GK66" s="192"/>
      <c r="GL66" s="192"/>
      <c r="GM66" s="192"/>
      <c r="GN66" s="192"/>
      <c r="GO66" s="192"/>
      <c r="GP66" s="192"/>
      <c r="GQ66" s="192"/>
      <c r="GR66" s="192"/>
      <c r="GS66" s="192"/>
      <c r="GT66" s="53"/>
      <c r="GU66" s="53"/>
      <c r="GV66" s="347" t="s">
        <v>20</v>
      </c>
      <c r="GW66" s="347" t="s">
        <v>21</v>
      </c>
      <c r="GX66" s="347" t="s">
        <v>154</v>
      </c>
      <c r="GY66" s="347" t="s">
        <v>23</v>
      </c>
      <c r="GZ66" s="347" t="s">
        <v>36</v>
      </c>
      <c r="HA66" s="347" t="s">
        <v>37</v>
      </c>
      <c r="HB66" s="347" t="s">
        <v>221</v>
      </c>
      <c r="HC66" s="347" t="s">
        <v>222</v>
      </c>
      <c r="HD66" s="347" t="s">
        <v>223</v>
      </c>
      <c r="HE66" s="347" t="s">
        <v>224</v>
      </c>
      <c r="HF66" s="347" t="s">
        <v>225</v>
      </c>
      <c r="HI66" s="192"/>
      <c r="HJ66" s="192"/>
      <c r="HK66" s="192"/>
      <c r="HL66" s="192"/>
      <c r="HM66" s="192"/>
      <c r="HN66" s="192"/>
      <c r="HO66" s="192"/>
      <c r="HP66" s="192"/>
      <c r="HQ66" s="192"/>
      <c r="HR66" s="192"/>
      <c r="HS66" s="192"/>
      <c r="HT66" s="192"/>
      <c r="HU66" s="192"/>
      <c r="HV66" s="192"/>
      <c r="HW66" s="192"/>
      <c r="HX66" s="192"/>
      <c r="HY66" s="192"/>
      <c r="HZ66" s="192"/>
      <c r="IA66" s="192"/>
      <c r="IB66" s="53"/>
      <c r="IC66" s="53"/>
      <c r="ID66" s="326" t="s">
        <v>20</v>
      </c>
      <c r="IE66" s="326" t="s">
        <v>21</v>
      </c>
      <c r="IF66" s="326" t="s">
        <v>22</v>
      </c>
      <c r="IG66" s="326" t="s">
        <v>23</v>
      </c>
      <c r="IH66" s="326" t="s">
        <v>219</v>
      </c>
      <c r="II66" s="326" t="s">
        <v>27</v>
      </c>
      <c r="IJ66" s="326" t="s">
        <v>159</v>
      </c>
      <c r="IK66" s="326" t="s">
        <v>29</v>
      </c>
      <c r="IL66" s="326" t="s">
        <v>32</v>
      </c>
      <c r="IM66" s="326" t="s">
        <v>220</v>
      </c>
      <c r="IN66" s="326" t="s">
        <v>157</v>
      </c>
      <c r="IP66" s="11"/>
      <c r="IQ66" s="192"/>
      <c r="IR66" s="192"/>
      <c r="IS66" s="192"/>
      <c r="IT66" s="192"/>
      <c r="IU66" s="192"/>
      <c r="IV66" s="192"/>
      <c r="IW66" s="192"/>
      <c r="IX66" s="192"/>
      <c r="IY66" s="192"/>
      <c r="IZ66" s="192"/>
      <c r="JA66" s="192"/>
      <c r="JB66" s="192"/>
      <c r="JC66" s="192"/>
      <c r="JD66" s="192"/>
      <c r="JE66" s="192"/>
      <c r="JF66" s="192"/>
      <c r="JG66" s="192"/>
      <c r="JH66" s="192"/>
      <c r="JI66" s="192"/>
      <c r="JJ66" s="53"/>
      <c r="JK66" s="53"/>
      <c r="JL66" s="347" t="s">
        <v>20</v>
      </c>
      <c r="JM66" s="347" t="s">
        <v>21</v>
      </c>
      <c r="JN66" s="347" t="s">
        <v>23</v>
      </c>
      <c r="JO66" s="347" t="s">
        <v>219</v>
      </c>
      <c r="JP66" s="347" t="s">
        <v>27</v>
      </c>
      <c r="JQ66" s="347" t="s">
        <v>159</v>
      </c>
      <c r="JR66" s="347" t="s">
        <v>29</v>
      </c>
      <c r="JS66" s="347" t="s">
        <v>32</v>
      </c>
      <c r="JT66" s="347" t="s">
        <v>220</v>
      </c>
      <c r="JU66" s="347" t="s">
        <v>157</v>
      </c>
      <c r="JX66" s="192"/>
      <c r="JY66" s="192"/>
      <c r="JZ66" s="192"/>
      <c r="KA66" s="192"/>
      <c r="KB66" s="192"/>
      <c r="KC66" s="192"/>
      <c r="KD66" s="192"/>
      <c r="KE66" s="192"/>
      <c r="KF66" s="192"/>
      <c r="KG66" s="192"/>
      <c r="KH66" s="192"/>
      <c r="KI66" s="192"/>
      <c r="KJ66" s="192"/>
      <c r="KK66" s="192"/>
      <c r="KL66" s="192"/>
      <c r="KM66" s="192"/>
      <c r="KN66" s="192"/>
      <c r="KO66" s="192"/>
      <c r="KP66" s="192"/>
      <c r="KQ66" s="192"/>
      <c r="KR66" s="53"/>
      <c r="KS66" s="53"/>
      <c r="KT66" s="326" t="s">
        <v>20</v>
      </c>
      <c r="KU66" s="326" t="s">
        <v>21</v>
      </c>
      <c r="KV66" s="326" t="s">
        <v>23</v>
      </c>
      <c r="KW66" s="326" t="s">
        <v>219</v>
      </c>
      <c r="KX66" s="326" t="s">
        <v>27</v>
      </c>
      <c r="KY66" s="326" t="s">
        <v>159</v>
      </c>
      <c r="KZ66" s="326" t="s">
        <v>29</v>
      </c>
      <c r="LA66" s="326" t="s">
        <v>32</v>
      </c>
      <c r="LB66" s="326" t="s">
        <v>220</v>
      </c>
      <c r="LC66" s="326" t="s">
        <v>157</v>
      </c>
      <c r="LF66" s="11"/>
      <c r="LG66" s="192"/>
      <c r="LH66" s="192"/>
      <c r="LI66" s="192"/>
      <c r="LJ66" s="192"/>
      <c r="LK66" s="192"/>
      <c r="LL66" s="192"/>
      <c r="LM66" s="192"/>
      <c r="LN66" s="192"/>
      <c r="LO66" s="192"/>
      <c r="LP66" s="192"/>
      <c r="LQ66" s="192"/>
      <c r="LR66" s="192"/>
      <c r="LS66" s="192"/>
      <c r="LT66" s="192"/>
      <c r="LU66" s="192"/>
      <c r="LV66" s="192"/>
      <c r="LW66" s="192"/>
      <c r="LX66" s="192"/>
      <c r="LY66" s="192"/>
      <c r="LZ66" s="192"/>
      <c r="MA66" s="192"/>
      <c r="MB66" s="326" t="s">
        <v>20</v>
      </c>
      <c r="MC66" s="326" t="s">
        <v>21</v>
      </c>
      <c r="MD66" s="326" t="s">
        <v>23</v>
      </c>
      <c r="ME66" s="326" t="s">
        <v>219</v>
      </c>
      <c r="MF66" s="326" t="s">
        <v>27</v>
      </c>
      <c r="MG66" s="326" t="s">
        <v>159</v>
      </c>
      <c r="MH66" s="326" t="s">
        <v>29</v>
      </c>
      <c r="MI66" s="326" t="s">
        <v>32</v>
      </c>
      <c r="MJ66" s="326" t="s">
        <v>220</v>
      </c>
      <c r="MK66" s="326" t="s">
        <v>157</v>
      </c>
      <c r="MO66" s="192"/>
      <c r="MP66" s="192"/>
      <c r="MQ66" s="192"/>
      <c r="MR66" s="192"/>
      <c r="MS66" s="192"/>
      <c r="MT66" s="192"/>
      <c r="MU66" s="192"/>
      <c r="MV66" s="192"/>
      <c r="MW66" s="192"/>
      <c r="MX66" s="192"/>
      <c r="MY66" s="192"/>
      <c r="MZ66" s="192"/>
      <c r="NA66" s="192"/>
      <c r="NB66" s="192"/>
      <c r="NC66" s="192"/>
      <c r="ND66" s="192"/>
      <c r="NE66" s="192"/>
      <c r="NF66" s="192"/>
      <c r="NG66" s="192"/>
      <c r="NH66" s="53"/>
      <c r="NI66" s="53"/>
      <c r="NJ66" s="326" t="s">
        <v>20</v>
      </c>
      <c r="NK66" s="326" t="s">
        <v>21</v>
      </c>
      <c r="NL66" s="326" t="s">
        <v>23</v>
      </c>
      <c r="NM66" s="326" t="s">
        <v>219</v>
      </c>
      <c r="NN66" s="326" t="s">
        <v>27</v>
      </c>
      <c r="NO66" s="326" t="s">
        <v>159</v>
      </c>
      <c r="NP66" s="326" t="s">
        <v>29</v>
      </c>
      <c r="NQ66" s="326" t="s">
        <v>32</v>
      </c>
      <c r="NR66" s="326" t="s">
        <v>220</v>
      </c>
      <c r="NS66" s="326" t="s">
        <v>157</v>
      </c>
      <c r="NT66" s="46"/>
      <c r="NU66" s="46"/>
      <c r="NV66" s="46"/>
      <c r="NW66" s="53"/>
      <c r="NX66" s="53"/>
      <c r="NY66" s="53"/>
      <c r="NZ66" s="53"/>
      <c r="OA66" s="53"/>
      <c r="OB66" s="53"/>
      <c r="OC66" s="53"/>
      <c r="OD66" s="53"/>
      <c r="OE66" s="53"/>
      <c r="OF66" s="53"/>
      <c r="OG66" s="53"/>
      <c r="OH66" s="53"/>
      <c r="OI66" s="53"/>
      <c r="OJ66" s="53"/>
      <c r="OK66" s="53"/>
      <c r="OL66" s="53"/>
      <c r="OM66" s="53"/>
      <c r="ON66" s="53"/>
      <c r="OO66" s="53"/>
      <c r="OP66" s="53"/>
      <c r="OQ66" s="53"/>
      <c r="OR66" s="53"/>
      <c r="OS66" s="170" t="s">
        <v>20</v>
      </c>
      <c r="OT66" s="170" t="s">
        <v>21</v>
      </c>
      <c r="OU66" s="170" t="s">
        <v>23</v>
      </c>
      <c r="OV66" s="170" t="s">
        <v>219</v>
      </c>
      <c r="OW66" s="170" t="s">
        <v>27</v>
      </c>
      <c r="OX66" s="170" t="s">
        <v>159</v>
      </c>
      <c r="OY66" s="170" t="s">
        <v>29</v>
      </c>
      <c r="OZ66" s="170" t="s">
        <v>32</v>
      </c>
      <c r="PA66" s="170" t="s">
        <v>220</v>
      </c>
      <c r="PB66" s="170" t="s">
        <v>157</v>
      </c>
      <c r="PC66" s="144"/>
      <c r="PD66" s="144"/>
      <c r="PE66" s="144"/>
      <c r="PF66" s="144"/>
      <c r="PG66" s="144"/>
      <c r="PH66" s="144"/>
      <c r="PI66" s="144"/>
      <c r="PJ66" s="144"/>
      <c r="PK66" s="144"/>
      <c r="PL66" s="144"/>
      <c r="PM66" s="144"/>
      <c r="PN66" s="144"/>
      <c r="PO66" s="144"/>
      <c r="PP66" s="144"/>
      <c r="PQ66" s="144"/>
      <c r="PR66" s="144"/>
      <c r="PS66" s="144"/>
      <c r="PT66" s="146"/>
      <c r="PU66" s="170" t="s">
        <v>20</v>
      </c>
      <c r="PV66" s="170" t="s">
        <v>21</v>
      </c>
      <c r="PW66" s="170" t="s">
        <v>23</v>
      </c>
      <c r="PX66" s="170" t="s">
        <v>219</v>
      </c>
      <c r="PY66" s="170" t="s">
        <v>27</v>
      </c>
      <c r="PZ66" s="170" t="s">
        <v>56</v>
      </c>
      <c r="QA66" s="170" t="s">
        <v>57</v>
      </c>
      <c r="QB66" s="170" t="s">
        <v>32</v>
      </c>
      <c r="QC66" s="170" t="s">
        <v>220</v>
      </c>
      <c r="QD66" s="170" t="s">
        <v>157</v>
      </c>
      <c r="QE66" s="146"/>
      <c r="QF66" s="146"/>
      <c r="QG66" s="146"/>
      <c r="QH66" s="146"/>
      <c r="QI66" s="146"/>
      <c r="QJ66" s="146"/>
      <c r="QK66" s="146"/>
      <c r="QL66" s="146"/>
      <c r="QM66" s="146"/>
      <c r="QN66" s="146"/>
      <c r="QO66" s="146"/>
      <c r="QP66" s="146"/>
      <c r="QQ66" s="146"/>
      <c r="QR66" s="146"/>
      <c r="QS66" s="144"/>
      <c r="QT66" s="144"/>
      <c r="QU66" s="144"/>
      <c r="QV66" s="144"/>
      <c r="QW66" s="144"/>
      <c r="QX66" s="144"/>
      <c r="QY66" s="144"/>
      <c r="QZ66" s="144"/>
      <c r="RA66" s="144"/>
      <c r="RB66" s="144"/>
      <c r="RC66" s="144"/>
      <c r="RD66" s="144"/>
      <c r="RE66" s="144"/>
      <c r="RF66" s="144"/>
      <c r="RG66" s="144"/>
      <c r="RH66" s="144"/>
      <c r="RI66" s="144"/>
      <c r="RJ66" s="144"/>
      <c r="RK66" s="144"/>
      <c r="RL66" s="144"/>
      <c r="RM66" s="144"/>
      <c r="RN66" s="144"/>
      <c r="RO66" s="144"/>
      <c r="RP66" s="144"/>
      <c r="RQ66" s="144"/>
      <c r="RR66" s="144"/>
      <c r="RS66" s="144"/>
      <c r="RT66" s="144"/>
      <c r="RU66" s="144"/>
      <c r="RV66" s="144"/>
      <c r="RW66" s="144"/>
      <c r="RX66" s="144"/>
      <c r="RY66" s="144"/>
      <c r="RZ66" s="144"/>
      <c r="SA66" s="144"/>
      <c r="SB66" s="144"/>
      <c r="SC66" s="144"/>
      <c r="SD66" s="144"/>
      <c r="SE66" s="144"/>
      <c r="SF66" s="144"/>
      <c r="SG66" s="144"/>
      <c r="SH66" s="144"/>
      <c r="SI66" s="144"/>
      <c r="SJ66" s="144"/>
      <c r="SK66" s="144"/>
      <c r="SL66" s="144"/>
      <c r="SM66" s="84"/>
      <c r="SN66" s="84"/>
      <c r="SO66" s="154"/>
      <c r="SP66" s="154"/>
      <c r="SQ66" s="154"/>
      <c r="SR66" s="154"/>
      <c r="SS66" s="154"/>
      <c r="ST66" s="154"/>
      <c r="SU66" s="155"/>
      <c r="SV66" s="154"/>
      <c r="SW66" s="154"/>
      <c r="SX66" s="155"/>
      <c r="SY66" s="155"/>
      <c r="SZ66" s="155"/>
      <c r="TA66" s="155"/>
      <c r="TB66" s="155"/>
      <c r="TC66" s="155"/>
      <c r="TD66" s="155"/>
      <c r="TE66" s="156"/>
      <c r="TF66" s="144"/>
      <c r="TG66" s="84"/>
      <c r="TH66" s="144"/>
      <c r="TI66" s="144"/>
      <c r="TJ66" s="144"/>
      <c r="TK66" s="144"/>
      <c r="TL66" s="157"/>
      <c r="TM66" s="157"/>
      <c r="TN66" s="157"/>
      <c r="TO66" s="157"/>
      <c r="TP66" s="157"/>
      <c r="TQ66" s="157"/>
      <c r="TR66" s="157"/>
      <c r="TS66" s="157"/>
      <c r="TT66" s="157"/>
      <c r="TU66" s="158"/>
      <c r="TV66" s="157"/>
      <c r="TW66" s="158"/>
      <c r="TX66" s="144"/>
      <c r="TY66" s="144"/>
      <c r="TZ66" s="144"/>
      <c r="UA66" s="84"/>
      <c r="UB66" s="144"/>
      <c r="UC66" s="144"/>
      <c r="UD66" s="144"/>
      <c r="UE66" s="144"/>
      <c r="UF66" s="157"/>
      <c r="UG66" s="157"/>
      <c r="UH66" s="157"/>
      <c r="UI66" s="157"/>
      <c r="UJ66" s="157"/>
      <c r="UK66" s="157"/>
      <c r="UL66" s="157"/>
      <c r="UM66" s="157"/>
      <c r="UN66" s="157"/>
      <c r="UO66" s="157"/>
      <c r="UP66" s="157"/>
      <c r="UQ66" s="158"/>
      <c r="UR66" s="157"/>
      <c r="US66" s="158"/>
      <c r="UT66" s="144"/>
      <c r="UU66" s="144"/>
      <c r="UV66" s="144"/>
      <c r="UW66" s="144"/>
      <c r="UX66" s="144"/>
      <c r="UY66" s="144"/>
      <c r="UZ66" s="144"/>
      <c r="VA66" s="144"/>
      <c r="VB66" s="157"/>
      <c r="VC66" s="157"/>
      <c r="VD66" s="157"/>
      <c r="VE66" s="157"/>
      <c r="VF66" s="157"/>
      <c r="VG66" s="157"/>
      <c r="VH66" s="157"/>
      <c r="VI66" s="157"/>
      <c r="VJ66" s="157"/>
      <c r="VK66" s="157"/>
      <c r="VL66" s="157"/>
      <c r="VM66" s="157"/>
      <c r="VN66" s="157"/>
      <c r="VO66" s="157"/>
      <c r="VP66" s="144"/>
      <c r="VQ66" s="144"/>
      <c r="VR66" s="84"/>
      <c r="VS66" s="84"/>
      <c r="VT66" s="53"/>
      <c r="VU66" s="53"/>
    </row>
    <row r="67" ht="15.75" hidden="1" spans="1:1024 1025:16384">
      <c r="A67" s="53"/>
      <c r="B67" s="53"/>
      <c r="C67" s="327" t="s">
        <v>161</v>
      </c>
      <c r="D67" s="327"/>
      <c r="E67" s="327"/>
      <c r="F67" s="327"/>
      <c r="G67" s="161"/>
      <c r="H67" s="161"/>
      <c r="I67" s="161"/>
      <c r="J67" s="161"/>
      <c r="K67" s="179"/>
      <c r="L67" s="328"/>
      <c r="M67" s="162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93"/>
      <c r="AB67" s="293"/>
      <c r="AC67" s="293"/>
      <c r="AD67" s="293"/>
      <c r="AE67" s="293"/>
      <c r="AF67" s="293"/>
      <c r="AG67" s="293"/>
      <c r="AH67" s="293"/>
      <c r="AI67" s="53"/>
      <c r="AJ67" s="327" t="s">
        <v>161</v>
      </c>
      <c r="AK67" s="327"/>
      <c r="AL67" s="327"/>
      <c r="AM67" s="327"/>
      <c r="AN67" s="161"/>
      <c r="AO67" s="161"/>
      <c r="AP67" s="161"/>
      <c r="AQ67" s="161"/>
      <c r="AR67" s="179"/>
      <c r="AS67" s="328"/>
      <c r="AT67" s="162"/>
      <c r="AU67" s="293"/>
      <c r="AV67" s="293"/>
      <c r="AW67" s="293"/>
      <c r="AX67" s="293"/>
      <c r="AY67" s="293"/>
      <c r="AZ67" s="293"/>
      <c r="BA67" s="293"/>
      <c r="BB67" s="293"/>
      <c r="BC67" s="293"/>
      <c r="BD67" s="293"/>
      <c r="BE67" s="293"/>
      <c r="BF67" s="293"/>
      <c r="BG67" s="293"/>
      <c r="BH67" s="293"/>
      <c r="BI67" s="293"/>
      <c r="BJ67" s="293"/>
      <c r="BK67" s="293"/>
      <c r="BL67" s="293"/>
      <c r="BM67" s="293"/>
      <c r="BN67" s="293"/>
      <c r="BO67" s="293"/>
      <c r="BP67" s="53"/>
      <c r="BQ67" s="327" t="s">
        <v>161</v>
      </c>
      <c r="BR67" s="327"/>
      <c r="BS67" s="327"/>
      <c r="BT67" s="327"/>
      <c r="BU67" s="161"/>
      <c r="BV67" s="161"/>
      <c r="BW67" s="161"/>
      <c r="BX67" s="161"/>
      <c r="BY67" s="179"/>
      <c r="BZ67" s="328"/>
      <c r="CA67" s="162"/>
      <c r="CB67" s="293"/>
      <c r="CC67" s="293"/>
      <c r="CD67" s="293"/>
      <c r="CE67" s="293"/>
      <c r="CF67" s="293"/>
      <c r="CG67" s="293"/>
      <c r="CH67" s="293"/>
      <c r="CI67" s="293"/>
      <c r="CJ67" s="293"/>
      <c r="CK67" s="293"/>
      <c r="CL67" s="293"/>
      <c r="CM67" s="293"/>
      <c r="CN67" s="293"/>
      <c r="CO67" s="293"/>
      <c r="CP67" s="293"/>
      <c r="CQ67" s="293"/>
      <c r="CR67" s="293"/>
      <c r="CS67" s="293"/>
      <c r="CT67" s="293"/>
      <c r="CU67" s="293"/>
      <c r="CV67" s="293"/>
      <c r="CW67" s="53"/>
      <c r="CX67" s="327" t="s">
        <v>161</v>
      </c>
      <c r="CY67" s="327"/>
      <c r="CZ67" s="327"/>
      <c r="DA67" s="327"/>
      <c r="DB67" s="161"/>
      <c r="DC67" s="161"/>
      <c r="DD67" s="161"/>
      <c r="DE67" s="161"/>
      <c r="DF67" s="179"/>
      <c r="DG67" s="328"/>
      <c r="DH67" s="162"/>
      <c r="DI67" s="293"/>
      <c r="DJ67" s="293"/>
      <c r="DK67" s="293"/>
      <c r="DL67" s="293"/>
      <c r="DM67" s="293"/>
      <c r="DN67" s="293"/>
      <c r="DO67" s="293"/>
      <c r="DP67" s="293"/>
      <c r="DQ67" s="293"/>
      <c r="DR67" s="293"/>
      <c r="DS67" s="293"/>
      <c r="DT67" s="293"/>
      <c r="DU67" s="293"/>
      <c r="DV67" s="293"/>
      <c r="DW67" s="293"/>
      <c r="DX67" s="293"/>
      <c r="DY67" s="293"/>
      <c r="DZ67" s="293"/>
      <c r="EA67" s="293"/>
      <c r="EB67" s="293"/>
      <c r="EC67" s="293"/>
      <c r="ED67" s="53"/>
      <c r="EE67" s="329" t="s">
        <v>161</v>
      </c>
      <c r="EF67" s="329"/>
      <c r="EG67" s="329"/>
      <c r="EH67" s="329"/>
      <c r="EI67" s="330"/>
      <c r="EJ67" s="330"/>
      <c r="EK67" s="330"/>
      <c r="EL67" s="330"/>
      <c r="EM67" s="331"/>
      <c r="EN67" s="332"/>
      <c r="EO67" s="333"/>
      <c r="EP67" s="53"/>
      <c r="EQ67" s="53"/>
      <c r="ER67" s="192"/>
      <c r="ES67" s="192"/>
      <c r="ET67" s="192"/>
      <c r="EU67" s="192"/>
      <c r="EV67" s="192"/>
      <c r="EW67" s="192"/>
      <c r="EX67" s="192"/>
      <c r="EY67" s="192"/>
      <c r="EZ67" s="192"/>
      <c r="FA67" s="192"/>
      <c r="FB67" s="192"/>
      <c r="FC67" s="192"/>
      <c r="FD67" s="192"/>
      <c r="FE67" s="192"/>
      <c r="FF67" s="192"/>
      <c r="FG67" s="192"/>
      <c r="FH67" s="192"/>
      <c r="FI67" s="192"/>
      <c r="FJ67" s="192"/>
      <c r="FK67" s="53"/>
      <c r="FL67" s="53"/>
      <c r="FM67" s="53"/>
      <c r="FN67" s="329" t="s">
        <v>161</v>
      </c>
      <c r="FO67" s="329"/>
      <c r="FP67" s="329"/>
      <c r="FQ67" s="329"/>
      <c r="FR67" s="330"/>
      <c r="FS67" s="330"/>
      <c r="FT67" s="330"/>
      <c r="FU67" s="330"/>
      <c r="FV67" s="331"/>
      <c r="FW67" s="332"/>
      <c r="FX67" s="333"/>
      <c r="FY67" s="53"/>
      <c r="FZ67" s="192"/>
      <c r="GA67" s="192"/>
      <c r="GB67" s="192"/>
      <c r="GC67" s="192"/>
      <c r="GD67" s="192"/>
      <c r="GE67" s="192"/>
      <c r="GF67" s="192"/>
      <c r="GG67" s="192"/>
      <c r="GH67" s="192"/>
      <c r="GI67" s="192"/>
      <c r="GJ67" s="192"/>
      <c r="GK67" s="192"/>
      <c r="GL67" s="192"/>
      <c r="GM67" s="192"/>
      <c r="GN67" s="192"/>
      <c r="GO67" s="192"/>
      <c r="GP67" s="192"/>
      <c r="GQ67" s="192"/>
      <c r="GR67" s="192"/>
      <c r="GS67" s="192"/>
      <c r="GT67" s="53"/>
      <c r="GU67" s="53"/>
      <c r="GV67" s="329" t="s">
        <v>161</v>
      </c>
      <c r="GW67" s="329"/>
      <c r="GX67" s="329"/>
      <c r="GY67" s="329"/>
      <c r="GZ67" s="330"/>
      <c r="HA67" s="330"/>
      <c r="HB67" s="330"/>
      <c r="HC67" s="330"/>
      <c r="HD67" s="331"/>
      <c r="HE67" s="332"/>
      <c r="HF67" s="333"/>
      <c r="HI67" s="192"/>
      <c r="HJ67" s="192"/>
      <c r="HK67" s="192"/>
      <c r="HL67" s="192"/>
      <c r="HM67" s="192"/>
      <c r="HN67" s="192"/>
      <c r="HO67" s="192"/>
      <c r="HP67" s="192"/>
      <c r="HQ67" s="192"/>
      <c r="HR67" s="192"/>
      <c r="HS67" s="192"/>
      <c r="HT67" s="192"/>
      <c r="HU67" s="192"/>
      <c r="HV67" s="192"/>
      <c r="HW67" s="192"/>
      <c r="HX67" s="192"/>
      <c r="HY67" s="192"/>
      <c r="HZ67" s="192"/>
      <c r="IA67" s="192"/>
      <c r="IB67" s="53"/>
      <c r="IC67" s="53"/>
      <c r="ID67" s="329" t="s">
        <v>161</v>
      </c>
      <c r="IE67" s="329"/>
      <c r="IF67" s="329"/>
      <c r="IG67" s="329"/>
      <c r="IH67" s="330"/>
      <c r="II67" s="330"/>
      <c r="IJ67" s="330"/>
      <c r="IK67" s="330"/>
      <c r="IL67" s="331"/>
      <c r="IM67" s="332"/>
      <c r="IN67" s="333"/>
      <c r="IP67" s="11"/>
      <c r="IQ67" s="192"/>
      <c r="IR67" s="192"/>
      <c r="IS67" s="192"/>
      <c r="IT67" s="192"/>
      <c r="IU67" s="192"/>
      <c r="IV67" s="192"/>
      <c r="IW67" s="192"/>
      <c r="IX67" s="192"/>
      <c r="IY67" s="192"/>
      <c r="IZ67" s="192"/>
      <c r="JA67" s="192"/>
      <c r="JB67" s="192"/>
      <c r="JC67" s="192"/>
      <c r="JD67" s="192"/>
      <c r="JE67" s="192"/>
      <c r="JF67" s="192"/>
      <c r="JG67" s="192"/>
      <c r="JH67" s="192"/>
      <c r="JI67" s="192"/>
      <c r="JJ67" s="53"/>
      <c r="JK67" s="53"/>
      <c r="JL67" s="329" t="s">
        <v>161</v>
      </c>
      <c r="JM67" s="329"/>
      <c r="JN67" s="329"/>
      <c r="JO67" s="329"/>
      <c r="JP67" s="330"/>
      <c r="JQ67" s="330"/>
      <c r="JR67" s="330"/>
      <c r="JS67" s="330"/>
      <c r="JT67" s="331"/>
      <c r="JU67" s="332"/>
      <c r="JX67" s="192"/>
      <c r="JY67" s="192"/>
      <c r="JZ67" s="192"/>
      <c r="KA67" s="192"/>
      <c r="KB67" s="192"/>
      <c r="KC67" s="192"/>
      <c r="KD67" s="192"/>
      <c r="KE67" s="192"/>
      <c r="KF67" s="192"/>
      <c r="KG67" s="192"/>
      <c r="KH67" s="192"/>
      <c r="KI67" s="192"/>
      <c r="KJ67" s="192"/>
      <c r="KK67" s="192"/>
      <c r="KL67" s="192"/>
      <c r="KM67" s="192"/>
      <c r="KN67" s="192"/>
      <c r="KO67" s="192"/>
      <c r="KP67" s="192"/>
      <c r="KQ67" s="192"/>
      <c r="KR67" s="53"/>
      <c r="KS67" s="53"/>
      <c r="KT67" s="329" t="s">
        <v>161</v>
      </c>
      <c r="KU67" s="329"/>
      <c r="KV67" s="329"/>
      <c r="KW67" s="329"/>
      <c r="KX67" s="330"/>
      <c r="KY67" s="330"/>
      <c r="KZ67" s="330"/>
      <c r="LA67" s="330"/>
      <c r="LB67" s="334"/>
      <c r="LC67" s="335"/>
      <c r="LF67" s="11"/>
      <c r="LG67" s="192"/>
      <c r="LH67" s="192"/>
      <c r="LI67" s="192"/>
      <c r="LJ67" s="192"/>
      <c r="LK67" s="192"/>
      <c r="LL67" s="192"/>
      <c r="LM67" s="192"/>
      <c r="LN67" s="192"/>
      <c r="LO67" s="192"/>
      <c r="LP67" s="192"/>
      <c r="LQ67" s="192"/>
      <c r="LR67" s="192"/>
      <c r="LS67" s="192"/>
      <c r="LT67" s="192"/>
      <c r="LU67" s="192"/>
      <c r="LV67" s="192"/>
      <c r="LW67" s="192"/>
      <c r="LX67" s="192"/>
      <c r="LY67" s="192"/>
      <c r="LZ67" s="192"/>
      <c r="MA67" s="192"/>
      <c r="MB67" s="329" t="s">
        <v>161</v>
      </c>
      <c r="MC67" s="329"/>
      <c r="MD67" s="329"/>
      <c r="ME67" s="329"/>
      <c r="MF67" s="330"/>
      <c r="MG67" s="330"/>
      <c r="MH67" s="330"/>
      <c r="MI67" s="330"/>
      <c r="MJ67" s="334"/>
      <c r="MK67" s="335"/>
      <c r="MO67" s="192"/>
      <c r="MP67" s="192"/>
      <c r="MQ67" s="192"/>
      <c r="MR67" s="192"/>
      <c r="MS67" s="192"/>
      <c r="MT67" s="192"/>
      <c r="MU67" s="192"/>
      <c r="MV67" s="192"/>
      <c r="MW67" s="192"/>
      <c r="MX67" s="192"/>
      <c r="MY67" s="192"/>
      <c r="MZ67" s="192"/>
      <c r="NA67" s="192"/>
      <c r="NB67" s="192"/>
      <c r="NC67" s="192"/>
      <c r="ND67" s="192"/>
      <c r="NE67" s="192"/>
      <c r="NF67" s="192"/>
      <c r="NG67" s="192"/>
      <c r="NH67" s="53"/>
      <c r="NI67" s="53"/>
      <c r="NJ67" s="329" t="s">
        <v>161</v>
      </c>
      <c r="NK67" s="329">
        <f t="shared" ref="NK67:NK71" si="747">NK19</f>
        <v>2</v>
      </c>
      <c r="NL67" s="329">
        <f t="shared" ref="NL67:NL71" si="748">NM19</f>
        <v>23</v>
      </c>
      <c r="NM67" s="329">
        <f t="shared" ref="NM67:NP67" si="749">NP19</f>
        <v>228</v>
      </c>
      <c r="NN67" s="330">
        <f t="shared" si="749"/>
        <v>61952</v>
      </c>
      <c r="NO67" s="330">
        <f t="shared" si="749"/>
        <v>88711</v>
      </c>
      <c r="NP67" s="330">
        <f t="shared" si="749"/>
        <v>48859.71</v>
      </c>
      <c r="NQ67" s="330">
        <f t="shared" si="736"/>
        <v>39851.29</v>
      </c>
      <c r="NR67" s="334">
        <f t="shared" si="737"/>
        <v>0.449226026084702</v>
      </c>
      <c r="NS67" s="335">
        <f t="shared" si="738"/>
        <v>389.083333333333</v>
      </c>
      <c r="NT67" s="46"/>
      <c r="NU67" s="46"/>
      <c r="NV67" s="46"/>
      <c r="NW67" s="53"/>
      <c r="NX67" s="53"/>
      <c r="NY67" s="53"/>
      <c r="NZ67" s="53"/>
      <c r="OA67" s="53"/>
      <c r="OB67" s="53"/>
      <c r="OC67" s="53"/>
      <c r="OD67" s="53"/>
      <c r="OE67" s="53"/>
      <c r="OF67" s="53"/>
      <c r="OG67" s="53"/>
      <c r="OH67" s="53"/>
      <c r="OI67" s="53"/>
      <c r="OJ67" s="53"/>
      <c r="OK67" s="53"/>
      <c r="OL67" s="53"/>
      <c r="OM67" s="53"/>
      <c r="ON67" s="53"/>
      <c r="OO67" s="53"/>
      <c r="OP67" s="53"/>
      <c r="OQ67" s="53"/>
      <c r="OR67" s="53"/>
      <c r="OS67" s="336" t="s">
        <v>161</v>
      </c>
      <c r="OT67" s="336">
        <f t="shared" ref="OT67:OT71" si="750">OT19</f>
        <v>2</v>
      </c>
      <c r="OU67" s="336">
        <f t="shared" ref="OU67:OU71" si="751">OU19</f>
        <v>19</v>
      </c>
      <c r="OV67" s="172">
        <f t="shared" ref="OV67:OV71" si="752">OW19</f>
        <v>461</v>
      </c>
      <c r="OW67" s="172">
        <f t="shared" ref="OW67:OW71" si="753">OX19</f>
        <v>147169</v>
      </c>
      <c r="OX67" s="172">
        <v>194942</v>
      </c>
      <c r="OY67" s="172">
        <v>87926</v>
      </c>
      <c r="OZ67" s="171">
        <f t="shared" si="740"/>
        <v>107016</v>
      </c>
      <c r="PA67" s="337">
        <f t="shared" si="741"/>
        <v>0.548963281386258</v>
      </c>
      <c r="PB67" s="170">
        <f t="shared" si="742"/>
        <v>422.867678958785</v>
      </c>
      <c r="PC67" s="144"/>
      <c r="PD67" s="144"/>
      <c r="PE67" s="144"/>
      <c r="PF67" s="144"/>
      <c r="PG67" s="144"/>
      <c r="PH67" s="144"/>
      <c r="PI67" s="144"/>
      <c r="PJ67" s="144"/>
      <c r="PK67" s="144"/>
      <c r="PL67" s="144"/>
      <c r="PM67" s="144"/>
      <c r="PN67" s="144"/>
      <c r="PO67" s="144"/>
      <c r="PP67" s="144"/>
      <c r="PQ67" s="144"/>
      <c r="PR67" s="144"/>
      <c r="PS67" s="144"/>
      <c r="PT67" s="146"/>
      <c r="PU67" s="336" t="s">
        <v>161</v>
      </c>
      <c r="PV67" s="336">
        <f t="shared" ref="PV67:PV71" si="754">PV19</f>
        <v>2</v>
      </c>
      <c r="PW67" s="336">
        <f t="shared" ref="PW67:PW71" si="755">PW19</f>
        <v>22</v>
      </c>
      <c r="PX67" s="172">
        <f t="shared" ref="PX67:QA67" si="756">PY19</f>
        <v>707</v>
      </c>
      <c r="PY67" s="172">
        <f t="shared" si="756"/>
        <v>361465</v>
      </c>
      <c r="PZ67" s="172">
        <f t="shared" si="756"/>
        <v>498824</v>
      </c>
      <c r="QA67" s="172">
        <f t="shared" si="756"/>
        <v>359198</v>
      </c>
      <c r="QB67" s="171">
        <f t="shared" si="744"/>
        <v>139626</v>
      </c>
      <c r="QC67" s="337">
        <f t="shared" si="745"/>
        <v>0.27991034914118</v>
      </c>
      <c r="QD67" s="170">
        <f t="shared" si="746"/>
        <v>705.550212164074</v>
      </c>
      <c r="QE67" s="146"/>
      <c r="QF67" s="146"/>
      <c r="QG67" s="146"/>
      <c r="QH67" s="146"/>
      <c r="QI67" s="146"/>
      <c r="QJ67" s="146"/>
      <c r="QK67" s="146"/>
      <c r="QL67" s="146"/>
      <c r="QM67" s="146"/>
      <c r="QN67" s="146"/>
      <c r="QO67" s="146"/>
      <c r="QP67" s="146"/>
      <c r="QQ67" s="146"/>
      <c r="QR67" s="146"/>
      <c r="QS67" s="144"/>
      <c r="QT67" s="144"/>
      <c r="QU67" s="144"/>
      <c r="QV67" s="144"/>
      <c r="QW67" s="144"/>
      <c r="QX67" s="144"/>
      <c r="QY67" s="144"/>
      <c r="QZ67" s="144"/>
      <c r="RA67" s="144"/>
      <c r="RB67" s="144"/>
      <c r="RC67" s="144"/>
      <c r="RD67" s="144"/>
      <c r="RE67" s="144"/>
      <c r="RF67" s="144"/>
      <c r="RG67" s="144"/>
      <c r="RH67" s="144"/>
      <c r="RI67" s="144"/>
      <c r="RJ67" s="144"/>
      <c r="RK67" s="144"/>
      <c r="RL67" s="144"/>
      <c r="RM67" s="144"/>
      <c r="RN67" s="144"/>
      <c r="RO67" s="144"/>
      <c r="RP67" s="144"/>
      <c r="RQ67" s="144"/>
      <c r="RR67" s="144"/>
      <c r="RS67" s="144"/>
      <c r="RT67" s="144"/>
      <c r="RU67" s="144"/>
      <c r="RV67" s="144"/>
      <c r="RW67" s="144"/>
      <c r="RX67" s="144"/>
      <c r="RY67" s="144"/>
      <c r="RZ67" s="144"/>
      <c r="SA67" s="144"/>
      <c r="SB67" s="144"/>
      <c r="SC67" s="144"/>
      <c r="SD67" s="144"/>
      <c r="SE67" s="144"/>
      <c r="SF67" s="144"/>
      <c r="SG67" s="144"/>
      <c r="SH67" s="144"/>
      <c r="SI67" s="144"/>
      <c r="SJ67" s="144"/>
      <c r="SK67" s="144"/>
      <c r="SL67" s="144"/>
      <c r="SM67" s="84"/>
      <c r="SN67" s="84"/>
      <c r="SO67" s="154"/>
      <c r="SP67" s="154"/>
      <c r="SQ67" s="154"/>
      <c r="SR67" s="154"/>
      <c r="SS67" s="154"/>
      <c r="ST67" s="154"/>
      <c r="SU67" s="155"/>
      <c r="SV67" s="154"/>
      <c r="SW67" s="154"/>
      <c r="SX67" s="155"/>
      <c r="SY67" s="155"/>
      <c r="SZ67" s="155"/>
      <c r="TA67" s="155"/>
      <c r="TB67" s="155"/>
      <c r="TC67" s="155"/>
      <c r="TD67" s="155"/>
      <c r="TE67" s="156"/>
      <c r="TF67" s="144"/>
      <c r="TG67" s="84"/>
      <c r="TH67" s="144"/>
      <c r="TI67" s="144"/>
      <c r="TJ67" s="144"/>
      <c r="TK67" s="144"/>
      <c r="TL67" s="157"/>
      <c r="TM67" s="157"/>
      <c r="TN67" s="157"/>
      <c r="TO67" s="157"/>
      <c r="TP67" s="157"/>
      <c r="TQ67" s="157"/>
      <c r="TR67" s="157"/>
      <c r="TS67" s="157"/>
      <c r="TT67" s="157"/>
      <c r="TU67" s="158"/>
      <c r="TV67" s="157"/>
      <c r="TW67" s="158"/>
      <c r="TX67" s="144"/>
      <c r="TY67" s="144"/>
      <c r="TZ67" s="144"/>
      <c r="UA67" s="84"/>
      <c r="UB67" s="144"/>
      <c r="UC67" s="144"/>
      <c r="UD67" s="144"/>
      <c r="UE67" s="144"/>
      <c r="UF67" s="157"/>
      <c r="UG67" s="157"/>
      <c r="UH67" s="157"/>
      <c r="UI67" s="157"/>
      <c r="UJ67" s="157"/>
      <c r="UK67" s="157"/>
      <c r="UL67" s="157"/>
      <c r="UM67" s="157"/>
      <c r="UN67" s="157"/>
      <c r="UO67" s="157"/>
      <c r="UP67" s="157"/>
      <c r="UQ67" s="158"/>
      <c r="UR67" s="157"/>
      <c r="US67" s="158"/>
      <c r="UT67" s="144"/>
      <c r="UU67" s="144"/>
      <c r="UV67" s="144"/>
      <c r="UW67" s="144"/>
      <c r="UX67" s="144"/>
      <c r="UY67" s="144"/>
      <c r="UZ67" s="144"/>
      <c r="VA67" s="144"/>
      <c r="VB67" s="157"/>
      <c r="VC67" s="157"/>
      <c r="VD67" s="157"/>
      <c r="VE67" s="157"/>
      <c r="VF67" s="157"/>
      <c r="VG67" s="157"/>
      <c r="VH67" s="157"/>
      <c r="VI67" s="157"/>
      <c r="VJ67" s="157"/>
      <c r="VK67" s="157"/>
      <c r="VL67" s="157"/>
      <c r="VM67" s="157"/>
      <c r="VN67" s="157"/>
      <c r="VO67" s="157"/>
      <c r="VP67" s="144"/>
      <c r="VQ67" s="144"/>
      <c r="VR67" s="84"/>
      <c r="VS67" s="84"/>
      <c r="VT67" s="53"/>
      <c r="VU67" s="53"/>
    </row>
    <row r="68" ht="15.75" hidden="1" spans="1:1024 1025:16384">
      <c r="A68" s="53"/>
      <c r="B68" s="53"/>
      <c r="C68" s="327" t="s">
        <v>165</v>
      </c>
      <c r="D68" s="327"/>
      <c r="E68" s="327"/>
      <c r="F68" s="327"/>
      <c r="G68" s="161"/>
      <c r="H68" s="161"/>
      <c r="I68" s="161"/>
      <c r="J68" s="161"/>
      <c r="K68" s="179"/>
      <c r="L68" s="328"/>
      <c r="M68" s="162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3"/>
      <c r="AB68" s="293"/>
      <c r="AC68" s="293"/>
      <c r="AD68" s="293"/>
      <c r="AE68" s="293"/>
      <c r="AF68" s="293"/>
      <c r="AG68" s="293"/>
      <c r="AH68" s="293"/>
      <c r="AI68" s="53"/>
      <c r="AJ68" s="327" t="s">
        <v>165</v>
      </c>
      <c r="AK68" s="327"/>
      <c r="AL68" s="327"/>
      <c r="AM68" s="327"/>
      <c r="AN68" s="161"/>
      <c r="AO68" s="161"/>
      <c r="AP68" s="161"/>
      <c r="AQ68" s="161"/>
      <c r="AR68" s="179"/>
      <c r="AS68" s="328"/>
      <c r="AT68" s="162"/>
      <c r="AU68" s="293"/>
      <c r="AV68" s="293"/>
      <c r="AW68" s="293"/>
      <c r="AX68" s="293"/>
      <c r="AY68" s="293"/>
      <c r="AZ68" s="293"/>
      <c r="BA68" s="293"/>
      <c r="BB68" s="293"/>
      <c r="BC68" s="293"/>
      <c r="BD68" s="293"/>
      <c r="BE68" s="293"/>
      <c r="BF68" s="293"/>
      <c r="BG68" s="293"/>
      <c r="BH68" s="293"/>
      <c r="BI68" s="293"/>
      <c r="BJ68" s="293"/>
      <c r="BK68" s="293"/>
      <c r="BL68" s="293"/>
      <c r="BM68" s="293"/>
      <c r="BN68" s="293"/>
      <c r="BO68" s="293"/>
      <c r="BP68" s="53"/>
      <c r="BQ68" s="327" t="s">
        <v>165</v>
      </c>
      <c r="BR68" s="327" t="str">
        <f t="shared" ref="BR68:BT68" si="757">BQ20</f>
        <v>BD02</v>
      </c>
      <c r="BS68" s="327">
        <f t="shared" si="757"/>
        <v>2</v>
      </c>
      <c r="BT68" s="327">
        <f t="shared" si="757"/>
        <v>0</v>
      </c>
      <c r="BU68" s="161">
        <f t="shared" ref="BU68:BX68" si="758">BW20</f>
        <v>272</v>
      </c>
      <c r="BV68" s="161">
        <f t="shared" si="758"/>
        <v>56863</v>
      </c>
      <c r="BW68" s="161">
        <f t="shared" si="758"/>
        <v>93142</v>
      </c>
      <c r="BX68" s="161">
        <f t="shared" si="758"/>
        <v>99190</v>
      </c>
      <c r="BY68" s="179">
        <f t="shared" ref="BY68:BY72" si="759">BW68-BX68</f>
        <v>-6048</v>
      </c>
      <c r="BZ68" s="328">
        <f t="shared" ref="BZ68:BZ72" si="760">BY68/BW68</f>
        <v>-0.0649331128814069</v>
      </c>
      <c r="CA68" s="162">
        <f t="shared" ref="CA68:CA72" si="761">BW68/BU68</f>
        <v>342.433823529412</v>
      </c>
      <c r="CB68" s="293"/>
      <c r="CC68" s="293"/>
      <c r="CD68" s="293"/>
      <c r="CE68" s="293"/>
      <c r="CF68" s="293"/>
      <c r="CG68" s="293"/>
      <c r="CH68" s="293"/>
      <c r="CI68" s="293"/>
      <c r="CJ68" s="293"/>
      <c r="CK68" s="293"/>
      <c r="CL68" s="293"/>
      <c r="CM68" s="293"/>
      <c r="CN68" s="293"/>
      <c r="CO68" s="293"/>
      <c r="CP68" s="293"/>
      <c r="CQ68" s="293"/>
      <c r="CR68" s="293"/>
      <c r="CS68" s="293"/>
      <c r="CT68" s="293"/>
      <c r="CU68" s="293"/>
      <c r="CV68" s="293"/>
      <c r="CW68" s="53"/>
      <c r="CX68" s="327" t="s">
        <v>165</v>
      </c>
      <c r="CY68" s="327" t="str">
        <f t="shared" ref="CY68:DA68" si="762">CX20</f>
        <v>BD02</v>
      </c>
      <c r="CZ68" s="327">
        <f t="shared" si="762"/>
        <v>2</v>
      </c>
      <c r="DA68" s="327">
        <f t="shared" si="762"/>
        <v>0</v>
      </c>
      <c r="DB68" s="161">
        <f t="shared" ref="DB68:DE68" si="763">DD20</f>
        <v>189</v>
      </c>
      <c r="DC68" s="161">
        <f t="shared" si="763"/>
        <v>51236</v>
      </c>
      <c r="DD68" s="161">
        <f t="shared" si="763"/>
        <v>74405</v>
      </c>
      <c r="DE68" s="161">
        <f t="shared" si="763"/>
        <v>56153</v>
      </c>
      <c r="DF68" s="179">
        <f t="shared" ref="DF68:DF72" si="764">DD68-DE68</f>
        <v>18252</v>
      </c>
      <c r="DG68" s="328">
        <f t="shared" ref="DG68:DG72" si="765">DF68/DD68</f>
        <v>0.245306095020496</v>
      </c>
      <c r="DH68" s="162">
        <f t="shared" ref="DH68:DH72" si="766">DD68/DB68</f>
        <v>393.677248677249</v>
      </c>
      <c r="DI68" s="293"/>
      <c r="DJ68" s="293"/>
      <c r="DK68" s="293"/>
      <c r="DL68" s="293"/>
      <c r="DM68" s="293"/>
      <c r="DN68" s="293"/>
      <c r="DO68" s="293"/>
      <c r="DP68" s="293"/>
      <c r="DQ68" s="293"/>
      <c r="DR68" s="293"/>
      <c r="DS68" s="293"/>
      <c r="DT68" s="293"/>
      <c r="DU68" s="293"/>
      <c r="DV68" s="293"/>
      <c r="DW68" s="293"/>
      <c r="DX68" s="293"/>
      <c r="DY68" s="293"/>
      <c r="DZ68" s="293"/>
      <c r="EA68" s="293"/>
      <c r="EB68" s="293"/>
      <c r="EC68" s="293"/>
      <c r="ED68" s="53"/>
      <c r="EE68" s="329" t="s">
        <v>165</v>
      </c>
      <c r="EF68" s="329">
        <f t="shared" ref="EF68:EH68" si="767">EF20</f>
        <v>1</v>
      </c>
      <c r="EG68" s="329">
        <f t="shared" si="767"/>
        <v>0</v>
      </c>
      <c r="EH68" s="329">
        <f t="shared" si="767"/>
        <v>12</v>
      </c>
      <c r="EI68" s="330">
        <f t="shared" ref="EI68:EL68" si="768">EK20</f>
        <v>282</v>
      </c>
      <c r="EJ68" s="330">
        <f t="shared" si="768"/>
        <v>61792</v>
      </c>
      <c r="EK68" s="330">
        <f t="shared" si="768"/>
        <v>106272</v>
      </c>
      <c r="EL68" s="330">
        <f t="shared" si="768"/>
        <v>68891</v>
      </c>
      <c r="EM68" s="331">
        <f t="shared" ref="EM68:EM72" si="769">EK68-EL68</f>
        <v>37381</v>
      </c>
      <c r="EN68" s="332">
        <f t="shared" ref="EN68:EN72" si="770">EM68/EK68</f>
        <v>0.351748343872328</v>
      </c>
      <c r="EO68" s="333">
        <f t="shared" ref="EO68:EO72" si="771">EK68/EI68</f>
        <v>376.851063829787</v>
      </c>
      <c r="EP68" s="53"/>
      <c r="EQ68" s="53"/>
      <c r="ER68" s="192"/>
      <c r="ES68" s="192"/>
      <c r="ET68" s="192"/>
      <c r="EU68" s="192"/>
      <c r="EV68" s="192"/>
      <c r="EW68" s="192"/>
      <c r="EX68" s="192"/>
      <c r="EY68" s="192"/>
      <c r="EZ68" s="192"/>
      <c r="FA68" s="192"/>
      <c r="FB68" s="192"/>
      <c r="FC68" s="192"/>
      <c r="FD68" s="192"/>
      <c r="FE68" s="192"/>
      <c r="FF68" s="192"/>
      <c r="FG68" s="192"/>
      <c r="FH68" s="192"/>
      <c r="FI68" s="192"/>
      <c r="FJ68" s="192"/>
      <c r="FK68" s="53"/>
      <c r="FL68" s="53"/>
      <c r="FM68" s="53"/>
      <c r="FN68" s="329" t="s">
        <v>165</v>
      </c>
      <c r="FO68" s="329">
        <f t="shared" ref="FO68:FQ68" si="772">FO20</f>
        <v>1</v>
      </c>
      <c r="FP68" s="329">
        <f t="shared" si="772"/>
        <v>0</v>
      </c>
      <c r="FQ68" s="329">
        <f t="shared" si="772"/>
        <v>13</v>
      </c>
      <c r="FR68" s="330">
        <f t="shared" ref="FR68:FU68" si="773">FT20</f>
        <v>230</v>
      </c>
      <c r="FS68" s="330">
        <f t="shared" si="773"/>
        <v>51822</v>
      </c>
      <c r="FT68" s="330">
        <f t="shared" si="773"/>
        <v>83771</v>
      </c>
      <c r="FU68" s="330">
        <f t="shared" si="773"/>
        <v>63036</v>
      </c>
      <c r="FV68" s="331">
        <f t="shared" ref="FV68:FV72" si="774">FT68-FU68</f>
        <v>20735</v>
      </c>
      <c r="FW68" s="332">
        <f t="shared" ref="FW68:FW72" si="775">FV68/FT68</f>
        <v>0.247520024829595</v>
      </c>
      <c r="FX68" s="333">
        <f t="shared" ref="FX68:FX72" si="776">FT68/FR68</f>
        <v>364.221739130435</v>
      </c>
      <c r="FY68" s="53"/>
      <c r="FZ68" s="192"/>
      <c r="GA68" s="192"/>
      <c r="GB68" s="192"/>
      <c r="GC68" s="192"/>
      <c r="GD68" s="192"/>
      <c r="GE68" s="192"/>
      <c r="GF68" s="192"/>
      <c r="GG68" s="192"/>
      <c r="GH68" s="192"/>
      <c r="GI68" s="192"/>
      <c r="GJ68" s="192"/>
      <c r="GK68" s="192"/>
      <c r="GL68" s="192"/>
      <c r="GM68" s="192"/>
      <c r="GN68" s="192"/>
      <c r="GO68" s="192"/>
      <c r="GP68" s="192"/>
      <c r="GQ68" s="192"/>
      <c r="GR68" s="192"/>
      <c r="GS68" s="192"/>
      <c r="GT68" s="53"/>
      <c r="GU68" s="53"/>
      <c r="GV68" s="329" t="s">
        <v>165</v>
      </c>
      <c r="GW68" s="329">
        <f t="shared" ref="GW68:GY68" si="777">GW20</f>
        <v>1</v>
      </c>
      <c r="GX68" s="329">
        <f t="shared" si="777"/>
        <v>0</v>
      </c>
      <c r="GY68" s="329">
        <f t="shared" si="777"/>
        <v>4</v>
      </c>
      <c r="GZ68" s="330">
        <f t="shared" ref="GZ68:HC68" si="778">HB20</f>
        <v>152</v>
      </c>
      <c r="HA68" s="330">
        <f t="shared" si="778"/>
        <v>64100.77</v>
      </c>
      <c r="HB68" s="330">
        <f t="shared" si="778"/>
        <v>123671.47</v>
      </c>
      <c r="HC68" s="330">
        <f t="shared" si="778"/>
        <v>37900</v>
      </c>
      <c r="HD68" s="331">
        <f t="shared" ref="HD68:HD72" si="779">HB68-HC68</f>
        <v>85771.47</v>
      </c>
      <c r="HE68" s="332">
        <f t="shared" ref="HE68:HE72" si="780">HD68/HB68</f>
        <v>0.693542900395702</v>
      </c>
      <c r="HF68" s="333">
        <f t="shared" ref="HF68:HF72" si="781">HB68/GZ68</f>
        <v>813.628092105263</v>
      </c>
      <c r="HI68" s="192"/>
      <c r="HJ68" s="192"/>
      <c r="HK68" s="192"/>
      <c r="HL68" s="192"/>
      <c r="HM68" s="192"/>
      <c r="HN68" s="192"/>
      <c r="HO68" s="192"/>
      <c r="HP68" s="192"/>
      <c r="HQ68" s="192"/>
      <c r="HR68" s="192"/>
      <c r="HS68" s="192"/>
      <c r="HT68" s="192"/>
      <c r="HU68" s="192"/>
      <c r="HV68" s="192"/>
      <c r="HW68" s="192"/>
      <c r="HX68" s="192"/>
      <c r="HY68" s="192"/>
      <c r="HZ68" s="192"/>
      <c r="IA68" s="192"/>
      <c r="IB68" s="53"/>
      <c r="IC68" s="53"/>
      <c r="ID68" s="329" t="s">
        <v>165</v>
      </c>
      <c r="IE68" s="329">
        <f>IE20</f>
        <v>1</v>
      </c>
      <c r="IF68" s="329">
        <v>0</v>
      </c>
      <c r="IG68" s="329">
        <f>IG20</f>
        <v>16</v>
      </c>
      <c r="IH68" s="330">
        <f t="shared" ref="IH68:IK68" si="782">IJ20</f>
        <v>120</v>
      </c>
      <c r="II68" s="330">
        <f t="shared" si="782"/>
        <v>28736</v>
      </c>
      <c r="IJ68" s="330">
        <f t="shared" si="782"/>
        <v>38631</v>
      </c>
      <c r="IK68" s="330">
        <f t="shared" si="782"/>
        <v>32808</v>
      </c>
      <c r="IL68" s="331">
        <f t="shared" ref="IL68:IL72" si="783">IJ68-IK68</f>
        <v>5823</v>
      </c>
      <c r="IM68" s="332">
        <f t="shared" ref="IM68:IM72" si="784">IL68/IJ68</f>
        <v>0.150733866583832</v>
      </c>
      <c r="IN68" s="333">
        <f t="shared" ref="IN68:IN72" si="785">IJ68/IH68</f>
        <v>321.925</v>
      </c>
      <c r="IP68" s="11"/>
      <c r="IQ68" s="192"/>
      <c r="IR68" s="192"/>
      <c r="IS68" s="192"/>
      <c r="IT68" s="192"/>
      <c r="IU68" s="192"/>
      <c r="IV68" s="192"/>
      <c r="IW68" s="192"/>
      <c r="IX68" s="192"/>
      <c r="IY68" s="192"/>
      <c r="IZ68" s="192"/>
      <c r="JA68" s="192"/>
      <c r="JB68" s="192"/>
      <c r="JC68" s="192"/>
      <c r="JD68" s="192"/>
      <c r="JE68" s="192"/>
      <c r="JF68" s="192"/>
      <c r="JG68" s="192"/>
      <c r="JH68" s="192"/>
      <c r="JI68" s="192"/>
      <c r="JJ68" s="53"/>
      <c r="JK68" s="53"/>
      <c r="JL68" s="329" t="s">
        <v>165</v>
      </c>
      <c r="JM68" s="329">
        <f>JM20</f>
        <v>1</v>
      </c>
      <c r="JN68" s="329">
        <f>JN20</f>
        <v>23</v>
      </c>
      <c r="JO68" s="329">
        <f t="shared" ref="JO68:JR68" si="786">JR20</f>
        <v>1494</v>
      </c>
      <c r="JP68" s="330">
        <f t="shared" si="786"/>
        <v>439548</v>
      </c>
      <c r="JQ68" s="330">
        <f t="shared" si="786"/>
        <v>486035</v>
      </c>
      <c r="JR68" s="330">
        <f t="shared" si="786"/>
        <v>317203</v>
      </c>
      <c r="JS68" s="330">
        <f t="shared" ref="JS68:JS72" si="787">JQ68-JR68</f>
        <v>168832</v>
      </c>
      <c r="JT68" s="334">
        <f t="shared" ref="JT68:JT72" si="788">JS68/JQ68</f>
        <v>0.347365930437108</v>
      </c>
      <c r="JU68" s="335">
        <f>JQ68/JO68</f>
        <v>325.324631860776</v>
      </c>
      <c r="JX68" s="192"/>
      <c r="JY68" s="192"/>
      <c r="JZ68" s="192"/>
      <c r="KA68" s="192"/>
      <c r="KB68" s="192"/>
      <c r="KC68" s="192"/>
      <c r="KD68" s="192"/>
      <c r="KE68" s="192"/>
      <c r="KF68" s="192"/>
      <c r="KG68" s="192"/>
      <c r="KH68" s="192"/>
      <c r="KI68" s="192"/>
      <c r="KJ68" s="192"/>
      <c r="KK68" s="192"/>
      <c r="KL68" s="192"/>
      <c r="KM68" s="192"/>
      <c r="KN68" s="192"/>
      <c r="KO68" s="192"/>
      <c r="KP68" s="192"/>
      <c r="KQ68" s="192"/>
      <c r="KR68" s="53"/>
      <c r="KS68" s="53"/>
      <c r="KT68" s="329" t="s">
        <v>165</v>
      </c>
      <c r="KU68" s="329">
        <v>2</v>
      </c>
      <c r="KV68" s="329">
        <v>94</v>
      </c>
      <c r="KW68" s="329">
        <v>559</v>
      </c>
      <c r="KX68" s="330">
        <v>153183</v>
      </c>
      <c r="KY68" s="330">
        <v>212598</v>
      </c>
      <c r="KZ68" s="330">
        <v>188384</v>
      </c>
      <c r="LA68" s="330">
        <v>24214</v>
      </c>
      <c r="LB68" s="334">
        <v>0.1138957092729</v>
      </c>
      <c r="LC68" s="335">
        <v>380.318425760286</v>
      </c>
      <c r="LF68" s="11"/>
      <c r="LG68" s="192"/>
      <c r="LH68" s="192"/>
      <c r="LI68" s="192"/>
      <c r="LJ68" s="192"/>
      <c r="LK68" s="192"/>
      <c r="LL68" s="192"/>
      <c r="LM68" s="192"/>
      <c r="LN68" s="192"/>
      <c r="LO68" s="192"/>
      <c r="LP68" s="192"/>
      <c r="LQ68" s="192"/>
      <c r="LR68" s="192"/>
      <c r="LS68" s="192"/>
      <c r="LT68" s="192"/>
      <c r="LU68" s="192"/>
      <c r="LV68" s="192"/>
      <c r="LW68" s="192"/>
      <c r="LX68" s="192"/>
      <c r="LY68" s="192"/>
      <c r="LZ68" s="192"/>
      <c r="MA68" s="192"/>
      <c r="MB68" s="329" t="s">
        <v>165</v>
      </c>
      <c r="MC68" s="329">
        <f>MC20</f>
        <v>2</v>
      </c>
      <c r="MD68" s="329">
        <f>ME20</f>
        <v>47</v>
      </c>
      <c r="ME68" s="329">
        <f t="shared" ref="ME68:MH68" si="789">MH20</f>
        <v>225</v>
      </c>
      <c r="MF68" s="330">
        <f t="shared" si="789"/>
        <v>69640</v>
      </c>
      <c r="MG68" s="330">
        <f t="shared" si="789"/>
        <v>96229</v>
      </c>
      <c r="MH68" s="330">
        <f t="shared" si="789"/>
        <v>53019</v>
      </c>
      <c r="MI68" s="330">
        <f t="shared" ref="MI68:MI72" si="790">MG68-MH68</f>
        <v>43210</v>
      </c>
      <c r="MJ68" s="334">
        <f t="shared" ref="MJ68:MJ72" si="791">MI68/MG68</f>
        <v>0.449033035779235</v>
      </c>
      <c r="MK68" s="335">
        <f t="shared" ref="MK68:MK72" si="792">MG68/ME68</f>
        <v>427.684444444444</v>
      </c>
      <c r="MO68" s="192"/>
      <c r="MP68" s="192"/>
      <c r="MQ68" s="192"/>
      <c r="MR68" s="192"/>
      <c r="MS68" s="192"/>
      <c r="MT68" s="192"/>
      <c r="MU68" s="192"/>
      <c r="MV68" s="192"/>
      <c r="MW68" s="192"/>
      <c r="MX68" s="192"/>
      <c r="MY68" s="192"/>
      <c r="MZ68" s="192"/>
      <c r="NA68" s="192"/>
      <c r="NB68" s="192"/>
      <c r="NC68" s="192"/>
      <c r="ND68" s="192"/>
      <c r="NE68" s="192"/>
      <c r="NF68" s="192"/>
      <c r="NG68" s="192"/>
      <c r="NH68" s="53"/>
      <c r="NI68" s="53"/>
      <c r="NJ68" s="329" t="s">
        <v>165</v>
      </c>
      <c r="NK68" s="329">
        <f t="shared" si="747"/>
        <v>2</v>
      </c>
      <c r="NL68" s="329">
        <f t="shared" si="748"/>
        <v>16</v>
      </c>
      <c r="NM68" s="329">
        <f t="shared" ref="NM68:NP68" si="793">NP20</f>
        <v>114</v>
      </c>
      <c r="NN68" s="330">
        <f t="shared" si="793"/>
        <v>34620</v>
      </c>
      <c r="NO68" s="330">
        <f t="shared" si="793"/>
        <v>59310</v>
      </c>
      <c r="NP68" s="330">
        <f t="shared" si="793"/>
        <v>21335</v>
      </c>
      <c r="NQ68" s="330">
        <f t="shared" si="736"/>
        <v>37975</v>
      </c>
      <c r="NR68" s="334">
        <f t="shared" si="737"/>
        <v>0.640279885348171</v>
      </c>
      <c r="NS68" s="335">
        <f t="shared" si="738"/>
        <v>520.263157894737</v>
      </c>
      <c r="NT68" s="46"/>
      <c r="NU68" s="46"/>
      <c r="NV68" s="46"/>
      <c r="NW68" s="53"/>
      <c r="NX68" s="53"/>
      <c r="NY68" s="53"/>
      <c r="NZ68" s="53"/>
      <c r="OA68" s="53"/>
      <c r="OB68" s="53"/>
      <c r="OC68" s="53"/>
      <c r="OD68" s="53"/>
      <c r="OE68" s="53"/>
      <c r="OF68" s="53"/>
      <c r="OG68" s="53"/>
      <c r="OH68" s="53"/>
      <c r="OI68" s="53"/>
      <c r="OJ68" s="53"/>
      <c r="OK68" s="53"/>
      <c r="OL68" s="53"/>
      <c r="OM68" s="53"/>
      <c r="ON68" s="53"/>
      <c r="OO68" s="53"/>
      <c r="OP68" s="53"/>
      <c r="OQ68" s="53"/>
      <c r="OR68" s="53"/>
      <c r="OS68" s="336" t="s">
        <v>165</v>
      </c>
      <c r="OT68" s="336">
        <f t="shared" si="750"/>
        <v>1</v>
      </c>
      <c r="OU68" s="336">
        <f t="shared" si="751"/>
        <v>24</v>
      </c>
      <c r="OV68" s="172">
        <f t="shared" si="752"/>
        <v>212</v>
      </c>
      <c r="OW68" s="172">
        <f t="shared" si="753"/>
        <v>53690</v>
      </c>
      <c r="OX68" s="172">
        <v>88912</v>
      </c>
      <c r="OY68" s="172">
        <v>55936</v>
      </c>
      <c r="OZ68" s="171">
        <f t="shared" si="740"/>
        <v>32976</v>
      </c>
      <c r="PA68" s="337">
        <f t="shared" si="741"/>
        <v>0.370883570271729</v>
      </c>
      <c r="PB68" s="170">
        <f t="shared" si="742"/>
        <v>419.396226415094</v>
      </c>
      <c r="PC68" s="144"/>
      <c r="PD68" s="144"/>
      <c r="PE68" s="144"/>
      <c r="PF68" s="144"/>
      <c r="PG68" s="144"/>
      <c r="PH68" s="144"/>
      <c r="PI68" s="144"/>
      <c r="PJ68" s="144"/>
      <c r="PK68" s="144"/>
      <c r="PL68" s="144"/>
      <c r="PM68" s="144"/>
      <c r="PN68" s="144"/>
      <c r="PO68" s="144"/>
      <c r="PP68" s="144"/>
      <c r="PQ68" s="144"/>
      <c r="PR68" s="144"/>
      <c r="PS68" s="144"/>
      <c r="PT68" s="146"/>
      <c r="PU68" s="336" t="s">
        <v>165</v>
      </c>
      <c r="PV68" s="336">
        <f t="shared" si="754"/>
        <v>1</v>
      </c>
      <c r="PW68" s="336">
        <f t="shared" si="755"/>
        <v>9</v>
      </c>
      <c r="PX68" s="172">
        <f t="shared" ref="PX68:QA68" si="794">PY20</f>
        <v>191</v>
      </c>
      <c r="PY68" s="172">
        <f t="shared" si="794"/>
        <v>57187</v>
      </c>
      <c r="PZ68" s="172">
        <f t="shared" si="794"/>
        <v>87534</v>
      </c>
      <c r="QA68" s="172">
        <f t="shared" si="794"/>
        <v>65786</v>
      </c>
      <c r="QB68" s="171">
        <f t="shared" si="744"/>
        <v>21748</v>
      </c>
      <c r="QC68" s="337">
        <f t="shared" si="745"/>
        <v>0.248452030068316</v>
      </c>
      <c r="QD68" s="170">
        <f t="shared" si="746"/>
        <v>458.293193717277</v>
      </c>
      <c r="QE68" s="146"/>
      <c r="QF68" s="146"/>
      <c r="QG68" s="146"/>
      <c r="QH68" s="146"/>
      <c r="QI68" s="146"/>
      <c r="QJ68" s="146"/>
      <c r="QK68" s="146"/>
      <c r="QL68" s="146"/>
      <c r="QM68" s="146"/>
      <c r="QN68" s="146"/>
      <c r="QO68" s="146"/>
      <c r="QP68" s="146"/>
      <c r="QQ68" s="146"/>
      <c r="QR68" s="146"/>
      <c r="QS68" s="144"/>
      <c r="QT68" s="144"/>
      <c r="QU68" s="144"/>
      <c r="QV68" s="144"/>
      <c r="QW68" s="144"/>
      <c r="QX68" s="144"/>
      <c r="QY68" s="144"/>
      <c r="QZ68" s="144"/>
      <c r="RA68" s="144"/>
      <c r="RB68" s="144"/>
      <c r="RC68" s="144"/>
      <c r="RD68" s="144"/>
      <c r="RE68" s="144"/>
      <c r="RF68" s="144"/>
      <c r="RG68" s="144"/>
      <c r="RH68" s="144"/>
      <c r="RI68" s="144"/>
      <c r="RJ68" s="144"/>
      <c r="RK68" s="144"/>
      <c r="RL68" s="144"/>
      <c r="RM68" s="144"/>
      <c r="RN68" s="144"/>
      <c r="RO68" s="144"/>
      <c r="RP68" s="144"/>
      <c r="RQ68" s="144"/>
      <c r="RR68" s="144"/>
      <c r="RS68" s="144"/>
      <c r="RT68" s="144"/>
      <c r="RU68" s="144"/>
      <c r="RV68" s="144"/>
      <c r="RW68" s="144"/>
      <c r="RX68" s="144"/>
      <c r="RY68" s="144"/>
      <c r="RZ68" s="144"/>
      <c r="SA68" s="144"/>
      <c r="SB68" s="144"/>
      <c r="SC68" s="144"/>
      <c r="SD68" s="144"/>
      <c r="SE68" s="144"/>
      <c r="SF68" s="144"/>
      <c r="SG68" s="144"/>
      <c r="SH68" s="144"/>
      <c r="SI68" s="144"/>
      <c r="SJ68" s="144"/>
      <c r="SK68" s="144"/>
      <c r="SL68" s="144"/>
      <c r="SM68" s="84"/>
      <c r="SN68" s="84"/>
      <c r="SO68" s="154"/>
      <c r="SP68" s="154"/>
      <c r="SQ68" s="154"/>
      <c r="SR68" s="154"/>
      <c r="SS68" s="154"/>
      <c r="ST68" s="154"/>
      <c r="SU68" s="155"/>
      <c r="SV68" s="154"/>
      <c r="SW68" s="154"/>
      <c r="SX68" s="155"/>
      <c r="SY68" s="155"/>
      <c r="SZ68" s="155"/>
      <c r="TA68" s="155"/>
      <c r="TB68" s="155"/>
      <c r="TC68" s="155"/>
      <c r="TD68" s="155"/>
      <c r="TE68" s="156"/>
      <c r="TF68" s="144"/>
      <c r="TG68" s="84"/>
      <c r="TH68" s="144"/>
      <c r="TI68" s="144"/>
      <c r="TJ68" s="144"/>
      <c r="TK68" s="144"/>
      <c r="TL68" s="157"/>
      <c r="TM68" s="157"/>
      <c r="TN68" s="157"/>
      <c r="TO68" s="157"/>
      <c r="TP68" s="157"/>
      <c r="TQ68" s="157"/>
      <c r="TR68" s="157"/>
      <c r="TS68" s="157"/>
      <c r="TT68" s="157"/>
      <c r="TU68" s="158"/>
      <c r="TV68" s="157"/>
      <c r="TW68" s="158"/>
      <c r="TX68" s="144"/>
      <c r="TY68" s="144"/>
      <c r="TZ68" s="144"/>
      <c r="UA68" s="84"/>
      <c r="UB68" s="144"/>
      <c r="UC68" s="144"/>
      <c r="UD68" s="144"/>
      <c r="UE68" s="144"/>
      <c r="UF68" s="157"/>
      <c r="UG68" s="157"/>
      <c r="UH68" s="157"/>
      <c r="UI68" s="157"/>
      <c r="UJ68" s="157"/>
      <c r="UK68" s="157"/>
      <c r="UL68" s="157"/>
      <c r="UM68" s="157"/>
      <c r="UN68" s="157"/>
      <c r="UO68" s="157"/>
      <c r="UP68" s="157"/>
      <c r="UQ68" s="158"/>
      <c r="UR68" s="157"/>
      <c r="US68" s="158"/>
      <c r="UT68" s="144"/>
      <c r="UU68" s="144"/>
      <c r="UV68" s="144"/>
      <c r="UW68" s="144"/>
      <c r="UX68" s="144"/>
      <c r="UY68" s="144"/>
      <c r="UZ68" s="144"/>
      <c r="VA68" s="144"/>
      <c r="VB68" s="157"/>
      <c r="VC68" s="157"/>
      <c r="VD68" s="157"/>
      <c r="VE68" s="157"/>
      <c r="VF68" s="157"/>
      <c r="VG68" s="157"/>
      <c r="VH68" s="157"/>
      <c r="VI68" s="157"/>
      <c r="VJ68" s="157"/>
      <c r="VK68" s="157"/>
      <c r="VL68" s="157"/>
      <c r="VM68" s="157"/>
      <c r="VN68" s="157"/>
      <c r="VO68" s="157"/>
      <c r="VP68" s="144"/>
      <c r="VQ68" s="144"/>
      <c r="VR68" s="84"/>
      <c r="VS68" s="84"/>
      <c r="VT68" s="53"/>
      <c r="VU68" s="53"/>
    </row>
    <row r="69" ht="15.75" hidden="1" spans="1:1024 1025:16384">
      <c r="A69" s="53"/>
      <c r="B69" s="53"/>
      <c r="C69" s="327" t="s">
        <v>169</v>
      </c>
      <c r="D69" s="327"/>
      <c r="E69" s="327"/>
      <c r="F69" s="327"/>
      <c r="G69" s="161"/>
      <c r="H69" s="161"/>
      <c r="I69" s="161"/>
      <c r="J69" s="161"/>
      <c r="K69" s="179"/>
      <c r="L69" s="328"/>
      <c r="M69" s="162"/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3"/>
      <c r="AB69" s="293"/>
      <c r="AC69" s="293"/>
      <c r="AD69" s="293"/>
      <c r="AE69" s="293"/>
      <c r="AF69" s="293"/>
      <c r="AG69" s="293"/>
      <c r="AH69" s="293"/>
      <c r="AI69" s="53"/>
      <c r="AJ69" s="327" t="s">
        <v>169</v>
      </c>
      <c r="AK69" s="327"/>
      <c r="AL69" s="327"/>
      <c r="AM69" s="327"/>
      <c r="AN69" s="161"/>
      <c r="AO69" s="161"/>
      <c r="AP69" s="161"/>
      <c r="AQ69" s="161"/>
      <c r="AR69" s="179"/>
      <c r="AS69" s="328"/>
      <c r="AT69" s="162"/>
      <c r="AU69" s="293"/>
      <c r="AV69" s="293"/>
      <c r="AW69" s="293"/>
      <c r="AX69" s="293"/>
      <c r="AY69" s="293"/>
      <c r="AZ69" s="293"/>
      <c r="BA69" s="293"/>
      <c r="BB69" s="293"/>
      <c r="BC69" s="293"/>
      <c r="BD69" s="293"/>
      <c r="BE69" s="293"/>
      <c r="BF69" s="293"/>
      <c r="BG69" s="293"/>
      <c r="BH69" s="293"/>
      <c r="BI69" s="293"/>
      <c r="BJ69" s="293"/>
      <c r="BK69" s="293"/>
      <c r="BL69" s="293"/>
      <c r="BM69" s="293"/>
      <c r="BN69" s="293"/>
      <c r="BO69" s="293"/>
      <c r="BP69" s="53"/>
      <c r="BQ69" s="327" t="s">
        <v>169</v>
      </c>
      <c r="BR69" s="327"/>
      <c r="BS69" s="327"/>
      <c r="BT69" s="327"/>
      <c r="BU69" s="161"/>
      <c r="BV69" s="161"/>
      <c r="BW69" s="161"/>
      <c r="BX69" s="161"/>
      <c r="BY69" s="179"/>
      <c r="BZ69" s="328"/>
      <c r="CA69" s="162"/>
      <c r="CB69" s="293"/>
      <c r="CC69" s="293"/>
      <c r="CD69" s="293"/>
      <c r="CE69" s="293"/>
      <c r="CF69" s="293"/>
      <c r="CG69" s="293"/>
      <c r="CH69" s="293"/>
      <c r="CI69" s="293"/>
      <c r="CJ69" s="293"/>
      <c r="CK69" s="293"/>
      <c r="CL69" s="293"/>
      <c r="CM69" s="293"/>
      <c r="CN69" s="293"/>
      <c r="CO69" s="293"/>
      <c r="CP69" s="293"/>
      <c r="CQ69" s="293"/>
      <c r="CR69" s="293"/>
      <c r="CS69" s="293"/>
      <c r="CT69" s="293"/>
      <c r="CU69" s="293"/>
      <c r="CV69" s="293"/>
      <c r="CW69" s="53"/>
      <c r="CX69" s="327" t="s">
        <v>169</v>
      </c>
      <c r="CY69" s="327"/>
      <c r="CZ69" s="327"/>
      <c r="DA69" s="327"/>
      <c r="DB69" s="161"/>
      <c r="DC69" s="161"/>
      <c r="DD69" s="161"/>
      <c r="DE69" s="161"/>
      <c r="DF69" s="179"/>
      <c r="DG69" s="328"/>
      <c r="DH69" s="162"/>
      <c r="DI69" s="293"/>
      <c r="DJ69" s="293"/>
      <c r="DK69" s="293"/>
      <c r="DL69" s="293"/>
      <c r="DM69" s="293"/>
      <c r="DN69" s="293"/>
      <c r="DO69" s="293"/>
      <c r="DP69" s="293"/>
      <c r="DQ69" s="293"/>
      <c r="DR69" s="293"/>
      <c r="DS69" s="293"/>
      <c r="DT69" s="293"/>
      <c r="DU69" s="293"/>
      <c r="DV69" s="293"/>
      <c r="DW69" s="293"/>
      <c r="DX69" s="293"/>
      <c r="DY69" s="293"/>
      <c r="DZ69" s="293"/>
      <c r="EA69" s="293"/>
      <c r="EB69" s="293"/>
      <c r="EC69" s="293"/>
      <c r="ED69" s="53"/>
      <c r="EE69" s="329" t="s">
        <v>169</v>
      </c>
      <c r="EF69" s="329"/>
      <c r="EG69" s="329"/>
      <c r="EH69" s="329"/>
      <c r="EI69" s="330"/>
      <c r="EJ69" s="330"/>
      <c r="EK69" s="330"/>
      <c r="EL69" s="330"/>
      <c r="EM69" s="331"/>
      <c r="EN69" s="332"/>
      <c r="EO69" s="333"/>
      <c r="EP69" s="53"/>
      <c r="EQ69" s="53"/>
      <c r="ER69" s="192"/>
      <c r="ES69" s="192"/>
      <c r="ET69" s="192"/>
      <c r="EU69" s="192"/>
      <c r="EV69" s="192"/>
      <c r="EW69" s="192"/>
      <c r="EX69" s="192"/>
      <c r="EY69" s="192"/>
      <c r="EZ69" s="192"/>
      <c r="FA69" s="192"/>
      <c r="FB69" s="192"/>
      <c r="FC69" s="192"/>
      <c r="FD69" s="192"/>
      <c r="FE69" s="192"/>
      <c r="FF69" s="192"/>
      <c r="FG69" s="192"/>
      <c r="FH69" s="192"/>
      <c r="FI69" s="192"/>
      <c r="FJ69" s="192"/>
      <c r="FK69" s="53"/>
      <c r="FL69" s="53"/>
      <c r="FM69" s="53"/>
      <c r="FN69" s="329" t="s">
        <v>169</v>
      </c>
      <c r="FO69" s="329"/>
      <c r="FP69" s="329"/>
      <c r="FQ69" s="329"/>
      <c r="FR69" s="330"/>
      <c r="FS69" s="330"/>
      <c r="FT69" s="330"/>
      <c r="FU69" s="330"/>
      <c r="FV69" s="331"/>
      <c r="FW69" s="332"/>
      <c r="FX69" s="333"/>
      <c r="FY69" s="53"/>
      <c r="FZ69" s="192"/>
      <c r="GA69" s="192"/>
      <c r="GB69" s="192"/>
      <c r="GC69" s="192"/>
      <c r="GD69" s="192"/>
      <c r="GE69" s="192"/>
      <c r="GF69" s="192"/>
      <c r="GG69" s="192"/>
      <c r="GH69" s="192"/>
      <c r="GI69" s="192"/>
      <c r="GJ69" s="192"/>
      <c r="GK69" s="192"/>
      <c r="GL69" s="192"/>
      <c r="GM69" s="192"/>
      <c r="GN69" s="192"/>
      <c r="GO69" s="192"/>
      <c r="GP69" s="192"/>
      <c r="GQ69" s="192"/>
      <c r="GR69" s="192"/>
      <c r="GS69" s="192"/>
      <c r="GT69" s="53"/>
      <c r="GU69" s="53"/>
      <c r="GV69" s="329" t="s">
        <v>169</v>
      </c>
      <c r="GW69" s="329"/>
      <c r="GX69" s="329"/>
      <c r="GY69" s="329"/>
      <c r="GZ69" s="330"/>
      <c r="HA69" s="330"/>
      <c r="HB69" s="330"/>
      <c r="HC69" s="330"/>
      <c r="HD69" s="331"/>
      <c r="HE69" s="332"/>
      <c r="HF69" s="333"/>
      <c r="HI69" s="192"/>
      <c r="HJ69" s="192"/>
      <c r="HK69" s="192"/>
      <c r="HL69" s="192"/>
      <c r="HM69" s="192"/>
      <c r="HN69" s="192"/>
      <c r="HO69" s="192"/>
      <c r="HP69" s="192"/>
      <c r="HQ69" s="192"/>
      <c r="HR69" s="192"/>
      <c r="HS69" s="192"/>
      <c r="HT69" s="192"/>
      <c r="HU69" s="192"/>
      <c r="HV69" s="192"/>
      <c r="HW69" s="192"/>
      <c r="HX69" s="192"/>
      <c r="HY69" s="192"/>
      <c r="HZ69" s="192"/>
      <c r="IA69" s="192"/>
      <c r="IB69" s="53"/>
      <c r="IC69" s="53"/>
      <c r="ID69" s="329" t="s">
        <v>169</v>
      </c>
      <c r="IE69" s="329"/>
      <c r="IF69" s="329"/>
      <c r="IG69" s="329"/>
      <c r="IH69" s="330"/>
      <c r="II69" s="330"/>
      <c r="IJ69" s="330"/>
      <c r="IK69" s="330"/>
      <c r="IL69" s="331"/>
      <c r="IM69" s="332"/>
      <c r="IN69" s="333"/>
      <c r="IP69" s="11"/>
      <c r="IQ69" s="192"/>
      <c r="IR69" s="192"/>
      <c r="IS69" s="192"/>
      <c r="IT69" s="192"/>
      <c r="IU69" s="192"/>
      <c r="IV69" s="192"/>
      <c r="IW69" s="192"/>
      <c r="IX69" s="192"/>
      <c r="IY69" s="192"/>
      <c r="IZ69" s="192"/>
      <c r="JA69" s="192"/>
      <c r="JB69" s="192"/>
      <c r="JC69" s="192"/>
      <c r="JD69" s="192"/>
      <c r="JE69" s="192"/>
      <c r="JF69" s="192"/>
      <c r="JG69" s="192"/>
      <c r="JH69" s="192"/>
      <c r="JI69" s="192"/>
      <c r="JJ69" s="53"/>
      <c r="JK69" s="53"/>
      <c r="JL69" s="329" t="s">
        <v>169</v>
      </c>
      <c r="JM69" s="329"/>
      <c r="JN69" s="329"/>
      <c r="JO69" s="329"/>
      <c r="JP69" s="330"/>
      <c r="JQ69" s="330"/>
      <c r="JR69" s="330"/>
      <c r="JS69" s="330"/>
      <c r="JT69" s="331"/>
      <c r="JU69" s="332"/>
      <c r="JX69" s="192"/>
      <c r="JY69" s="192"/>
      <c r="JZ69" s="192"/>
      <c r="KA69" s="192"/>
      <c r="KB69" s="192"/>
      <c r="KC69" s="192"/>
      <c r="KD69" s="192"/>
      <c r="KE69" s="192"/>
      <c r="KF69" s="192"/>
      <c r="KG69" s="192"/>
      <c r="KH69" s="192"/>
      <c r="KI69" s="192"/>
      <c r="KJ69" s="192"/>
      <c r="KK69" s="192"/>
      <c r="KL69" s="192"/>
      <c r="KM69" s="192"/>
      <c r="KN69" s="192"/>
      <c r="KO69" s="192"/>
      <c r="KP69" s="192"/>
      <c r="KQ69" s="192"/>
      <c r="KR69" s="53"/>
      <c r="KS69" s="53"/>
      <c r="KT69" s="329" t="s">
        <v>169</v>
      </c>
      <c r="KU69" s="329"/>
      <c r="KV69" s="329"/>
      <c r="KW69" s="329"/>
      <c r="KX69" s="330"/>
      <c r="KY69" s="330"/>
      <c r="KZ69" s="330"/>
      <c r="LA69" s="330"/>
      <c r="LB69" s="334"/>
      <c r="LC69" s="335"/>
      <c r="LF69" s="11"/>
      <c r="LG69" s="192"/>
      <c r="LH69" s="192"/>
      <c r="LI69" s="192"/>
      <c r="LJ69" s="192"/>
      <c r="LK69" s="192"/>
      <c r="LL69" s="192"/>
      <c r="LM69" s="192"/>
      <c r="LN69" s="192"/>
      <c r="LO69" s="192"/>
      <c r="LP69" s="192"/>
      <c r="LQ69" s="192"/>
      <c r="LR69" s="192"/>
      <c r="LS69" s="192"/>
      <c r="LT69" s="192"/>
      <c r="LU69" s="192"/>
      <c r="LV69" s="192"/>
      <c r="LW69" s="192"/>
      <c r="LX69" s="192"/>
      <c r="LY69" s="192"/>
      <c r="LZ69" s="192"/>
      <c r="MA69" s="192"/>
      <c r="MB69" s="329" t="s">
        <v>169</v>
      </c>
      <c r="MC69" s="329"/>
      <c r="MD69" s="329"/>
      <c r="ME69" s="329"/>
      <c r="MF69" s="330"/>
      <c r="MG69" s="330"/>
      <c r="MH69" s="330"/>
      <c r="MI69" s="330"/>
      <c r="MJ69" s="334"/>
      <c r="MK69" s="335"/>
      <c r="MO69" s="192"/>
      <c r="MP69" s="192"/>
      <c r="MQ69" s="192"/>
      <c r="MR69" s="192"/>
      <c r="MS69" s="192"/>
      <c r="MT69" s="192"/>
      <c r="MU69" s="192"/>
      <c r="MV69" s="192"/>
      <c r="MW69" s="192"/>
      <c r="MX69" s="192"/>
      <c r="MY69" s="192"/>
      <c r="MZ69" s="192"/>
      <c r="NA69" s="192"/>
      <c r="NB69" s="192"/>
      <c r="NC69" s="192"/>
      <c r="ND69" s="192"/>
      <c r="NE69" s="192"/>
      <c r="NF69" s="192"/>
      <c r="NG69" s="192"/>
      <c r="NH69" s="53"/>
      <c r="NI69" s="53"/>
      <c r="NJ69" s="329" t="s">
        <v>169</v>
      </c>
      <c r="NK69" s="329">
        <f t="shared" si="747"/>
        <v>2</v>
      </c>
      <c r="NL69" s="329">
        <f t="shared" si="748"/>
        <v>28</v>
      </c>
      <c r="NM69" s="329">
        <f t="shared" ref="NM69:NP69" si="795">NP21</f>
        <v>451</v>
      </c>
      <c r="NN69" s="330">
        <f t="shared" si="795"/>
        <v>113358</v>
      </c>
      <c r="NO69" s="330">
        <f t="shared" si="795"/>
        <v>153455</v>
      </c>
      <c r="NP69" s="330">
        <f t="shared" si="795"/>
        <v>91168</v>
      </c>
      <c r="NQ69" s="330">
        <f t="shared" si="736"/>
        <v>62287</v>
      </c>
      <c r="NR69" s="334">
        <f t="shared" si="737"/>
        <v>0.40589749437946</v>
      </c>
      <c r="NS69" s="335">
        <f t="shared" si="738"/>
        <v>340.254988913525</v>
      </c>
      <c r="NT69" s="46"/>
      <c r="NU69" s="46"/>
      <c r="NV69" s="46"/>
      <c r="NW69" s="53"/>
      <c r="NX69" s="53"/>
      <c r="NY69" s="53"/>
      <c r="NZ69" s="53"/>
      <c r="OA69" s="53"/>
      <c r="OB69" s="53"/>
      <c r="OC69" s="53"/>
      <c r="OD69" s="53"/>
      <c r="OE69" s="53"/>
      <c r="OF69" s="53"/>
      <c r="OG69" s="53"/>
      <c r="OH69" s="53"/>
      <c r="OI69" s="53"/>
      <c r="OJ69" s="53"/>
      <c r="OK69" s="53"/>
      <c r="OL69" s="53"/>
      <c r="OM69" s="53"/>
      <c r="ON69" s="53"/>
      <c r="OO69" s="53"/>
      <c r="OP69" s="53"/>
      <c r="OQ69" s="53"/>
      <c r="OR69" s="53"/>
      <c r="OS69" s="336" t="s">
        <v>169</v>
      </c>
      <c r="OT69" s="336">
        <f t="shared" si="750"/>
        <v>2</v>
      </c>
      <c r="OU69" s="336">
        <f t="shared" si="751"/>
        <v>35</v>
      </c>
      <c r="OV69" s="172">
        <f t="shared" si="752"/>
        <v>592</v>
      </c>
      <c r="OW69" s="172">
        <f t="shared" si="753"/>
        <v>159471</v>
      </c>
      <c r="OX69" s="172">
        <v>276566</v>
      </c>
      <c r="OY69" s="172">
        <v>153941</v>
      </c>
      <c r="OZ69" s="171">
        <f t="shared" si="740"/>
        <v>122625</v>
      </c>
      <c r="PA69" s="337">
        <f t="shared" si="741"/>
        <v>0.443384219318354</v>
      </c>
      <c r="PB69" s="170">
        <f t="shared" si="742"/>
        <v>467.172297297297</v>
      </c>
      <c r="PC69" s="144"/>
      <c r="PD69" s="144"/>
      <c r="PE69" s="144"/>
      <c r="PF69" s="144"/>
      <c r="PG69" s="144"/>
      <c r="PH69" s="144"/>
      <c r="PI69" s="144"/>
      <c r="PJ69" s="144"/>
      <c r="PK69" s="144"/>
      <c r="PL69" s="144"/>
      <c r="PM69" s="144"/>
      <c r="PN69" s="144"/>
      <c r="PO69" s="144"/>
      <c r="PP69" s="144"/>
      <c r="PQ69" s="144"/>
      <c r="PR69" s="144"/>
      <c r="PS69" s="144"/>
      <c r="PT69" s="146"/>
      <c r="PU69" s="336" t="s">
        <v>169</v>
      </c>
      <c r="PV69" s="336">
        <f t="shared" si="754"/>
        <v>2</v>
      </c>
      <c r="PW69" s="336">
        <f t="shared" si="755"/>
        <v>43</v>
      </c>
      <c r="PX69" s="172">
        <f t="shared" ref="PX69:QA69" si="796">PY21</f>
        <v>486</v>
      </c>
      <c r="PY69" s="172">
        <f t="shared" si="796"/>
        <v>140102</v>
      </c>
      <c r="PZ69" s="172">
        <f t="shared" si="796"/>
        <v>188082</v>
      </c>
      <c r="QA69" s="172">
        <f t="shared" si="796"/>
        <v>115235</v>
      </c>
      <c r="QB69" s="171">
        <f t="shared" si="744"/>
        <v>72847</v>
      </c>
      <c r="QC69" s="337">
        <f t="shared" si="745"/>
        <v>0.387315107240459</v>
      </c>
      <c r="QD69" s="170">
        <f t="shared" si="746"/>
        <v>387</v>
      </c>
      <c r="QE69" s="146"/>
      <c r="QF69" s="146"/>
      <c r="QG69" s="146"/>
      <c r="QH69" s="146"/>
      <c r="QI69" s="146"/>
      <c r="QJ69" s="146"/>
      <c r="QK69" s="146"/>
      <c r="QL69" s="146"/>
      <c r="QM69" s="146"/>
      <c r="QN69" s="146"/>
      <c r="QO69" s="146"/>
      <c r="QP69" s="146"/>
      <c r="QQ69" s="146"/>
      <c r="QR69" s="146"/>
      <c r="QS69" s="144"/>
      <c r="QT69" s="144"/>
      <c r="QU69" s="144"/>
      <c r="QV69" s="144"/>
      <c r="QW69" s="144"/>
      <c r="QX69" s="144"/>
      <c r="QY69" s="144"/>
      <c r="QZ69" s="144"/>
      <c r="RA69" s="144"/>
      <c r="RB69" s="144"/>
      <c r="RC69" s="144"/>
      <c r="RD69" s="144"/>
      <c r="RE69" s="144"/>
      <c r="RF69" s="144"/>
      <c r="RG69" s="144"/>
      <c r="RH69" s="144"/>
      <c r="RI69" s="144"/>
      <c r="RJ69" s="144"/>
      <c r="RK69" s="144"/>
      <c r="RL69" s="144"/>
      <c r="RM69" s="144"/>
      <c r="RN69" s="144"/>
      <c r="RO69" s="144"/>
      <c r="RP69" s="144"/>
      <c r="RQ69" s="144"/>
      <c r="RR69" s="144"/>
      <c r="RS69" s="144"/>
      <c r="RT69" s="144"/>
      <c r="RU69" s="144"/>
      <c r="RV69" s="144"/>
      <c r="RW69" s="144"/>
      <c r="RX69" s="144"/>
      <c r="RY69" s="144"/>
      <c r="RZ69" s="144"/>
      <c r="SA69" s="144"/>
      <c r="SB69" s="144"/>
      <c r="SC69" s="144"/>
      <c r="SD69" s="144"/>
      <c r="SE69" s="144"/>
      <c r="SF69" s="144"/>
      <c r="SG69" s="144"/>
      <c r="SH69" s="144"/>
      <c r="SI69" s="144"/>
      <c r="SJ69" s="144"/>
      <c r="SK69" s="144"/>
      <c r="SL69" s="144"/>
      <c r="SM69" s="84"/>
      <c r="SN69" s="84"/>
      <c r="SO69" s="154"/>
      <c r="SP69" s="154"/>
      <c r="SQ69" s="154"/>
      <c r="SR69" s="154"/>
      <c r="SS69" s="154"/>
      <c r="ST69" s="154"/>
      <c r="SU69" s="155"/>
      <c r="SV69" s="154"/>
      <c r="SW69" s="154"/>
      <c r="SX69" s="155"/>
      <c r="SY69" s="155"/>
      <c r="SZ69" s="155"/>
      <c r="TA69" s="155"/>
      <c r="TB69" s="155"/>
      <c r="TC69" s="155"/>
      <c r="TD69" s="155"/>
      <c r="TE69" s="156"/>
      <c r="TF69" s="144"/>
      <c r="TG69" s="84"/>
      <c r="TH69" s="144"/>
      <c r="TI69" s="144"/>
      <c r="TJ69" s="144"/>
      <c r="TK69" s="144"/>
      <c r="TL69" s="157"/>
      <c r="TM69" s="157"/>
      <c r="TN69" s="157"/>
      <c r="TO69" s="157"/>
      <c r="TP69" s="157"/>
      <c r="TQ69" s="157"/>
      <c r="TR69" s="157"/>
      <c r="TS69" s="157"/>
      <c r="TT69" s="157"/>
      <c r="TU69" s="158"/>
      <c r="TV69" s="157"/>
      <c r="TW69" s="158"/>
      <c r="TX69" s="144"/>
      <c r="TY69" s="144"/>
      <c r="TZ69" s="144"/>
      <c r="UA69" s="84"/>
      <c r="UB69" s="144"/>
      <c r="UC69" s="144"/>
      <c r="UD69" s="144"/>
      <c r="UE69" s="144"/>
      <c r="UF69" s="157"/>
      <c r="UG69" s="157"/>
      <c r="UH69" s="157"/>
      <c r="UI69" s="157"/>
      <c r="UJ69" s="157"/>
      <c r="UK69" s="157"/>
      <c r="UL69" s="157"/>
      <c r="UM69" s="157"/>
      <c r="UN69" s="157"/>
      <c r="UO69" s="157"/>
      <c r="UP69" s="157"/>
      <c r="UQ69" s="158"/>
      <c r="UR69" s="157"/>
      <c r="US69" s="158"/>
      <c r="UT69" s="144"/>
      <c r="UU69" s="144"/>
      <c r="UV69" s="144"/>
      <c r="UW69" s="144"/>
      <c r="UX69" s="144"/>
      <c r="UY69" s="144"/>
      <c r="UZ69" s="144"/>
      <c r="VA69" s="144"/>
      <c r="VB69" s="157"/>
      <c r="VC69" s="157"/>
      <c r="VD69" s="157"/>
      <c r="VE69" s="157"/>
      <c r="VF69" s="157"/>
      <c r="VG69" s="157"/>
      <c r="VH69" s="157"/>
      <c r="VI69" s="157"/>
      <c r="VJ69" s="157"/>
      <c r="VK69" s="157"/>
      <c r="VL69" s="157"/>
      <c r="VM69" s="157"/>
      <c r="VN69" s="157"/>
      <c r="VO69" s="157"/>
      <c r="VP69" s="144"/>
      <c r="VQ69" s="144"/>
      <c r="VR69" s="84"/>
      <c r="VS69" s="84"/>
      <c r="VT69" s="53"/>
      <c r="VU69" s="53"/>
    </row>
    <row r="70" ht="15.75" hidden="1" spans="1:1024 1025:16384">
      <c r="A70" s="53"/>
      <c r="B70" s="53"/>
      <c r="C70" s="327" t="s">
        <v>172</v>
      </c>
      <c r="D70" s="327"/>
      <c r="E70" s="327"/>
      <c r="F70" s="327"/>
      <c r="G70" s="161"/>
      <c r="H70" s="161"/>
      <c r="I70" s="161"/>
      <c r="J70" s="161"/>
      <c r="K70" s="179"/>
      <c r="L70" s="328"/>
      <c r="M70" s="162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3"/>
      <c r="AB70" s="293"/>
      <c r="AC70" s="293"/>
      <c r="AD70" s="293"/>
      <c r="AE70" s="293"/>
      <c r="AF70" s="293"/>
      <c r="AG70" s="293"/>
      <c r="AH70" s="293"/>
      <c r="AI70" s="53"/>
      <c r="AJ70" s="327" t="s">
        <v>172</v>
      </c>
      <c r="AK70" s="327"/>
      <c r="AL70" s="327"/>
      <c r="AM70" s="327"/>
      <c r="AN70" s="161"/>
      <c r="AO70" s="161"/>
      <c r="AP70" s="161"/>
      <c r="AQ70" s="161"/>
      <c r="AR70" s="179"/>
      <c r="AS70" s="328"/>
      <c r="AT70" s="162"/>
      <c r="AU70" s="293"/>
      <c r="AV70" s="293"/>
      <c r="AW70" s="293"/>
      <c r="AX70" s="293"/>
      <c r="AY70" s="293"/>
      <c r="AZ70" s="293"/>
      <c r="BA70" s="293"/>
      <c r="BB70" s="293"/>
      <c r="BC70" s="293"/>
      <c r="BD70" s="293"/>
      <c r="BE70" s="293"/>
      <c r="BF70" s="293"/>
      <c r="BG70" s="293"/>
      <c r="BH70" s="293"/>
      <c r="BI70" s="293"/>
      <c r="BJ70" s="293"/>
      <c r="BK70" s="293"/>
      <c r="BL70" s="293"/>
      <c r="BM70" s="293"/>
      <c r="BN70" s="293"/>
      <c r="BO70" s="293"/>
      <c r="BP70" s="53"/>
      <c r="BQ70" s="327" t="s">
        <v>172</v>
      </c>
      <c r="BR70" s="327"/>
      <c r="BS70" s="327"/>
      <c r="BT70" s="327"/>
      <c r="BU70" s="161"/>
      <c r="BV70" s="161"/>
      <c r="BW70" s="161"/>
      <c r="BX70" s="161"/>
      <c r="BY70" s="179"/>
      <c r="BZ70" s="328"/>
      <c r="CA70" s="162"/>
      <c r="CB70" s="293"/>
      <c r="CC70" s="293"/>
      <c r="CD70" s="293"/>
      <c r="CE70" s="293"/>
      <c r="CF70" s="293"/>
      <c r="CG70" s="293"/>
      <c r="CH70" s="293"/>
      <c r="CI70" s="293"/>
      <c r="CJ70" s="293"/>
      <c r="CK70" s="293"/>
      <c r="CL70" s="293"/>
      <c r="CM70" s="293"/>
      <c r="CN70" s="293"/>
      <c r="CO70" s="293"/>
      <c r="CP70" s="293"/>
      <c r="CQ70" s="293"/>
      <c r="CR70" s="293"/>
      <c r="CS70" s="293"/>
      <c r="CT70" s="293"/>
      <c r="CU70" s="293"/>
      <c r="CV70" s="293"/>
      <c r="CW70" s="53"/>
      <c r="CX70" s="327" t="s">
        <v>172</v>
      </c>
      <c r="CY70" s="327"/>
      <c r="CZ70" s="327"/>
      <c r="DA70" s="327"/>
      <c r="DB70" s="161"/>
      <c r="DC70" s="161"/>
      <c r="DD70" s="161"/>
      <c r="DE70" s="161"/>
      <c r="DF70" s="179"/>
      <c r="DG70" s="328"/>
      <c r="DH70" s="162"/>
      <c r="DI70" s="293"/>
      <c r="DJ70" s="293"/>
      <c r="DK70" s="293"/>
      <c r="DL70" s="293"/>
      <c r="DM70" s="293"/>
      <c r="DN70" s="293"/>
      <c r="DO70" s="293"/>
      <c r="DP70" s="293"/>
      <c r="DQ70" s="293"/>
      <c r="DR70" s="293"/>
      <c r="DS70" s="293"/>
      <c r="DT70" s="293"/>
      <c r="DU70" s="293"/>
      <c r="DV70" s="293"/>
      <c r="DW70" s="293"/>
      <c r="DX70" s="293"/>
      <c r="DY70" s="293"/>
      <c r="DZ70" s="293"/>
      <c r="EA70" s="293"/>
      <c r="EB70" s="293"/>
      <c r="EC70" s="293"/>
      <c r="ED70" s="53"/>
      <c r="EE70" s="329" t="s">
        <v>172</v>
      </c>
      <c r="EF70" s="329"/>
      <c r="EG70" s="329"/>
      <c r="EH70" s="329"/>
      <c r="EI70" s="330"/>
      <c r="EJ70" s="330"/>
      <c r="EK70" s="330"/>
      <c r="EL70" s="330"/>
      <c r="EM70" s="331"/>
      <c r="EN70" s="332"/>
      <c r="EO70" s="333"/>
      <c r="EP70" s="53"/>
      <c r="EQ70" s="53"/>
      <c r="ER70" s="192"/>
      <c r="ES70" s="192"/>
      <c r="ET70" s="192"/>
      <c r="EU70" s="192"/>
      <c r="EV70" s="192"/>
      <c r="EW70" s="192"/>
      <c r="EX70" s="192"/>
      <c r="EY70" s="192"/>
      <c r="EZ70" s="192"/>
      <c r="FA70" s="192"/>
      <c r="FB70" s="192"/>
      <c r="FC70" s="192"/>
      <c r="FD70" s="192"/>
      <c r="FE70" s="192"/>
      <c r="FF70" s="192"/>
      <c r="FG70" s="192"/>
      <c r="FH70" s="192"/>
      <c r="FI70" s="192"/>
      <c r="FJ70" s="192"/>
      <c r="FK70" s="53"/>
      <c r="FL70" s="53"/>
      <c r="FM70" s="53"/>
      <c r="FN70" s="329" t="s">
        <v>172</v>
      </c>
      <c r="FO70" s="329"/>
      <c r="FP70" s="329"/>
      <c r="FQ70" s="329"/>
      <c r="FR70" s="330"/>
      <c r="FS70" s="330"/>
      <c r="FT70" s="330"/>
      <c r="FU70" s="330"/>
      <c r="FV70" s="331"/>
      <c r="FW70" s="332"/>
      <c r="FX70" s="333"/>
      <c r="FY70" s="53"/>
      <c r="FZ70" s="192"/>
      <c r="GA70" s="192"/>
      <c r="GB70" s="192"/>
      <c r="GC70" s="192"/>
      <c r="GD70" s="192"/>
      <c r="GE70" s="192"/>
      <c r="GF70" s="192"/>
      <c r="GG70" s="192"/>
      <c r="GH70" s="192"/>
      <c r="GI70" s="192"/>
      <c r="GJ70" s="192"/>
      <c r="GK70" s="192"/>
      <c r="GL70" s="192"/>
      <c r="GM70" s="192"/>
      <c r="GN70" s="192"/>
      <c r="GO70" s="192"/>
      <c r="GP70" s="192"/>
      <c r="GQ70" s="192"/>
      <c r="GR70" s="192"/>
      <c r="GS70" s="192"/>
      <c r="GT70" s="53"/>
      <c r="GU70" s="53"/>
      <c r="GV70" s="329" t="s">
        <v>172</v>
      </c>
      <c r="GW70" s="329"/>
      <c r="GX70" s="329"/>
      <c r="GY70" s="329"/>
      <c r="GZ70" s="330"/>
      <c r="HA70" s="330"/>
      <c r="HB70" s="330"/>
      <c r="HC70" s="330"/>
      <c r="HD70" s="331"/>
      <c r="HE70" s="332"/>
      <c r="HF70" s="333"/>
      <c r="HI70" s="192"/>
      <c r="HJ70" s="192"/>
      <c r="HK70" s="192"/>
      <c r="HL70" s="192"/>
      <c r="HM70" s="192"/>
      <c r="HN70" s="192"/>
      <c r="HO70" s="192"/>
      <c r="HP70" s="192"/>
      <c r="HQ70" s="192"/>
      <c r="HR70" s="192"/>
      <c r="HS70" s="192"/>
      <c r="HT70" s="192"/>
      <c r="HU70" s="192"/>
      <c r="HV70" s="192"/>
      <c r="HW70" s="192"/>
      <c r="HX70" s="192"/>
      <c r="HY70" s="192"/>
      <c r="HZ70" s="192"/>
      <c r="IA70" s="192"/>
      <c r="IB70" s="53"/>
      <c r="IC70" s="53"/>
      <c r="ID70" s="329" t="s">
        <v>172</v>
      </c>
      <c r="IE70" s="329"/>
      <c r="IF70" s="329"/>
      <c r="IG70" s="329"/>
      <c r="IH70" s="330"/>
      <c r="II70" s="330"/>
      <c r="IJ70" s="330"/>
      <c r="IK70" s="330"/>
      <c r="IL70" s="331"/>
      <c r="IM70" s="332"/>
      <c r="IN70" s="333"/>
      <c r="IP70" s="11"/>
      <c r="IQ70" s="192"/>
      <c r="IR70" s="192"/>
      <c r="IS70" s="192"/>
      <c r="IT70" s="192"/>
      <c r="IU70" s="192"/>
      <c r="IV70" s="192"/>
      <c r="IW70" s="192"/>
      <c r="IX70" s="192"/>
      <c r="IY70" s="192"/>
      <c r="IZ70" s="192"/>
      <c r="JA70" s="192"/>
      <c r="JB70" s="192"/>
      <c r="JC70" s="192"/>
      <c r="JD70" s="192"/>
      <c r="JE70" s="192"/>
      <c r="JF70" s="192"/>
      <c r="JG70" s="192"/>
      <c r="JH70" s="192"/>
      <c r="JI70" s="192"/>
      <c r="JJ70" s="53"/>
      <c r="JK70" s="53"/>
      <c r="JL70" s="329" t="s">
        <v>172</v>
      </c>
      <c r="JM70" s="329"/>
      <c r="JN70" s="329"/>
      <c r="JO70" s="329"/>
      <c r="JP70" s="330"/>
      <c r="JQ70" s="330"/>
      <c r="JR70" s="330"/>
      <c r="JS70" s="330"/>
      <c r="JT70" s="331"/>
      <c r="JU70" s="332"/>
      <c r="JX70" s="192"/>
      <c r="JY70" s="192"/>
      <c r="JZ70" s="192"/>
      <c r="KA70" s="192"/>
      <c r="KB70" s="192"/>
      <c r="KC70" s="192"/>
      <c r="KD70" s="192"/>
      <c r="KE70" s="192"/>
      <c r="KF70" s="192"/>
      <c r="KG70" s="192"/>
      <c r="KH70" s="192"/>
      <c r="KI70" s="192"/>
      <c r="KJ70" s="192"/>
      <c r="KK70" s="192"/>
      <c r="KL70" s="192"/>
      <c r="KM70" s="192"/>
      <c r="KN70" s="192"/>
      <c r="KO70" s="192"/>
      <c r="KP70" s="192"/>
      <c r="KQ70" s="192"/>
      <c r="KR70" s="53"/>
      <c r="KS70" s="53"/>
      <c r="KT70" s="329" t="s">
        <v>172</v>
      </c>
      <c r="KU70" s="329"/>
      <c r="KV70" s="329"/>
      <c r="KW70" s="329"/>
      <c r="KX70" s="330"/>
      <c r="KY70" s="330"/>
      <c r="KZ70" s="330"/>
      <c r="LA70" s="330"/>
      <c r="LB70" s="334"/>
      <c r="LC70" s="335"/>
      <c r="LF70" s="11"/>
      <c r="LG70" s="192"/>
      <c r="LH70" s="192"/>
      <c r="LI70" s="192"/>
      <c r="LJ70" s="192"/>
      <c r="LK70" s="192"/>
      <c r="LL70" s="192"/>
      <c r="LM70" s="192"/>
      <c r="LN70" s="192"/>
      <c r="LO70" s="192"/>
      <c r="LP70" s="192"/>
      <c r="LQ70" s="192"/>
      <c r="LR70" s="192"/>
      <c r="LS70" s="192"/>
      <c r="LT70" s="192"/>
      <c r="LU70" s="192"/>
      <c r="LV70" s="192"/>
      <c r="LW70" s="192"/>
      <c r="LX70" s="192"/>
      <c r="LY70" s="192"/>
      <c r="LZ70" s="192"/>
      <c r="MA70" s="192"/>
      <c r="MB70" s="329" t="s">
        <v>172</v>
      </c>
      <c r="MC70" s="329"/>
      <c r="MD70" s="329"/>
      <c r="ME70" s="329"/>
      <c r="MF70" s="330"/>
      <c r="MG70" s="330"/>
      <c r="MH70" s="330"/>
      <c r="MI70" s="330"/>
      <c r="MJ70" s="334"/>
      <c r="MK70" s="335"/>
      <c r="MO70" s="192"/>
      <c r="MP70" s="192"/>
      <c r="MQ70" s="192"/>
      <c r="MR70" s="192"/>
      <c r="MS70" s="192"/>
      <c r="MT70" s="192"/>
      <c r="MU70" s="192"/>
      <c r="MV70" s="192"/>
      <c r="MW70" s="192"/>
      <c r="MX70" s="192"/>
      <c r="MY70" s="192"/>
      <c r="MZ70" s="192"/>
      <c r="NA70" s="192"/>
      <c r="NB70" s="192"/>
      <c r="NC70" s="192"/>
      <c r="ND70" s="192"/>
      <c r="NE70" s="192"/>
      <c r="NF70" s="192"/>
      <c r="NG70" s="192"/>
      <c r="NH70" s="53"/>
      <c r="NI70" s="53"/>
      <c r="NJ70" s="329" t="s">
        <v>172</v>
      </c>
      <c r="NK70" s="329">
        <f t="shared" si="747"/>
        <v>1</v>
      </c>
      <c r="NL70" s="329">
        <f t="shared" si="748"/>
        <v>27</v>
      </c>
      <c r="NM70" s="329">
        <f t="shared" ref="NM70:NP70" si="797">NP22</f>
        <v>236</v>
      </c>
      <c r="NN70" s="330">
        <f t="shared" si="797"/>
        <v>56089</v>
      </c>
      <c r="NO70" s="330">
        <f t="shared" si="797"/>
        <v>82698</v>
      </c>
      <c r="NP70" s="330">
        <f t="shared" si="797"/>
        <v>53075</v>
      </c>
      <c r="NQ70" s="330">
        <f t="shared" si="736"/>
        <v>29623</v>
      </c>
      <c r="NR70" s="334">
        <f t="shared" si="737"/>
        <v>0.358206969938814</v>
      </c>
      <c r="NS70" s="335">
        <f t="shared" si="738"/>
        <v>350.415254237288</v>
      </c>
      <c r="NT70" s="46"/>
      <c r="NU70" s="46"/>
      <c r="NV70" s="46"/>
      <c r="NW70" s="53"/>
      <c r="NX70" s="53"/>
      <c r="NY70" s="53"/>
      <c r="NZ70" s="53"/>
      <c r="OA70" s="53"/>
      <c r="OB70" s="53"/>
      <c r="OC70" s="53"/>
      <c r="OD70" s="53"/>
      <c r="OE70" s="53"/>
      <c r="OF70" s="53"/>
      <c r="OG70" s="53"/>
      <c r="OH70" s="53"/>
      <c r="OI70" s="53"/>
      <c r="OJ70" s="53"/>
      <c r="OK70" s="53"/>
      <c r="OL70" s="53"/>
      <c r="OM70" s="53"/>
      <c r="ON70" s="53"/>
      <c r="OO70" s="53"/>
      <c r="OP70" s="53"/>
      <c r="OQ70" s="53"/>
      <c r="OR70" s="53"/>
      <c r="OS70" s="336" t="s">
        <v>172</v>
      </c>
      <c r="OT70" s="336">
        <f t="shared" si="750"/>
        <v>2</v>
      </c>
      <c r="OU70" s="336">
        <f t="shared" si="751"/>
        <v>32</v>
      </c>
      <c r="OV70" s="172">
        <f t="shared" si="752"/>
        <v>524</v>
      </c>
      <c r="OW70" s="172">
        <f t="shared" si="753"/>
        <v>142748</v>
      </c>
      <c r="OX70" s="172">
        <v>202847</v>
      </c>
      <c r="OY70" s="172">
        <v>122935</v>
      </c>
      <c r="OZ70" s="171">
        <f t="shared" si="740"/>
        <v>79912</v>
      </c>
      <c r="PA70" s="337">
        <f t="shared" si="741"/>
        <v>0.393952091970796</v>
      </c>
      <c r="PB70" s="170">
        <f t="shared" si="742"/>
        <v>387.112595419847</v>
      </c>
      <c r="PC70" s="144"/>
      <c r="PD70" s="144"/>
      <c r="PE70" s="144"/>
      <c r="PF70" s="144"/>
      <c r="PG70" s="144"/>
      <c r="PH70" s="144"/>
      <c r="PI70" s="144"/>
      <c r="PJ70" s="144"/>
      <c r="PK70" s="144"/>
      <c r="PL70" s="144"/>
      <c r="PM70" s="144"/>
      <c r="PN70" s="144"/>
      <c r="PO70" s="144"/>
      <c r="PP70" s="144"/>
      <c r="PQ70" s="144"/>
      <c r="PR70" s="144"/>
      <c r="PS70" s="144"/>
      <c r="PT70" s="146"/>
      <c r="PU70" s="336" t="s">
        <v>172</v>
      </c>
      <c r="PV70" s="336">
        <f t="shared" si="754"/>
        <v>2</v>
      </c>
      <c r="PW70" s="336">
        <f t="shared" si="755"/>
        <v>38</v>
      </c>
      <c r="PX70" s="172">
        <f t="shared" ref="PX70:QA70" si="798">PY22</f>
        <v>517</v>
      </c>
      <c r="PY70" s="172">
        <f t="shared" si="798"/>
        <v>173672</v>
      </c>
      <c r="PZ70" s="172">
        <f t="shared" si="798"/>
        <v>257611</v>
      </c>
      <c r="QA70" s="172">
        <f t="shared" si="798"/>
        <v>169780</v>
      </c>
      <c r="QB70" s="171">
        <f t="shared" si="744"/>
        <v>87831</v>
      </c>
      <c r="QC70" s="337">
        <f t="shared" si="745"/>
        <v>0.34094429197511</v>
      </c>
      <c r="QD70" s="170">
        <f t="shared" si="746"/>
        <v>498.280464216634</v>
      </c>
      <c r="QE70" s="146"/>
      <c r="QF70" s="146"/>
      <c r="QG70" s="146"/>
      <c r="QH70" s="146"/>
      <c r="QI70" s="146"/>
      <c r="QJ70" s="146"/>
      <c r="QK70" s="146"/>
      <c r="QL70" s="146"/>
      <c r="QM70" s="146"/>
      <c r="QN70" s="146"/>
      <c r="QO70" s="146"/>
      <c r="QP70" s="146"/>
      <c r="QQ70" s="146"/>
      <c r="QR70" s="146"/>
      <c r="QS70" s="144"/>
      <c r="QT70" s="144"/>
      <c r="QU70" s="144"/>
      <c r="QV70" s="144"/>
      <c r="QW70" s="144"/>
      <c r="QX70" s="144"/>
      <c r="QY70" s="144"/>
      <c r="QZ70" s="144"/>
      <c r="RA70" s="144"/>
      <c r="RB70" s="144"/>
      <c r="RC70" s="144"/>
      <c r="RD70" s="144"/>
      <c r="RE70" s="144"/>
      <c r="RF70" s="144"/>
      <c r="RG70" s="144"/>
      <c r="RH70" s="144"/>
      <c r="RI70" s="144"/>
      <c r="RJ70" s="144"/>
      <c r="RK70" s="144"/>
      <c r="RL70" s="144"/>
      <c r="RM70" s="144"/>
      <c r="RN70" s="144"/>
      <c r="RO70" s="144"/>
      <c r="RP70" s="144"/>
      <c r="RQ70" s="144"/>
      <c r="RR70" s="144"/>
      <c r="RS70" s="144"/>
      <c r="RT70" s="144"/>
      <c r="RU70" s="144"/>
      <c r="RV70" s="144"/>
      <c r="RW70" s="144"/>
      <c r="RX70" s="144"/>
      <c r="RY70" s="144"/>
      <c r="RZ70" s="144"/>
      <c r="SA70" s="144"/>
      <c r="SB70" s="144"/>
      <c r="SC70" s="144"/>
      <c r="SD70" s="144"/>
      <c r="SE70" s="144"/>
      <c r="SF70" s="144"/>
      <c r="SG70" s="144"/>
      <c r="SH70" s="144"/>
      <c r="SI70" s="144"/>
      <c r="SJ70" s="144"/>
      <c r="SK70" s="144"/>
      <c r="SL70" s="144"/>
      <c r="SM70" s="84"/>
      <c r="SN70" s="84"/>
      <c r="SO70" s="154"/>
      <c r="SP70" s="154"/>
      <c r="SQ70" s="154"/>
      <c r="SR70" s="154"/>
      <c r="SS70" s="154"/>
      <c r="ST70" s="154"/>
      <c r="SU70" s="155"/>
      <c r="SV70" s="154"/>
      <c r="SW70" s="154"/>
      <c r="SX70" s="155"/>
      <c r="SY70" s="155"/>
      <c r="SZ70" s="155"/>
      <c r="TA70" s="155"/>
      <c r="TB70" s="155"/>
      <c r="TC70" s="155"/>
      <c r="TD70" s="155"/>
      <c r="TE70" s="156"/>
      <c r="TF70" s="144"/>
      <c r="TG70" s="84"/>
      <c r="TH70" s="144"/>
      <c r="TI70" s="144"/>
      <c r="TJ70" s="144"/>
      <c r="TK70" s="144"/>
      <c r="TL70" s="157"/>
      <c r="TM70" s="157"/>
      <c r="TN70" s="157"/>
      <c r="TO70" s="157"/>
      <c r="TP70" s="157"/>
      <c r="TQ70" s="157"/>
      <c r="TR70" s="157"/>
      <c r="TS70" s="157"/>
      <c r="TT70" s="157"/>
      <c r="TU70" s="158"/>
      <c r="TV70" s="157"/>
      <c r="TW70" s="158"/>
      <c r="TX70" s="144"/>
      <c r="TY70" s="144"/>
      <c r="TZ70" s="144"/>
      <c r="UA70" s="84"/>
      <c r="UB70" s="144"/>
      <c r="UC70" s="144"/>
      <c r="UD70" s="144"/>
      <c r="UE70" s="144"/>
      <c r="UF70" s="157"/>
      <c r="UG70" s="157"/>
      <c r="UH70" s="157"/>
      <c r="UI70" s="157"/>
      <c r="UJ70" s="157"/>
      <c r="UK70" s="157"/>
      <c r="UL70" s="157"/>
      <c r="UM70" s="157"/>
      <c r="UN70" s="157"/>
      <c r="UO70" s="157"/>
      <c r="UP70" s="157"/>
      <c r="UQ70" s="158"/>
      <c r="UR70" s="157"/>
      <c r="US70" s="158"/>
      <c r="UT70" s="144"/>
      <c r="UU70" s="144"/>
      <c r="UV70" s="144"/>
      <c r="UW70" s="144"/>
      <c r="UX70" s="144"/>
      <c r="UY70" s="144"/>
      <c r="UZ70" s="144"/>
      <c r="VA70" s="144"/>
      <c r="VB70" s="157"/>
      <c r="VC70" s="157"/>
      <c r="VD70" s="157"/>
      <c r="VE70" s="157"/>
      <c r="VF70" s="157"/>
      <c r="VG70" s="157"/>
      <c r="VH70" s="157"/>
      <c r="VI70" s="157"/>
      <c r="VJ70" s="157"/>
      <c r="VK70" s="157"/>
      <c r="VL70" s="157"/>
      <c r="VM70" s="157"/>
      <c r="VN70" s="157"/>
      <c r="VO70" s="157"/>
      <c r="VP70" s="144"/>
      <c r="VQ70" s="144"/>
      <c r="VR70" s="84"/>
      <c r="VS70" s="84"/>
      <c r="VT70" s="53"/>
      <c r="VU70" s="53"/>
    </row>
    <row r="71" ht="15.75" hidden="1" spans="1:1024 1025:16384">
      <c r="A71" s="53"/>
      <c r="B71" s="53"/>
      <c r="C71" s="327" t="s">
        <v>176</v>
      </c>
      <c r="D71" s="327">
        <f>D23</f>
        <v>0</v>
      </c>
      <c r="E71" s="327">
        <f>E23</f>
        <v>0</v>
      </c>
      <c r="F71" s="327">
        <f>E23</f>
        <v>0</v>
      </c>
      <c r="G71" s="161">
        <f t="shared" ref="G71:J71" si="799">I23</f>
        <v>0</v>
      </c>
      <c r="H71" s="161">
        <f t="shared" si="799"/>
        <v>0</v>
      </c>
      <c r="I71" s="161">
        <f t="shared" si="799"/>
        <v>0</v>
      </c>
      <c r="J71" s="161">
        <f t="shared" si="799"/>
        <v>0</v>
      </c>
      <c r="K71" s="179">
        <f t="shared" ref="K71:K75" si="800">I71-J71</f>
        <v>0</v>
      </c>
      <c r="L71" s="328" t="e">
        <f t="shared" ref="L71:L75" si="801">K71/I71</f>
        <v>#DIV/0!</v>
      </c>
      <c r="M71" s="162" t="e">
        <f t="shared" ref="M71:M75" si="802">I71/G71</f>
        <v>#DIV/0!</v>
      </c>
      <c r="N71" s="293"/>
      <c r="O71" s="293"/>
      <c r="P71" s="293"/>
      <c r="Q71" s="293"/>
      <c r="R71" s="293"/>
      <c r="S71" s="293"/>
      <c r="T71" s="293"/>
      <c r="U71" s="293"/>
      <c r="V71" s="293"/>
      <c r="W71" s="293"/>
      <c r="X71" s="293"/>
      <c r="Y71" s="293"/>
      <c r="Z71" s="293"/>
      <c r="AA71" s="293"/>
      <c r="AB71" s="293"/>
      <c r="AC71" s="293"/>
      <c r="AD71" s="293"/>
      <c r="AE71" s="293"/>
      <c r="AF71" s="293"/>
      <c r="AG71" s="293"/>
      <c r="AH71" s="293"/>
      <c r="AI71" s="53"/>
      <c r="AJ71" s="327" t="s">
        <v>176</v>
      </c>
      <c r="AK71" s="327">
        <f>AK23</f>
        <v>0</v>
      </c>
      <c r="AL71" s="327">
        <f>AL23</f>
        <v>0</v>
      </c>
      <c r="AM71" s="327">
        <f>AL23</f>
        <v>0</v>
      </c>
      <c r="AN71" s="161">
        <f t="shared" ref="AN71:AQ71" si="803">AP23</f>
        <v>668</v>
      </c>
      <c r="AO71" s="161">
        <f t="shared" si="803"/>
        <v>230944</v>
      </c>
      <c r="AP71" s="161">
        <f t="shared" si="803"/>
        <v>340895</v>
      </c>
      <c r="AQ71" s="161">
        <f t="shared" si="803"/>
        <v>279093.68</v>
      </c>
      <c r="AR71" s="179">
        <f t="shared" ref="AR71:AR75" si="804">AP71-AQ71</f>
        <v>61801.32</v>
      </c>
      <c r="AS71" s="328">
        <f t="shared" ref="AS71:AS75" si="805">AR71/AP71</f>
        <v>0.181291365376436</v>
      </c>
      <c r="AT71" s="162">
        <f t="shared" ref="AT71:AT75" si="806">AP71/AN71</f>
        <v>510.321856287425</v>
      </c>
      <c r="AU71" s="293"/>
      <c r="AV71" s="293"/>
      <c r="AW71" s="293"/>
      <c r="AX71" s="293"/>
      <c r="AY71" s="293"/>
      <c r="AZ71" s="293"/>
      <c r="BA71" s="293"/>
      <c r="BB71" s="293"/>
      <c r="BC71" s="293"/>
      <c r="BD71" s="293"/>
      <c r="BE71" s="293"/>
      <c r="BF71" s="293"/>
      <c r="BG71" s="293"/>
      <c r="BH71" s="293"/>
      <c r="BI71" s="293"/>
      <c r="BJ71" s="293"/>
      <c r="BK71" s="293"/>
      <c r="BL71" s="293"/>
      <c r="BM71" s="293"/>
      <c r="BN71" s="293"/>
      <c r="BO71" s="293"/>
      <c r="BP71" s="53"/>
      <c r="BQ71" s="327" t="s">
        <v>176</v>
      </c>
      <c r="BR71" s="327" t="str">
        <f t="shared" ref="BR71:BT71" si="807">BQ23</f>
        <v>BD05</v>
      </c>
      <c r="BS71" s="327">
        <f t="shared" si="807"/>
        <v>1</v>
      </c>
      <c r="BT71" s="327">
        <f t="shared" si="807"/>
        <v>1</v>
      </c>
      <c r="BU71" s="161">
        <f t="shared" ref="BU71:BX71" si="808">BW23</f>
        <v>362</v>
      </c>
      <c r="BV71" s="161">
        <f t="shared" si="808"/>
        <v>110684</v>
      </c>
      <c r="BW71" s="161">
        <f t="shared" si="808"/>
        <v>206978</v>
      </c>
      <c r="BX71" s="161">
        <f t="shared" si="808"/>
        <v>155129</v>
      </c>
      <c r="BY71" s="179">
        <f t="shared" si="759"/>
        <v>51849</v>
      </c>
      <c r="BZ71" s="328">
        <f t="shared" si="760"/>
        <v>0.250504884577105</v>
      </c>
      <c r="CA71" s="162">
        <f t="shared" si="761"/>
        <v>571.762430939227</v>
      </c>
      <c r="CB71" s="293"/>
      <c r="CC71" s="293"/>
      <c r="CD71" s="293"/>
      <c r="CE71" s="293"/>
      <c r="CF71" s="293"/>
      <c r="CG71" s="293"/>
      <c r="CH71" s="293"/>
      <c r="CI71" s="293"/>
      <c r="CJ71" s="293"/>
      <c r="CK71" s="293"/>
      <c r="CL71" s="293"/>
      <c r="CM71" s="293"/>
      <c r="CN71" s="293"/>
      <c r="CO71" s="293"/>
      <c r="CP71" s="293"/>
      <c r="CQ71" s="293"/>
      <c r="CR71" s="293"/>
      <c r="CS71" s="293"/>
      <c r="CT71" s="293"/>
      <c r="CU71" s="293"/>
      <c r="CV71" s="293"/>
      <c r="CW71" s="53"/>
      <c r="CX71" s="327" t="s">
        <v>176</v>
      </c>
      <c r="CY71" s="327" t="str">
        <f t="shared" ref="CY71:DA71" si="809">CX23</f>
        <v>BD05</v>
      </c>
      <c r="CZ71" s="327">
        <f t="shared" si="809"/>
        <v>1</v>
      </c>
      <c r="DA71" s="327">
        <f t="shared" si="809"/>
        <v>1</v>
      </c>
      <c r="DB71" s="161">
        <f t="shared" ref="DB71:DE71" si="810">DD23</f>
        <v>365</v>
      </c>
      <c r="DC71" s="161">
        <f t="shared" si="810"/>
        <v>95026</v>
      </c>
      <c r="DD71" s="161">
        <f t="shared" si="810"/>
        <v>150769</v>
      </c>
      <c r="DE71" s="161">
        <f t="shared" si="810"/>
        <v>127949</v>
      </c>
      <c r="DF71" s="179">
        <f t="shared" si="764"/>
        <v>22820</v>
      </c>
      <c r="DG71" s="328">
        <f t="shared" si="765"/>
        <v>0.151357374526594</v>
      </c>
      <c r="DH71" s="162">
        <f t="shared" si="766"/>
        <v>413.065753424658</v>
      </c>
      <c r="DI71" s="293"/>
      <c r="DJ71" s="293"/>
      <c r="DK71" s="293"/>
      <c r="DL71" s="293"/>
      <c r="DM71" s="293"/>
      <c r="DN71" s="293"/>
      <c r="DO71" s="293"/>
      <c r="DP71" s="293"/>
      <c r="DQ71" s="293"/>
      <c r="DR71" s="293"/>
      <c r="DS71" s="293"/>
      <c r="DT71" s="293"/>
      <c r="DU71" s="293"/>
      <c r="DV71" s="293"/>
      <c r="DW71" s="293"/>
      <c r="DX71" s="293"/>
      <c r="DY71" s="293"/>
      <c r="DZ71" s="293"/>
      <c r="EA71" s="293"/>
      <c r="EB71" s="293"/>
      <c r="EC71" s="293"/>
      <c r="ED71" s="53"/>
      <c r="EE71" s="329" t="s">
        <v>176</v>
      </c>
      <c r="EF71" s="329">
        <f t="shared" ref="EF71:EH71" si="811">EF23</f>
        <v>1</v>
      </c>
      <c r="EG71" s="329">
        <f t="shared" si="811"/>
        <v>1</v>
      </c>
      <c r="EH71" s="329">
        <f t="shared" si="811"/>
        <v>45</v>
      </c>
      <c r="EI71" s="330">
        <f t="shared" ref="EI71:EL71" si="812">EK23</f>
        <v>683</v>
      </c>
      <c r="EJ71" s="330">
        <f t="shared" si="812"/>
        <v>178445</v>
      </c>
      <c r="EK71" s="330">
        <f t="shared" si="812"/>
        <v>262630</v>
      </c>
      <c r="EL71" s="330">
        <f t="shared" si="812"/>
        <v>225118</v>
      </c>
      <c r="EM71" s="331">
        <f t="shared" si="769"/>
        <v>37512</v>
      </c>
      <c r="EN71" s="332">
        <f t="shared" si="770"/>
        <v>0.142832121235198</v>
      </c>
      <c r="EO71" s="333">
        <f t="shared" si="771"/>
        <v>384.524158125915</v>
      </c>
      <c r="EP71" s="53"/>
      <c r="EQ71" s="53"/>
      <c r="ER71" s="192"/>
      <c r="ES71" s="192"/>
      <c r="ET71" s="192"/>
      <c r="EU71" s="192"/>
      <c r="EV71" s="192"/>
      <c r="EW71" s="192"/>
      <c r="EX71" s="192"/>
      <c r="EY71" s="192"/>
      <c r="EZ71" s="192"/>
      <c r="FA71" s="192"/>
      <c r="FB71" s="192"/>
      <c r="FC71" s="192"/>
      <c r="FD71" s="192"/>
      <c r="FE71" s="192"/>
      <c r="FF71" s="192"/>
      <c r="FG71" s="192"/>
      <c r="FH71" s="192"/>
      <c r="FI71" s="192"/>
      <c r="FJ71" s="192"/>
      <c r="FK71" s="53"/>
      <c r="FL71" s="53"/>
      <c r="FM71" s="53"/>
      <c r="FN71" s="329" t="s">
        <v>176</v>
      </c>
      <c r="FO71" s="329">
        <f t="shared" ref="FO71:FQ71" si="813">FO23</f>
        <v>1</v>
      </c>
      <c r="FP71" s="329">
        <f t="shared" si="813"/>
        <v>1</v>
      </c>
      <c r="FQ71" s="329">
        <f t="shared" si="813"/>
        <v>82</v>
      </c>
      <c r="FR71" s="330">
        <f t="shared" ref="FR71:FU71" si="814">FT23</f>
        <v>471</v>
      </c>
      <c r="FS71" s="330">
        <f t="shared" si="814"/>
        <v>126395</v>
      </c>
      <c r="FT71" s="330">
        <f t="shared" si="814"/>
        <v>188394</v>
      </c>
      <c r="FU71" s="330">
        <f t="shared" si="814"/>
        <v>123945.22</v>
      </c>
      <c r="FV71" s="331">
        <f t="shared" si="774"/>
        <v>64448.78</v>
      </c>
      <c r="FW71" s="332">
        <f t="shared" si="775"/>
        <v>0.34209571430088</v>
      </c>
      <c r="FX71" s="333">
        <f t="shared" si="776"/>
        <v>399.987261146497</v>
      </c>
      <c r="FY71" s="53"/>
      <c r="FZ71" s="192"/>
      <c r="GA71" s="192"/>
      <c r="GB71" s="192"/>
      <c r="GC71" s="192"/>
      <c r="GD71" s="192"/>
      <c r="GE71" s="192"/>
      <c r="GF71" s="192"/>
      <c r="GG71" s="192"/>
      <c r="GH71" s="192"/>
      <c r="GI71" s="192"/>
      <c r="GJ71" s="192"/>
      <c r="GK71" s="192"/>
      <c r="GL71" s="192"/>
      <c r="GM71" s="192"/>
      <c r="GN71" s="192"/>
      <c r="GO71" s="192"/>
      <c r="GP71" s="192"/>
      <c r="GQ71" s="192"/>
      <c r="GR71" s="192"/>
      <c r="GS71" s="192"/>
      <c r="GT71" s="53"/>
      <c r="GU71" s="53"/>
      <c r="GV71" s="329" t="s">
        <v>176</v>
      </c>
      <c r="GW71" s="329">
        <f t="shared" ref="GW71:GY71" si="815">GW23</f>
        <v>2</v>
      </c>
      <c r="GX71" s="329">
        <f t="shared" si="815"/>
        <v>0</v>
      </c>
      <c r="GY71" s="329">
        <f t="shared" si="815"/>
        <v>23</v>
      </c>
      <c r="GZ71" s="330">
        <f t="shared" ref="GZ71:HC71" si="816">HB23</f>
        <v>573</v>
      </c>
      <c r="HA71" s="330">
        <f t="shared" si="816"/>
        <v>180863</v>
      </c>
      <c r="HB71" s="330">
        <f t="shared" si="816"/>
        <v>369220</v>
      </c>
      <c r="HC71" s="330">
        <f t="shared" si="816"/>
        <v>199807</v>
      </c>
      <c r="HD71" s="331">
        <f t="shared" si="779"/>
        <v>169413</v>
      </c>
      <c r="HE71" s="332">
        <f t="shared" si="780"/>
        <v>0.458840257840854</v>
      </c>
      <c r="HF71" s="333">
        <f t="shared" si="781"/>
        <v>644.363001745201</v>
      </c>
      <c r="HI71" s="192"/>
      <c r="HJ71" s="192"/>
      <c r="HK71" s="192"/>
      <c r="HL71" s="192"/>
      <c r="HM71" s="192"/>
      <c r="HN71" s="192"/>
      <c r="HO71" s="192"/>
      <c r="HP71" s="192"/>
      <c r="HQ71" s="192"/>
      <c r="HR71" s="192"/>
      <c r="HS71" s="192"/>
      <c r="HT71" s="192"/>
      <c r="HU71" s="192"/>
      <c r="HV71" s="192"/>
      <c r="HW71" s="192"/>
      <c r="HX71" s="192"/>
      <c r="HY71" s="192"/>
      <c r="HZ71" s="192"/>
      <c r="IA71" s="192"/>
      <c r="IB71" s="53"/>
      <c r="IC71" s="53"/>
      <c r="ID71" s="329" t="s">
        <v>176</v>
      </c>
      <c r="IE71" s="329">
        <f>IE23</f>
        <v>2</v>
      </c>
      <c r="IF71" s="329">
        <v>0</v>
      </c>
      <c r="IG71" s="329">
        <f>IG23</f>
        <v>85</v>
      </c>
      <c r="IH71" s="330">
        <f t="shared" ref="IH71:IK71" si="817">IJ23</f>
        <v>448</v>
      </c>
      <c r="II71" s="330">
        <f t="shared" si="817"/>
        <v>122642</v>
      </c>
      <c r="IJ71" s="330">
        <f t="shared" si="817"/>
        <v>182247</v>
      </c>
      <c r="IK71" s="330">
        <f t="shared" si="817"/>
        <v>150090</v>
      </c>
      <c r="IL71" s="331">
        <f t="shared" si="783"/>
        <v>32157</v>
      </c>
      <c r="IM71" s="332">
        <f t="shared" si="784"/>
        <v>0.176447348927554</v>
      </c>
      <c r="IN71" s="333">
        <f t="shared" si="785"/>
        <v>406.801339285714</v>
      </c>
      <c r="IP71" s="11"/>
      <c r="IQ71" s="192"/>
      <c r="IR71" s="192"/>
      <c r="IS71" s="192"/>
      <c r="IT71" s="192"/>
      <c r="IU71" s="192"/>
      <c r="IV71" s="192"/>
      <c r="IW71" s="192"/>
      <c r="IX71" s="192"/>
      <c r="IY71" s="192"/>
      <c r="IZ71" s="192"/>
      <c r="JA71" s="192"/>
      <c r="JB71" s="192"/>
      <c r="JC71" s="192"/>
      <c r="JD71" s="192"/>
      <c r="JE71" s="192"/>
      <c r="JF71" s="192"/>
      <c r="JG71" s="192"/>
      <c r="JH71" s="192"/>
      <c r="JI71" s="192"/>
      <c r="JJ71" s="53"/>
      <c r="JK71" s="53"/>
      <c r="JL71" s="329" t="s">
        <v>176</v>
      </c>
      <c r="JM71" s="329">
        <f>JM23</f>
        <v>2</v>
      </c>
      <c r="JN71" s="329">
        <f>JN23</f>
        <v>89</v>
      </c>
      <c r="JO71" s="329">
        <f t="shared" ref="JO71:JR71" si="818">JR23</f>
        <v>270</v>
      </c>
      <c r="JP71" s="330">
        <f t="shared" si="818"/>
        <v>69707</v>
      </c>
      <c r="JQ71" s="330">
        <f t="shared" si="818"/>
        <v>97607</v>
      </c>
      <c r="JR71" s="330">
        <f t="shared" si="818"/>
        <v>61509</v>
      </c>
      <c r="JS71" s="330">
        <f t="shared" si="787"/>
        <v>36098</v>
      </c>
      <c r="JT71" s="334">
        <f t="shared" si="788"/>
        <v>0.369830032682082</v>
      </c>
      <c r="JU71" s="335">
        <f t="shared" ref="JU71:JU75" si="819">JQ71/JO71</f>
        <v>361.507407407407</v>
      </c>
      <c r="JX71" s="192"/>
      <c r="JY71" s="192"/>
      <c r="JZ71" s="192"/>
      <c r="KA71" s="192"/>
      <c r="KB71" s="192"/>
      <c r="KC71" s="192"/>
      <c r="KD71" s="192"/>
      <c r="KE71" s="192"/>
      <c r="KF71" s="192"/>
      <c r="KG71" s="192"/>
      <c r="KH71" s="192"/>
      <c r="KI71" s="192"/>
      <c r="KJ71" s="192"/>
      <c r="KK71" s="192"/>
      <c r="KL71" s="192"/>
      <c r="KM71" s="192"/>
      <c r="KN71" s="192"/>
      <c r="KO71" s="192"/>
      <c r="KP71" s="192"/>
      <c r="KQ71" s="192"/>
      <c r="KR71" s="53"/>
      <c r="KS71" s="53"/>
      <c r="KT71" s="329" t="s">
        <v>176</v>
      </c>
      <c r="KU71" s="329">
        <v>3</v>
      </c>
      <c r="KV71" s="329">
        <v>257</v>
      </c>
      <c r="KW71" s="329">
        <v>531</v>
      </c>
      <c r="KX71" s="330">
        <v>131154</v>
      </c>
      <c r="KY71" s="330">
        <v>243725</v>
      </c>
      <c r="KZ71" s="330">
        <v>133406</v>
      </c>
      <c r="LA71" s="330">
        <v>110319</v>
      </c>
      <c r="LB71" s="334">
        <v>0.452637193558314</v>
      </c>
      <c r="LC71" s="335">
        <v>458.992467043314</v>
      </c>
      <c r="LF71" s="11"/>
      <c r="LG71" s="192"/>
      <c r="LH71" s="192"/>
      <c r="LI71" s="192"/>
      <c r="LJ71" s="192"/>
      <c r="LK71" s="192"/>
      <c r="LL71" s="192"/>
      <c r="LM71" s="192"/>
      <c r="LN71" s="192"/>
      <c r="LO71" s="192"/>
      <c r="LP71" s="192"/>
      <c r="LQ71" s="192"/>
      <c r="LR71" s="192"/>
      <c r="LS71" s="192"/>
      <c r="LT71" s="192"/>
      <c r="LU71" s="192"/>
      <c r="LV71" s="192"/>
      <c r="LW71" s="192"/>
      <c r="LX71" s="192"/>
      <c r="LY71" s="192"/>
      <c r="LZ71" s="192"/>
      <c r="MA71" s="192"/>
      <c r="MB71" s="329" t="s">
        <v>176</v>
      </c>
      <c r="MC71" s="329">
        <f>MC23</f>
        <v>4</v>
      </c>
      <c r="MD71" s="329">
        <f>ME23</f>
        <v>180</v>
      </c>
      <c r="ME71" s="329">
        <f t="shared" ref="ME71:MH71" si="820">MH23</f>
        <v>409</v>
      </c>
      <c r="MF71" s="330">
        <f t="shared" si="820"/>
        <v>100522</v>
      </c>
      <c r="MG71" s="330">
        <f t="shared" si="820"/>
        <v>168176</v>
      </c>
      <c r="MH71" s="330">
        <f t="shared" si="820"/>
        <v>93070</v>
      </c>
      <c r="MI71" s="330">
        <f t="shared" si="790"/>
        <v>75106</v>
      </c>
      <c r="MJ71" s="334">
        <f t="shared" si="791"/>
        <v>0.446591665873846</v>
      </c>
      <c r="MK71" s="335">
        <f t="shared" si="792"/>
        <v>411.18826405868</v>
      </c>
      <c r="MO71" s="192"/>
      <c r="MP71" s="192"/>
      <c r="MQ71" s="192"/>
      <c r="MR71" s="192"/>
      <c r="MS71" s="192"/>
      <c r="MT71" s="192"/>
      <c r="MU71" s="192"/>
      <c r="MV71" s="192"/>
      <c r="MW71" s="192"/>
      <c r="MX71" s="192"/>
      <c r="MY71" s="192"/>
      <c r="MZ71" s="192"/>
      <c r="NA71" s="192"/>
      <c r="NB71" s="192"/>
      <c r="NC71" s="192"/>
      <c r="ND71" s="192"/>
      <c r="NE71" s="192"/>
      <c r="NF71" s="192"/>
      <c r="NG71" s="192"/>
      <c r="NH71" s="53"/>
      <c r="NI71" s="53"/>
      <c r="NJ71" s="329" t="s">
        <v>176</v>
      </c>
      <c r="NK71" s="329">
        <f t="shared" si="747"/>
        <v>1</v>
      </c>
      <c r="NL71" s="329">
        <f t="shared" si="748"/>
        <v>102</v>
      </c>
      <c r="NM71" s="329">
        <f t="shared" ref="NM71:NP71" si="821">NP23</f>
        <v>252</v>
      </c>
      <c r="NN71" s="330">
        <f t="shared" si="821"/>
        <v>68562</v>
      </c>
      <c r="NO71" s="330">
        <f t="shared" si="821"/>
        <v>95157</v>
      </c>
      <c r="NP71" s="330">
        <f t="shared" si="821"/>
        <v>51385</v>
      </c>
      <c r="NQ71" s="330">
        <f t="shared" si="736"/>
        <v>43772</v>
      </c>
      <c r="NR71" s="334">
        <f t="shared" si="737"/>
        <v>0.459997688031359</v>
      </c>
      <c r="NS71" s="335">
        <f t="shared" si="738"/>
        <v>377.607142857143</v>
      </c>
      <c r="NT71" s="46"/>
      <c r="NU71" s="46"/>
      <c r="NV71" s="46"/>
      <c r="NW71" s="53"/>
      <c r="NX71" s="53"/>
      <c r="NY71" s="53"/>
      <c r="NZ71" s="53"/>
      <c r="OA71" s="53"/>
      <c r="OB71" s="53"/>
      <c r="OC71" s="53"/>
      <c r="OD71" s="53"/>
      <c r="OE71" s="53"/>
      <c r="OF71" s="53"/>
      <c r="OG71" s="53"/>
      <c r="OH71" s="53"/>
      <c r="OI71" s="53"/>
      <c r="OJ71" s="53"/>
      <c r="OK71" s="53"/>
      <c r="OL71" s="53"/>
      <c r="OM71" s="53"/>
      <c r="ON71" s="53"/>
      <c r="OO71" s="53"/>
      <c r="OP71" s="53"/>
      <c r="OQ71" s="53"/>
      <c r="OR71" s="53"/>
      <c r="OS71" s="336" t="s">
        <v>176</v>
      </c>
      <c r="OT71" s="336">
        <f t="shared" si="750"/>
        <v>1</v>
      </c>
      <c r="OU71" s="336">
        <f t="shared" si="751"/>
        <v>10</v>
      </c>
      <c r="OV71" s="172">
        <f t="shared" si="752"/>
        <v>233</v>
      </c>
      <c r="OW71" s="172">
        <f t="shared" si="753"/>
        <v>68777</v>
      </c>
      <c r="OX71" s="172">
        <v>91546</v>
      </c>
      <c r="OY71" s="172">
        <v>51987</v>
      </c>
      <c r="OZ71" s="171">
        <f t="shared" si="740"/>
        <v>39559</v>
      </c>
      <c r="PA71" s="337">
        <f t="shared" si="741"/>
        <v>0.43212155637603</v>
      </c>
      <c r="PB71" s="170">
        <f t="shared" si="742"/>
        <v>392.901287553648</v>
      </c>
      <c r="PC71" s="144"/>
      <c r="PD71" s="144"/>
      <c r="PE71" s="144"/>
      <c r="PF71" s="144"/>
      <c r="PG71" s="144"/>
      <c r="PH71" s="144"/>
      <c r="PI71" s="144"/>
      <c r="PJ71" s="144"/>
      <c r="PK71" s="144"/>
      <c r="PL71" s="144"/>
      <c r="PM71" s="144"/>
      <c r="PN71" s="144"/>
      <c r="PO71" s="144"/>
      <c r="PP71" s="144"/>
      <c r="PQ71" s="144"/>
      <c r="PR71" s="144"/>
      <c r="PS71" s="144"/>
      <c r="PT71" s="146"/>
      <c r="PU71" s="336" t="s">
        <v>176</v>
      </c>
      <c r="PV71" s="336">
        <f t="shared" si="754"/>
        <v>1</v>
      </c>
      <c r="PW71" s="336">
        <f t="shared" si="755"/>
        <v>10</v>
      </c>
      <c r="PX71" s="172">
        <f t="shared" ref="PX71:QA71" si="822">PY23</f>
        <v>160</v>
      </c>
      <c r="PY71" s="172">
        <f t="shared" si="822"/>
        <v>49754</v>
      </c>
      <c r="PZ71" s="172">
        <f t="shared" si="822"/>
        <v>69375</v>
      </c>
      <c r="QA71" s="172">
        <f t="shared" si="822"/>
        <v>44035</v>
      </c>
      <c r="QB71" s="171">
        <f t="shared" si="744"/>
        <v>25340</v>
      </c>
      <c r="QC71" s="337">
        <f t="shared" si="745"/>
        <v>0.365261261261261</v>
      </c>
      <c r="QD71" s="170">
        <f t="shared" si="746"/>
        <v>433.59375</v>
      </c>
      <c r="QE71" s="146"/>
      <c r="QF71" s="146"/>
      <c r="QG71" s="146"/>
      <c r="QH71" s="146"/>
      <c r="QI71" s="146"/>
      <c r="QJ71" s="146"/>
      <c r="QK71" s="146"/>
      <c r="QL71" s="146"/>
      <c r="QM71" s="146"/>
      <c r="QN71" s="146"/>
      <c r="QO71" s="146"/>
      <c r="QP71" s="146"/>
      <c r="QQ71" s="146"/>
      <c r="QR71" s="146"/>
      <c r="QS71" s="144"/>
      <c r="QT71" s="144"/>
      <c r="QU71" s="144"/>
      <c r="QV71" s="144"/>
      <c r="QW71" s="144"/>
      <c r="QX71" s="144"/>
      <c r="QY71" s="144"/>
      <c r="QZ71" s="144"/>
      <c r="RA71" s="144"/>
      <c r="RB71" s="144"/>
      <c r="RC71" s="144"/>
      <c r="RD71" s="144"/>
      <c r="RE71" s="144"/>
      <c r="RF71" s="144"/>
      <c r="RG71" s="144"/>
      <c r="RH71" s="144"/>
      <c r="RI71" s="144"/>
      <c r="RJ71" s="144"/>
      <c r="RK71" s="144"/>
      <c r="RL71" s="144"/>
      <c r="RM71" s="144"/>
      <c r="RN71" s="144"/>
      <c r="RO71" s="144"/>
      <c r="RP71" s="144"/>
      <c r="RQ71" s="144"/>
      <c r="RR71" s="144"/>
      <c r="RS71" s="144"/>
      <c r="RT71" s="144"/>
      <c r="RU71" s="144"/>
      <c r="RV71" s="144"/>
      <c r="RW71" s="144"/>
      <c r="RX71" s="144"/>
      <c r="RY71" s="144"/>
      <c r="RZ71" s="144"/>
      <c r="SA71" s="144"/>
      <c r="SB71" s="144"/>
      <c r="SC71" s="144"/>
      <c r="SD71" s="144"/>
      <c r="SE71" s="144"/>
      <c r="SF71" s="144"/>
      <c r="SG71" s="144"/>
      <c r="SH71" s="144"/>
      <c r="SI71" s="144"/>
      <c r="SJ71" s="144"/>
      <c r="SK71" s="144"/>
      <c r="SL71" s="144"/>
      <c r="SM71" s="84"/>
      <c r="SN71" s="84"/>
      <c r="SO71" s="154"/>
      <c r="SP71" s="154"/>
      <c r="SQ71" s="154"/>
      <c r="SR71" s="154"/>
      <c r="SS71" s="154"/>
      <c r="ST71" s="154"/>
      <c r="SU71" s="155"/>
      <c r="SV71" s="154"/>
      <c r="SW71" s="154"/>
      <c r="SX71" s="155"/>
      <c r="SY71" s="155"/>
      <c r="SZ71" s="155"/>
      <c r="TA71" s="155"/>
      <c r="TB71" s="155"/>
      <c r="TC71" s="155"/>
      <c r="TD71" s="155"/>
      <c r="TE71" s="156"/>
      <c r="TF71" s="144"/>
      <c r="TG71" s="84"/>
      <c r="TH71" s="144"/>
      <c r="TI71" s="144"/>
      <c r="TJ71" s="144"/>
      <c r="TK71" s="144"/>
      <c r="TL71" s="157"/>
      <c r="TM71" s="157"/>
      <c r="TN71" s="157"/>
      <c r="TO71" s="157"/>
      <c r="TP71" s="157"/>
      <c r="TQ71" s="157"/>
      <c r="TR71" s="157"/>
      <c r="TS71" s="157"/>
      <c r="TT71" s="157"/>
      <c r="TU71" s="158"/>
      <c r="TV71" s="157"/>
      <c r="TW71" s="158"/>
      <c r="TX71" s="144"/>
      <c r="TY71" s="144"/>
      <c r="TZ71" s="144"/>
      <c r="UA71" s="84"/>
      <c r="UB71" s="144"/>
      <c r="UC71" s="144"/>
      <c r="UD71" s="144"/>
      <c r="UE71" s="144"/>
      <c r="UF71" s="157"/>
      <c r="UG71" s="157"/>
      <c r="UH71" s="157"/>
      <c r="UI71" s="157"/>
      <c r="UJ71" s="157"/>
      <c r="UK71" s="157"/>
      <c r="UL71" s="157"/>
      <c r="UM71" s="157"/>
      <c r="UN71" s="157"/>
      <c r="UO71" s="157"/>
      <c r="UP71" s="157"/>
      <c r="UQ71" s="158"/>
      <c r="UR71" s="157"/>
      <c r="US71" s="158"/>
      <c r="UT71" s="144"/>
      <c r="UU71" s="144"/>
      <c r="UV71" s="144"/>
      <c r="UW71" s="144"/>
      <c r="UX71" s="144"/>
      <c r="UY71" s="144"/>
      <c r="UZ71" s="144"/>
      <c r="VA71" s="144"/>
      <c r="VB71" s="157"/>
      <c r="VC71" s="157"/>
      <c r="VD71" s="157"/>
      <c r="VE71" s="157"/>
      <c r="VF71" s="157"/>
      <c r="VG71" s="157"/>
      <c r="VH71" s="157"/>
      <c r="VI71" s="157"/>
      <c r="VJ71" s="157"/>
      <c r="VK71" s="157"/>
      <c r="VL71" s="157"/>
      <c r="VM71" s="157"/>
      <c r="VN71" s="157"/>
      <c r="VO71" s="157"/>
      <c r="VP71" s="144"/>
      <c r="VQ71" s="144"/>
      <c r="VR71" s="84"/>
      <c r="VS71" s="84"/>
      <c r="VT71" s="53"/>
      <c r="VU71" s="53"/>
    </row>
    <row r="72" ht="15.75" hidden="1" spans="1:1024 1025:16384">
      <c r="A72" s="53"/>
      <c r="B72" s="53"/>
      <c r="C72" s="236" t="s">
        <v>153</v>
      </c>
      <c r="D72" s="235">
        <f t="shared" ref="D72:J72" si="823">SUM(D67:D71)</f>
        <v>0</v>
      </c>
      <c r="E72" s="235">
        <f t="shared" si="823"/>
        <v>0</v>
      </c>
      <c r="F72" s="235">
        <f t="shared" si="823"/>
        <v>0</v>
      </c>
      <c r="G72" s="236">
        <f t="shared" si="823"/>
        <v>0</v>
      </c>
      <c r="H72" s="236">
        <f t="shared" si="823"/>
        <v>0</v>
      </c>
      <c r="I72" s="236">
        <f t="shared" si="823"/>
        <v>0</v>
      </c>
      <c r="J72" s="236">
        <f t="shared" si="823"/>
        <v>0</v>
      </c>
      <c r="K72" s="237">
        <f t="shared" si="800"/>
        <v>0</v>
      </c>
      <c r="L72" s="240" t="e">
        <f t="shared" si="801"/>
        <v>#DIV/0!</v>
      </c>
      <c r="M72" s="236" t="e">
        <f t="shared" si="802"/>
        <v>#DIV/0!</v>
      </c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93"/>
      <c r="AB72" s="293"/>
      <c r="AC72" s="293"/>
      <c r="AD72" s="293"/>
      <c r="AE72" s="293"/>
      <c r="AF72" s="293"/>
      <c r="AG72" s="293"/>
      <c r="AH72" s="293"/>
      <c r="AI72" s="53"/>
      <c r="AJ72" s="236" t="s">
        <v>153</v>
      </c>
      <c r="AK72" s="235">
        <f t="shared" ref="AK72:AQ72" si="824">SUM(AK67:AK71)</f>
        <v>0</v>
      </c>
      <c r="AL72" s="235">
        <f t="shared" si="824"/>
        <v>0</v>
      </c>
      <c r="AM72" s="235">
        <f t="shared" si="824"/>
        <v>0</v>
      </c>
      <c r="AN72" s="236">
        <f t="shared" si="824"/>
        <v>668</v>
      </c>
      <c r="AO72" s="236">
        <f t="shared" si="824"/>
        <v>230944</v>
      </c>
      <c r="AP72" s="236">
        <f t="shared" si="824"/>
        <v>340895</v>
      </c>
      <c r="AQ72" s="236">
        <f t="shared" si="824"/>
        <v>279093.68</v>
      </c>
      <c r="AR72" s="237">
        <f t="shared" si="804"/>
        <v>61801.32</v>
      </c>
      <c r="AS72" s="240">
        <f t="shared" si="805"/>
        <v>0.181291365376436</v>
      </c>
      <c r="AT72" s="236">
        <f t="shared" si="806"/>
        <v>510.321856287425</v>
      </c>
      <c r="AU72" s="293"/>
      <c r="AV72" s="293"/>
      <c r="AW72" s="293"/>
      <c r="AX72" s="293"/>
      <c r="AY72" s="293"/>
      <c r="AZ72" s="293"/>
      <c r="BA72" s="293"/>
      <c r="BB72" s="293"/>
      <c r="BC72" s="293"/>
      <c r="BD72" s="293"/>
      <c r="BE72" s="293"/>
      <c r="BF72" s="293"/>
      <c r="BG72" s="293"/>
      <c r="BH72" s="293"/>
      <c r="BI72" s="293"/>
      <c r="BJ72" s="293"/>
      <c r="BK72" s="293"/>
      <c r="BL72" s="293"/>
      <c r="BM72" s="293"/>
      <c r="BN72" s="293"/>
      <c r="BO72" s="293"/>
      <c r="BP72" s="53"/>
      <c r="BQ72" s="236" t="s">
        <v>153</v>
      </c>
      <c r="BR72" s="235">
        <f t="shared" ref="BR72:BX72" si="825">SUM(BR67:BR71)</f>
        <v>0</v>
      </c>
      <c r="BS72" s="235">
        <f t="shared" si="825"/>
        <v>3</v>
      </c>
      <c r="BT72" s="235">
        <f t="shared" si="825"/>
        <v>1</v>
      </c>
      <c r="BU72" s="236">
        <f t="shared" si="825"/>
        <v>634</v>
      </c>
      <c r="BV72" s="236">
        <f t="shared" si="825"/>
        <v>167547</v>
      </c>
      <c r="BW72" s="236">
        <f t="shared" si="825"/>
        <v>300120</v>
      </c>
      <c r="BX72" s="236">
        <f t="shared" si="825"/>
        <v>254319</v>
      </c>
      <c r="BY72" s="237">
        <f t="shared" si="759"/>
        <v>45801</v>
      </c>
      <c r="BZ72" s="240">
        <f t="shared" si="760"/>
        <v>0.152608956417433</v>
      </c>
      <c r="CA72" s="236">
        <f t="shared" si="761"/>
        <v>473.375394321767</v>
      </c>
      <c r="CB72" s="293"/>
      <c r="CC72" s="293"/>
      <c r="CD72" s="293"/>
      <c r="CE72" s="293"/>
      <c r="CF72" s="293"/>
      <c r="CG72" s="293"/>
      <c r="CH72" s="293"/>
      <c r="CI72" s="293"/>
      <c r="CJ72" s="293"/>
      <c r="CK72" s="293"/>
      <c r="CL72" s="293"/>
      <c r="CM72" s="293"/>
      <c r="CN72" s="293"/>
      <c r="CO72" s="293"/>
      <c r="CP72" s="293"/>
      <c r="CQ72" s="293"/>
      <c r="CR72" s="293"/>
      <c r="CS72" s="293"/>
      <c r="CT72" s="293"/>
      <c r="CU72" s="293"/>
      <c r="CV72" s="293"/>
      <c r="CW72" s="53"/>
      <c r="CX72" s="236" t="s">
        <v>153</v>
      </c>
      <c r="CY72" s="235">
        <f t="shared" ref="CY72:DE72" si="826">SUM(CY67:CY71)</f>
        <v>0</v>
      </c>
      <c r="CZ72" s="235">
        <f t="shared" si="826"/>
        <v>3</v>
      </c>
      <c r="DA72" s="235">
        <f t="shared" si="826"/>
        <v>1</v>
      </c>
      <c r="DB72" s="236">
        <f t="shared" si="826"/>
        <v>554</v>
      </c>
      <c r="DC72" s="236">
        <f t="shared" si="826"/>
        <v>146262</v>
      </c>
      <c r="DD72" s="236">
        <f t="shared" si="826"/>
        <v>225174</v>
      </c>
      <c r="DE72" s="236">
        <f t="shared" si="826"/>
        <v>184102</v>
      </c>
      <c r="DF72" s="237">
        <f t="shared" si="764"/>
        <v>41072</v>
      </c>
      <c r="DG72" s="240">
        <f t="shared" si="765"/>
        <v>0.182401165321041</v>
      </c>
      <c r="DH72" s="236">
        <f t="shared" si="766"/>
        <v>406.451263537906</v>
      </c>
      <c r="DI72" s="293"/>
      <c r="DJ72" s="293"/>
      <c r="DK72" s="293"/>
      <c r="DL72" s="293"/>
      <c r="DM72" s="293"/>
      <c r="DN72" s="293"/>
      <c r="DO72" s="293"/>
      <c r="DP72" s="293"/>
      <c r="DQ72" s="293"/>
      <c r="DR72" s="293"/>
      <c r="DS72" s="293"/>
      <c r="DT72" s="293"/>
      <c r="DU72" s="293"/>
      <c r="DV72" s="293"/>
      <c r="DW72" s="293"/>
      <c r="DX72" s="293"/>
      <c r="DY72" s="293"/>
      <c r="DZ72" s="293"/>
      <c r="EA72" s="293"/>
      <c r="EB72" s="293"/>
      <c r="EC72" s="293"/>
      <c r="ED72" s="53"/>
      <c r="EE72" s="341" t="s">
        <v>153</v>
      </c>
      <c r="EF72" s="342">
        <f t="shared" ref="EF72:EL72" si="827">SUM(EF67:EF71)</f>
        <v>2</v>
      </c>
      <c r="EG72" s="342">
        <f t="shared" si="827"/>
        <v>1</v>
      </c>
      <c r="EH72" s="342">
        <f t="shared" si="827"/>
        <v>57</v>
      </c>
      <c r="EI72" s="343">
        <f t="shared" si="827"/>
        <v>965</v>
      </c>
      <c r="EJ72" s="343">
        <f t="shared" si="827"/>
        <v>240237</v>
      </c>
      <c r="EK72" s="343">
        <f t="shared" si="827"/>
        <v>368902</v>
      </c>
      <c r="EL72" s="343">
        <f t="shared" si="827"/>
        <v>294009</v>
      </c>
      <c r="EM72" s="344">
        <f t="shared" si="769"/>
        <v>74893</v>
      </c>
      <c r="EN72" s="345">
        <f t="shared" si="770"/>
        <v>0.203015977142981</v>
      </c>
      <c r="EO72" s="343">
        <f t="shared" si="771"/>
        <v>382.281865284974</v>
      </c>
      <c r="EP72" s="53"/>
      <c r="EQ72" s="53"/>
      <c r="ER72" s="192"/>
      <c r="ES72" s="192"/>
      <c r="ET72" s="192"/>
      <c r="EU72" s="192"/>
      <c r="EV72" s="192"/>
      <c r="EW72" s="192"/>
      <c r="EX72" s="192"/>
      <c r="EY72" s="192"/>
      <c r="EZ72" s="192"/>
      <c r="FA72" s="192"/>
      <c r="FB72" s="192"/>
      <c r="FC72" s="192"/>
      <c r="FD72" s="192"/>
      <c r="FE72" s="192"/>
      <c r="FF72" s="192"/>
      <c r="FG72" s="192"/>
      <c r="FH72" s="192"/>
      <c r="FI72" s="192"/>
      <c r="FJ72" s="192"/>
      <c r="FK72" s="53"/>
      <c r="FL72" s="53"/>
      <c r="FM72" s="53"/>
      <c r="FN72" s="341" t="s">
        <v>153</v>
      </c>
      <c r="FO72" s="342">
        <f t="shared" ref="FO72:FU72" si="828">SUM(FO67:FO71)</f>
        <v>2</v>
      </c>
      <c r="FP72" s="342">
        <f t="shared" si="828"/>
        <v>1</v>
      </c>
      <c r="FQ72" s="342">
        <f t="shared" si="828"/>
        <v>95</v>
      </c>
      <c r="FR72" s="343">
        <f t="shared" si="828"/>
        <v>701</v>
      </c>
      <c r="FS72" s="343">
        <f t="shared" si="828"/>
        <v>178217</v>
      </c>
      <c r="FT72" s="343">
        <f t="shared" si="828"/>
        <v>272165</v>
      </c>
      <c r="FU72" s="343">
        <f t="shared" si="828"/>
        <v>186981.22</v>
      </c>
      <c r="FV72" s="344">
        <f t="shared" si="774"/>
        <v>85183.78</v>
      </c>
      <c r="FW72" s="345">
        <f t="shared" si="775"/>
        <v>0.31298579905572</v>
      </c>
      <c r="FX72" s="343">
        <f t="shared" si="776"/>
        <v>388.252496433666</v>
      </c>
      <c r="FY72" s="53"/>
      <c r="FZ72" s="192"/>
      <c r="GA72" s="192"/>
      <c r="GB72" s="192"/>
      <c r="GC72" s="192"/>
      <c r="GD72" s="192"/>
      <c r="GE72" s="192"/>
      <c r="GF72" s="192"/>
      <c r="GG72" s="192"/>
      <c r="GH72" s="192"/>
      <c r="GI72" s="192"/>
      <c r="GJ72" s="192"/>
      <c r="GK72" s="192"/>
      <c r="GL72" s="192"/>
      <c r="GM72" s="192"/>
      <c r="GN72" s="192"/>
      <c r="GO72" s="192"/>
      <c r="GP72" s="192"/>
      <c r="GQ72" s="192"/>
      <c r="GR72" s="192"/>
      <c r="GS72" s="192"/>
      <c r="GT72" s="53"/>
      <c r="GU72" s="53"/>
      <c r="GV72" s="343" t="s">
        <v>153</v>
      </c>
      <c r="GW72" s="343">
        <f t="shared" ref="GW72:HC72" si="829">SUM(GW67:GW71)</f>
        <v>3</v>
      </c>
      <c r="GX72" s="343">
        <f t="shared" si="829"/>
        <v>0</v>
      </c>
      <c r="GY72" s="343">
        <f t="shared" si="829"/>
        <v>27</v>
      </c>
      <c r="GZ72" s="343">
        <f t="shared" si="829"/>
        <v>725</v>
      </c>
      <c r="HA72" s="343">
        <f t="shared" si="829"/>
        <v>244963.77</v>
      </c>
      <c r="HB72" s="343">
        <f t="shared" si="829"/>
        <v>492891.47</v>
      </c>
      <c r="HC72" s="343">
        <f t="shared" si="829"/>
        <v>237707</v>
      </c>
      <c r="HD72" s="343">
        <f t="shared" si="779"/>
        <v>255184.47</v>
      </c>
      <c r="HE72" s="343">
        <f t="shared" si="780"/>
        <v>0.517729531817623</v>
      </c>
      <c r="HF72" s="343">
        <f t="shared" si="781"/>
        <v>679.850303448276</v>
      </c>
      <c r="HI72" s="192"/>
      <c r="HJ72" s="192"/>
      <c r="HK72" s="192"/>
      <c r="HL72" s="192"/>
      <c r="HM72" s="192"/>
      <c r="HN72" s="192"/>
      <c r="HO72" s="192"/>
      <c r="HP72" s="192"/>
      <c r="HQ72" s="192"/>
      <c r="HR72" s="192"/>
      <c r="HS72" s="192"/>
      <c r="HT72" s="192"/>
      <c r="HU72" s="192"/>
      <c r="HV72" s="192"/>
      <c r="HW72" s="192"/>
      <c r="HX72" s="192"/>
      <c r="HY72" s="192"/>
      <c r="HZ72" s="192"/>
      <c r="IA72" s="192"/>
      <c r="IB72" s="53"/>
      <c r="IC72" s="53"/>
      <c r="ID72" s="343" t="s">
        <v>153</v>
      </c>
      <c r="IE72" s="343">
        <f t="shared" ref="IE72:IK72" si="830">SUM(IE67:IE71)</f>
        <v>3</v>
      </c>
      <c r="IF72" s="343">
        <f t="shared" si="830"/>
        <v>0</v>
      </c>
      <c r="IG72" s="343">
        <f t="shared" si="830"/>
        <v>101</v>
      </c>
      <c r="IH72" s="343">
        <f t="shared" si="830"/>
        <v>568</v>
      </c>
      <c r="II72" s="343">
        <f t="shared" si="830"/>
        <v>151378</v>
      </c>
      <c r="IJ72" s="343">
        <f t="shared" si="830"/>
        <v>220878</v>
      </c>
      <c r="IK72" s="343">
        <f t="shared" si="830"/>
        <v>182898</v>
      </c>
      <c r="IL72" s="343">
        <f t="shared" si="783"/>
        <v>37980</v>
      </c>
      <c r="IM72" s="343">
        <f t="shared" si="784"/>
        <v>0.171950126314074</v>
      </c>
      <c r="IN72" s="343">
        <f t="shared" si="785"/>
        <v>388.869718309859</v>
      </c>
      <c r="IP72" s="11"/>
      <c r="IQ72" s="192"/>
      <c r="IR72" s="192"/>
      <c r="IS72" s="192"/>
      <c r="IT72" s="192"/>
      <c r="IU72" s="192"/>
      <c r="IV72" s="192"/>
      <c r="IW72" s="192"/>
      <c r="IX72" s="192"/>
      <c r="IY72" s="192"/>
      <c r="IZ72" s="192"/>
      <c r="JA72" s="192"/>
      <c r="JB72" s="192"/>
      <c r="JC72" s="192"/>
      <c r="JD72" s="192"/>
      <c r="JE72" s="192"/>
      <c r="JF72" s="192"/>
      <c r="JG72" s="192"/>
      <c r="JH72" s="192"/>
      <c r="JI72" s="192"/>
      <c r="JJ72" s="53"/>
      <c r="JK72" s="53"/>
      <c r="JL72" s="343" t="s">
        <v>153</v>
      </c>
      <c r="JM72" s="343">
        <f t="shared" ref="JM72:JR72" si="831">SUM(JM67:JM71)</f>
        <v>3</v>
      </c>
      <c r="JN72" s="343">
        <f t="shared" si="831"/>
        <v>112</v>
      </c>
      <c r="JO72" s="343">
        <f t="shared" si="831"/>
        <v>1764</v>
      </c>
      <c r="JP72" s="343">
        <f t="shared" si="831"/>
        <v>509255</v>
      </c>
      <c r="JQ72" s="343">
        <f t="shared" si="831"/>
        <v>583642</v>
      </c>
      <c r="JR72" s="343">
        <f t="shared" si="831"/>
        <v>378712</v>
      </c>
      <c r="JS72" s="343">
        <f t="shared" si="787"/>
        <v>204930</v>
      </c>
      <c r="JT72" s="346">
        <f t="shared" si="788"/>
        <v>0.351122777318973</v>
      </c>
      <c r="JU72" s="343">
        <f t="shared" si="819"/>
        <v>330.862811791383</v>
      </c>
      <c r="JX72" s="192"/>
      <c r="JY72" s="192"/>
      <c r="JZ72" s="192"/>
      <c r="KA72" s="192"/>
      <c r="KB72" s="192"/>
      <c r="KC72" s="192"/>
      <c r="KD72" s="192"/>
      <c r="KE72" s="192"/>
      <c r="KF72" s="192"/>
      <c r="KG72" s="192"/>
      <c r="KH72" s="192"/>
      <c r="KI72" s="192"/>
      <c r="KJ72" s="192"/>
      <c r="KK72" s="192"/>
      <c r="KL72" s="192"/>
      <c r="KM72" s="192"/>
      <c r="KN72" s="192"/>
      <c r="KO72" s="192"/>
      <c r="KP72" s="192"/>
      <c r="KQ72" s="192"/>
      <c r="KR72" s="53"/>
      <c r="KS72" s="53"/>
      <c r="KT72" s="343" t="s">
        <v>153</v>
      </c>
      <c r="KU72" s="343">
        <v>5</v>
      </c>
      <c r="KV72" s="343">
        <v>351</v>
      </c>
      <c r="KW72" s="343">
        <v>1090</v>
      </c>
      <c r="KX72" s="343">
        <v>284337</v>
      </c>
      <c r="KY72" s="343">
        <v>456323</v>
      </c>
      <c r="KZ72" s="343">
        <v>321790</v>
      </c>
      <c r="LA72" s="343">
        <v>134533</v>
      </c>
      <c r="LB72" s="346">
        <v>0.294819678166562</v>
      </c>
      <c r="LC72" s="343">
        <v>418.64495412844</v>
      </c>
      <c r="LF72" s="11"/>
      <c r="LG72" s="192"/>
      <c r="LH72" s="192"/>
      <c r="LI72" s="192"/>
      <c r="LJ72" s="192"/>
      <c r="LK72" s="192"/>
      <c r="LL72" s="192"/>
      <c r="LM72" s="192"/>
      <c r="LN72" s="192"/>
      <c r="LO72" s="192"/>
      <c r="LP72" s="192"/>
      <c r="LQ72" s="192"/>
      <c r="LR72" s="192"/>
      <c r="LS72" s="192"/>
      <c r="LT72" s="192"/>
      <c r="LU72" s="192"/>
      <c r="LV72" s="192"/>
      <c r="LW72" s="192"/>
      <c r="LX72" s="192"/>
      <c r="LY72" s="192"/>
      <c r="LZ72" s="192"/>
      <c r="MA72" s="192"/>
      <c r="MB72" s="343" t="s">
        <v>153</v>
      </c>
      <c r="MC72" s="343">
        <f t="shared" ref="MC72:MH72" si="832">SUM(MC67:MC71)</f>
        <v>6</v>
      </c>
      <c r="MD72" s="343">
        <f t="shared" si="832"/>
        <v>227</v>
      </c>
      <c r="ME72" s="343">
        <f t="shared" si="832"/>
        <v>634</v>
      </c>
      <c r="MF72" s="343">
        <f t="shared" si="832"/>
        <v>170162</v>
      </c>
      <c r="MG72" s="343">
        <f t="shared" si="832"/>
        <v>264405</v>
      </c>
      <c r="MH72" s="343">
        <f t="shared" si="832"/>
        <v>146089</v>
      </c>
      <c r="MI72" s="343">
        <f t="shared" si="790"/>
        <v>118316</v>
      </c>
      <c r="MJ72" s="346">
        <f t="shared" si="791"/>
        <v>0.447480191373083</v>
      </c>
      <c r="MK72" s="343">
        <f t="shared" si="792"/>
        <v>417.042586750789</v>
      </c>
      <c r="MO72" s="192"/>
      <c r="MP72" s="192"/>
      <c r="MQ72" s="192"/>
      <c r="MR72" s="192"/>
      <c r="MS72" s="192"/>
      <c r="MT72" s="192"/>
      <c r="MU72" s="192"/>
      <c r="MV72" s="192"/>
      <c r="MW72" s="192"/>
      <c r="MX72" s="192"/>
      <c r="MY72" s="192"/>
      <c r="MZ72" s="192"/>
      <c r="NA72" s="192"/>
      <c r="NB72" s="192"/>
      <c r="NC72" s="192"/>
      <c r="ND72" s="192"/>
      <c r="NE72" s="192"/>
      <c r="NF72" s="192"/>
      <c r="NG72" s="192"/>
      <c r="NH72" s="53"/>
      <c r="NI72" s="53"/>
      <c r="NJ72" s="343" t="s">
        <v>153</v>
      </c>
      <c r="NK72" s="343">
        <f t="shared" ref="NK72:NP72" si="833">SUM(NK67:NK71)</f>
        <v>8</v>
      </c>
      <c r="NL72" s="343">
        <f t="shared" si="833"/>
        <v>196</v>
      </c>
      <c r="NM72" s="343">
        <f t="shared" si="833"/>
        <v>1281</v>
      </c>
      <c r="NN72" s="343">
        <f t="shared" si="833"/>
        <v>334581</v>
      </c>
      <c r="NO72" s="343">
        <f t="shared" si="833"/>
        <v>479331</v>
      </c>
      <c r="NP72" s="343">
        <f t="shared" si="833"/>
        <v>265822.71</v>
      </c>
      <c r="NQ72" s="343">
        <f t="shared" si="736"/>
        <v>213508.29</v>
      </c>
      <c r="NR72" s="346">
        <f t="shared" si="737"/>
        <v>0.44542975522134</v>
      </c>
      <c r="NS72" s="343">
        <f t="shared" si="738"/>
        <v>374.185011709602</v>
      </c>
      <c r="NT72" s="46"/>
      <c r="NU72" s="46"/>
      <c r="NV72" s="46"/>
      <c r="NW72" s="53"/>
      <c r="NX72" s="53"/>
      <c r="NY72" s="53"/>
      <c r="NZ72" s="53"/>
      <c r="OA72" s="53"/>
      <c r="OB72" s="53"/>
      <c r="OC72" s="53"/>
      <c r="OD72" s="53"/>
      <c r="OE72" s="53"/>
      <c r="OF72" s="53"/>
      <c r="OG72" s="53"/>
      <c r="OH72" s="53"/>
      <c r="OI72" s="53"/>
      <c r="OJ72" s="53"/>
      <c r="OK72" s="53"/>
      <c r="OL72" s="53"/>
      <c r="OM72" s="53"/>
      <c r="ON72" s="53"/>
      <c r="OO72" s="53"/>
      <c r="OP72" s="53"/>
      <c r="OQ72" s="53"/>
      <c r="OR72" s="53"/>
      <c r="OS72" s="243" t="s">
        <v>153</v>
      </c>
      <c r="OT72" s="242">
        <f t="shared" ref="OT72:OY72" si="834">SUM(OT67:OT71)</f>
        <v>8</v>
      </c>
      <c r="OU72" s="242">
        <f t="shared" si="834"/>
        <v>120</v>
      </c>
      <c r="OV72" s="243">
        <f t="shared" si="834"/>
        <v>2022</v>
      </c>
      <c r="OW72" s="243">
        <f t="shared" si="834"/>
        <v>571855</v>
      </c>
      <c r="OX72" s="243">
        <f t="shared" si="834"/>
        <v>854813</v>
      </c>
      <c r="OY72" s="243">
        <f t="shared" si="834"/>
        <v>472725</v>
      </c>
      <c r="OZ72" s="244">
        <f t="shared" si="740"/>
        <v>382088</v>
      </c>
      <c r="PA72" s="247">
        <f t="shared" si="741"/>
        <v>0.446984311188529</v>
      </c>
      <c r="PB72" s="243">
        <f t="shared" si="742"/>
        <v>422.756181998022</v>
      </c>
      <c r="PC72" s="144"/>
      <c r="PD72" s="144"/>
      <c r="PE72" s="144"/>
      <c r="PF72" s="144"/>
      <c r="PG72" s="144"/>
      <c r="PH72" s="144"/>
      <c r="PI72" s="144"/>
      <c r="PJ72" s="144"/>
      <c r="PK72" s="144"/>
      <c r="PL72" s="144"/>
      <c r="PM72" s="144"/>
      <c r="PN72" s="144"/>
      <c r="PO72" s="144"/>
      <c r="PP72" s="144"/>
      <c r="PQ72" s="144"/>
      <c r="PR72" s="144"/>
      <c r="PS72" s="144"/>
      <c r="PT72" s="146"/>
      <c r="PU72" s="243" t="s">
        <v>153</v>
      </c>
      <c r="PV72" s="242">
        <f t="shared" ref="PV72:QA72" si="835">SUM(PV67:PV71)</f>
        <v>8</v>
      </c>
      <c r="PW72" s="242">
        <f t="shared" si="835"/>
        <v>122</v>
      </c>
      <c r="PX72" s="243">
        <f t="shared" si="835"/>
        <v>2061</v>
      </c>
      <c r="PY72" s="243">
        <f t="shared" si="835"/>
        <v>782180</v>
      </c>
      <c r="PZ72" s="243">
        <f t="shared" si="835"/>
        <v>1101426</v>
      </c>
      <c r="QA72" s="243">
        <f t="shared" si="835"/>
        <v>754034</v>
      </c>
      <c r="QB72" s="244">
        <f t="shared" si="744"/>
        <v>347392</v>
      </c>
      <c r="QC72" s="247">
        <f t="shared" si="745"/>
        <v>0.315402033364021</v>
      </c>
      <c r="QD72" s="243">
        <f t="shared" si="746"/>
        <v>534.413391557496</v>
      </c>
      <c r="QE72" s="146"/>
      <c r="QF72" s="146"/>
      <c r="QG72" s="146"/>
      <c r="QH72" s="146"/>
      <c r="QI72" s="146"/>
      <c r="QJ72" s="146"/>
      <c r="QK72" s="146"/>
      <c r="QL72" s="146"/>
      <c r="QM72" s="146"/>
      <c r="QN72" s="146"/>
      <c r="QO72" s="146"/>
      <c r="QP72" s="146"/>
      <c r="QQ72" s="146"/>
      <c r="QR72" s="146"/>
      <c r="QS72" s="144"/>
      <c r="QT72" s="144"/>
      <c r="QU72" s="144"/>
      <c r="QV72" s="144"/>
      <c r="QW72" s="144"/>
      <c r="QX72" s="144"/>
      <c r="QY72" s="144"/>
      <c r="QZ72" s="144"/>
      <c r="RA72" s="144"/>
      <c r="RB72" s="144"/>
      <c r="RC72" s="144"/>
      <c r="RD72" s="144"/>
      <c r="RE72" s="144"/>
      <c r="RF72" s="144"/>
      <c r="RG72" s="144"/>
      <c r="RH72" s="144"/>
      <c r="RI72" s="144"/>
      <c r="RJ72" s="144"/>
      <c r="RK72" s="144"/>
      <c r="RL72" s="144"/>
      <c r="RM72" s="144"/>
      <c r="RN72" s="144"/>
      <c r="RO72" s="144"/>
      <c r="RP72" s="144"/>
      <c r="RQ72" s="144"/>
      <c r="RR72" s="144"/>
      <c r="RS72" s="144"/>
      <c r="RT72" s="144"/>
      <c r="RU72" s="144"/>
      <c r="RV72" s="144"/>
      <c r="RW72" s="144"/>
      <c r="RX72" s="144"/>
      <c r="RY72" s="144"/>
      <c r="RZ72" s="144"/>
      <c r="SA72" s="144"/>
      <c r="SB72" s="144"/>
      <c r="SC72" s="144"/>
      <c r="SD72" s="144"/>
      <c r="SE72" s="144"/>
      <c r="SF72" s="144"/>
      <c r="SG72" s="144"/>
      <c r="SH72" s="144"/>
      <c r="SI72" s="144"/>
      <c r="SJ72" s="144"/>
      <c r="SK72" s="144"/>
      <c r="SL72" s="144"/>
      <c r="SM72" s="84"/>
      <c r="SN72" s="84"/>
      <c r="SO72" s="154"/>
      <c r="SP72" s="154"/>
      <c r="SQ72" s="154"/>
      <c r="SR72" s="154"/>
      <c r="SS72" s="154"/>
      <c r="ST72" s="154"/>
      <c r="SU72" s="155"/>
      <c r="SV72" s="154"/>
      <c r="SW72" s="154"/>
      <c r="SX72" s="155"/>
      <c r="SY72" s="155"/>
      <c r="SZ72" s="155"/>
      <c r="TA72" s="155"/>
      <c r="TB72" s="155"/>
      <c r="TC72" s="155"/>
      <c r="TD72" s="155"/>
      <c r="TE72" s="156"/>
      <c r="TF72" s="144"/>
      <c r="TG72" s="84"/>
      <c r="TH72" s="144"/>
      <c r="TI72" s="144"/>
      <c r="TJ72" s="144"/>
      <c r="TK72" s="144"/>
      <c r="TL72" s="157"/>
      <c r="TM72" s="157"/>
      <c r="TN72" s="157"/>
      <c r="TO72" s="157"/>
      <c r="TP72" s="157"/>
      <c r="TQ72" s="157"/>
      <c r="TR72" s="157"/>
      <c r="TS72" s="157"/>
      <c r="TT72" s="157"/>
      <c r="TU72" s="158"/>
      <c r="TV72" s="157"/>
      <c r="TW72" s="158"/>
      <c r="TX72" s="144"/>
      <c r="TY72" s="144"/>
      <c r="TZ72" s="144"/>
      <c r="UA72" s="84"/>
      <c r="UB72" s="144"/>
      <c r="UC72" s="144"/>
      <c r="UD72" s="144"/>
      <c r="UE72" s="144"/>
      <c r="UF72" s="157"/>
      <c r="UG72" s="157"/>
      <c r="UH72" s="157"/>
      <c r="UI72" s="157"/>
      <c r="UJ72" s="157"/>
      <c r="UK72" s="157"/>
      <c r="UL72" s="157"/>
      <c r="UM72" s="157"/>
      <c r="UN72" s="157"/>
      <c r="UO72" s="157"/>
      <c r="UP72" s="157"/>
      <c r="UQ72" s="158"/>
      <c r="UR72" s="157"/>
      <c r="US72" s="158"/>
      <c r="UT72" s="144"/>
      <c r="UU72" s="144"/>
      <c r="UV72" s="144"/>
      <c r="UW72" s="144"/>
      <c r="UX72" s="144"/>
      <c r="UY72" s="144"/>
      <c r="UZ72" s="144"/>
      <c r="VA72" s="144"/>
      <c r="VB72" s="157"/>
      <c r="VC72" s="157"/>
      <c r="VD72" s="157"/>
      <c r="VE72" s="157"/>
      <c r="VF72" s="157"/>
      <c r="VG72" s="157"/>
      <c r="VH72" s="157"/>
      <c r="VI72" s="157"/>
      <c r="VJ72" s="157"/>
      <c r="VK72" s="157"/>
      <c r="VL72" s="157"/>
      <c r="VM72" s="157"/>
      <c r="VN72" s="157"/>
      <c r="VO72" s="157"/>
      <c r="VP72" s="144"/>
      <c r="VQ72" s="144"/>
      <c r="VR72" s="84"/>
      <c r="VS72" s="84"/>
      <c r="VT72" s="53"/>
      <c r="VU72" s="53"/>
    </row>
    <row r="73" ht="15.75" hidden="1" spans="1:1024 1025:16384">
      <c r="A73" s="53"/>
      <c r="B73" s="53"/>
      <c r="C73" s="348"/>
      <c r="D73" s="251"/>
      <c r="E73" s="348"/>
      <c r="F73" s="348"/>
      <c r="G73" s="348"/>
      <c r="H73" s="348"/>
      <c r="I73" s="348"/>
      <c r="J73" s="348"/>
      <c r="K73" s="349"/>
      <c r="L73" s="350"/>
      <c r="M73" s="348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  <c r="AA73" s="293"/>
      <c r="AB73" s="293"/>
      <c r="AC73" s="293"/>
      <c r="AD73" s="293"/>
      <c r="AE73" s="293"/>
      <c r="AF73" s="293"/>
      <c r="AG73" s="293"/>
      <c r="AH73" s="293"/>
      <c r="AI73" s="53"/>
      <c r="AJ73" s="348"/>
      <c r="AK73" s="251"/>
      <c r="AL73" s="348"/>
      <c r="AM73" s="348"/>
      <c r="AN73" s="348"/>
      <c r="AO73" s="348"/>
      <c r="AP73" s="348"/>
      <c r="AQ73" s="348"/>
      <c r="AR73" s="349"/>
      <c r="AS73" s="350"/>
      <c r="AT73" s="348"/>
      <c r="AU73" s="293"/>
      <c r="AV73" s="293"/>
      <c r="AW73" s="293"/>
      <c r="AX73" s="293"/>
      <c r="AY73" s="293"/>
      <c r="AZ73" s="293"/>
      <c r="BA73" s="293"/>
      <c r="BB73" s="293"/>
      <c r="BC73" s="293"/>
      <c r="BD73" s="293"/>
      <c r="BE73" s="293"/>
      <c r="BF73" s="293"/>
      <c r="BG73" s="293"/>
      <c r="BH73" s="293"/>
      <c r="BI73" s="293"/>
      <c r="BJ73" s="293"/>
      <c r="BK73" s="293"/>
      <c r="BL73" s="293"/>
      <c r="BM73" s="293"/>
      <c r="BN73" s="293"/>
      <c r="BO73" s="293"/>
      <c r="BP73" s="53"/>
      <c r="BQ73" s="348"/>
      <c r="BR73" s="251"/>
      <c r="BS73" s="348"/>
      <c r="BT73" s="348"/>
      <c r="BU73" s="348"/>
      <c r="BV73" s="348"/>
      <c r="BW73" s="348"/>
      <c r="BX73" s="348"/>
      <c r="BY73" s="349"/>
      <c r="BZ73" s="350"/>
      <c r="CA73" s="348"/>
      <c r="CB73" s="293"/>
      <c r="CC73" s="293"/>
      <c r="CD73" s="293"/>
      <c r="CE73" s="293"/>
      <c r="CF73" s="293"/>
      <c r="CG73" s="293"/>
      <c r="CH73" s="293"/>
      <c r="CI73" s="293"/>
      <c r="CJ73" s="293"/>
      <c r="CK73" s="293"/>
      <c r="CL73" s="293"/>
      <c r="CM73" s="293"/>
      <c r="CN73" s="293"/>
      <c r="CO73" s="293"/>
      <c r="CP73" s="293"/>
      <c r="CQ73" s="293"/>
      <c r="CR73" s="293"/>
      <c r="CS73" s="293"/>
      <c r="CT73" s="293"/>
      <c r="CU73" s="293"/>
      <c r="CV73" s="293"/>
      <c r="CW73" s="53"/>
      <c r="CX73" s="348"/>
      <c r="CY73" s="251"/>
      <c r="CZ73" s="348"/>
      <c r="DA73" s="348"/>
      <c r="DB73" s="348"/>
      <c r="DC73" s="348"/>
      <c r="DD73" s="348"/>
      <c r="DE73" s="348"/>
      <c r="DF73" s="349"/>
      <c r="DG73" s="350"/>
      <c r="DH73" s="348"/>
      <c r="DI73" s="293"/>
      <c r="DJ73" s="293"/>
      <c r="DK73" s="293"/>
      <c r="DL73" s="293"/>
      <c r="DM73" s="293"/>
      <c r="DN73" s="293"/>
      <c r="DO73" s="293"/>
      <c r="DP73" s="293"/>
      <c r="DQ73" s="293"/>
      <c r="DR73" s="293"/>
      <c r="DS73" s="293"/>
      <c r="DT73" s="293"/>
      <c r="DU73" s="293"/>
      <c r="DV73" s="293"/>
      <c r="DW73" s="293"/>
      <c r="DX73" s="293"/>
      <c r="DY73" s="293"/>
      <c r="DZ73" s="293"/>
      <c r="EA73" s="293"/>
      <c r="EB73" s="293"/>
      <c r="EC73" s="293"/>
      <c r="ED73" s="53"/>
      <c r="EE73" s="298"/>
      <c r="EF73" s="159"/>
      <c r="EG73" s="298"/>
      <c r="EH73" s="298"/>
      <c r="EI73" s="298"/>
      <c r="EJ73" s="298"/>
      <c r="EK73" s="298"/>
      <c r="EL73" s="351"/>
      <c r="EM73" s="352"/>
      <c r="EN73" s="298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298"/>
      <c r="FO73" s="159"/>
      <c r="FP73" s="298"/>
      <c r="FQ73" s="298"/>
      <c r="FR73" s="298"/>
      <c r="FS73" s="298"/>
      <c r="FT73" s="298"/>
      <c r="FU73" s="298"/>
      <c r="FV73" s="351"/>
      <c r="FW73" s="352"/>
      <c r="FX73" s="298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298"/>
      <c r="GW73" s="159"/>
      <c r="GX73" s="298"/>
      <c r="GY73" s="298"/>
      <c r="GZ73" s="298"/>
      <c r="HA73" s="298"/>
      <c r="HB73" s="298"/>
      <c r="HC73" s="298"/>
      <c r="HD73" s="351"/>
      <c r="HE73" s="352"/>
      <c r="HF73" s="298"/>
      <c r="HI73" s="53"/>
      <c r="HJ73" s="53"/>
      <c r="HK73" s="53"/>
      <c r="HL73" s="53"/>
      <c r="HM73" s="53"/>
      <c r="HN73" s="53"/>
      <c r="HO73" s="53"/>
      <c r="HP73" s="53"/>
      <c r="HQ73" s="53"/>
      <c r="HR73" s="53"/>
      <c r="HS73" s="53"/>
      <c r="HT73" s="53"/>
      <c r="HU73" s="53"/>
      <c r="HV73" s="53"/>
      <c r="HW73" s="53"/>
      <c r="HX73" s="53"/>
      <c r="HY73" s="53"/>
      <c r="HZ73" s="53"/>
      <c r="IA73" s="53"/>
      <c r="IB73" s="53"/>
      <c r="IC73" s="53"/>
      <c r="ID73" s="298"/>
      <c r="IE73" s="159"/>
      <c r="IF73" s="298"/>
      <c r="IG73" s="298"/>
      <c r="IH73" s="298"/>
      <c r="II73" s="298"/>
      <c r="IJ73" s="298"/>
      <c r="IK73" s="298"/>
      <c r="IL73" s="351"/>
      <c r="IM73" s="352"/>
      <c r="IN73" s="298"/>
      <c r="IP73" s="11"/>
      <c r="IQ73" s="53"/>
      <c r="IR73" s="53"/>
      <c r="IS73" s="53"/>
      <c r="IT73" s="53"/>
      <c r="IU73" s="53"/>
      <c r="IV73" s="53"/>
      <c r="IW73" s="53"/>
      <c r="IX73" s="53"/>
      <c r="IY73" s="53"/>
      <c r="IZ73" s="53"/>
      <c r="JA73" s="53"/>
      <c r="JB73" s="53"/>
      <c r="JC73" s="53"/>
      <c r="JD73" s="53"/>
      <c r="JE73" s="53"/>
      <c r="JF73" s="53"/>
      <c r="JG73" s="53"/>
      <c r="JH73" s="53"/>
      <c r="JI73" s="53"/>
      <c r="JJ73" s="53"/>
      <c r="JK73" s="53"/>
      <c r="JL73" s="298"/>
      <c r="JM73" s="159"/>
      <c r="JN73" s="298"/>
      <c r="JO73" s="298"/>
      <c r="JP73" s="298"/>
      <c r="JQ73" s="298"/>
      <c r="JR73" s="298"/>
      <c r="JS73" s="351"/>
      <c r="JT73" s="352"/>
      <c r="JU73" s="298"/>
      <c r="JX73" s="53"/>
      <c r="JY73" s="53"/>
      <c r="JZ73" s="53"/>
      <c r="KA73" s="53"/>
      <c r="KB73" s="53"/>
      <c r="KC73" s="53"/>
      <c r="KD73" s="53"/>
      <c r="KE73" s="53"/>
      <c r="KF73" s="53"/>
      <c r="KG73" s="53"/>
      <c r="KH73" s="53"/>
      <c r="KI73" s="53"/>
      <c r="KJ73" s="53"/>
      <c r="KK73" s="53"/>
      <c r="KL73" s="53"/>
      <c r="KM73" s="53"/>
      <c r="KN73" s="53"/>
      <c r="KO73" s="53"/>
      <c r="KP73" s="53"/>
      <c r="KQ73" s="53"/>
      <c r="KR73" s="53"/>
      <c r="KS73" s="53"/>
      <c r="KT73" s="298"/>
      <c r="KU73" s="159"/>
      <c r="KV73" s="298"/>
      <c r="KW73" s="298"/>
      <c r="KX73" s="298"/>
      <c r="KY73" s="298"/>
      <c r="KZ73" s="298"/>
      <c r="LA73" s="351"/>
      <c r="LB73" s="352"/>
      <c r="LC73" s="298"/>
      <c r="LF73" s="11"/>
      <c r="LG73" s="53"/>
      <c r="LH73" s="53"/>
      <c r="LI73" s="53"/>
      <c r="LJ73" s="53"/>
      <c r="LK73" s="53"/>
      <c r="LL73" s="53"/>
      <c r="LM73" s="53"/>
      <c r="LN73" s="53"/>
      <c r="LO73" s="53"/>
      <c r="LP73" s="53"/>
      <c r="LQ73" s="53"/>
      <c r="LR73" s="53"/>
      <c r="LS73" s="53"/>
      <c r="LT73" s="53"/>
      <c r="LU73" s="53"/>
      <c r="LV73" s="53"/>
      <c r="LW73" s="53"/>
      <c r="LX73" s="53"/>
      <c r="LY73" s="53"/>
      <c r="LZ73" s="53"/>
      <c r="MA73" s="53"/>
      <c r="MB73" s="298"/>
      <c r="MC73" s="159"/>
      <c r="MD73" s="298"/>
      <c r="ME73" s="298"/>
      <c r="MF73" s="298"/>
      <c r="MG73" s="298"/>
      <c r="MH73" s="298"/>
      <c r="MI73" s="351"/>
      <c r="MJ73" s="352"/>
      <c r="MK73" s="298"/>
      <c r="MO73" s="53"/>
      <c r="MP73" s="53"/>
      <c r="MQ73" s="53"/>
      <c r="MR73" s="53"/>
      <c r="MS73" s="53"/>
      <c r="MT73" s="53"/>
      <c r="MU73" s="53"/>
      <c r="MV73" s="53"/>
      <c r="MW73" s="53"/>
      <c r="MX73" s="53"/>
      <c r="MY73" s="53"/>
      <c r="MZ73" s="53"/>
      <c r="NA73" s="53"/>
      <c r="NB73" s="53"/>
      <c r="NC73" s="53"/>
      <c r="ND73" s="53"/>
      <c r="NE73" s="53"/>
      <c r="NF73" s="53"/>
      <c r="NG73" s="53"/>
      <c r="NH73" s="53"/>
      <c r="NI73" s="53"/>
      <c r="NJ73" s="298"/>
      <c r="NK73" s="159"/>
      <c r="NL73" s="298"/>
      <c r="NM73" s="298"/>
      <c r="NN73" s="298"/>
      <c r="NO73" s="298"/>
      <c r="NP73" s="298"/>
      <c r="NQ73" s="351"/>
      <c r="NR73" s="352"/>
      <c r="NS73" s="298"/>
      <c r="NT73" s="46"/>
      <c r="NU73" s="46"/>
      <c r="NV73" s="46"/>
      <c r="NW73" s="53"/>
      <c r="NX73" s="53"/>
      <c r="NY73" s="53"/>
      <c r="NZ73" s="53"/>
      <c r="OA73" s="53"/>
      <c r="OB73" s="53"/>
      <c r="OC73" s="53"/>
      <c r="OD73" s="53"/>
      <c r="OE73" s="53"/>
      <c r="OF73" s="53"/>
      <c r="OG73" s="53"/>
      <c r="OH73" s="53"/>
      <c r="OI73" s="53"/>
      <c r="OJ73" s="53"/>
      <c r="OK73" s="53"/>
      <c r="OL73" s="53"/>
      <c r="OM73" s="53"/>
      <c r="ON73" s="53"/>
      <c r="OO73" s="53"/>
      <c r="OP73" s="53"/>
      <c r="OQ73" s="53"/>
      <c r="OR73" s="53"/>
      <c r="OS73" s="154"/>
      <c r="OT73" s="84"/>
      <c r="OU73" s="154"/>
      <c r="OV73" s="154"/>
      <c r="OW73" s="154"/>
      <c r="OX73" s="154"/>
      <c r="OY73" s="154"/>
      <c r="OZ73" s="155"/>
      <c r="PA73" s="156"/>
      <c r="PB73" s="156"/>
      <c r="PC73" s="156"/>
      <c r="PD73" s="154"/>
      <c r="PE73" s="144"/>
      <c r="PF73" s="144"/>
      <c r="PG73" s="144"/>
      <c r="PH73" s="144"/>
      <c r="PI73" s="144"/>
      <c r="PJ73" s="144"/>
      <c r="PK73" s="144"/>
      <c r="PL73" s="144"/>
      <c r="PM73" s="144"/>
      <c r="PN73" s="144"/>
      <c r="PO73" s="144"/>
      <c r="PP73" s="144"/>
      <c r="PQ73" s="144"/>
      <c r="PR73" s="144"/>
      <c r="PS73" s="144"/>
      <c r="PT73" s="146"/>
      <c r="PU73" s="144"/>
      <c r="PV73" s="144"/>
      <c r="PW73" s="144"/>
      <c r="PX73" s="144"/>
      <c r="PY73" s="144"/>
      <c r="PZ73" s="144"/>
      <c r="QA73" s="144"/>
      <c r="QB73" s="144"/>
      <c r="QC73" s="144"/>
      <c r="QD73" s="144"/>
      <c r="QE73" s="146"/>
      <c r="QF73" s="146"/>
      <c r="QG73" s="146"/>
      <c r="QH73" s="146"/>
      <c r="QI73" s="146"/>
      <c r="QJ73" s="146"/>
      <c r="QK73" s="146"/>
      <c r="QL73" s="146"/>
      <c r="QM73" s="146"/>
      <c r="QN73" s="146"/>
      <c r="QO73" s="146"/>
      <c r="QP73" s="146"/>
      <c r="QQ73" s="146"/>
      <c r="QR73" s="146"/>
      <c r="QS73" s="144"/>
      <c r="QT73" s="144"/>
      <c r="QU73" s="144"/>
      <c r="QV73" s="144"/>
      <c r="QW73" s="144"/>
      <c r="QX73" s="144"/>
      <c r="QY73" s="144"/>
      <c r="QZ73" s="144"/>
      <c r="RA73" s="144"/>
      <c r="RB73" s="144"/>
      <c r="RC73" s="144"/>
      <c r="RD73" s="144"/>
      <c r="RE73" s="144"/>
      <c r="RF73" s="144"/>
      <c r="RG73" s="144"/>
      <c r="RH73" s="144"/>
      <c r="RI73" s="144"/>
      <c r="RJ73" s="144"/>
      <c r="RK73" s="144"/>
      <c r="RL73" s="144"/>
      <c r="RM73" s="144"/>
      <c r="RN73" s="144"/>
      <c r="RO73" s="144"/>
      <c r="RP73" s="144"/>
      <c r="RQ73" s="144"/>
      <c r="RR73" s="144"/>
      <c r="RS73" s="144"/>
      <c r="RT73" s="144"/>
      <c r="RU73" s="144"/>
      <c r="RV73" s="144"/>
      <c r="RW73" s="144"/>
      <c r="RX73" s="144"/>
      <c r="RY73" s="144"/>
      <c r="RZ73" s="144"/>
      <c r="SA73" s="144"/>
      <c r="SB73" s="144"/>
      <c r="SC73" s="144"/>
      <c r="SD73" s="144"/>
      <c r="SE73" s="144"/>
      <c r="SF73" s="144"/>
      <c r="SG73" s="144"/>
      <c r="SH73" s="144"/>
      <c r="SI73" s="144"/>
      <c r="SJ73" s="144"/>
      <c r="SK73" s="144"/>
      <c r="SL73" s="144"/>
      <c r="SM73" s="84"/>
      <c r="SN73" s="84"/>
      <c r="SO73" s="154"/>
      <c r="SP73" s="154"/>
      <c r="SQ73" s="154"/>
      <c r="SR73" s="154"/>
      <c r="SS73" s="154"/>
      <c r="ST73" s="154"/>
      <c r="SU73" s="155"/>
      <c r="SV73" s="154"/>
      <c r="SW73" s="154"/>
      <c r="SX73" s="155"/>
      <c r="SY73" s="155"/>
      <c r="SZ73" s="155"/>
      <c r="TA73" s="155"/>
      <c r="TB73" s="155"/>
      <c r="TC73" s="155"/>
      <c r="TD73" s="155"/>
      <c r="TE73" s="156"/>
      <c r="TF73" s="144"/>
      <c r="TG73" s="84"/>
      <c r="TH73" s="144"/>
      <c r="TI73" s="144"/>
      <c r="TJ73" s="144"/>
      <c r="TK73" s="144"/>
      <c r="TL73" s="157"/>
      <c r="TM73" s="157"/>
      <c r="TN73" s="157"/>
      <c r="TO73" s="157"/>
      <c r="TP73" s="157"/>
      <c r="TQ73" s="157"/>
      <c r="TR73" s="157"/>
      <c r="TS73" s="157"/>
      <c r="TT73" s="157"/>
      <c r="TU73" s="158"/>
      <c r="TV73" s="157"/>
      <c r="TW73" s="158"/>
      <c r="TX73" s="144"/>
      <c r="TY73" s="144"/>
      <c r="TZ73" s="144"/>
      <c r="UA73" s="84"/>
      <c r="UB73" s="144"/>
      <c r="UC73" s="144"/>
      <c r="UD73" s="144"/>
      <c r="UE73" s="144"/>
      <c r="UF73" s="157"/>
      <c r="UG73" s="157"/>
      <c r="UH73" s="157"/>
      <c r="UI73" s="157"/>
      <c r="UJ73" s="157"/>
      <c r="UK73" s="157"/>
      <c r="UL73" s="157"/>
      <c r="UM73" s="157"/>
      <c r="UN73" s="157"/>
      <c r="UO73" s="157"/>
      <c r="UP73" s="157"/>
      <c r="UQ73" s="158"/>
      <c r="UR73" s="157"/>
      <c r="US73" s="158"/>
      <c r="UT73" s="144"/>
      <c r="UU73" s="144"/>
      <c r="UV73" s="144"/>
      <c r="UW73" s="144"/>
      <c r="UX73" s="144"/>
      <c r="UY73" s="144"/>
      <c r="UZ73" s="144"/>
      <c r="VA73" s="144"/>
      <c r="VB73" s="157"/>
      <c r="VC73" s="157"/>
      <c r="VD73" s="157"/>
      <c r="VE73" s="157"/>
      <c r="VF73" s="157"/>
      <c r="VG73" s="157"/>
      <c r="VH73" s="157"/>
      <c r="VI73" s="157"/>
      <c r="VJ73" s="157"/>
      <c r="VK73" s="157"/>
      <c r="VL73" s="157"/>
      <c r="VM73" s="157"/>
      <c r="VN73" s="157"/>
      <c r="VO73" s="157"/>
      <c r="VP73" s="144"/>
      <c r="VQ73" s="144"/>
      <c r="VR73" s="84"/>
      <c r="VS73" s="84"/>
      <c r="VT73" s="53"/>
      <c r="VU73" s="53"/>
    </row>
    <row r="74" ht="15.75" hidden="1" spans="1:1024 1025:16384">
      <c r="A74" s="53"/>
      <c r="B74" s="53"/>
      <c r="C74" s="162" t="s">
        <v>20</v>
      </c>
      <c r="D74" s="162" t="s">
        <v>21</v>
      </c>
      <c r="E74" s="162" t="s">
        <v>154</v>
      </c>
      <c r="F74" s="162" t="s">
        <v>23</v>
      </c>
      <c r="G74" s="162" t="s">
        <v>219</v>
      </c>
      <c r="H74" s="162" t="s">
        <v>27</v>
      </c>
      <c r="I74" s="162" t="s">
        <v>28</v>
      </c>
      <c r="J74" s="162" t="s">
        <v>29</v>
      </c>
      <c r="K74" s="162" t="s">
        <v>32</v>
      </c>
      <c r="L74" s="162" t="s">
        <v>220</v>
      </c>
      <c r="M74" s="162" t="s">
        <v>157</v>
      </c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  <c r="AC74" s="293"/>
      <c r="AD74" s="293"/>
      <c r="AE74" s="293"/>
      <c r="AF74" s="293"/>
      <c r="AG74" s="293"/>
      <c r="AH74" s="293"/>
      <c r="AI74" s="53"/>
      <c r="AJ74" s="162" t="s">
        <v>20</v>
      </c>
      <c r="AK74" s="162" t="s">
        <v>21</v>
      </c>
      <c r="AL74" s="162" t="s">
        <v>154</v>
      </c>
      <c r="AM74" s="162" t="s">
        <v>23</v>
      </c>
      <c r="AN74" s="162" t="s">
        <v>219</v>
      </c>
      <c r="AO74" s="162" t="s">
        <v>27</v>
      </c>
      <c r="AP74" s="162" t="s">
        <v>28</v>
      </c>
      <c r="AQ74" s="162" t="s">
        <v>29</v>
      </c>
      <c r="AR74" s="162" t="s">
        <v>32</v>
      </c>
      <c r="AS74" s="162" t="s">
        <v>220</v>
      </c>
      <c r="AT74" s="162" t="s">
        <v>157</v>
      </c>
      <c r="AU74" s="293"/>
      <c r="AV74" s="293"/>
      <c r="AW74" s="293"/>
      <c r="AX74" s="293"/>
      <c r="AY74" s="293"/>
      <c r="AZ74" s="293"/>
      <c r="BA74" s="293"/>
      <c r="BB74" s="293"/>
      <c r="BC74" s="293"/>
      <c r="BD74" s="293"/>
      <c r="BE74" s="293"/>
      <c r="BF74" s="293"/>
      <c r="BG74" s="293"/>
      <c r="BH74" s="293"/>
      <c r="BI74" s="293"/>
      <c r="BJ74" s="293"/>
      <c r="BK74" s="293"/>
      <c r="BL74" s="293"/>
      <c r="BM74" s="293"/>
      <c r="BN74" s="293"/>
      <c r="BO74" s="293"/>
      <c r="BP74" s="53"/>
      <c r="BQ74" s="162" t="s">
        <v>20</v>
      </c>
      <c r="BR74" s="162" t="s">
        <v>21</v>
      </c>
      <c r="BS74" s="162" t="s">
        <v>154</v>
      </c>
      <c r="BT74" s="162" t="s">
        <v>23</v>
      </c>
      <c r="BU74" s="162" t="s">
        <v>219</v>
      </c>
      <c r="BV74" s="162" t="s">
        <v>27</v>
      </c>
      <c r="BW74" s="162" t="s">
        <v>28</v>
      </c>
      <c r="BX74" s="162" t="s">
        <v>29</v>
      </c>
      <c r="BY74" s="162" t="s">
        <v>32</v>
      </c>
      <c r="BZ74" s="162" t="s">
        <v>220</v>
      </c>
      <c r="CA74" s="162" t="s">
        <v>157</v>
      </c>
      <c r="CB74" s="293"/>
      <c r="CC74" s="293"/>
      <c r="CD74" s="293"/>
      <c r="CE74" s="293"/>
      <c r="CF74" s="293"/>
      <c r="CG74" s="293"/>
      <c r="CH74" s="293"/>
      <c r="CI74" s="293"/>
      <c r="CJ74" s="293"/>
      <c r="CK74" s="293"/>
      <c r="CL74" s="293"/>
      <c r="CM74" s="293"/>
      <c r="CN74" s="293"/>
      <c r="CO74" s="293"/>
      <c r="CP74" s="293"/>
      <c r="CQ74" s="293"/>
      <c r="CR74" s="293"/>
      <c r="CS74" s="293"/>
      <c r="CT74" s="293"/>
      <c r="CU74" s="293"/>
      <c r="CV74" s="293"/>
      <c r="CW74" s="53"/>
      <c r="CX74" s="162" t="s">
        <v>20</v>
      </c>
      <c r="CY74" s="162" t="s">
        <v>21</v>
      </c>
      <c r="CZ74" s="162" t="s">
        <v>154</v>
      </c>
      <c r="DA74" s="162" t="s">
        <v>23</v>
      </c>
      <c r="DB74" s="162" t="s">
        <v>219</v>
      </c>
      <c r="DC74" s="162" t="s">
        <v>27</v>
      </c>
      <c r="DD74" s="162" t="s">
        <v>28</v>
      </c>
      <c r="DE74" s="162" t="s">
        <v>29</v>
      </c>
      <c r="DF74" s="162" t="s">
        <v>32</v>
      </c>
      <c r="DG74" s="162" t="s">
        <v>220</v>
      </c>
      <c r="DH74" s="162" t="s">
        <v>157</v>
      </c>
      <c r="DI74" s="293"/>
      <c r="DJ74" s="293"/>
      <c r="DK74" s="293"/>
      <c r="DL74" s="293"/>
      <c r="DM74" s="293"/>
      <c r="DN74" s="293"/>
      <c r="DO74" s="293"/>
      <c r="DP74" s="293"/>
      <c r="DQ74" s="293"/>
      <c r="DR74" s="293"/>
      <c r="DS74" s="293"/>
      <c r="DT74" s="293"/>
      <c r="DU74" s="293"/>
      <c r="DV74" s="293"/>
      <c r="DW74" s="293"/>
      <c r="DX74" s="293"/>
      <c r="DY74" s="293"/>
      <c r="DZ74" s="293"/>
      <c r="EA74" s="293"/>
      <c r="EB74" s="293"/>
      <c r="EC74" s="293"/>
      <c r="ED74" s="53"/>
      <c r="EE74" s="347" t="s">
        <v>20</v>
      </c>
      <c r="EF74" s="347" t="s">
        <v>21</v>
      </c>
      <c r="EG74" s="347" t="s">
        <v>154</v>
      </c>
      <c r="EH74" s="347" t="s">
        <v>23</v>
      </c>
      <c r="EI74" s="347" t="s">
        <v>219</v>
      </c>
      <c r="EJ74" s="347" t="s">
        <v>27</v>
      </c>
      <c r="EK74" s="347" t="s">
        <v>28</v>
      </c>
      <c r="EL74" s="347" t="s">
        <v>29</v>
      </c>
      <c r="EM74" s="347" t="s">
        <v>32</v>
      </c>
      <c r="EN74" s="347" t="s">
        <v>220</v>
      </c>
      <c r="EO74" s="347" t="s">
        <v>157</v>
      </c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347" t="s">
        <v>20</v>
      </c>
      <c r="FO74" s="347" t="s">
        <v>21</v>
      </c>
      <c r="FP74" s="347" t="s">
        <v>154</v>
      </c>
      <c r="FQ74" s="347" t="s">
        <v>23</v>
      </c>
      <c r="FR74" s="347" t="s">
        <v>219</v>
      </c>
      <c r="FS74" s="347" t="s">
        <v>27</v>
      </c>
      <c r="FT74" s="347" t="s">
        <v>28</v>
      </c>
      <c r="FU74" s="347" t="s">
        <v>29</v>
      </c>
      <c r="FV74" s="347" t="s">
        <v>32</v>
      </c>
      <c r="FW74" s="347" t="s">
        <v>220</v>
      </c>
      <c r="FX74" s="347" t="s">
        <v>157</v>
      </c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347" t="s">
        <v>20</v>
      </c>
      <c r="GW74" s="347" t="s">
        <v>21</v>
      </c>
      <c r="GX74" s="347" t="s">
        <v>154</v>
      </c>
      <c r="GY74" s="347" t="s">
        <v>23</v>
      </c>
      <c r="GZ74" s="347" t="s">
        <v>36</v>
      </c>
      <c r="HA74" s="347" t="s">
        <v>37</v>
      </c>
      <c r="HB74" s="347" t="s">
        <v>221</v>
      </c>
      <c r="HC74" s="347" t="s">
        <v>222</v>
      </c>
      <c r="HD74" s="347" t="s">
        <v>223</v>
      </c>
      <c r="HE74" s="347" t="s">
        <v>224</v>
      </c>
      <c r="HF74" s="347" t="s">
        <v>225</v>
      </c>
      <c r="HI74" s="53"/>
      <c r="HJ74" s="53"/>
      <c r="HK74" s="53"/>
      <c r="HL74" s="53"/>
      <c r="HM74" s="53"/>
      <c r="HN74" s="53"/>
      <c r="HO74" s="53"/>
      <c r="HP74" s="53"/>
      <c r="HQ74" s="53"/>
      <c r="HR74" s="53"/>
      <c r="HS74" s="53"/>
      <c r="HT74" s="53"/>
      <c r="HU74" s="53"/>
      <c r="HV74" s="53"/>
      <c r="HW74" s="53"/>
      <c r="HX74" s="53"/>
      <c r="HY74" s="53"/>
      <c r="HZ74" s="53"/>
      <c r="IA74" s="53"/>
      <c r="IB74" s="53"/>
      <c r="IC74" s="53"/>
      <c r="ID74" s="326" t="s">
        <v>20</v>
      </c>
      <c r="IE74" s="326" t="s">
        <v>21</v>
      </c>
      <c r="IF74" s="326" t="s">
        <v>22</v>
      </c>
      <c r="IG74" s="326" t="s">
        <v>23</v>
      </c>
      <c r="IH74" s="326" t="s">
        <v>219</v>
      </c>
      <c r="II74" s="326" t="s">
        <v>27</v>
      </c>
      <c r="IJ74" s="326" t="s">
        <v>159</v>
      </c>
      <c r="IK74" s="326" t="s">
        <v>29</v>
      </c>
      <c r="IL74" s="326" t="s">
        <v>32</v>
      </c>
      <c r="IM74" s="326" t="s">
        <v>220</v>
      </c>
      <c r="IN74" s="326" t="s">
        <v>157</v>
      </c>
      <c r="IP74" s="11"/>
      <c r="IQ74" s="53"/>
      <c r="IR74" s="53"/>
      <c r="IS74" s="53"/>
      <c r="IT74" s="53"/>
      <c r="IU74" s="53"/>
      <c r="IV74" s="53"/>
      <c r="IW74" s="53"/>
      <c r="IX74" s="53"/>
      <c r="IY74" s="53"/>
      <c r="IZ74" s="53"/>
      <c r="JA74" s="53"/>
      <c r="JB74" s="53"/>
      <c r="JC74" s="53"/>
      <c r="JD74" s="53"/>
      <c r="JE74" s="53"/>
      <c r="JF74" s="53"/>
      <c r="JG74" s="53"/>
      <c r="JH74" s="53"/>
      <c r="JI74" s="53"/>
      <c r="JJ74" s="53"/>
      <c r="JK74" s="53"/>
      <c r="JL74" s="347" t="s">
        <v>20</v>
      </c>
      <c r="JM74" s="347" t="s">
        <v>21</v>
      </c>
      <c r="JN74" s="347" t="s">
        <v>23</v>
      </c>
      <c r="JO74" s="347" t="s">
        <v>219</v>
      </c>
      <c r="JP74" s="347" t="s">
        <v>27</v>
      </c>
      <c r="JQ74" s="347" t="s">
        <v>159</v>
      </c>
      <c r="JR74" s="347" t="s">
        <v>29</v>
      </c>
      <c r="JS74" s="347" t="s">
        <v>32</v>
      </c>
      <c r="JT74" s="347" t="s">
        <v>220</v>
      </c>
      <c r="JU74" s="347" t="s">
        <v>157</v>
      </c>
      <c r="JX74" s="53"/>
      <c r="JY74" s="53"/>
      <c r="JZ74" s="53"/>
      <c r="KA74" s="53"/>
      <c r="KB74" s="53"/>
      <c r="KC74" s="53"/>
      <c r="KD74" s="53"/>
      <c r="KE74" s="53"/>
      <c r="KF74" s="53"/>
      <c r="KG74" s="53"/>
      <c r="KH74" s="53"/>
      <c r="KI74" s="53"/>
      <c r="KJ74" s="53"/>
      <c r="KK74" s="53"/>
      <c r="KL74" s="53"/>
      <c r="KM74" s="53"/>
      <c r="KN74" s="53"/>
      <c r="KO74" s="53"/>
      <c r="KP74" s="53"/>
      <c r="KQ74" s="53"/>
      <c r="KR74" s="53"/>
      <c r="KS74" s="53"/>
      <c r="KT74" s="326" t="s">
        <v>20</v>
      </c>
      <c r="KU74" s="326" t="s">
        <v>21</v>
      </c>
      <c r="KV74" s="326" t="s">
        <v>23</v>
      </c>
      <c r="KW74" s="326" t="s">
        <v>219</v>
      </c>
      <c r="KX74" s="326" t="s">
        <v>27</v>
      </c>
      <c r="KY74" s="326" t="s">
        <v>159</v>
      </c>
      <c r="KZ74" s="326" t="s">
        <v>29</v>
      </c>
      <c r="LA74" s="326" t="s">
        <v>32</v>
      </c>
      <c r="LB74" s="326" t="s">
        <v>220</v>
      </c>
      <c r="LC74" s="326" t="s">
        <v>157</v>
      </c>
      <c r="LF74" s="11"/>
      <c r="LG74" s="53"/>
      <c r="LH74" s="53"/>
      <c r="LI74" s="53"/>
      <c r="LJ74" s="53"/>
      <c r="LK74" s="53"/>
      <c r="LL74" s="53"/>
      <c r="LM74" s="53"/>
      <c r="LN74" s="53"/>
      <c r="LO74" s="53"/>
      <c r="LP74" s="53"/>
      <c r="LQ74" s="53"/>
      <c r="LR74" s="53"/>
      <c r="LS74" s="53"/>
      <c r="LT74" s="53"/>
      <c r="LU74" s="53"/>
      <c r="LV74" s="53"/>
      <c r="LW74" s="53"/>
      <c r="LX74" s="53"/>
      <c r="LY74" s="53"/>
      <c r="LZ74" s="53"/>
      <c r="MA74" s="53"/>
      <c r="MB74" s="347" t="s">
        <v>20</v>
      </c>
      <c r="MC74" s="347" t="s">
        <v>21</v>
      </c>
      <c r="MD74" s="347" t="s">
        <v>23</v>
      </c>
      <c r="ME74" s="347" t="s">
        <v>219</v>
      </c>
      <c r="MF74" s="347" t="s">
        <v>27</v>
      </c>
      <c r="MG74" s="347" t="s">
        <v>159</v>
      </c>
      <c r="MH74" s="347" t="s">
        <v>29</v>
      </c>
      <c r="MI74" s="347" t="s">
        <v>32</v>
      </c>
      <c r="MJ74" s="347" t="s">
        <v>220</v>
      </c>
      <c r="MK74" s="347" t="s">
        <v>157</v>
      </c>
      <c r="MO74" s="53"/>
      <c r="MP74" s="53"/>
      <c r="MQ74" s="53"/>
      <c r="MR74" s="53"/>
      <c r="MS74" s="53"/>
      <c r="MT74" s="53"/>
      <c r="MU74" s="53"/>
      <c r="MV74" s="53"/>
      <c r="MW74" s="53"/>
      <c r="MX74" s="53"/>
      <c r="MY74" s="53"/>
      <c r="MZ74" s="53"/>
      <c r="NA74" s="53"/>
      <c r="NB74" s="53"/>
      <c r="NC74" s="53"/>
      <c r="ND74" s="53"/>
      <c r="NE74" s="53"/>
      <c r="NF74" s="53"/>
      <c r="NG74" s="53"/>
      <c r="NH74" s="53"/>
      <c r="NI74" s="53"/>
      <c r="NJ74" s="326" t="s">
        <v>20</v>
      </c>
      <c r="NK74" s="326" t="s">
        <v>21</v>
      </c>
      <c r="NL74" s="326" t="s">
        <v>23</v>
      </c>
      <c r="NM74" s="326" t="s">
        <v>219</v>
      </c>
      <c r="NN74" s="326" t="s">
        <v>27</v>
      </c>
      <c r="NO74" s="326" t="s">
        <v>159</v>
      </c>
      <c r="NP74" s="326" t="s">
        <v>29</v>
      </c>
      <c r="NQ74" s="326" t="s">
        <v>32</v>
      </c>
      <c r="NR74" s="326" t="s">
        <v>220</v>
      </c>
      <c r="NS74" s="326" t="s">
        <v>157</v>
      </c>
      <c r="NT74" s="46"/>
      <c r="NU74" s="46"/>
      <c r="NV74" s="46"/>
      <c r="NW74" s="53"/>
      <c r="NX74" s="53"/>
      <c r="NY74" s="53"/>
      <c r="NZ74" s="53"/>
      <c r="OA74" s="53"/>
      <c r="OB74" s="53"/>
      <c r="OC74" s="53"/>
      <c r="OD74" s="53"/>
      <c r="OE74" s="53"/>
      <c r="OF74" s="53"/>
      <c r="OG74" s="53"/>
      <c r="OH74" s="53"/>
      <c r="OI74" s="53"/>
      <c r="OJ74" s="53"/>
      <c r="OK74" s="53"/>
      <c r="OL74" s="53"/>
      <c r="OM74" s="53"/>
      <c r="ON74" s="53"/>
      <c r="OO74" s="53"/>
      <c r="OP74" s="53"/>
      <c r="OQ74" s="53"/>
      <c r="OR74" s="53"/>
      <c r="OS74" s="154"/>
      <c r="OT74" s="84"/>
      <c r="OU74" s="154"/>
      <c r="OV74" s="154"/>
      <c r="OW74" s="154"/>
      <c r="OX74" s="154"/>
      <c r="OY74" s="154"/>
      <c r="OZ74" s="155"/>
      <c r="PA74" s="156"/>
      <c r="PB74" s="156"/>
      <c r="PC74" s="156"/>
      <c r="PD74" s="154"/>
      <c r="PE74" s="144"/>
      <c r="PF74" s="144"/>
      <c r="PG74" s="144"/>
      <c r="PH74" s="144"/>
      <c r="PI74" s="144"/>
      <c r="PJ74" s="144"/>
      <c r="PK74" s="144"/>
      <c r="PL74" s="144"/>
      <c r="PM74" s="144"/>
      <c r="PN74" s="144"/>
      <c r="PO74" s="144"/>
      <c r="PP74" s="144"/>
      <c r="PQ74" s="144"/>
      <c r="PR74" s="144"/>
      <c r="PS74" s="144"/>
      <c r="PT74" s="146"/>
      <c r="PU74" s="144"/>
      <c r="PV74" s="144"/>
      <c r="PW74" s="144"/>
      <c r="PX74" s="144"/>
      <c r="PY74" s="144"/>
      <c r="PZ74" s="144"/>
      <c r="QA74" s="144"/>
      <c r="QB74" s="144"/>
      <c r="QC74" s="144"/>
      <c r="QD74" s="144"/>
      <c r="QE74" s="146"/>
      <c r="QF74" s="146"/>
      <c r="QG74" s="146"/>
      <c r="QH74" s="146"/>
      <c r="QI74" s="146"/>
      <c r="QJ74" s="146"/>
      <c r="QK74" s="146"/>
      <c r="QL74" s="146"/>
      <c r="QM74" s="146"/>
      <c r="QN74" s="146"/>
      <c r="QO74" s="146"/>
      <c r="QP74" s="146"/>
      <c r="QQ74" s="146"/>
      <c r="QR74" s="146"/>
      <c r="QS74" s="144"/>
      <c r="QT74" s="144"/>
      <c r="QU74" s="144"/>
      <c r="QV74" s="144"/>
      <c r="QW74" s="144"/>
      <c r="QX74" s="144"/>
      <c r="QY74" s="144"/>
      <c r="QZ74" s="144"/>
      <c r="RA74" s="144"/>
      <c r="RB74" s="144"/>
      <c r="RC74" s="144"/>
      <c r="RD74" s="144"/>
      <c r="RE74" s="144"/>
      <c r="RF74" s="144"/>
      <c r="RG74" s="144"/>
      <c r="RH74" s="144"/>
      <c r="RI74" s="144"/>
      <c r="RJ74" s="144"/>
      <c r="RK74" s="144"/>
      <c r="RL74" s="144"/>
      <c r="RM74" s="144"/>
      <c r="RN74" s="144"/>
      <c r="RO74" s="144"/>
      <c r="RP74" s="144"/>
      <c r="RQ74" s="144"/>
      <c r="RR74" s="144"/>
      <c r="RS74" s="144"/>
      <c r="RT74" s="144"/>
      <c r="RU74" s="144"/>
      <c r="RV74" s="144"/>
      <c r="RW74" s="144"/>
      <c r="RX74" s="144"/>
      <c r="RY74" s="144"/>
      <c r="RZ74" s="144"/>
      <c r="SA74" s="144"/>
      <c r="SB74" s="144"/>
      <c r="SC74" s="144"/>
      <c r="SD74" s="144"/>
      <c r="SE74" s="144"/>
      <c r="SF74" s="144"/>
      <c r="SG74" s="144"/>
      <c r="SH74" s="144"/>
      <c r="SI74" s="144"/>
      <c r="SJ74" s="144"/>
      <c r="SK74" s="144"/>
      <c r="SL74" s="144"/>
      <c r="SM74" s="84"/>
      <c r="SN74" s="84"/>
      <c r="SO74" s="154"/>
      <c r="SP74" s="154"/>
      <c r="SQ74" s="154"/>
      <c r="SR74" s="154"/>
      <c r="SS74" s="154"/>
      <c r="ST74" s="154"/>
      <c r="SU74" s="155"/>
      <c r="SV74" s="154"/>
      <c r="SW74" s="154"/>
      <c r="SX74" s="155"/>
      <c r="SY74" s="155"/>
      <c r="SZ74" s="155"/>
      <c r="TA74" s="155"/>
      <c r="TB74" s="155"/>
      <c r="TC74" s="155"/>
      <c r="TD74" s="155"/>
      <c r="TE74" s="156"/>
      <c r="TF74" s="144"/>
      <c r="TG74" s="84"/>
      <c r="TH74" s="144"/>
      <c r="TI74" s="144"/>
      <c r="TJ74" s="144"/>
      <c r="TK74" s="144"/>
      <c r="TL74" s="157"/>
      <c r="TM74" s="157"/>
      <c r="TN74" s="157"/>
      <c r="TO74" s="157"/>
      <c r="TP74" s="157"/>
      <c r="TQ74" s="157"/>
      <c r="TR74" s="157"/>
      <c r="TS74" s="157"/>
      <c r="TT74" s="157"/>
      <c r="TU74" s="158"/>
      <c r="TV74" s="157"/>
      <c r="TW74" s="158"/>
      <c r="TX74" s="144"/>
      <c r="TY74" s="144"/>
      <c r="TZ74" s="144"/>
      <c r="UA74" s="84"/>
      <c r="UB74" s="144"/>
      <c r="UC74" s="144"/>
      <c r="UD74" s="144"/>
      <c r="UE74" s="144"/>
      <c r="UF74" s="157"/>
      <c r="UG74" s="157"/>
      <c r="UH74" s="157"/>
      <c r="UI74" s="157"/>
      <c r="UJ74" s="157"/>
      <c r="UK74" s="157"/>
      <c r="UL74" s="157"/>
      <c r="UM74" s="157"/>
      <c r="UN74" s="157"/>
      <c r="UO74" s="157"/>
      <c r="UP74" s="157"/>
      <c r="UQ74" s="158"/>
      <c r="UR74" s="157"/>
      <c r="US74" s="158"/>
      <c r="UT74" s="144"/>
      <c r="UU74" s="144"/>
      <c r="UV74" s="144"/>
      <c r="UW74" s="144"/>
      <c r="UX74" s="144"/>
      <c r="UY74" s="144"/>
      <c r="UZ74" s="144"/>
      <c r="VA74" s="144"/>
      <c r="VB74" s="157"/>
      <c r="VC74" s="157"/>
      <c r="VD74" s="157"/>
      <c r="VE74" s="157"/>
      <c r="VF74" s="157"/>
      <c r="VG74" s="157"/>
      <c r="VH74" s="157"/>
      <c r="VI74" s="157"/>
      <c r="VJ74" s="157"/>
      <c r="VK74" s="157"/>
      <c r="VL74" s="157"/>
      <c r="VM74" s="157"/>
      <c r="VN74" s="157"/>
      <c r="VO74" s="157"/>
      <c r="VP74" s="144"/>
      <c r="VQ74" s="144"/>
      <c r="VR74" s="84"/>
      <c r="VS74" s="84"/>
      <c r="VT74" s="53"/>
      <c r="VU74" s="53"/>
    </row>
    <row r="75" ht="15.75" hidden="1" spans="1:1024 1025:16384">
      <c r="A75" s="53"/>
      <c r="B75" s="53"/>
      <c r="C75" s="327" t="s">
        <v>183</v>
      </c>
      <c r="D75" s="327">
        <f>D29</f>
        <v>0</v>
      </c>
      <c r="E75" s="327">
        <f>E29</f>
        <v>0</v>
      </c>
      <c r="F75" s="327">
        <f>E29</f>
        <v>0</v>
      </c>
      <c r="G75" s="161">
        <f t="shared" ref="G75:J75" si="836">I29</f>
        <v>0</v>
      </c>
      <c r="H75" s="161">
        <f t="shared" si="836"/>
        <v>0</v>
      </c>
      <c r="I75" s="161">
        <f t="shared" si="836"/>
        <v>0</v>
      </c>
      <c r="J75" s="161">
        <f t="shared" si="836"/>
        <v>0</v>
      </c>
      <c r="K75" s="179">
        <f t="shared" si="800"/>
        <v>0</v>
      </c>
      <c r="L75" s="328" t="e">
        <f t="shared" si="801"/>
        <v>#DIV/0!</v>
      </c>
      <c r="M75" s="162" t="e">
        <f t="shared" si="802"/>
        <v>#DIV/0!</v>
      </c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3"/>
      <c r="AB75" s="293"/>
      <c r="AC75" s="293"/>
      <c r="AD75" s="293"/>
      <c r="AE75" s="293"/>
      <c r="AF75" s="293"/>
      <c r="AG75" s="293"/>
      <c r="AH75" s="293"/>
      <c r="AI75" s="53"/>
      <c r="AJ75" s="327" t="s">
        <v>183</v>
      </c>
      <c r="AK75" s="327">
        <f>AK29</f>
        <v>0</v>
      </c>
      <c r="AL75" s="327">
        <f>AL29</f>
        <v>0</v>
      </c>
      <c r="AM75" s="327">
        <f>AL29</f>
        <v>0</v>
      </c>
      <c r="AN75" s="161">
        <f t="shared" ref="AN75:AQ75" si="837">AP29</f>
        <v>294</v>
      </c>
      <c r="AO75" s="161">
        <f t="shared" si="837"/>
        <v>44575.6333333333</v>
      </c>
      <c r="AP75" s="161">
        <f t="shared" si="837"/>
        <v>79666.4666666666</v>
      </c>
      <c r="AQ75" s="161">
        <f t="shared" si="837"/>
        <v>29300</v>
      </c>
      <c r="AR75" s="179">
        <f t="shared" si="804"/>
        <v>50366.4666666666</v>
      </c>
      <c r="AS75" s="328">
        <f t="shared" si="805"/>
        <v>0.632216649916276</v>
      </c>
      <c r="AT75" s="162">
        <f t="shared" si="806"/>
        <v>270.974376417233</v>
      </c>
      <c r="AU75" s="293"/>
      <c r="AV75" s="293"/>
      <c r="AW75" s="293"/>
      <c r="AX75" s="293"/>
      <c r="AY75" s="293"/>
      <c r="AZ75" s="293"/>
      <c r="BA75" s="293"/>
      <c r="BB75" s="293"/>
      <c r="BC75" s="293"/>
      <c r="BD75" s="293"/>
      <c r="BE75" s="293"/>
      <c r="BF75" s="293"/>
      <c r="BG75" s="293"/>
      <c r="BH75" s="293"/>
      <c r="BI75" s="293"/>
      <c r="BJ75" s="293"/>
      <c r="BK75" s="293"/>
      <c r="BL75" s="293"/>
      <c r="BM75" s="293"/>
      <c r="BN75" s="293"/>
      <c r="BO75" s="293"/>
      <c r="BP75" s="53"/>
      <c r="BQ75" s="327" t="s">
        <v>183</v>
      </c>
      <c r="BR75" s="327" t="str">
        <f t="shared" ref="BR75:BT75" si="838">BQ29</f>
        <v>MM01</v>
      </c>
      <c r="BS75" s="327">
        <f t="shared" si="838"/>
        <v>0</v>
      </c>
      <c r="BT75" s="327">
        <f t="shared" si="838"/>
        <v>3</v>
      </c>
      <c r="BU75" s="161">
        <f t="shared" ref="BU75:BX75" si="839">BW29</f>
        <v>433</v>
      </c>
      <c r="BV75" s="161">
        <f t="shared" si="839"/>
        <v>65566.6666666667</v>
      </c>
      <c r="BW75" s="161">
        <f t="shared" si="839"/>
        <v>114723.333333333</v>
      </c>
      <c r="BX75" s="161">
        <f t="shared" si="839"/>
        <v>72262.65</v>
      </c>
      <c r="BY75" s="179">
        <f>BW75-BX75</f>
        <v>42460.683333333</v>
      </c>
      <c r="BZ75" s="328">
        <f>BY75/BW75</f>
        <v>0.370113751924919</v>
      </c>
      <c r="CA75" s="162">
        <f>BW75/BU75</f>
        <v>264.949961508852</v>
      </c>
      <c r="CB75" s="293"/>
      <c r="CC75" s="293"/>
      <c r="CD75" s="293"/>
      <c r="CE75" s="293"/>
      <c r="CF75" s="293"/>
      <c r="CG75" s="293"/>
      <c r="CH75" s="293"/>
      <c r="CI75" s="293"/>
      <c r="CJ75" s="293"/>
      <c r="CK75" s="293"/>
      <c r="CL75" s="293"/>
      <c r="CM75" s="293"/>
      <c r="CN75" s="293"/>
      <c r="CO75" s="293"/>
      <c r="CP75" s="293"/>
      <c r="CQ75" s="293"/>
      <c r="CR75" s="293"/>
      <c r="CS75" s="293"/>
      <c r="CT75" s="293"/>
      <c r="CU75" s="293"/>
      <c r="CV75" s="293"/>
      <c r="CW75" s="53"/>
      <c r="CX75" s="327" t="s">
        <v>183</v>
      </c>
      <c r="CY75" s="327" t="str">
        <f t="shared" ref="CY75:DA75" si="840">CX29</f>
        <v>MM01</v>
      </c>
      <c r="CZ75" s="327">
        <f t="shared" si="840"/>
        <v>0</v>
      </c>
      <c r="DA75" s="327">
        <f t="shared" si="840"/>
        <v>3</v>
      </c>
      <c r="DB75" s="161">
        <f t="shared" ref="DB75:DE75" si="841">DD29</f>
        <v>102</v>
      </c>
      <c r="DC75" s="161">
        <f t="shared" si="841"/>
        <v>13616.25</v>
      </c>
      <c r="DD75" s="161">
        <f t="shared" si="841"/>
        <v>19235</v>
      </c>
      <c r="DE75" s="161">
        <f t="shared" si="841"/>
        <v>12075</v>
      </c>
      <c r="DF75" s="179">
        <f>DD75-DE75</f>
        <v>7160</v>
      </c>
      <c r="DG75" s="328">
        <f>DF75/DD75</f>
        <v>0.372238107616324</v>
      </c>
      <c r="DH75" s="162">
        <f>DD75/DB75</f>
        <v>188.578431372549</v>
      </c>
      <c r="DI75" s="293"/>
      <c r="DJ75" s="293"/>
      <c r="DK75" s="293"/>
      <c r="DL75" s="293"/>
      <c r="DM75" s="293"/>
      <c r="DN75" s="293"/>
      <c r="DO75" s="293"/>
      <c r="DP75" s="293"/>
      <c r="DQ75" s="293"/>
      <c r="DR75" s="293"/>
      <c r="DS75" s="293"/>
      <c r="DT75" s="293"/>
      <c r="DU75" s="293"/>
      <c r="DV75" s="293"/>
      <c r="DW75" s="293"/>
      <c r="DX75" s="293"/>
      <c r="DY75" s="293"/>
      <c r="DZ75" s="293"/>
      <c r="EA75" s="293"/>
      <c r="EB75" s="293"/>
      <c r="EC75" s="293"/>
      <c r="ED75" s="53"/>
      <c r="EE75" s="329" t="s">
        <v>183</v>
      </c>
      <c r="EF75" s="329">
        <f t="shared" ref="EF75:EH75" si="842">EF29</f>
        <v>0</v>
      </c>
      <c r="EG75" s="329">
        <f t="shared" si="842"/>
        <v>3</v>
      </c>
      <c r="EH75" s="329">
        <f t="shared" si="842"/>
        <v>13</v>
      </c>
      <c r="EI75" s="330">
        <f t="shared" ref="EI75:EL75" si="843">EK29</f>
        <v>71</v>
      </c>
      <c r="EJ75" s="330">
        <f t="shared" si="843"/>
        <v>6475</v>
      </c>
      <c r="EK75" s="330">
        <f t="shared" si="843"/>
        <v>13975</v>
      </c>
      <c r="EL75" s="330">
        <f t="shared" si="843"/>
        <v>6100</v>
      </c>
      <c r="EM75" s="331">
        <f>EK75-EL75</f>
        <v>7875</v>
      </c>
      <c r="EN75" s="332">
        <f>EM75/EK75</f>
        <v>0.56350626118068</v>
      </c>
      <c r="EO75" s="333">
        <f>EK75/EI75</f>
        <v>196.830985915493</v>
      </c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329" t="s">
        <v>183</v>
      </c>
      <c r="FO75" s="329">
        <f t="shared" ref="FO75:FQ75" si="844">FO29</f>
        <v>0</v>
      </c>
      <c r="FP75" s="329">
        <f t="shared" si="844"/>
        <v>3</v>
      </c>
      <c r="FQ75" s="329">
        <f t="shared" si="844"/>
        <v>40</v>
      </c>
      <c r="FR75" s="330">
        <f t="shared" ref="FR75:FU75" si="845">FT29</f>
        <v>102</v>
      </c>
      <c r="FS75" s="330">
        <f t="shared" si="845"/>
        <v>16031.25</v>
      </c>
      <c r="FT75" s="330">
        <f t="shared" si="845"/>
        <v>36037.5</v>
      </c>
      <c r="FU75" s="330">
        <f t="shared" si="845"/>
        <v>13150</v>
      </c>
      <c r="FV75" s="331">
        <f>FT75-FU75</f>
        <v>22887.5</v>
      </c>
      <c r="FW75" s="332">
        <f>FV75/FT75</f>
        <v>0.635102323968089</v>
      </c>
      <c r="FX75" s="333">
        <f>FT75/FR75</f>
        <v>353.308823529412</v>
      </c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329" t="s">
        <v>183</v>
      </c>
      <c r="GW75" s="329">
        <f t="shared" ref="GW75:GY75" si="846">GW29</f>
        <v>0</v>
      </c>
      <c r="GX75" s="329">
        <f t="shared" si="846"/>
        <v>4</v>
      </c>
      <c r="GY75" s="329">
        <f t="shared" si="846"/>
        <v>11</v>
      </c>
      <c r="GZ75" s="330">
        <f t="shared" ref="GZ75:HC75" si="847">HB29</f>
        <v>79</v>
      </c>
      <c r="HA75" s="330">
        <f t="shared" si="847"/>
        <v>8568.7625</v>
      </c>
      <c r="HB75" s="330">
        <f t="shared" si="847"/>
        <v>15756.7625</v>
      </c>
      <c r="HC75" s="330">
        <f t="shared" si="847"/>
        <v>8620.9625</v>
      </c>
      <c r="HD75" s="331">
        <f>HB75-HC75</f>
        <v>7135.8</v>
      </c>
      <c r="HE75" s="332">
        <f>HD75/HB75</f>
        <v>0.452872219150349</v>
      </c>
      <c r="HF75" s="333">
        <f>HB75/GZ75</f>
        <v>199.452689873418</v>
      </c>
      <c r="HI75" s="53"/>
      <c r="HJ75" s="53"/>
      <c r="HK75" s="53"/>
      <c r="HL75" s="53"/>
      <c r="HM75" s="53"/>
      <c r="HN75" s="53"/>
      <c r="HO75" s="53"/>
      <c r="HP75" s="53"/>
      <c r="HQ75" s="53"/>
      <c r="HR75" s="53"/>
      <c r="HS75" s="53"/>
      <c r="HT75" s="53"/>
      <c r="HU75" s="53"/>
      <c r="HV75" s="53"/>
      <c r="HW75" s="53"/>
      <c r="HX75" s="53"/>
      <c r="HY75" s="53"/>
      <c r="HZ75" s="53"/>
      <c r="IA75" s="53"/>
      <c r="IB75" s="53"/>
      <c r="IC75" s="53"/>
      <c r="ID75" s="329" t="s">
        <v>183</v>
      </c>
      <c r="IE75" s="329">
        <f>IE29</f>
        <v>3</v>
      </c>
      <c r="IF75" s="329">
        <v>0</v>
      </c>
      <c r="IG75" s="329">
        <f>IG29</f>
        <v>31</v>
      </c>
      <c r="IH75" s="330">
        <f t="shared" ref="IH75:IK75" si="848">IJ29</f>
        <v>119</v>
      </c>
      <c r="II75" s="330">
        <f t="shared" si="848"/>
        <v>12677.5</v>
      </c>
      <c r="IJ75" s="330">
        <f t="shared" si="848"/>
        <v>19431.25</v>
      </c>
      <c r="IK75" s="330">
        <f t="shared" si="848"/>
        <v>10831.25</v>
      </c>
      <c r="IL75" s="331">
        <f>IJ75-IK75</f>
        <v>8600</v>
      </c>
      <c r="IM75" s="332">
        <f>IL75/IJ75</f>
        <v>0.442586040527501</v>
      </c>
      <c r="IN75" s="333">
        <f>IJ75/IH75</f>
        <v>163.28781512605</v>
      </c>
      <c r="IP75" s="11"/>
      <c r="IQ75" s="53"/>
      <c r="IR75" s="53"/>
      <c r="IS75" s="53"/>
      <c r="IT75" s="53"/>
      <c r="IU75" s="53"/>
      <c r="IV75" s="53"/>
      <c r="IW75" s="53"/>
      <c r="IX75" s="53"/>
      <c r="IY75" s="53"/>
      <c r="IZ75" s="53"/>
      <c r="JA75" s="53"/>
      <c r="JB75" s="53"/>
      <c r="JC75" s="53"/>
      <c r="JD75" s="53"/>
      <c r="JE75" s="53"/>
      <c r="JF75" s="53"/>
      <c r="JG75" s="53"/>
      <c r="JH75" s="53"/>
      <c r="JI75" s="53"/>
      <c r="JJ75" s="53"/>
      <c r="JK75" s="53"/>
      <c r="JL75" s="329" t="s">
        <v>183</v>
      </c>
      <c r="JM75" s="329">
        <f>JM29</f>
        <v>4</v>
      </c>
      <c r="JN75" s="329">
        <f>JN29</f>
        <v>9</v>
      </c>
      <c r="JO75" s="329">
        <f t="shared" ref="JO75:JR75" si="849">JR29</f>
        <v>96</v>
      </c>
      <c r="JP75" s="330">
        <f t="shared" si="849"/>
        <v>7937.5</v>
      </c>
      <c r="JQ75" s="330">
        <f t="shared" si="849"/>
        <v>34445.625</v>
      </c>
      <c r="JR75" s="330">
        <f t="shared" si="849"/>
        <v>21175</v>
      </c>
      <c r="JS75" s="330">
        <f>JQ75-JR75</f>
        <v>13270.625</v>
      </c>
      <c r="JT75" s="334">
        <f t="shared" ref="JT75:JT80" si="850">JS75/JQ75</f>
        <v>0.385263005098616</v>
      </c>
      <c r="JU75" s="335">
        <f t="shared" si="819"/>
        <v>358.80859375</v>
      </c>
      <c r="JX75" s="53"/>
      <c r="JY75" s="53"/>
      <c r="JZ75" s="53"/>
      <c r="KA75" s="53"/>
      <c r="KB75" s="53"/>
      <c r="KC75" s="53"/>
      <c r="KD75" s="53"/>
      <c r="KE75" s="53"/>
      <c r="KF75" s="53"/>
      <c r="KG75" s="53"/>
      <c r="KH75" s="53"/>
      <c r="KI75" s="53"/>
      <c r="KJ75" s="53"/>
      <c r="KK75" s="53"/>
      <c r="KL75" s="53"/>
      <c r="KM75" s="53"/>
      <c r="KN75" s="53"/>
      <c r="KO75" s="53"/>
      <c r="KP75" s="53"/>
      <c r="KQ75" s="53"/>
      <c r="KR75" s="53"/>
      <c r="KS75" s="53"/>
      <c r="KT75" s="329" t="s">
        <v>183</v>
      </c>
      <c r="KU75" s="329">
        <v>6</v>
      </c>
      <c r="KV75" s="329">
        <v>162</v>
      </c>
      <c r="KW75" s="329">
        <v>394</v>
      </c>
      <c r="KX75" s="330">
        <v>37782.1875</v>
      </c>
      <c r="KY75" s="330">
        <v>59213.4375</v>
      </c>
      <c r="KZ75" s="330">
        <v>24103.575</v>
      </c>
      <c r="LA75" s="330">
        <v>35109.8625</v>
      </c>
      <c r="LB75" s="334">
        <v>0.592937413910483</v>
      </c>
      <c r="LC75" s="335">
        <v>150.287912436548</v>
      </c>
      <c r="LF75" s="11"/>
      <c r="LG75" s="53"/>
      <c r="LH75" s="53"/>
      <c r="LI75" s="53"/>
      <c r="LJ75" s="53"/>
      <c r="LK75" s="53"/>
      <c r="LL75" s="53"/>
      <c r="LM75" s="53"/>
      <c r="LN75" s="53"/>
      <c r="LO75" s="53"/>
      <c r="LP75" s="53"/>
      <c r="LQ75" s="53"/>
      <c r="LR75" s="53"/>
      <c r="LS75" s="53"/>
      <c r="LT75" s="53"/>
      <c r="LU75" s="53"/>
      <c r="LV75" s="53"/>
      <c r="LW75" s="53"/>
      <c r="LX75" s="53"/>
      <c r="LY75" s="53"/>
      <c r="LZ75" s="53"/>
      <c r="MA75" s="53"/>
      <c r="MB75" s="329" t="s">
        <v>183</v>
      </c>
      <c r="MC75" s="329">
        <f>MC29</f>
        <v>6</v>
      </c>
      <c r="MD75" s="329">
        <f>ME29</f>
        <v>90</v>
      </c>
      <c r="ME75" s="329">
        <f t="shared" ref="ME75:MH75" si="851">MH29</f>
        <v>383</v>
      </c>
      <c r="MF75" s="330">
        <f t="shared" si="851"/>
        <v>37037.5</v>
      </c>
      <c r="MG75" s="330">
        <f t="shared" si="851"/>
        <v>61586.775</v>
      </c>
      <c r="MH75" s="330">
        <f t="shared" si="851"/>
        <v>30827.5</v>
      </c>
      <c r="MI75" s="330">
        <f>MG75-MH75</f>
        <v>30759.275</v>
      </c>
      <c r="MJ75" s="334">
        <f>MI75/MG75</f>
        <v>0.499446106733142</v>
      </c>
      <c r="MK75" s="335">
        <f>MG75/ME75</f>
        <v>160.800979112272</v>
      </c>
      <c r="MO75" s="53"/>
      <c r="MP75" s="53"/>
      <c r="MQ75" s="53"/>
      <c r="MR75" s="53"/>
      <c r="MS75" s="53"/>
      <c r="MT75" s="53"/>
      <c r="MU75" s="53"/>
      <c r="MV75" s="53"/>
      <c r="MW75" s="53"/>
      <c r="MX75" s="53"/>
      <c r="MY75" s="53"/>
      <c r="MZ75" s="53"/>
      <c r="NA75" s="53"/>
      <c r="NB75" s="53"/>
      <c r="NC75" s="53"/>
      <c r="ND75" s="53"/>
      <c r="NE75" s="53"/>
      <c r="NF75" s="53"/>
      <c r="NG75" s="53"/>
      <c r="NH75" s="53"/>
      <c r="NI75" s="53"/>
      <c r="NJ75" s="329" t="s">
        <v>183</v>
      </c>
      <c r="NK75" s="329">
        <f>NK29</f>
        <v>4</v>
      </c>
      <c r="NL75" s="329">
        <f>NM29</f>
        <v>13</v>
      </c>
      <c r="NM75" s="329">
        <f t="shared" ref="NM75:NP75" si="852">NP29</f>
        <v>183</v>
      </c>
      <c r="NN75" s="330">
        <f t="shared" si="852"/>
        <v>29546.25</v>
      </c>
      <c r="NO75" s="330">
        <f t="shared" si="852"/>
        <v>21151.25</v>
      </c>
      <c r="NP75" s="330">
        <f t="shared" si="852"/>
        <v>7254.375</v>
      </c>
      <c r="NQ75" s="330">
        <f>NO75-NP75</f>
        <v>13896.875</v>
      </c>
      <c r="NR75" s="334">
        <f>NQ75/NO75</f>
        <v>0.657023816559305</v>
      </c>
      <c r="NS75" s="335">
        <f>NO75/NM75</f>
        <v>115.580601092896</v>
      </c>
      <c r="NT75" s="46"/>
      <c r="NU75" s="46"/>
      <c r="NV75" s="46"/>
      <c r="NW75" s="53"/>
      <c r="NX75" s="53"/>
      <c r="NY75" s="53"/>
      <c r="NZ75" s="53"/>
      <c r="OA75" s="53"/>
      <c r="OB75" s="53"/>
      <c r="OC75" s="53"/>
      <c r="OD75" s="53"/>
      <c r="OE75" s="53"/>
      <c r="OF75" s="53"/>
      <c r="OG75" s="53"/>
      <c r="OH75" s="53"/>
      <c r="OI75" s="53"/>
      <c r="OJ75" s="53"/>
      <c r="OK75" s="53"/>
      <c r="OL75" s="53"/>
      <c r="OM75" s="53"/>
      <c r="ON75" s="53"/>
      <c r="OO75" s="53"/>
      <c r="OP75" s="53"/>
      <c r="OQ75" s="53"/>
      <c r="OR75" s="53"/>
      <c r="OS75" s="154"/>
      <c r="OT75" s="84"/>
      <c r="OU75" s="154"/>
      <c r="OV75" s="154"/>
      <c r="OW75" s="154"/>
      <c r="OX75" s="154"/>
      <c r="OY75" s="154"/>
      <c r="OZ75" s="155"/>
      <c r="PA75" s="156"/>
      <c r="PB75" s="156"/>
      <c r="PC75" s="156"/>
      <c r="PD75" s="154"/>
      <c r="PE75" s="144"/>
      <c r="PF75" s="144"/>
      <c r="PG75" s="144"/>
      <c r="PH75" s="144"/>
      <c r="PI75" s="144"/>
      <c r="PJ75" s="144"/>
      <c r="PK75" s="144"/>
      <c r="PL75" s="144"/>
      <c r="PM75" s="144"/>
      <c r="PN75" s="144"/>
      <c r="PO75" s="144"/>
      <c r="PP75" s="144"/>
      <c r="PQ75" s="144"/>
      <c r="PR75" s="144"/>
      <c r="PS75" s="144"/>
      <c r="PT75" s="146"/>
      <c r="PU75" s="144"/>
      <c r="PV75" s="144"/>
      <c r="PW75" s="144"/>
      <c r="PX75" s="144"/>
      <c r="PY75" s="144"/>
      <c r="PZ75" s="144"/>
      <c r="QA75" s="144"/>
      <c r="QB75" s="144"/>
      <c r="QC75" s="144"/>
      <c r="QD75" s="144"/>
      <c r="QE75" s="146"/>
      <c r="QF75" s="146"/>
      <c r="QG75" s="146"/>
      <c r="QH75" s="146"/>
      <c r="QI75" s="146"/>
      <c r="QJ75" s="146"/>
      <c r="QK75" s="146"/>
      <c r="QL75" s="146"/>
      <c r="QM75" s="146"/>
      <c r="QN75" s="146"/>
      <c r="QO75" s="146"/>
      <c r="QP75" s="146"/>
      <c r="QQ75" s="146"/>
      <c r="QR75" s="146"/>
      <c r="QS75" s="144"/>
      <c r="QT75" s="144"/>
      <c r="QU75" s="144"/>
      <c r="QV75" s="144"/>
      <c r="QW75" s="144"/>
      <c r="QX75" s="144"/>
      <c r="QY75" s="144"/>
      <c r="QZ75" s="144"/>
      <c r="RA75" s="144"/>
      <c r="RB75" s="144"/>
      <c r="RC75" s="144"/>
      <c r="RD75" s="144"/>
      <c r="RE75" s="144"/>
      <c r="RF75" s="144"/>
      <c r="RG75" s="144"/>
      <c r="RH75" s="144"/>
      <c r="RI75" s="144"/>
      <c r="RJ75" s="144"/>
      <c r="RK75" s="144"/>
      <c r="RL75" s="144"/>
      <c r="RM75" s="144"/>
      <c r="RN75" s="144"/>
      <c r="RO75" s="144"/>
      <c r="RP75" s="144"/>
      <c r="RQ75" s="144"/>
      <c r="RR75" s="144"/>
      <c r="RS75" s="144"/>
      <c r="RT75" s="144"/>
      <c r="RU75" s="144"/>
      <c r="RV75" s="144"/>
      <c r="RW75" s="144"/>
      <c r="RX75" s="144"/>
      <c r="RY75" s="144"/>
      <c r="RZ75" s="144"/>
      <c r="SA75" s="144"/>
      <c r="SB75" s="144"/>
      <c r="SC75" s="144"/>
      <c r="SD75" s="144"/>
      <c r="SE75" s="144"/>
      <c r="SF75" s="144"/>
      <c r="SG75" s="144"/>
      <c r="SH75" s="144"/>
      <c r="SI75" s="144"/>
      <c r="SJ75" s="144"/>
      <c r="SK75" s="144"/>
      <c r="SL75" s="144"/>
      <c r="SM75" s="84"/>
      <c r="SN75" s="84"/>
      <c r="SO75" s="154"/>
      <c r="SP75" s="154"/>
      <c r="SQ75" s="154"/>
      <c r="SR75" s="154"/>
      <c r="SS75" s="154"/>
      <c r="ST75" s="154"/>
      <c r="SU75" s="155"/>
      <c r="SV75" s="154"/>
      <c r="SW75" s="154"/>
      <c r="SX75" s="155"/>
      <c r="SY75" s="155"/>
      <c r="SZ75" s="155"/>
      <c r="TA75" s="155"/>
      <c r="TB75" s="155"/>
      <c r="TC75" s="155"/>
      <c r="TD75" s="155"/>
      <c r="TE75" s="156"/>
      <c r="TF75" s="144"/>
      <c r="TG75" s="84"/>
      <c r="TH75" s="144"/>
      <c r="TI75" s="144"/>
      <c r="TJ75" s="144"/>
      <c r="TK75" s="144"/>
      <c r="TL75" s="157"/>
      <c r="TM75" s="157"/>
      <c r="TN75" s="157"/>
      <c r="TO75" s="157"/>
      <c r="TP75" s="157"/>
      <c r="TQ75" s="157"/>
      <c r="TR75" s="157"/>
      <c r="TS75" s="157"/>
      <c r="TT75" s="157"/>
      <c r="TU75" s="158"/>
      <c r="TV75" s="157"/>
      <c r="TW75" s="158"/>
      <c r="TX75" s="144"/>
      <c r="TY75" s="144"/>
      <c r="TZ75" s="144"/>
      <c r="UA75" s="84"/>
      <c r="UB75" s="144"/>
      <c r="UC75" s="144"/>
      <c r="UD75" s="144"/>
      <c r="UE75" s="144"/>
      <c r="UF75" s="157"/>
      <c r="UG75" s="157"/>
      <c r="UH75" s="157"/>
      <c r="UI75" s="157"/>
      <c r="UJ75" s="157"/>
      <c r="UK75" s="157"/>
      <c r="UL75" s="157"/>
      <c r="UM75" s="157"/>
      <c r="UN75" s="157"/>
      <c r="UO75" s="157"/>
      <c r="UP75" s="157"/>
      <c r="UQ75" s="158"/>
      <c r="UR75" s="157"/>
      <c r="US75" s="158"/>
      <c r="UT75" s="144"/>
      <c r="UU75" s="144"/>
      <c r="UV75" s="144"/>
      <c r="UW75" s="144"/>
      <c r="UX75" s="144"/>
      <c r="UY75" s="144"/>
      <c r="UZ75" s="144"/>
      <c r="VA75" s="144"/>
      <c r="VB75" s="157"/>
      <c r="VC75" s="157"/>
      <c r="VD75" s="157"/>
      <c r="VE75" s="157"/>
      <c r="VF75" s="157"/>
      <c r="VG75" s="157"/>
      <c r="VH75" s="157"/>
      <c r="VI75" s="157"/>
      <c r="VJ75" s="157"/>
      <c r="VK75" s="157"/>
      <c r="VL75" s="157"/>
      <c r="VM75" s="157"/>
      <c r="VN75" s="157"/>
      <c r="VO75" s="157"/>
      <c r="VP75" s="144"/>
      <c r="VQ75" s="144"/>
      <c r="VR75" s="84"/>
      <c r="VS75" s="84"/>
      <c r="VT75" s="53"/>
      <c r="VU75" s="53"/>
    </row>
    <row r="76" ht="15.75" hidden="1" spans="1:1024 1025:16384">
      <c r="A76" s="53"/>
      <c r="B76" s="53"/>
      <c r="C76" s="236" t="s">
        <v>153</v>
      </c>
      <c r="D76" s="236">
        <f t="shared" ref="D76:M76" si="853">SUM(D75)</f>
        <v>0</v>
      </c>
      <c r="E76" s="236">
        <f t="shared" si="853"/>
        <v>0</v>
      </c>
      <c r="F76" s="236">
        <f t="shared" si="853"/>
        <v>0</v>
      </c>
      <c r="G76" s="236">
        <f t="shared" si="853"/>
        <v>0</v>
      </c>
      <c r="H76" s="236">
        <f t="shared" si="853"/>
        <v>0</v>
      </c>
      <c r="I76" s="236">
        <f t="shared" si="853"/>
        <v>0</v>
      </c>
      <c r="J76" s="236">
        <f t="shared" si="853"/>
        <v>0</v>
      </c>
      <c r="K76" s="236">
        <f t="shared" si="853"/>
        <v>0</v>
      </c>
      <c r="L76" s="240" t="e">
        <f t="shared" si="853"/>
        <v>#DIV/0!</v>
      </c>
      <c r="M76" s="236" t="e">
        <f t="shared" si="853"/>
        <v>#DIV/0!</v>
      </c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  <c r="AC76" s="293"/>
      <c r="AD76" s="293"/>
      <c r="AE76" s="293"/>
      <c r="AF76" s="293"/>
      <c r="AG76" s="293"/>
      <c r="AH76" s="293"/>
      <c r="AI76" s="53"/>
      <c r="AJ76" s="236" t="s">
        <v>153</v>
      </c>
      <c r="AK76" s="236">
        <f t="shared" ref="AK76:AT76" si="854">SUM(AK75)</f>
        <v>0</v>
      </c>
      <c r="AL76" s="236">
        <f t="shared" si="854"/>
        <v>0</v>
      </c>
      <c r="AM76" s="236">
        <f t="shared" si="854"/>
        <v>0</v>
      </c>
      <c r="AN76" s="236">
        <f t="shared" si="854"/>
        <v>294</v>
      </c>
      <c r="AO76" s="236">
        <f t="shared" si="854"/>
        <v>44575.6333333333</v>
      </c>
      <c r="AP76" s="236">
        <f t="shared" si="854"/>
        <v>79666.4666666666</v>
      </c>
      <c r="AQ76" s="236">
        <f t="shared" si="854"/>
        <v>29300</v>
      </c>
      <c r="AR76" s="236">
        <f t="shared" si="854"/>
        <v>50366.4666666666</v>
      </c>
      <c r="AS76" s="240">
        <f t="shared" si="854"/>
        <v>0.632216649916276</v>
      </c>
      <c r="AT76" s="236">
        <f t="shared" si="854"/>
        <v>270.974376417233</v>
      </c>
      <c r="AU76" s="293"/>
      <c r="AV76" s="293"/>
      <c r="AW76" s="293"/>
      <c r="AX76" s="293"/>
      <c r="AY76" s="293"/>
      <c r="AZ76" s="293"/>
      <c r="BA76" s="293"/>
      <c r="BB76" s="293"/>
      <c r="BC76" s="293"/>
      <c r="BD76" s="293"/>
      <c r="BE76" s="293"/>
      <c r="BF76" s="293"/>
      <c r="BG76" s="293"/>
      <c r="BH76" s="293"/>
      <c r="BI76" s="293"/>
      <c r="BJ76" s="293"/>
      <c r="BK76" s="293"/>
      <c r="BL76" s="293"/>
      <c r="BM76" s="293"/>
      <c r="BN76" s="293"/>
      <c r="BO76" s="293"/>
      <c r="BP76" s="53"/>
      <c r="BQ76" s="236" t="s">
        <v>153</v>
      </c>
      <c r="BR76" s="236">
        <f t="shared" ref="BR76:CA76" si="855">SUM(BR75)</f>
        <v>0</v>
      </c>
      <c r="BS76" s="236">
        <f t="shared" si="855"/>
        <v>0</v>
      </c>
      <c r="BT76" s="236">
        <f t="shared" si="855"/>
        <v>3</v>
      </c>
      <c r="BU76" s="236">
        <f t="shared" si="855"/>
        <v>433</v>
      </c>
      <c r="BV76" s="236">
        <f t="shared" si="855"/>
        <v>65566.6666666667</v>
      </c>
      <c r="BW76" s="236">
        <f t="shared" si="855"/>
        <v>114723.333333333</v>
      </c>
      <c r="BX76" s="236">
        <f t="shared" si="855"/>
        <v>72262.65</v>
      </c>
      <c r="BY76" s="236">
        <f t="shared" si="855"/>
        <v>42460.683333333</v>
      </c>
      <c r="BZ76" s="240">
        <f t="shared" si="855"/>
        <v>0.370113751924919</v>
      </c>
      <c r="CA76" s="236">
        <f t="shared" si="855"/>
        <v>264.949961508852</v>
      </c>
      <c r="CB76" s="293"/>
      <c r="CC76" s="293"/>
      <c r="CD76" s="293"/>
      <c r="CE76" s="293"/>
      <c r="CF76" s="293"/>
      <c r="CG76" s="293"/>
      <c r="CH76" s="293"/>
      <c r="CI76" s="293"/>
      <c r="CJ76" s="293"/>
      <c r="CK76" s="293"/>
      <c r="CL76" s="293"/>
      <c r="CM76" s="293"/>
      <c r="CN76" s="293"/>
      <c r="CO76" s="293"/>
      <c r="CP76" s="293"/>
      <c r="CQ76" s="293"/>
      <c r="CR76" s="293"/>
      <c r="CS76" s="293"/>
      <c r="CT76" s="293"/>
      <c r="CU76" s="293"/>
      <c r="CV76" s="293"/>
      <c r="CW76" s="53"/>
      <c r="CX76" s="236" t="s">
        <v>153</v>
      </c>
      <c r="CY76" s="236">
        <f t="shared" ref="CY76:DH76" si="856">SUM(CY75)</f>
        <v>0</v>
      </c>
      <c r="CZ76" s="236">
        <f t="shared" si="856"/>
        <v>0</v>
      </c>
      <c r="DA76" s="236">
        <f t="shared" si="856"/>
        <v>3</v>
      </c>
      <c r="DB76" s="236">
        <f t="shared" si="856"/>
        <v>102</v>
      </c>
      <c r="DC76" s="236">
        <f t="shared" si="856"/>
        <v>13616.25</v>
      </c>
      <c r="DD76" s="236">
        <f t="shared" si="856"/>
        <v>19235</v>
      </c>
      <c r="DE76" s="236">
        <f t="shared" si="856"/>
        <v>12075</v>
      </c>
      <c r="DF76" s="236">
        <f t="shared" si="856"/>
        <v>7160</v>
      </c>
      <c r="DG76" s="240">
        <f t="shared" si="856"/>
        <v>0.372238107616324</v>
      </c>
      <c r="DH76" s="236">
        <f t="shared" si="856"/>
        <v>188.578431372549</v>
      </c>
      <c r="DI76" s="293"/>
      <c r="DJ76" s="293"/>
      <c r="DK76" s="293"/>
      <c r="DL76" s="293"/>
      <c r="DM76" s="293"/>
      <c r="DN76" s="293"/>
      <c r="DO76" s="293"/>
      <c r="DP76" s="293"/>
      <c r="DQ76" s="293"/>
      <c r="DR76" s="293"/>
      <c r="DS76" s="293"/>
      <c r="DT76" s="293"/>
      <c r="DU76" s="293"/>
      <c r="DV76" s="293"/>
      <c r="DW76" s="293"/>
      <c r="DX76" s="293"/>
      <c r="DY76" s="293"/>
      <c r="DZ76" s="293"/>
      <c r="EA76" s="293"/>
      <c r="EB76" s="293"/>
      <c r="EC76" s="293"/>
      <c r="ED76" s="53"/>
      <c r="EE76" s="341" t="s">
        <v>153</v>
      </c>
      <c r="EF76" s="343">
        <f>SUM(EF75)</f>
        <v>0</v>
      </c>
      <c r="EG76" s="343">
        <f>SUM(EG75)</f>
        <v>3</v>
      </c>
      <c r="EH76" s="343">
        <f>SUM(EH75)</f>
        <v>13</v>
      </c>
      <c r="EI76" s="343">
        <f t="shared" ref="EI76:EO76" si="857">SUM(EI75)</f>
        <v>71</v>
      </c>
      <c r="EJ76" s="343">
        <f t="shared" si="857"/>
        <v>6475</v>
      </c>
      <c r="EK76" s="343">
        <f t="shared" si="857"/>
        <v>13975</v>
      </c>
      <c r="EL76" s="343">
        <f t="shared" si="857"/>
        <v>6100</v>
      </c>
      <c r="EM76" s="343">
        <f t="shared" si="857"/>
        <v>7875</v>
      </c>
      <c r="EN76" s="345">
        <f t="shared" si="857"/>
        <v>0.56350626118068</v>
      </c>
      <c r="EO76" s="343">
        <f t="shared" si="857"/>
        <v>196.830985915493</v>
      </c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341" t="s">
        <v>153</v>
      </c>
      <c r="FO76" s="342">
        <f>SUM(FO75)</f>
        <v>0</v>
      </c>
      <c r="FP76" s="342">
        <f>SUM(FP75)</f>
        <v>3</v>
      </c>
      <c r="FQ76" s="342">
        <f>SUM(FQ75)</f>
        <v>40</v>
      </c>
      <c r="FR76" s="343">
        <f t="shared" ref="FR76:FX76" si="858">SUM(FR75)</f>
        <v>102</v>
      </c>
      <c r="FS76" s="343">
        <f t="shared" si="858"/>
        <v>16031.25</v>
      </c>
      <c r="FT76" s="343">
        <f t="shared" si="858"/>
        <v>36037.5</v>
      </c>
      <c r="FU76" s="343">
        <f t="shared" si="858"/>
        <v>13150</v>
      </c>
      <c r="FV76" s="344">
        <f t="shared" si="858"/>
        <v>22887.5</v>
      </c>
      <c r="FW76" s="345">
        <f t="shared" si="858"/>
        <v>0.635102323968089</v>
      </c>
      <c r="FX76" s="343">
        <f t="shared" si="858"/>
        <v>353.308823529412</v>
      </c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343" t="s">
        <v>153</v>
      </c>
      <c r="GW76" s="343">
        <f>SUM(GW75)</f>
        <v>0</v>
      </c>
      <c r="GX76" s="343">
        <f>SUM(GX75)</f>
        <v>4</v>
      </c>
      <c r="GY76" s="343">
        <f>SUM(GY75)</f>
        <v>11</v>
      </c>
      <c r="GZ76" s="343">
        <f t="shared" ref="GZ76:HF76" si="859">SUM(GZ75)</f>
        <v>79</v>
      </c>
      <c r="HA76" s="343">
        <f t="shared" si="859"/>
        <v>8568.7625</v>
      </c>
      <c r="HB76" s="343">
        <f t="shared" si="859"/>
        <v>15756.7625</v>
      </c>
      <c r="HC76" s="343">
        <f t="shared" si="859"/>
        <v>8620.9625</v>
      </c>
      <c r="HD76" s="343">
        <f t="shared" si="859"/>
        <v>7135.8</v>
      </c>
      <c r="HE76" s="343">
        <f t="shared" si="859"/>
        <v>0.452872219150349</v>
      </c>
      <c r="HF76" s="343">
        <f t="shared" si="859"/>
        <v>199.452689873418</v>
      </c>
      <c r="HI76" s="53"/>
      <c r="HJ76" s="53"/>
      <c r="HK76" s="53"/>
      <c r="HL76" s="53"/>
      <c r="HM76" s="53"/>
      <c r="HN76" s="53"/>
      <c r="HO76" s="53"/>
      <c r="HP76" s="53"/>
      <c r="HQ76" s="53"/>
      <c r="HR76" s="53"/>
      <c r="HS76" s="53"/>
      <c r="HT76" s="53"/>
      <c r="HU76" s="53"/>
      <c r="HV76" s="53"/>
      <c r="HW76" s="53"/>
      <c r="HX76" s="53"/>
      <c r="HY76" s="53"/>
      <c r="HZ76" s="53"/>
      <c r="IA76" s="53"/>
      <c r="IB76" s="53"/>
      <c r="IC76" s="53"/>
      <c r="ID76" s="343" t="s">
        <v>153</v>
      </c>
      <c r="IE76" s="343">
        <f>SUM(IE75)</f>
        <v>3</v>
      </c>
      <c r="IF76" s="343">
        <f>SUM(IF75)</f>
        <v>0</v>
      </c>
      <c r="IG76" s="343">
        <f>SUM(IG75)</f>
        <v>31</v>
      </c>
      <c r="IH76" s="343">
        <f t="shared" ref="IH76:IN76" si="860">SUM(IH75)</f>
        <v>119</v>
      </c>
      <c r="II76" s="343">
        <f t="shared" si="860"/>
        <v>12677.5</v>
      </c>
      <c r="IJ76" s="343">
        <f t="shared" si="860"/>
        <v>19431.25</v>
      </c>
      <c r="IK76" s="343">
        <f t="shared" si="860"/>
        <v>10831.25</v>
      </c>
      <c r="IL76" s="343">
        <f t="shared" si="860"/>
        <v>8600</v>
      </c>
      <c r="IM76" s="343">
        <f t="shared" si="860"/>
        <v>0.442586040527501</v>
      </c>
      <c r="IN76" s="343">
        <f t="shared" si="860"/>
        <v>163.28781512605</v>
      </c>
      <c r="IP76" s="11"/>
      <c r="IQ76" s="53"/>
      <c r="IR76" s="53"/>
      <c r="IS76" s="53"/>
      <c r="IT76" s="53"/>
      <c r="IU76" s="53"/>
      <c r="IV76" s="53"/>
      <c r="IW76" s="53"/>
      <c r="IX76" s="53"/>
      <c r="IY76" s="53"/>
      <c r="IZ76" s="53"/>
      <c r="JA76" s="53"/>
      <c r="JB76" s="53"/>
      <c r="JC76" s="53"/>
      <c r="JD76" s="53"/>
      <c r="JE76" s="53"/>
      <c r="JF76" s="53"/>
      <c r="JG76" s="53"/>
      <c r="JH76" s="53"/>
      <c r="JI76" s="53"/>
      <c r="JJ76" s="53"/>
      <c r="JK76" s="53"/>
      <c r="JL76" s="343" t="s">
        <v>153</v>
      </c>
      <c r="JM76" s="343">
        <f>SUM(JM75)</f>
        <v>4</v>
      </c>
      <c r="JN76" s="343">
        <f>SUM(JN75)</f>
        <v>9</v>
      </c>
      <c r="JO76" s="343">
        <f t="shared" ref="JO76:JU76" si="861">SUM(JO75)</f>
        <v>96</v>
      </c>
      <c r="JP76" s="343">
        <f t="shared" si="861"/>
        <v>7937.5</v>
      </c>
      <c r="JQ76" s="343">
        <f t="shared" si="861"/>
        <v>34445.625</v>
      </c>
      <c r="JR76" s="343">
        <f t="shared" si="861"/>
        <v>21175</v>
      </c>
      <c r="JS76" s="343">
        <f t="shared" si="861"/>
        <v>13270.625</v>
      </c>
      <c r="JT76" s="346">
        <f t="shared" si="850"/>
        <v>0.385263005098616</v>
      </c>
      <c r="JU76" s="343">
        <f t="shared" si="861"/>
        <v>358.80859375</v>
      </c>
      <c r="JX76" s="53"/>
      <c r="JY76" s="53"/>
      <c r="JZ76" s="53"/>
      <c r="KA76" s="53"/>
      <c r="KB76" s="53"/>
      <c r="KC76" s="53"/>
      <c r="KD76" s="53"/>
      <c r="KE76" s="53"/>
      <c r="KF76" s="53"/>
      <c r="KG76" s="53"/>
      <c r="KH76" s="53"/>
      <c r="KI76" s="53"/>
      <c r="KJ76" s="53"/>
      <c r="KK76" s="53"/>
      <c r="KL76" s="53"/>
      <c r="KM76" s="53"/>
      <c r="KN76" s="53"/>
      <c r="KO76" s="53"/>
      <c r="KP76" s="53"/>
      <c r="KQ76" s="53"/>
      <c r="KR76" s="53"/>
      <c r="KS76" s="53"/>
      <c r="KT76" s="343" t="s">
        <v>153</v>
      </c>
      <c r="KU76" s="343">
        <v>6</v>
      </c>
      <c r="KV76" s="343">
        <v>162</v>
      </c>
      <c r="KW76" s="343">
        <v>394</v>
      </c>
      <c r="KX76" s="343">
        <v>37782.1875</v>
      </c>
      <c r="KY76" s="343">
        <v>59213.4375</v>
      </c>
      <c r="KZ76" s="343">
        <v>24103.575</v>
      </c>
      <c r="LA76" s="343">
        <v>35109.8625</v>
      </c>
      <c r="LB76" s="346">
        <v>0.592937413910483</v>
      </c>
      <c r="LC76" s="343">
        <v>150.287912436548</v>
      </c>
      <c r="LF76" s="11"/>
      <c r="LG76" s="53"/>
      <c r="LH76" s="53"/>
      <c r="LI76" s="53"/>
      <c r="LJ76" s="53"/>
      <c r="LK76" s="53"/>
      <c r="LL76" s="53"/>
      <c r="LM76" s="53"/>
      <c r="LN76" s="53"/>
      <c r="LO76" s="53"/>
      <c r="LP76" s="53"/>
      <c r="LQ76" s="53"/>
      <c r="LR76" s="53"/>
      <c r="LS76" s="53"/>
      <c r="LT76" s="53"/>
      <c r="LU76" s="53"/>
      <c r="LV76" s="53"/>
      <c r="LW76" s="53"/>
      <c r="LX76" s="53"/>
      <c r="LY76" s="53"/>
      <c r="LZ76" s="53"/>
      <c r="MA76" s="53"/>
      <c r="MB76" s="343" t="s">
        <v>153</v>
      </c>
      <c r="MC76" s="343">
        <f>SUM(MC75)</f>
        <v>6</v>
      </c>
      <c r="MD76" s="343">
        <f>SUM(MD75)</f>
        <v>90</v>
      </c>
      <c r="ME76" s="343">
        <f t="shared" ref="ME76:MK76" si="862">SUM(ME75)</f>
        <v>383</v>
      </c>
      <c r="MF76" s="343">
        <f t="shared" si="862"/>
        <v>37037.5</v>
      </c>
      <c r="MG76" s="343">
        <f t="shared" si="862"/>
        <v>61586.775</v>
      </c>
      <c r="MH76" s="343">
        <f t="shared" si="862"/>
        <v>30827.5</v>
      </c>
      <c r="MI76" s="343">
        <f t="shared" si="862"/>
        <v>30759.275</v>
      </c>
      <c r="MJ76" s="346">
        <f t="shared" si="862"/>
        <v>0.499446106733142</v>
      </c>
      <c r="MK76" s="343">
        <f t="shared" si="862"/>
        <v>160.800979112272</v>
      </c>
      <c r="MO76" s="53"/>
      <c r="MP76" s="53"/>
      <c r="MQ76" s="53"/>
      <c r="MR76" s="53"/>
      <c r="MS76" s="53"/>
      <c r="MT76" s="53"/>
      <c r="MU76" s="53"/>
      <c r="MV76" s="53"/>
      <c r="MW76" s="53"/>
      <c r="MX76" s="53"/>
      <c r="MY76" s="53"/>
      <c r="MZ76" s="53"/>
      <c r="NA76" s="53"/>
      <c r="NB76" s="53"/>
      <c r="NC76" s="53"/>
      <c r="ND76" s="53"/>
      <c r="NE76" s="53"/>
      <c r="NF76" s="53"/>
      <c r="NG76" s="53"/>
      <c r="NH76" s="53"/>
      <c r="NI76" s="53"/>
      <c r="NJ76" s="343" t="s">
        <v>153</v>
      </c>
      <c r="NK76" s="343">
        <f>SUM(NK75)</f>
        <v>4</v>
      </c>
      <c r="NL76" s="343">
        <f>SUM(NL75)</f>
        <v>13</v>
      </c>
      <c r="NM76" s="343">
        <f t="shared" ref="NM76:NS76" si="863">SUM(NM75)</f>
        <v>183</v>
      </c>
      <c r="NN76" s="343">
        <f t="shared" si="863"/>
        <v>29546.25</v>
      </c>
      <c r="NO76" s="343">
        <f t="shared" si="863"/>
        <v>21151.25</v>
      </c>
      <c r="NP76" s="343">
        <f t="shared" si="863"/>
        <v>7254.375</v>
      </c>
      <c r="NQ76" s="343">
        <f t="shared" si="863"/>
        <v>13896.875</v>
      </c>
      <c r="NR76" s="346">
        <f t="shared" si="863"/>
        <v>0.657023816559305</v>
      </c>
      <c r="NS76" s="343">
        <f t="shared" si="863"/>
        <v>115.580601092896</v>
      </c>
      <c r="NT76" s="46"/>
      <c r="NU76" s="46"/>
      <c r="NV76" s="46"/>
      <c r="NW76" s="53"/>
      <c r="NX76" s="53"/>
      <c r="NY76" s="53"/>
      <c r="NZ76" s="53"/>
      <c r="OA76" s="53"/>
      <c r="OB76" s="53"/>
      <c r="OC76" s="53"/>
      <c r="OD76" s="53"/>
      <c r="OE76" s="53"/>
      <c r="OF76" s="53"/>
      <c r="OG76" s="53"/>
      <c r="OH76" s="53"/>
      <c r="OI76" s="53"/>
      <c r="OJ76" s="53"/>
      <c r="OK76" s="53"/>
      <c r="OL76" s="53"/>
      <c r="OM76" s="53"/>
      <c r="ON76" s="53"/>
      <c r="OO76" s="53"/>
      <c r="OP76" s="53"/>
      <c r="OQ76" s="53"/>
      <c r="OR76" s="53"/>
      <c r="OS76" s="154"/>
      <c r="OT76" s="84"/>
      <c r="OU76" s="154"/>
      <c r="OV76" s="154"/>
      <c r="OW76" s="154"/>
      <c r="OX76" s="154"/>
      <c r="OY76" s="154"/>
      <c r="OZ76" s="155"/>
      <c r="PA76" s="156"/>
      <c r="PB76" s="156"/>
      <c r="PC76" s="156"/>
      <c r="PD76" s="154"/>
      <c r="PE76" s="144"/>
      <c r="PF76" s="144"/>
      <c r="PG76" s="144"/>
      <c r="PH76" s="144"/>
      <c r="PI76" s="144"/>
      <c r="PJ76" s="144"/>
      <c r="PK76" s="144"/>
      <c r="PL76" s="144"/>
      <c r="PM76" s="144"/>
      <c r="PN76" s="144"/>
      <c r="PO76" s="144"/>
      <c r="PP76" s="144"/>
      <c r="PQ76" s="144"/>
      <c r="PR76" s="144"/>
      <c r="PS76" s="144"/>
      <c r="PT76" s="146"/>
      <c r="PU76" s="144"/>
      <c r="PV76" s="144"/>
      <c r="PW76" s="144"/>
      <c r="PX76" s="144"/>
      <c r="PY76" s="144"/>
      <c r="PZ76" s="144"/>
      <c r="QA76" s="144"/>
      <c r="QB76" s="144"/>
      <c r="QC76" s="144"/>
      <c r="QD76" s="144"/>
      <c r="QE76" s="146"/>
      <c r="QF76" s="146"/>
      <c r="QG76" s="146"/>
      <c r="QH76" s="146"/>
      <c r="QI76" s="146"/>
      <c r="QJ76" s="146"/>
      <c r="QK76" s="146"/>
      <c r="QL76" s="146"/>
      <c r="QM76" s="146"/>
      <c r="QN76" s="146"/>
      <c r="QO76" s="146"/>
      <c r="QP76" s="146"/>
      <c r="QQ76" s="146"/>
      <c r="QR76" s="146"/>
      <c r="QS76" s="144"/>
      <c r="QT76" s="144"/>
      <c r="QU76" s="144"/>
      <c r="QV76" s="144"/>
      <c r="QW76" s="144"/>
      <c r="QX76" s="144"/>
      <c r="QY76" s="144"/>
      <c r="QZ76" s="144"/>
      <c r="RA76" s="144"/>
      <c r="RB76" s="144"/>
      <c r="RC76" s="144"/>
      <c r="RD76" s="144"/>
      <c r="RE76" s="144"/>
      <c r="RF76" s="144"/>
      <c r="RG76" s="144"/>
      <c r="RH76" s="144"/>
      <c r="RI76" s="144"/>
      <c r="RJ76" s="144"/>
      <c r="RK76" s="144"/>
      <c r="RL76" s="144"/>
      <c r="RM76" s="144"/>
      <c r="RN76" s="144"/>
      <c r="RO76" s="144"/>
      <c r="RP76" s="144"/>
      <c r="RQ76" s="144"/>
      <c r="RR76" s="144"/>
      <c r="RS76" s="144"/>
      <c r="RT76" s="144"/>
      <c r="RU76" s="144"/>
      <c r="RV76" s="144"/>
      <c r="RW76" s="144"/>
      <c r="RX76" s="144"/>
      <c r="RY76" s="144"/>
      <c r="RZ76" s="144"/>
      <c r="SA76" s="144"/>
      <c r="SB76" s="144"/>
      <c r="SC76" s="144"/>
      <c r="SD76" s="144"/>
      <c r="SE76" s="144"/>
      <c r="SF76" s="144"/>
      <c r="SG76" s="144"/>
      <c r="SH76" s="144"/>
      <c r="SI76" s="144"/>
      <c r="SJ76" s="144"/>
      <c r="SK76" s="144"/>
      <c r="SL76" s="144"/>
      <c r="SM76" s="84"/>
      <c r="SN76" s="84"/>
      <c r="SO76" s="154"/>
      <c r="SP76" s="154"/>
      <c r="SQ76" s="154"/>
      <c r="SR76" s="154"/>
      <c r="SS76" s="154"/>
      <c r="ST76" s="154"/>
      <c r="SU76" s="155"/>
      <c r="SV76" s="154"/>
      <c r="SW76" s="154"/>
      <c r="SX76" s="155"/>
      <c r="SY76" s="155"/>
      <c r="SZ76" s="155"/>
      <c r="TA76" s="155"/>
      <c r="TB76" s="155"/>
      <c r="TC76" s="155"/>
      <c r="TD76" s="155"/>
      <c r="TE76" s="156"/>
      <c r="TF76" s="144"/>
      <c r="TG76" s="84"/>
      <c r="TH76" s="144"/>
      <c r="TI76" s="144"/>
      <c r="TJ76" s="144"/>
      <c r="TK76" s="144"/>
      <c r="TL76" s="157"/>
      <c r="TM76" s="157"/>
      <c r="TN76" s="157"/>
      <c r="TO76" s="157"/>
      <c r="TP76" s="157"/>
      <c r="TQ76" s="157"/>
      <c r="TR76" s="157"/>
      <c r="TS76" s="157"/>
      <c r="TT76" s="157"/>
      <c r="TU76" s="158"/>
      <c r="TV76" s="157"/>
      <c r="TW76" s="158"/>
      <c r="TX76" s="144"/>
      <c r="TY76" s="144"/>
      <c r="TZ76" s="144"/>
      <c r="UA76" s="84"/>
      <c r="UB76" s="144"/>
      <c r="UC76" s="144"/>
      <c r="UD76" s="144"/>
      <c r="UE76" s="144"/>
      <c r="UF76" s="157"/>
      <c r="UG76" s="157"/>
      <c r="UH76" s="157"/>
      <c r="UI76" s="157"/>
      <c r="UJ76" s="157"/>
      <c r="UK76" s="157"/>
      <c r="UL76" s="157"/>
      <c r="UM76" s="157"/>
      <c r="UN76" s="157"/>
      <c r="UO76" s="157"/>
      <c r="UP76" s="157"/>
      <c r="UQ76" s="158"/>
      <c r="UR76" s="157"/>
      <c r="US76" s="158"/>
      <c r="UT76" s="144"/>
      <c r="UU76" s="144"/>
      <c r="UV76" s="144"/>
      <c r="UW76" s="144"/>
      <c r="UX76" s="144"/>
      <c r="UY76" s="144"/>
      <c r="UZ76" s="144"/>
      <c r="VA76" s="144"/>
      <c r="VB76" s="157"/>
      <c r="VC76" s="157"/>
      <c r="VD76" s="157"/>
      <c r="VE76" s="157"/>
      <c r="VF76" s="157"/>
      <c r="VG76" s="157"/>
      <c r="VH76" s="157"/>
      <c r="VI76" s="157"/>
      <c r="VJ76" s="157"/>
      <c r="VK76" s="157"/>
      <c r="VL76" s="157"/>
      <c r="VM76" s="157"/>
      <c r="VN76" s="157"/>
      <c r="VO76" s="157"/>
      <c r="VP76" s="144"/>
      <c r="VQ76" s="144"/>
      <c r="VR76" s="84"/>
      <c r="VS76" s="84"/>
      <c r="VT76" s="53"/>
      <c r="VU76" s="53"/>
    </row>
    <row r="77" ht="15.75" hidden="1" spans="1:1024 1025:16384">
      <c r="A77" s="53"/>
      <c r="B77" s="53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3"/>
      <c r="AD77" s="293"/>
      <c r="AE77" s="293"/>
      <c r="AF77" s="293"/>
      <c r="AG77" s="293"/>
      <c r="AH77" s="293"/>
      <c r="AI77" s="53"/>
      <c r="AJ77" s="251"/>
      <c r="AK77" s="251"/>
      <c r="AL77" s="251"/>
      <c r="AM77" s="251"/>
      <c r="AN77" s="251"/>
      <c r="AO77" s="251"/>
      <c r="AP77" s="251"/>
      <c r="AQ77" s="251"/>
      <c r="AR77" s="251"/>
      <c r="AS77" s="251"/>
      <c r="AT77" s="251"/>
      <c r="AU77" s="293"/>
      <c r="AV77" s="293"/>
      <c r="AW77" s="293"/>
      <c r="AX77" s="293"/>
      <c r="AY77" s="293"/>
      <c r="AZ77" s="293"/>
      <c r="BA77" s="293"/>
      <c r="BB77" s="293"/>
      <c r="BC77" s="293"/>
      <c r="BD77" s="293"/>
      <c r="BE77" s="293"/>
      <c r="BF77" s="293"/>
      <c r="BG77" s="293"/>
      <c r="BH77" s="293"/>
      <c r="BI77" s="293"/>
      <c r="BJ77" s="293"/>
      <c r="BK77" s="293"/>
      <c r="BL77" s="293"/>
      <c r="BM77" s="293"/>
      <c r="BN77" s="293"/>
      <c r="BO77" s="293"/>
      <c r="BP77" s="53"/>
      <c r="BQ77" s="251"/>
      <c r="BR77" s="251"/>
      <c r="BS77" s="251"/>
      <c r="BT77" s="251"/>
      <c r="BU77" s="251"/>
      <c r="BV77" s="251"/>
      <c r="BW77" s="251"/>
      <c r="BX77" s="251"/>
      <c r="BY77" s="251"/>
      <c r="BZ77" s="251"/>
      <c r="CA77" s="251"/>
      <c r="CB77" s="293"/>
      <c r="CC77" s="293"/>
      <c r="CD77" s="293"/>
      <c r="CE77" s="293"/>
      <c r="CF77" s="293"/>
      <c r="CG77" s="293"/>
      <c r="CH77" s="293"/>
      <c r="CI77" s="293"/>
      <c r="CJ77" s="293"/>
      <c r="CK77" s="293"/>
      <c r="CL77" s="293"/>
      <c r="CM77" s="293"/>
      <c r="CN77" s="293"/>
      <c r="CO77" s="293"/>
      <c r="CP77" s="293"/>
      <c r="CQ77" s="293"/>
      <c r="CR77" s="293"/>
      <c r="CS77" s="293"/>
      <c r="CT77" s="293"/>
      <c r="CU77" s="293"/>
      <c r="CV77" s="293"/>
      <c r="CW77" s="53"/>
      <c r="CX77" s="251"/>
      <c r="CY77" s="251"/>
      <c r="CZ77" s="251"/>
      <c r="DA77" s="251"/>
      <c r="DB77" s="251"/>
      <c r="DC77" s="251"/>
      <c r="DD77" s="251"/>
      <c r="DE77" s="251"/>
      <c r="DF77" s="251"/>
      <c r="DG77" s="251"/>
      <c r="DH77" s="251"/>
      <c r="DI77" s="293"/>
      <c r="DJ77" s="293"/>
      <c r="DK77" s="293"/>
      <c r="DL77" s="293"/>
      <c r="DM77" s="293"/>
      <c r="DN77" s="293"/>
      <c r="DO77" s="293"/>
      <c r="DP77" s="293"/>
      <c r="DQ77" s="293"/>
      <c r="DR77" s="293"/>
      <c r="DS77" s="293"/>
      <c r="DT77" s="293"/>
      <c r="DU77" s="293"/>
      <c r="DV77" s="293"/>
      <c r="DW77" s="293"/>
      <c r="DX77" s="293"/>
      <c r="DY77" s="293"/>
      <c r="DZ77" s="293"/>
      <c r="EA77" s="293"/>
      <c r="EB77" s="293"/>
      <c r="EC77" s="293"/>
      <c r="ED77" s="53"/>
      <c r="EE77" s="159"/>
      <c r="EF77" s="159"/>
      <c r="EG77" s="159"/>
      <c r="EH77" s="159"/>
      <c r="EI77" s="159"/>
      <c r="EJ77" s="159"/>
      <c r="EK77" s="159"/>
      <c r="EL77" s="159"/>
      <c r="EM77" s="159"/>
      <c r="EN77" s="159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159"/>
      <c r="FO77" s="159"/>
      <c r="FP77" s="159"/>
      <c r="FQ77" s="159"/>
      <c r="FR77" s="159"/>
      <c r="FS77" s="159"/>
      <c r="FT77" s="159"/>
      <c r="FU77" s="159"/>
      <c r="FV77" s="159"/>
      <c r="FW77" s="159"/>
      <c r="FX77" s="159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159"/>
      <c r="GW77" s="159"/>
      <c r="GX77" s="159"/>
      <c r="GY77" s="159"/>
      <c r="GZ77" s="159"/>
      <c r="HA77" s="159"/>
      <c r="HB77" s="159"/>
      <c r="HC77" s="159"/>
      <c r="HD77" s="159"/>
      <c r="HE77" s="159"/>
      <c r="HF77" s="159"/>
      <c r="HI77" s="53"/>
      <c r="HJ77" s="53"/>
      <c r="HK77" s="53"/>
      <c r="HL77" s="53"/>
      <c r="HM77" s="53"/>
      <c r="HN77" s="53"/>
      <c r="HO77" s="53"/>
      <c r="HP77" s="53"/>
      <c r="HQ77" s="53"/>
      <c r="HR77" s="53"/>
      <c r="HS77" s="53"/>
      <c r="HT77" s="53"/>
      <c r="HU77" s="53"/>
      <c r="HV77" s="53"/>
      <c r="HW77" s="53"/>
      <c r="HX77" s="53"/>
      <c r="HY77" s="53"/>
      <c r="HZ77" s="53"/>
      <c r="IA77" s="53"/>
      <c r="IB77" s="53"/>
      <c r="IC77" s="53"/>
      <c r="ID77" s="159"/>
      <c r="IE77" s="159"/>
      <c r="IF77" s="159"/>
      <c r="IG77" s="159"/>
      <c r="IH77" s="159"/>
      <c r="II77" s="159"/>
      <c r="IJ77" s="159"/>
      <c r="IK77" s="159"/>
      <c r="IL77" s="159"/>
      <c r="IM77" s="159"/>
      <c r="IN77" s="159"/>
      <c r="IP77" s="11"/>
      <c r="IQ77" s="53"/>
      <c r="IR77" s="53"/>
      <c r="IS77" s="53"/>
      <c r="IT77" s="53"/>
      <c r="IU77" s="53"/>
      <c r="IV77" s="53"/>
      <c r="IW77" s="53"/>
      <c r="IX77" s="53"/>
      <c r="IY77" s="53"/>
      <c r="IZ77" s="53"/>
      <c r="JA77" s="53"/>
      <c r="JB77" s="53"/>
      <c r="JC77" s="53"/>
      <c r="JD77" s="53"/>
      <c r="JE77" s="53"/>
      <c r="JF77" s="53"/>
      <c r="JG77" s="53"/>
      <c r="JH77" s="53"/>
      <c r="JI77" s="53"/>
      <c r="JJ77" s="53"/>
      <c r="JK77" s="53"/>
      <c r="JL77" s="159"/>
      <c r="JM77" s="159"/>
      <c r="JN77" s="159"/>
      <c r="JO77" s="159"/>
      <c r="JP77" s="159"/>
      <c r="JQ77" s="159"/>
      <c r="JR77" s="159"/>
      <c r="JS77" s="159"/>
      <c r="JT77" s="159"/>
      <c r="JU77" s="159"/>
      <c r="JX77" s="53"/>
      <c r="JY77" s="53"/>
      <c r="JZ77" s="53"/>
      <c r="KA77" s="53"/>
      <c r="KB77" s="53"/>
      <c r="KC77" s="53"/>
      <c r="KD77" s="53"/>
      <c r="KE77" s="53"/>
      <c r="KF77" s="53"/>
      <c r="KG77" s="53"/>
      <c r="KH77" s="53"/>
      <c r="KI77" s="53"/>
      <c r="KJ77" s="53"/>
      <c r="KK77" s="53"/>
      <c r="KL77" s="53"/>
      <c r="KM77" s="53"/>
      <c r="KN77" s="53"/>
      <c r="KO77" s="53"/>
      <c r="KP77" s="53"/>
      <c r="KQ77" s="53"/>
      <c r="KR77" s="53"/>
      <c r="KS77" s="53"/>
      <c r="KT77" s="159"/>
      <c r="KU77" s="159"/>
      <c r="KV77" s="159"/>
      <c r="KW77" s="159"/>
      <c r="KX77" s="159"/>
      <c r="KY77" s="159"/>
      <c r="KZ77" s="159"/>
      <c r="LA77" s="159"/>
      <c r="LB77" s="159"/>
      <c r="LC77" s="159"/>
      <c r="LF77" s="11"/>
      <c r="LG77" s="53"/>
      <c r="LH77" s="53"/>
      <c r="LI77" s="53"/>
      <c r="LJ77" s="53"/>
      <c r="LK77" s="53"/>
      <c r="LL77" s="53"/>
      <c r="LM77" s="53"/>
      <c r="LN77" s="53"/>
      <c r="LO77" s="53"/>
      <c r="LP77" s="53"/>
      <c r="LQ77" s="53"/>
      <c r="LR77" s="53"/>
      <c r="LS77" s="53"/>
      <c r="LT77" s="53"/>
      <c r="LU77" s="53"/>
      <c r="LV77" s="53"/>
      <c r="LW77" s="53"/>
      <c r="LX77" s="53"/>
      <c r="LY77" s="53"/>
      <c r="LZ77" s="53"/>
      <c r="MA77" s="53"/>
      <c r="MB77" s="159"/>
      <c r="MC77" s="159"/>
      <c r="MD77" s="159"/>
      <c r="ME77" s="159"/>
      <c r="MF77" s="159"/>
      <c r="MG77" s="159"/>
      <c r="MH77" s="159"/>
      <c r="MI77" s="159"/>
      <c r="MJ77" s="159"/>
      <c r="MK77" s="159"/>
      <c r="MO77" s="53"/>
      <c r="MP77" s="53"/>
      <c r="MQ77" s="53"/>
      <c r="MR77" s="53"/>
      <c r="MS77" s="53"/>
      <c r="MT77" s="53"/>
      <c r="MU77" s="53"/>
      <c r="MV77" s="53"/>
      <c r="MW77" s="53"/>
      <c r="MX77" s="53"/>
      <c r="MY77" s="53"/>
      <c r="MZ77" s="53"/>
      <c r="NA77" s="53"/>
      <c r="NB77" s="53"/>
      <c r="NC77" s="53"/>
      <c r="ND77" s="53"/>
      <c r="NE77" s="53"/>
      <c r="NF77" s="53"/>
      <c r="NG77" s="53"/>
      <c r="NH77" s="53"/>
      <c r="NI77" s="53"/>
      <c r="NJ77" s="192"/>
      <c r="NK77" s="192"/>
      <c r="NL77" s="192"/>
      <c r="NM77" s="192"/>
      <c r="NN77" s="192"/>
      <c r="NO77" s="192"/>
      <c r="NP77" s="192"/>
      <c r="NQ77" s="192"/>
      <c r="NR77" s="192"/>
      <c r="NS77" s="192"/>
      <c r="NT77" s="46"/>
      <c r="NU77" s="46"/>
      <c r="NV77" s="46"/>
      <c r="NW77" s="192"/>
      <c r="NX77" s="53"/>
      <c r="NY77" s="53"/>
      <c r="NZ77" s="53"/>
      <c r="OA77" s="53"/>
      <c r="OB77" s="53"/>
      <c r="OC77" s="53"/>
      <c r="OD77" s="53"/>
      <c r="OE77" s="53"/>
      <c r="OF77" s="53"/>
      <c r="OG77" s="53"/>
      <c r="OH77" s="53"/>
      <c r="OI77" s="53"/>
      <c r="OJ77" s="53"/>
      <c r="OK77" s="53"/>
      <c r="OL77" s="53"/>
      <c r="OM77" s="53"/>
      <c r="ON77" s="53"/>
      <c r="OO77" s="53"/>
      <c r="OP77" s="53"/>
      <c r="OQ77" s="53"/>
      <c r="OR77" s="53"/>
      <c r="OS77" s="154"/>
      <c r="OT77" s="84"/>
      <c r="OU77" s="154"/>
      <c r="OV77" s="154"/>
      <c r="OW77" s="154"/>
      <c r="OX77" s="154"/>
      <c r="OY77" s="154"/>
      <c r="OZ77" s="155"/>
      <c r="PA77" s="156"/>
      <c r="PB77" s="156"/>
      <c r="PC77" s="156"/>
      <c r="PD77" s="154"/>
      <c r="PE77" s="144"/>
      <c r="PF77" s="144"/>
      <c r="PG77" s="144"/>
      <c r="PH77" s="144"/>
      <c r="PI77" s="144"/>
      <c r="PJ77" s="144"/>
      <c r="PK77" s="144"/>
      <c r="PL77" s="144"/>
      <c r="PM77" s="144"/>
      <c r="PN77" s="144"/>
      <c r="PO77" s="144"/>
      <c r="PP77" s="144"/>
      <c r="PQ77" s="144"/>
      <c r="PR77" s="144"/>
      <c r="PS77" s="144"/>
      <c r="PT77" s="146"/>
      <c r="PU77" s="144"/>
      <c r="PV77" s="144"/>
      <c r="PW77" s="144"/>
      <c r="PX77" s="144"/>
      <c r="PY77" s="144"/>
      <c r="PZ77" s="144"/>
      <c r="QA77" s="144"/>
      <c r="QB77" s="144"/>
      <c r="QC77" s="144"/>
      <c r="QD77" s="144"/>
      <c r="QE77" s="146"/>
      <c r="QF77" s="146"/>
      <c r="QG77" s="146"/>
      <c r="QH77" s="146"/>
      <c r="QI77" s="146"/>
      <c r="QJ77" s="146"/>
      <c r="QK77" s="146"/>
      <c r="QL77" s="146"/>
      <c r="QM77" s="146"/>
      <c r="QN77" s="146"/>
      <c r="QO77" s="146"/>
      <c r="QP77" s="146"/>
      <c r="QQ77" s="146"/>
      <c r="QR77" s="146"/>
      <c r="QS77" s="144"/>
      <c r="QT77" s="144"/>
      <c r="QU77" s="144"/>
      <c r="QV77" s="144"/>
      <c r="QW77" s="144"/>
      <c r="QX77" s="144"/>
      <c r="QY77" s="144"/>
      <c r="QZ77" s="144"/>
      <c r="RA77" s="144"/>
      <c r="RB77" s="144"/>
      <c r="RC77" s="144"/>
      <c r="RD77" s="144"/>
      <c r="RE77" s="144"/>
      <c r="RF77" s="144"/>
      <c r="RG77" s="144"/>
      <c r="RH77" s="144"/>
      <c r="RI77" s="144"/>
      <c r="RJ77" s="144"/>
      <c r="RK77" s="144"/>
      <c r="RL77" s="144"/>
      <c r="RM77" s="144"/>
      <c r="RN77" s="144"/>
      <c r="RO77" s="144"/>
      <c r="RP77" s="144"/>
      <c r="RQ77" s="144"/>
      <c r="RR77" s="144"/>
      <c r="RS77" s="144"/>
      <c r="RT77" s="144"/>
      <c r="RU77" s="144"/>
      <c r="RV77" s="144"/>
      <c r="RW77" s="144"/>
      <c r="RX77" s="144"/>
      <c r="RY77" s="144"/>
      <c r="RZ77" s="144"/>
      <c r="SA77" s="144"/>
      <c r="SB77" s="144"/>
      <c r="SC77" s="144"/>
      <c r="SD77" s="144"/>
      <c r="SE77" s="144"/>
      <c r="SF77" s="144"/>
      <c r="SG77" s="144"/>
      <c r="SH77" s="144"/>
      <c r="SI77" s="144"/>
      <c r="SJ77" s="144"/>
      <c r="SK77" s="144"/>
      <c r="SL77" s="144"/>
      <c r="SM77" s="84"/>
      <c r="SN77" s="84"/>
      <c r="SO77" s="154"/>
      <c r="SP77" s="154"/>
      <c r="SQ77" s="154"/>
      <c r="SR77" s="154"/>
      <c r="SS77" s="154"/>
      <c r="ST77" s="154"/>
      <c r="SU77" s="155"/>
      <c r="SV77" s="154"/>
      <c r="SW77" s="154"/>
      <c r="SX77" s="155"/>
      <c r="SY77" s="155"/>
      <c r="SZ77" s="155"/>
      <c r="TA77" s="155"/>
      <c r="TB77" s="155"/>
      <c r="TC77" s="155"/>
      <c r="TD77" s="155"/>
      <c r="TE77" s="156"/>
      <c r="TF77" s="144"/>
      <c r="TG77" s="84"/>
      <c r="TH77" s="144"/>
      <c r="TI77" s="144"/>
      <c r="TJ77" s="144"/>
      <c r="TK77" s="144"/>
      <c r="TL77" s="157"/>
      <c r="TM77" s="157"/>
      <c r="TN77" s="157"/>
      <c r="TO77" s="157"/>
      <c r="TP77" s="157"/>
      <c r="TQ77" s="157"/>
      <c r="TR77" s="157"/>
      <c r="TS77" s="157"/>
      <c r="TT77" s="157"/>
      <c r="TU77" s="158"/>
      <c r="TV77" s="157"/>
      <c r="TW77" s="158"/>
      <c r="TX77" s="144"/>
      <c r="TY77" s="144"/>
      <c r="TZ77" s="144"/>
      <c r="UA77" s="84"/>
      <c r="UB77" s="144"/>
      <c r="UC77" s="144"/>
      <c r="UD77" s="144"/>
      <c r="UE77" s="144"/>
      <c r="UF77" s="157"/>
      <c r="UG77" s="157"/>
      <c r="UH77" s="157"/>
      <c r="UI77" s="157"/>
      <c r="UJ77" s="157"/>
      <c r="UK77" s="157"/>
      <c r="UL77" s="157"/>
      <c r="UM77" s="157"/>
      <c r="UN77" s="157"/>
      <c r="UO77" s="157"/>
      <c r="UP77" s="157"/>
      <c r="UQ77" s="158"/>
      <c r="UR77" s="157"/>
      <c r="US77" s="158"/>
      <c r="UT77" s="144"/>
      <c r="UU77" s="144"/>
      <c r="UV77" s="144"/>
      <c r="UW77" s="144"/>
      <c r="UX77" s="144"/>
      <c r="UY77" s="144"/>
      <c r="UZ77" s="144"/>
      <c r="VA77" s="144"/>
      <c r="VB77" s="157"/>
      <c r="VC77" s="157"/>
      <c r="VD77" s="157"/>
      <c r="VE77" s="157"/>
      <c r="VF77" s="157"/>
      <c r="VG77" s="157"/>
      <c r="VH77" s="157"/>
      <c r="VI77" s="157"/>
      <c r="VJ77" s="157"/>
      <c r="VK77" s="157"/>
      <c r="VL77" s="157"/>
      <c r="VM77" s="157"/>
      <c r="VN77" s="157"/>
      <c r="VO77" s="157"/>
      <c r="VP77" s="144"/>
      <c r="VQ77" s="144"/>
      <c r="VR77" s="84"/>
      <c r="VS77" s="84"/>
      <c r="VT77" s="53"/>
      <c r="VU77" s="53"/>
    </row>
    <row r="78" ht="15.75" hidden="1" spans="1:1024 1025:16384">
      <c r="A78" s="53"/>
      <c r="B78" s="53"/>
      <c r="C78" s="162" t="s">
        <v>20</v>
      </c>
      <c r="D78" s="162" t="s">
        <v>21</v>
      </c>
      <c r="E78" s="162" t="s">
        <v>154</v>
      </c>
      <c r="F78" s="162" t="s">
        <v>23</v>
      </c>
      <c r="G78" s="162" t="s">
        <v>219</v>
      </c>
      <c r="H78" s="162" t="s">
        <v>27</v>
      </c>
      <c r="I78" s="162" t="s">
        <v>28</v>
      </c>
      <c r="J78" s="162" t="s">
        <v>29</v>
      </c>
      <c r="K78" s="162" t="s">
        <v>32</v>
      </c>
      <c r="L78" s="162" t="s">
        <v>220</v>
      </c>
      <c r="M78" s="162" t="s">
        <v>157</v>
      </c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  <c r="AC78" s="293"/>
      <c r="AD78" s="293"/>
      <c r="AE78" s="293"/>
      <c r="AF78" s="293"/>
      <c r="AG78" s="293"/>
      <c r="AH78" s="293"/>
      <c r="AI78" s="53"/>
      <c r="AJ78" s="162" t="s">
        <v>20</v>
      </c>
      <c r="AK78" s="162" t="s">
        <v>21</v>
      </c>
      <c r="AL78" s="162" t="s">
        <v>154</v>
      </c>
      <c r="AM78" s="162" t="s">
        <v>23</v>
      </c>
      <c r="AN78" s="162" t="s">
        <v>219</v>
      </c>
      <c r="AO78" s="162" t="s">
        <v>27</v>
      </c>
      <c r="AP78" s="162" t="s">
        <v>28</v>
      </c>
      <c r="AQ78" s="162" t="s">
        <v>29</v>
      </c>
      <c r="AR78" s="162" t="s">
        <v>32</v>
      </c>
      <c r="AS78" s="162" t="s">
        <v>220</v>
      </c>
      <c r="AT78" s="162" t="s">
        <v>157</v>
      </c>
      <c r="AU78" s="293"/>
      <c r="AV78" s="293"/>
      <c r="AW78" s="293"/>
      <c r="AX78" s="293"/>
      <c r="AY78" s="293"/>
      <c r="AZ78" s="293"/>
      <c r="BA78" s="293"/>
      <c r="BB78" s="293"/>
      <c r="BC78" s="293"/>
      <c r="BD78" s="293"/>
      <c r="BE78" s="293"/>
      <c r="BF78" s="293"/>
      <c r="BG78" s="293"/>
      <c r="BH78" s="293"/>
      <c r="BI78" s="293"/>
      <c r="BJ78" s="293"/>
      <c r="BK78" s="293"/>
      <c r="BL78" s="293"/>
      <c r="BM78" s="293"/>
      <c r="BN78" s="293"/>
      <c r="BO78" s="293"/>
      <c r="BP78" s="53"/>
      <c r="BQ78" s="162" t="s">
        <v>20</v>
      </c>
      <c r="BR78" s="162" t="s">
        <v>21</v>
      </c>
      <c r="BS78" s="162" t="s">
        <v>154</v>
      </c>
      <c r="BT78" s="162" t="s">
        <v>23</v>
      </c>
      <c r="BU78" s="162" t="s">
        <v>219</v>
      </c>
      <c r="BV78" s="162" t="s">
        <v>27</v>
      </c>
      <c r="BW78" s="162" t="s">
        <v>28</v>
      </c>
      <c r="BX78" s="162" t="s">
        <v>29</v>
      </c>
      <c r="BY78" s="162" t="s">
        <v>32</v>
      </c>
      <c r="BZ78" s="162" t="s">
        <v>220</v>
      </c>
      <c r="CA78" s="162" t="s">
        <v>157</v>
      </c>
      <c r="CB78" s="293"/>
      <c r="CC78" s="293"/>
      <c r="CD78" s="293"/>
      <c r="CE78" s="293"/>
      <c r="CF78" s="293"/>
      <c r="CG78" s="293"/>
      <c r="CH78" s="293"/>
      <c r="CI78" s="293"/>
      <c r="CJ78" s="293"/>
      <c r="CK78" s="293"/>
      <c r="CL78" s="293"/>
      <c r="CM78" s="293"/>
      <c r="CN78" s="293"/>
      <c r="CO78" s="293"/>
      <c r="CP78" s="293"/>
      <c r="CQ78" s="293"/>
      <c r="CR78" s="293"/>
      <c r="CS78" s="293"/>
      <c r="CT78" s="293"/>
      <c r="CU78" s="293"/>
      <c r="CV78" s="293"/>
      <c r="CW78" s="53"/>
      <c r="CX78" s="162" t="s">
        <v>20</v>
      </c>
      <c r="CY78" s="162" t="s">
        <v>21</v>
      </c>
      <c r="CZ78" s="162" t="s">
        <v>154</v>
      </c>
      <c r="DA78" s="162" t="s">
        <v>23</v>
      </c>
      <c r="DB78" s="162" t="s">
        <v>219</v>
      </c>
      <c r="DC78" s="162" t="s">
        <v>27</v>
      </c>
      <c r="DD78" s="162" t="s">
        <v>28</v>
      </c>
      <c r="DE78" s="162" t="s">
        <v>29</v>
      </c>
      <c r="DF78" s="162" t="s">
        <v>32</v>
      </c>
      <c r="DG78" s="162" t="s">
        <v>220</v>
      </c>
      <c r="DH78" s="162" t="s">
        <v>157</v>
      </c>
      <c r="DI78" s="293"/>
      <c r="DJ78" s="293"/>
      <c r="DK78" s="293"/>
      <c r="DL78" s="293"/>
      <c r="DM78" s="293"/>
      <c r="DN78" s="293"/>
      <c r="DO78" s="293"/>
      <c r="DP78" s="293"/>
      <c r="DQ78" s="293"/>
      <c r="DR78" s="293"/>
      <c r="DS78" s="293"/>
      <c r="DT78" s="293"/>
      <c r="DU78" s="293"/>
      <c r="DV78" s="293"/>
      <c r="DW78" s="293"/>
      <c r="DX78" s="293"/>
      <c r="DY78" s="293"/>
      <c r="DZ78" s="293"/>
      <c r="EA78" s="293"/>
      <c r="EB78" s="293"/>
      <c r="EC78" s="293"/>
      <c r="ED78" s="53"/>
      <c r="EE78" s="347" t="s">
        <v>20</v>
      </c>
      <c r="EF78" s="347" t="s">
        <v>21</v>
      </c>
      <c r="EG78" s="347" t="s">
        <v>154</v>
      </c>
      <c r="EH78" s="347" t="s">
        <v>23</v>
      </c>
      <c r="EI78" s="347" t="s">
        <v>219</v>
      </c>
      <c r="EJ78" s="347" t="s">
        <v>27</v>
      </c>
      <c r="EK78" s="347" t="s">
        <v>28</v>
      </c>
      <c r="EL78" s="347" t="s">
        <v>29</v>
      </c>
      <c r="EM78" s="347" t="s">
        <v>32</v>
      </c>
      <c r="EN78" s="347" t="s">
        <v>220</v>
      </c>
      <c r="EO78" s="347" t="s">
        <v>157</v>
      </c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347" t="s">
        <v>20</v>
      </c>
      <c r="FO78" s="347" t="s">
        <v>21</v>
      </c>
      <c r="FP78" s="347" t="s">
        <v>154</v>
      </c>
      <c r="FQ78" s="347" t="s">
        <v>23</v>
      </c>
      <c r="FR78" s="347" t="s">
        <v>219</v>
      </c>
      <c r="FS78" s="347" t="s">
        <v>27</v>
      </c>
      <c r="FT78" s="347" t="s">
        <v>28</v>
      </c>
      <c r="FU78" s="347" t="s">
        <v>29</v>
      </c>
      <c r="FV78" s="347" t="s">
        <v>32</v>
      </c>
      <c r="FW78" s="347" t="s">
        <v>220</v>
      </c>
      <c r="FX78" s="347" t="s">
        <v>157</v>
      </c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347" t="s">
        <v>20</v>
      </c>
      <c r="GW78" s="347" t="s">
        <v>21</v>
      </c>
      <c r="GX78" s="347" t="s">
        <v>154</v>
      </c>
      <c r="GY78" s="347" t="s">
        <v>23</v>
      </c>
      <c r="GZ78" s="347" t="s">
        <v>36</v>
      </c>
      <c r="HA78" s="347" t="s">
        <v>37</v>
      </c>
      <c r="HB78" s="347" t="s">
        <v>221</v>
      </c>
      <c r="HC78" s="347" t="s">
        <v>222</v>
      </c>
      <c r="HD78" s="347" t="s">
        <v>223</v>
      </c>
      <c r="HE78" s="347" t="s">
        <v>224</v>
      </c>
      <c r="HF78" s="347" t="s">
        <v>225</v>
      </c>
      <c r="HI78" s="53"/>
      <c r="HJ78" s="53"/>
      <c r="HK78" s="53"/>
      <c r="HL78" s="53"/>
      <c r="HM78" s="53"/>
      <c r="HN78" s="53"/>
      <c r="HO78" s="53"/>
      <c r="HP78" s="53"/>
      <c r="HQ78" s="53"/>
      <c r="HR78" s="53"/>
      <c r="HS78" s="53"/>
      <c r="HT78" s="53"/>
      <c r="HU78" s="53"/>
      <c r="HV78" s="53"/>
      <c r="HW78" s="53"/>
      <c r="HX78" s="53"/>
      <c r="HY78" s="53"/>
      <c r="HZ78" s="53"/>
      <c r="IA78" s="53"/>
      <c r="IB78" s="53"/>
      <c r="IC78" s="53"/>
      <c r="ID78" s="326" t="s">
        <v>20</v>
      </c>
      <c r="IE78" s="326" t="s">
        <v>21</v>
      </c>
      <c r="IF78" s="326" t="s">
        <v>22</v>
      </c>
      <c r="IG78" s="326" t="s">
        <v>23</v>
      </c>
      <c r="IH78" s="326" t="s">
        <v>219</v>
      </c>
      <c r="II78" s="326" t="s">
        <v>27</v>
      </c>
      <c r="IJ78" s="326" t="s">
        <v>159</v>
      </c>
      <c r="IK78" s="326" t="s">
        <v>29</v>
      </c>
      <c r="IL78" s="326" t="s">
        <v>32</v>
      </c>
      <c r="IM78" s="326" t="s">
        <v>220</v>
      </c>
      <c r="IN78" s="326" t="s">
        <v>157</v>
      </c>
      <c r="IP78" s="11"/>
      <c r="IQ78" s="53"/>
      <c r="IR78" s="53"/>
      <c r="IS78" s="53"/>
      <c r="IT78" s="53"/>
      <c r="IU78" s="53"/>
      <c r="IV78" s="53"/>
      <c r="IW78" s="53"/>
      <c r="IX78" s="53"/>
      <c r="IY78" s="53"/>
      <c r="IZ78" s="53"/>
      <c r="JA78" s="53"/>
      <c r="JB78" s="53"/>
      <c r="JC78" s="53"/>
      <c r="JD78" s="53"/>
      <c r="JE78" s="53"/>
      <c r="JF78" s="53"/>
      <c r="JG78" s="53"/>
      <c r="JH78" s="53"/>
      <c r="JI78" s="53"/>
      <c r="JJ78" s="53"/>
      <c r="JK78" s="53"/>
      <c r="JL78" s="347" t="s">
        <v>20</v>
      </c>
      <c r="JM78" s="347" t="s">
        <v>21</v>
      </c>
      <c r="JN78" s="347" t="s">
        <v>23</v>
      </c>
      <c r="JO78" s="347" t="s">
        <v>219</v>
      </c>
      <c r="JP78" s="347" t="s">
        <v>27</v>
      </c>
      <c r="JQ78" s="347" t="s">
        <v>159</v>
      </c>
      <c r="JR78" s="347" t="s">
        <v>29</v>
      </c>
      <c r="JS78" s="347" t="s">
        <v>32</v>
      </c>
      <c r="JT78" s="347" t="s">
        <v>220</v>
      </c>
      <c r="JU78" s="347" t="s">
        <v>157</v>
      </c>
      <c r="JX78" s="53"/>
      <c r="JY78" s="53"/>
      <c r="JZ78" s="53"/>
      <c r="KA78" s="53"/>
      <c r="KB78" s="53"/>
      <c r="KC78" s="53"/>
      <c r="KD78" s="53"/>
      <c r="KE78" s="53"/>
      <c r="KF78" s="53"/>
      <c r="KG78" s="53"/>
      <c r="KH78" s="53"/>
      <c r="KI78" s="53"/>
      <c r="KJ78" s="53"/>
      <c r="KK78" s="53"/>
      <c r="KL78" s="53"/>
      <c r="KM78" s="53"/>
      <c r="KN78" s="53"/>
      <c r="KO78" s="53"/>
      <c r="KP78" s="53"/>
      <c r="KQ78" s="53"/>
      <c r="KR78" s="53"/>
      <c r="KS78" s="53"/>
      <c r="KT78" s="326" t="s">
        <v>20</v>
      </c>
      <c r="KU78" s="326" t="s">
        <v>21</v>
      </c>
      <c r="KV78" s="326" t="s">
        <v>23</v>
      </c>
      <c r="KW78" s="326" t="s">
        <v>219</v>
      </c>
      <c r="KX78" s="326" t="s">
        <v>27</v>
      </c>
      <c r="KY78" s="326" t="s">
        <v>159</v>
      </c>
      <c r="KZ78" s="326" t="s">
        <v>29</v>
      </c>
      <c r="LA78" s="326" t="s">
        <v>32</v>
      </c>
      <c r="LB78" s="326" t="s">
        <v>220</v>
      </c>
      <c r="LC78" s="326" t="s">
        <v>157</v>
      </c>
      <c r="LF78" s="11"/>
      <c r="LG78" s="53"/>
      <c r="LH78" s="53"/>
      <c r="LI78" s="53"/>
      <c r="LJ78" s="53"/>
      <c r="LK78" s="53"/>
      <c r="LL78" s="53"/>
      <c r="LM78" s="53"/>
      <c r="LN78" s="53"/>
      <c r="LO78" s="53"/>
      <c r="LP78" s="53"/>
      <c r="LQ78" s="53"/>
      <c r="LR78" s="53"/>
      <c r="LS78" s="53"/>
      <c r="LT78" s="53"/>
      <c r="LU78" s="53"/>
      <c r="LV78" s="53"/>
      <c r="LW78" s="53"/>
      <c r="LX78" s="53"/>
      <c r="LY78" s="53"/>
      <c r="LZ78" s="53"/>
      <c r="MA78" s="53"/>
      <c r="MB78" s="347" t="s">
        <v>20</v>
      </c>
      <c r="MC78" s="347" t="s">
        <v>21</v>
      </c>
      <c r="MD78" s="347" t="s">
        <v>23</v>
      </c>
      <c r="ME78" s="347" t="s">
        <v>219</v>
      </c>
      <c r="MF78" s="347" t="s">
        <v>27</v>
      </c>
      <c r="MG78" s="347" t="s">
        <v>159</v>
      </c>
      <c r="MH78" s="347" t="s">
        <v>29</v>
      </c>
      <c r="MI78" s="347" t="s">
        <v>32</v>
      </c>
      <c r="MJ78" s="347" t="s">
        <v>220</v>
      </c>
      <c r="MK78" s="347" t="s">
        <v>157</v>
      </c>
      <c r="MO78" s="53"/>
      <c r="MP78" s="53"/>
      <c r="MQ78" s="53"/>
      <c r="MR78" s="53"/>
      <c r="MS78" s="53"/>
      <c r="MT78" s="53"/>
      <c r="MU78" s="53"/>
      <c r="MV78" s="53"/>
      <c r="MW78" s="53"/>
      <c r="MX78" s="53"/>
      <c r="MY78" s="53"/>
      <c r="MZ78" s="53"/>
      <c r="NA78" s="53"/>
      <c r="NB78" s="53"/>
      <c r="NC78" s="53"/>
      <c r="ND78" s="53"/>
      <c r="NE78" s="53"/>
      <c r="NF78" s="53"/>
      <c r="NG78" s="53"/>
      <c r="NH78" s="53"/>
      <c r="NI78" s="53"/>
      <c r="NJ78" s="192"/>
      <c r="NK78" s="192"/>
      <c r="NL78" s="192"/>
      <c r="NM78" s="192"/>
      <c r="NN78" s="192"/>
      <c r="NO78" s="192"/>
      <c r="NP78" s="192"/>
      <c r="NQ78" s="192"/>
      <c r="NR78" s="192"/>
      <c r="NS78" s="192"/>
      <c r="NT78" s="192"/>
      <c r="NU78" s="192"/>
      <c r="NV78" s="192"/>
      <c r="NW78" s="192"/>
      <c r="NX78" s="53"/>
      <c r="NY78" s="53"/>
      <c r="NZ78" s="53"/>
      <c r="OA78" s="53"/>
      <c r="OB78" s="53"/>
      <c r="OC78" s="53"/>
      <c r="OD78" s="53"/>
      <c r="OE78" s="53"/>
      <c r="OF78" s="53"/>
      <c r="OG78" s="53"/>
      <c r="OH78" s="53"/>
      <c r="OI78" s="53"/>
      <c r="OJ78" s="53"/>
      <c r="OK78" s="53"/>
      <c r="OL78" s="53"/>
      <c r="OM78" s="53"/>
      <c r="ON78" s="53"/>
      <c r="OO78" s="53"/>
      <c r="OP78" s="53"/>
      <c r="OQ78" s="53"/>
      <c r="OR78" s="53"/>
      <c r="OS78" s="154"/>
      <c r="OT78" s="84"/>
      <c r="OU78" s="154"/>
      <c r="OV78" s="154"/>
      <c r="OW78" s="154"/>
      <c r="OX78" s="154"/>
      <c r="OY78" s="154"/>
      <c r="OZ78" s="155"/>
      <c r="PA78" s="156"/>
      <c r="PB78" s="156"/>
      <c r="PC78" s="156"/>
      <c r="PD78" s="154"/>
      <c r="PE78" s="144"/>
      <c r="PF78" s="144"/>
      <c r="PG78" s="144"/>
      <c r="PH78" s="144"/>
      <c r="PI78" s="144"/>
      <c r="PJ78" s="144"/>
      <c r="PK78" s="144"/>
      <c r="PL78" s="144"/>
      <c r="PM78" s="144"/>
      <c r="PN78" s="144"/>
      <c r="PO78" s="144"/>
      <c r="PP78" s="144"/>
      <c r="PQ78" s="144"/>
      <c r="PR78" s="144"/>
      <c r="PS78" s="144"/>
      <c r="PT78" s="146"/>
      <c r="PU78" s="144"/>
      <c r="PV78" s="144"/>
      <c r="PW78" s="144"/>
      <c r="PX78" s="144"/>
      <c r="PY78" s="144"/>
      <c r="PZ78" s="144"/>
      <c r="QA78" s="144"/>
      <c r="QB78" s="144"/>
      <c r="QC78" s="144"/>
      <c r="QD78" s="144"/>
      <c r="QE78" s="146"/>
      <c r="QF78" s="146"/>
      <c r="QG78" s="146"/>
      <c r="QH78" s="146"/>
      <c r="QI78" s="146"/>
      <c r="QJ78" s="146"/>
      <c r="QK78" s="146"/>
      <c r="QL78" s="146"/>
      <c r="QM78" s="146"/>
      <c r="QN78" s="146"/>
      <c r="QO78" s="146"/>
      <c r="QP78" s="146"/>
      <c r="QQ78" s="146"/>
      <c r="QR78" s="146"/>
      <c r="QS78" s="144"/>
      <c r="QT78" s="144"/>
      <c r="QU78" s="144"/>
      <c r="QV78" s="144"/>
      <c r="QW78" s="144"/>
      <c r="QX78" s="144"/>
      <c r="QY78" s="144"/>
      <c r="QZ78" s="144"/>
      <c r="RA78" s="144"/>
      <c r="RB78" s="144"/>
      <c r="RC78" s="144"/>
      <c r="RD78" s="144"/>
      <c r="RE78" s="144"/>
      <c r="RF78" s="144"/>
      <c r="RG78" s="144"/>
      <c r="RH78" s="144"/>
      <c r="RI78" s="144"/>
      <c r="RJ78" s="144"/>
      <c r="RK78" s="144"/>
      <c r="RL78" s="144"/>
      <c r="RM78" s="144"/>
      <c r="RN78" s="144"/>
      <c r="RO78" s="144"/>
      <c r="RP78" s="144"/>
      <c r="RQ78" s="144"/>
      <c r="RR78" s="144"/>
      <c r="RS78" s="144"/>
      <c r="RT78" s="144"/>
      <c r="RU78" s="144"/>
      <c r="RV78" s="144"/>
      <c r="RW78" s="144"/>
      <c r="RX78" s="144"/>
      <c r="RY78" s="144"/>
      <c r="RZ78" s="144"/>
      <c r="SA78" s="144"/>
      <c r="SB78" s="144"/>
      <c r="SC78" s="144"/>
      <c r="SD78" s="144"/>
      <c r="SE78" s="144"/>
      <c r="SF78" s="144"/>
      <c r="SG78" s="144"/>
      <c r="SH78" s="144"/>
      <c r="SI78" s="144"/>
      <c r="SJ78" s="144"/>
      <c r="SK78" s="144"/>
      <c r="SL78" s="144"/>
      <c r="SM78" s="84"/>
      <c r="SN78" s="84"/>
      <c r="SO78" s="154"/>
      <c r="SP78" s="154"/>
      <c r="SQ78" s="154"/>
      <c r="SR78" s="154"/>
      <c r="SS78" s="154"/>
      <c r="ST78" s="154"/>
      <c r="SU78" s="155"/>
      <c r="SV78" s="154"/>
      <c r="SW78" s="154"/>
      <c r="SX78" s="155"/>
      <c r="SY78" s="155"/>
      <c r="SZ78" s="155"/>
      <c r="TA78" s="155"/>
      <c r="TB78" s="155"/>
      <c r="TC78" s="155"/>
      <c r="TD78" s="155"/>
      <c r="TE78" s="156"/>
      <c r="TF78" s="144"/>
      <c r="TG78" s="84"/>
      <c r="TH78" s="144"/>
      <c r="TI78" s="144"/>
      <c r="TJ78" s="144"/>
      <c r="TK78" s="144"/>
      <c r="TL78" s="157"/>
      <c r="TM78" s="157"/>
      <c r="TN78" s="157"/>
      <c r="TO78" s="157"/>
      <c r="TP78" s="157"/>
      <c r="TQ78" s="157"/>
      <c r="TR78" s="157"/>
      <c r="TS78" s="157"/>
      <c r="TT78" s="157"/>
      <c r="TU78" s="158"/>
      <c r="TV78" s="157"/>
      <c r="TW78" s="158"/>
      <c r="TX78" s="144"/>
      <c r="TY78" s="144"/>
      <c r="TZ78" s="144"/>
      <c r="UA78" s="84"/>
      <c r="UB78" s="144"/>
      <c r="UC78" s="144"/>
      <c r="UD78" s="144"/>
      <c r="UE78" s="144"/>
      <c r="UF78" s="157"/>
      <c r="UG78" s="157"/>
      <c r="UH78" s="157"/>
      <c r="UI78" s="157"/>
      <c r="UJ78" s="157"/>
      <c r="UK78" s="157"/>
      <c r="UL78" s="157"/>
      <c r="UM78" s="157"/>
      <c r="UN78" s="157"/>
      <c r="UO78" s="157"/>
      <c r="UP78" s="157"/>
      <c r="UQ78" s="158"/>
      <c r="UR78" s="157"/>
      <c r="US78" s="158"/>
      <c r="UT78" s="144"/>
      <c r="UU78" s="144"/>
      <c r="UV78" s="144"/>
      <c r="UW78" s="144"/>
      <c r="UX78" s="144"/>
      <c r="UY78" s="144"/>
      <c r="UZ78" s="144"/>
      <c r="VA78" s="144"/>
      <c r="VB78" s="157"/>
      <c r="VC78" s="157"/>
      <c r="VD78" s="157"/>
      <c r="VE78" s="157"/>
      <c r="VF78" s="157"/>
      <c r="VG78" s="157"/>
      <c r="VH78" s="157"/>
      <c r="VI78" s="157"/>
      <c r="VJ78" s="157"/>
      <c r="VK78" s="157"/>
      <c r="VL78" s="157"/>
      <c r="VM78" s="157"/>
      <c r="VN78" s="157"/>
      <c r="VO78" s="157"/>
      <c r="VP78" s="144"/>
      <c r="VQ78" s="144"/>
      <c r="VR78" s="84"/>
      <c r="VS78" s="84"/>
      <c r="VT78" s="53"/>
      <c r="VU78" s="53"/>
    </row>
    <row r="79" ht="15.75" hidden="1" spans="1:1024 1025:16384">
      <c r="A79" s="53"/>
      <c r="B79" s="53"/>
      <c r="C79" s="327" t="s">
        <v>186</v>
      </c>
      <c r="D79" s="327"/>
      <c r="E79" s="327"/>
      <c r="F79" s="327"/>
      <c r="G79" s="161"/>
      <c r="H79" s="161"/>
      <c r="I79" s="161"/>
      <c r="J79" s="161"/>
      <c r="K79" s="179"/>
      <c r="L79" s="328"/>
      <c r="M79" s="162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93"/>
      <c r="AB79" s="293"/>
      <c r="AC79" s="293"/>
      <c r="AD79" s="293"/>
      <c r="AE79" s="293"/>
      <c r="AF79" s="293"/>
      <c r="AG79" s="293"/>
      <c r="AH79" s="293"/>
      <c r="AI79" s="53"/>
      <c r="AJ79" s="327" t="s">
        <v>186</v>
      </c>
      <c r="AK79" s="327"/>
      <c r="AL79" s="327"/>
      <c r="AM79" s="327"/>
      <c r="AN79" s="161"/>
      <c r="AO79" s="161"/>
      <c r="AP79" s="161"/>
      <c r="AQ79" s="161"/>
      <c r="AR79" s="179"/>
      <c r="AS79" s="328"/>
      <c r="AT79" s="162"/>
      <c r="AU79" s="293"/>
      <c r="AV79" s="293"/>
      <c r="AW79" s="293"/>
      <c r="AX79" s="293"/>
      <c r="AY79" s="293"/>
      <c r="AZ79" s="293"/>
      <c r="BA79" s="293"/>
      <c r="BB79" s="293"/>
      <c r="BC79" s="293"/>
      <c r="BD79" s="293"/>
      <c r="BE79" s="293"/>
      <c r="BF79" s="293"/>
      <c r="BG79" s="293"/>
      <c r="BH79" s="293"/>
      <c r="BI79" s="293"/>
      <c r="BJ79" s="293"/>
      <c r="BK79" s="293"/>
      <c r="BL79" s="293"/>
      <c r="BM79" s="293"/>
      <c r="BN79" s="293"/>
      <c r="BO79" s="293"/>
      <c r="BP79" s="53"/>
      <c r="BQ79" s="327" t="s">
        <v>186</v>
      </c>
      <c r="BR79" s="327" t="str">
        <f t="shared" ref="BR79:BT79" si="864">BQ34</f>
        <v>IN05</v>
      </c>
      <c r="BS79" s="327">
        <f t="shared" si="864"/>
        <v>1</v>
      </c>
      <c r="BT79" s="327">
        <f t="shared" si="864"/>
        <v>0</v>
      </c>
      <c r="BU79" s="161">
        <f t="shared" ref="BU79:BX79" si="865">BW34</f>
        <v>0</v>
      </c>
      <c r="BV79" s="161">
        <f t="shared" si="865"/>
        <v>0</v>
      </c>
      <c r="BW79" s="161">
        <f t="shared" si="865"/>
        <v>0</v>
      </c>
      <c r="BX79" s="161">
        <f t="shared" si="865"/>
        <v>0</v>
      </c>
      <c r="BY79" s="179">
        <f>BW79-BX79</f>
        <v>0</v>
      </c>
      <c r="BZ79" s="328" t="e">
        <f>BY79/BW79</f>
        <v>#DIV/0!</v>
      </c>
      <c r="CA79" s="162" t="e">
        <f>BW79/BU79</f>
        <v>#DIV/0!</v>
      </c>
      <c r="CB79" s="293"/>
      <c r="CC79" s="293"/>
      <c r="CD79" s="293"/>
      <c r="CE79" s="293"/>
      <c r="CF79" s="293"/>
      <c r="CG79" s="293"/>
      <c r="CH79" s="293"/>
      <c r="CI79" s="293"/>
      <c r="CJ79" s="293"/>
      <c r="CK79" s="293"/>
      <c r="CL79" s="293"/>
      <c r="CM79" s="293"/>
      <c r="CN79" s="293"/>
      <c r="CO79" s="293"/>
      <c r="CP79" s="293"/>
      <c r="CQ79" s="293"/>
      <c r="CR79" s="293"/>
      <c r="CS79" s="293"/>
      <c r="CT79" s="293"/>
      <c r="CU79" s="293"/>
      <c r="CV79" s="293"/>
      <c r="CW79" s="53"/>
      <c r="CX79" s="327" t="s">
        <v>186</v>
      </c>
      <c r="CY79" s="327" t="str">
        <f t="shared" ref="CY79:DA79" si="866">CX34</f>
        <v>IN05</v>
      </c>
      <c r="CZ79" s="327">
        <f t="shared" si="866"/>
        <v>1</v>
      </c>
      <c r="DA79" s="327">
        <f t="shared" si="866"/>
        <v>0</v>
      </c>
      <c r="DB79" s="161">
        <f t="shared" ref="DB79:DE79" si="867">DD34</f>
        <v>0</v>
      </c>
      <c r="DC79" s="161">
        <f t="shared" si="867"/>
        <v>0</v>
      </c>
      <c r="DD79" s="161">
        <f t="shared" si="867"/>
        <v>0</v>
      </c>
      <c r="DE79" s="161">
        <f t="shared" si="867"/>
        <v>0</v>
      </c>
      <c r="DF79" s="179">
        <f>DD79-DE79</f>
        <v>0</v>
      </c>
      <c r="DG79" s="328" t="e">
        <f>DF79/DD79</f>
        <v>#DIV/0!</v>
      </c>
      <c r="DH79" s="162" t="e">
        <f>DD79/DB79</f>
        <v>#DIV/0!</v>
      </c>
      <c r="DI79" s="293"/>
      <c r="DJ79" s="293"/>
      <c r="DK79" s="293"/>
      <c r="DL79" s="293"/>
      <c r="DM79" s="293"/>
      <c r="DN79" s="293"/>
      <c r="DO79" s="293"/>
      <c r="DP79" s="293"/>
      <c r="DQ79" s="293"/>
      <c r="DR79" s="293"/>
      <c r="DS79" s="293"/>
      <c r="DT79" s="293"/>
      <c r="DU79" s="293"/>
      <c r="DV79" s="293"/>
      <c r="DW79" s="293"/>
      <c r="DX79" s="293"/>
      <c r="DY79" s="293"/>
      <c r="DZ79" s="293"/>
      <c r="EA79" s="293"/>
      <c r="EB79" s="293"/>
      <c r="EC79" s="293"/>
      <c r="ED79" s="53"/>
      <c r="EE79" s="329" t="s">
        <v>186</v>
      </c>
      <c r="EF79" s="329">
        <f t="shared" ref="EF79:EH79" si="868">EF34</f>
        <v>1</v>
      </c>
      <c r="EG79" s="329">
        <f t="shared" si="868"/>
        <v>0</v>
      </c>
      <c r="EH79" s="329">
        <f t="shared" si="868"/>
        <v>3</v>
      </c>
      <c r="EI79" s="330">
        <f t="shared" ref="EI79:EL79" si="869">EK34</f>
        <v>36</v>
      </c>
      <c r="EJ79" s="330">
        <f t="shared" si="869"/>
        <v>6200</v>
      </c>
      <c r="EK79" s="330">
        <f t="shared" si="869"/>
        <v>6300</v>
      </c>
      <c r="EL79" s="330">
        <f t="shared" si="869"/>
        <v>5739</v>
      </c>
      <c r="EM79" s="331">
        <f>EK79-EL79</f>
        <v>561</v>
      </c>
      <c r="EN79" s="332">
        <f>EM79/EK79</f>
        <v>0.089047619047619</v>
      </c>
      <c r="EO79" s="333">
        <f>EK79/EI79</f>
        <v>175</v>
      </c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329" t="s">
        <v>186</v>
      </c>
      <c r="FO79" s="329">
        <f t="shared" ref="FO79:FQ79" si="870">FO34</f>
        <v>1</v>
      </c>
      <c r="FP79" s="329">
        <f t="shared" si="870"/>
        <v>0</v>
      </c>
      <c r="FQ79" s="329">
        <f t="shared" si="870"/>
        <v>3</v>
      </c>
      <c r="FR79" s="330">
        <f t="shared" ref="FR79:FU79" si="871">FT34</f>
        <v>34</v>
      </c>
      <c r="FS79" s="330">
        <f t="shared" si="871"/>
        <v>5600</v>
      </c>
      <c r="FT79" s="330">
        <f t="shared" si="871"/>
        <v>5700</v>
      </c>
      <c r="FU79" s="330">
        <f t="shared" si="871"/>
        <v>2000</v>
      </c>
      <c r="FV79" s="331">
        <f>FT79-FU79</f>
        <v>3700</v>
      </c>
      <c r="FW79" s="332">
        <f>FV79/FT79</f>
        <v>0.649122807017544</v>
      </c>
      <c r="FX79" s="333">
        <f>FT79/FR79</f>
        <v>167.647058823529</v>
      </c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329" t="s">
        <v>186</v>
      </c>
      <c r="GW79" s="329">
        <f t="shared" ref="GW79:GY79" si="872">GW34</f>
        <v>1</v>
      </c>
      <c r="GX79" s="329">
        <f t="shared" si="872"/>
        <v>0</v>
      </c>
      <c r="GY79" s="329">
        <f t="shared" si="872"/>
        <v>12</v>
      </c>
      <c r="GZ79" s="330">
        <f t="shared" ref="GZ79:HC79" si="873">HB34</f>
        <v>86</v>
      </c>
      <c r="HA79" s="330">
        <f t="shared" si="873"/>
        <v>10922.17</v>
      </c>
      <c r="HB79" s="330">
        <f t="shared" si="873"/>
        <v>12822.17</v>
      </c>
      <c r="HC79" s="330">
        <f t="shared" si="873"/>
        <v>5512</v>
      </c>
      <c r="HD79" s="331">
        <f>HB79-HC79</f>
        <v>7310.17</v>
      </c>
      <c r="HE79" s="332">
        <f>HD79/HB79</f>
        <v>0.570119566344854</v>
      </c>
      <c r="HF79" s="333">
        <f>HB79/GZ79</f>
        <v>149.095</v>
      </c>
      <c r="HI79" s="53"/>
      <c r="HJ79" s="53"/>
      <c r="HK79" s="53"/>
      <c r="HL79" s="53"/>
      <c r="HM79" s="53"/>
      <c r="HN79" s="53"/>
      <c r="HO79" s="53"/>
      <c r="HP79" s="53"/>
      <c r="HQ79" s="53"/>
      <c r="HR79" s="53"/>
      <c r="HS79" s="53"/>
      <c r="HT79" s="53"/>
      <c r="HU79" s="53"/>
      <c r="HV79" s="53"/>
      <c r="HW79" s="53"/>
      <c r="HX79" s="53"/>
      <c r="HY79" s="53"/>
      <c r="HZ79" s="53"/>
      <c r="IA79" s="53"/>
      <c r="IB79" s="53"/>
      <c r="IC79" s="53"/>
      <c r="ID79" s="329" t="s">
        <v>186</v>
      </c>
      <c r="IE79" s="329">
        <f>IE34</f>
        <v>1</v>
      </c>
      <c r="IF79" s="329">
        <v>0</v>
      </c>
      <c r="IG79" s="329">
        <f>IG34</f>
        <v>12</v>
      </c>
      <c r="IH79" s="330">
        <f t="shared" ref="IH79:IK79" si="874">IJ34</f>
        <v>62</v>
      </c>
      <c r="II79" s="330">
        <f t="shared" si="874"/>
        <v>7100</v>
      </c>
      <c r="IJ79" s="330">
        <f t="shared" si="874"/>
        <v>10800</v>
      </c>
      <c r="IK79" s="330">
        <f t="shared" si="874"/>
        <v>5100</v>
      </c>
      <c r="IL79" s="331">
        <f>IJ79-IK79</f>
        <v>5700</v>
      </c>
      <c r="IM79" s="332">
        <f>IL79/IJ79</f>
        <v>0.527777777777778</v>
      </c>
      <c r="IN79" s="333">
        <f>IJ79/IH79</f>
        <v>174.193548387097</v>
      </c>
      <c r="IP79" s="11"/>
      <c r="IQ79" s="53"/>
      <c r="IR79" s="53"/>
      <c r="IS79" s="53"/>
      <c r="IT79" s="53"/>
      <c r="IU79" s="53"/>
      <c r="IV79" s="53"/>
      <c r="IW79" s="53"/>
      <c r="IX79" s="53"/>
      <c r="IY79" s="53"/>
      <c r="IZ79" s="53"/>
      <c r="JA79" s="53"/>
      <c r="JB79" s="53"/>
      <c r="JC79" s="53"/>
      <c r="JD79" s="53"/>
      <c r="JE79" s="53"/>
      <c r="JF79" s="53"/>
      <c r="JG79" s="53"/>
      <c r="JH79" s="53"/>
      <c r="JI79" s="53"/>
      <c r="JJ79" s="53"/>
      <c r="JK79" s="53"/>
      <c r="JL79" s="329" t="s">
        <v>186</v>
      </c>
      <c r="JM79" s="329">
        <f>JM34</f>
        <v>1</v>
      </c>
      <c r="JN79" s="329">
        <f>JN34</f>
        <v>8</v>
      </c>
      <c r="JO79" s="329">
        <f t="shared" ref="JO79:JR79" si="875">JR34</f>
        <v>62</v>
      </c>
      <c r="JP79" s="330">
        <f t="shared" si="875"/>
        <v>6400</v>
      </c>
      <c r="JQ79" s="330">
        <f t="shared" si="875"/>
        <v>6400</v>
      </c>
      <c r="JR79" s="330">
        <f t="shared" si="875"/>
        <v>3121</v>
      </c>
      <c r="JS79" s="330">
        <f>JQ79-JR79</f>
        <v>3279</v>
      </c>
      <c r="JT79" s="334">
        <f t="shared" si="850"/>
        <v>0.51234375</v>
      </c>
      <c r="JU79" s="335">
        <f>JQ79/JO79</f>
        <v>103.225806451613</v>
      </c>
      <c r="JX79" s="53"/>
      <c r="JY79" s="53"/>
      <c r="JZ79" s="53"/>
      <c r="KA79" s="53"/>
      <c r="KB79" s="53"/>
      <c r="KC79" s="53"/>
      <c r="KD79" s="53"/>
      <c r="KE79" s="53"/>
      <c r="KF79" s="53"/>
      <c r="KG79" s="53"/>
      <c r="KH79" s="53"/>
      <c r="KI79" s="53"/>
      <c r="KJ79" s="53"/>
      <c r="KK79" s="53"/>
      <c r="KL79" s="53"/>
      <c r="KM79" s="53"/>
      <c r="KN79" s="53"/>
      <c r="KO79" s="53"/>
      <c r="KP79" s="53"/>
      <c r="KQ79" s="53"/>
      <c r="KR79" s="53"/>
      <c r="KS79" s="53"/>
      <c r="KT79" s="329" t="s">
        <v>186</v>
      </c>
      <c r="KU79" s="329">
        <v>1</v>
      </c>
      <c r="KV79" s="329">
        <v>19</v>
      </c>
      <c r="KW79" s="329">
        <v>47</v>
      </c>
      <c r="KX79" s="330">
        <v>36600</v>
      </c>
      <c r="KY79" s="330">
        <v>41400</v>
      </c>
      <c r="KZ79" s="330">
        <v>13644</v>
      </c>
      <c r="LA79" s="330">
        <v>27756</v>
      </c>
      <c r="LB79" s="334">
        <v>0.670434782608696</v>
      </c>
      <c r="LC79" s="335">
        <v>880.851063829787</v>
      </c>
      <c r="LF79" s="11"/>
      <c r="LG79" s="53"/>
      <c r="LH79" s="53"/>
      <c r="LI79" s="53"/>
      <c r="LJ79" s="53"/>
      <c r="LK79" s="53"/>
      <c r="LL79" s="53"/>
      <c r="LM79" s="53"/>
      <c r="LN79" s="53"/>
      <c r="LO79" s="53"/>
      <c r="LP79" s="53"/>
      <c r="LQ79" s="53"/>
      <c r="LR79" s="53"/>
      <c r="LS79" s="53"/>
      <c r="LT79" s="53"/>
      <c r="LU79" s="53"/>
      <c r="LV79" s="53"/>
      <c r="LW79" s="53"/>
      <c r="LX79" s="53"/>
      <c r="LY79" s="53"/>
      <c r="LZ79" s="53"/>
      <c r="MA79" s="53"/>
      <c r="MB79" s="329" t="s">
        <v>186</v>
      </c>
      <c r="MC79" s="329">
        <f>MC34</f>
        <v>1</v>
      </c>
      <c r="MD79" s="329">
        <f>ME34</f>
        <v>11</v>
      </c>
      <c r="ME79" s="329">
        <f t="shared" ref="ME79:MH79" si="876">MH34</f>
        <v>90</v>
      </c>
      <c r="MF79" s="330">
        <f t="shared" si="876"/>
        <v>22000</v>
      </c>
      <c r="MG79" s="330">
        <f t="shared" si="876"/>
        <v>27150</v>
      </c>
      <c r="MH79" s="330">
        <f t="shared" si="876"/>
        <v>18280</v>
      </c>
      <c r="MI79" s="330">
        <f>MG79-MH79</f>
        <v>8870</v>
      </c>
      <c r="MJ79" s="334">
        <f>MI79/MG79</f>
        <v>0.32670349907919</v>
      </c>
      <c r="MK79" s="335">
        <f>MG79/ME79</f>
        <v>301.666666666667</v>
      </c>
      <c r="MO79" s="53"/>
      <c r="MP79" s="53"/>
      <c r="MQ79" s="53"/>
      <c r="MR79" s="53"/>
      <c r="MS79" s="53"/>
      <c r="MT79" s="53"/>
      <c r="MU79" s="53"/>
      <c r="MV79" s="53"/>
      <c r="MW79" s="53"/>
      <c r="MX79" s="53"/>
      <c r="MY79" s="53"/>
      <c r="MZ79" s="53"/>
      <c r="NA79" s="53"/>
      <c r="NB79" s="53"/>
      <c r="NC79" s="53"/>
      <c r="ND79" s="53"/>
      <c r="NE79" s="53"/>
      <c r="NF79" s="53"/>
      <c r="NG79" s="53"/>
      <c r="NH79" s="53"/>
      <c r="NI79" s="53"/>
      <c r="NJ79" s="192"/>
      <c r="NK79" s="192"/>
      <c r="NL79" s="192"/>
      <c r="NM79" s="192"/>
      <c r="NN79" s="192"/>
      <c r="NO79" s="192"/>
      <c r="NP79" s="192"/>
      <c r="NQ79" s="192"/>
      <c r="NR79" s="192"/>
      <c r="NS79" s="192"/>
      <c r="NT79" s="192"/>
      <c r="NU79" s="192"/>
      <c r="NV79" s="192"/>
      <c r="NW79" s="192"/>
      <c r="NX79" s="53"/>
      <c r="NY79" s="53"/>
      <c r="NZ79" s="53"/>
      <c r="OA79" s="53"/>
      <c r="OB79" s="53"/>
      <c r="OC79" s="53"/>
      <c r="OD79" s="53"/>
      <c r="OE79" s="53"/>
      <c r="OF79" s="53"/>
      <c r="OG79" s="53"/>
      <c r="OH79" s="53"/>
      <c r="OI79" s="53"/>
      <c r="OJ79" s="53"/>
      <c r="OK79" s="53"/>
      <c r="OL79" s="53"/>
      <c r="OM79" s="53"/>
      <c r="ON79" s="53"/>
      <c r="OO79" s="53"/>
      <c r="OP79" s="53"/>
      <c r="OQ79" s="53"/>
      <c r="OR79" s="53"/>
      <c r="OS79" s="154"/>
      <c r="OT79" s="84"/>
      <c r="OU79" s="154"/>
      <c r="OV79" s="154"/>
      <c r="OW79" s="154"/>
      <c r="OX79" s="154"/>
      <c r="OY79" s="154"/>
      <c r="OZ79" s="155"/>
      <c r="PA79" s="156"/>
      <c r="PB79" s="156"/>
      <c r="PC79" s="156"/>
      <c r="PD79" s="154"/>
      <c r="PE79" s="144"/>
      <c r="PF79" s="144"/>
      <c r="PG79" s="144"/>
      <c r="PH79" s="144"/>
      <c r="PI79" s="144"/>
      <c r="PJ79" s="144"/>
      <c r="PK79" s="144"/>
      <c r="PL79" s="144"/>
      <c r="PM79" s="144"/>
      <c r="PN79" s="144"/>
      <c r="PO79" s="144"/>
      <c r="PP79" s="144"/>
      <c r="PQ79" s="144"/>
      <c r="PR79" s="144"/>
      <c r="PS79" s="144"/>
      <c r="PT79" s="146"/>
      <c r="PU79" s="144"/>
      <c r="PV79" s="144"/>
      <c r="PW79" s="144"/>
      <c r="PX79" s="144"/>
      <c r="PY79" s="144"/>
      <c r="PZ79" s="144"/>
      <c r="QA79" s="144"/>
      <c r="QB79" s="144"/>
      <c r="QC79" s="144"/>
      <c r="QD79" s="144"/>
      <c r="QE79" s="146"/>
      <c r="QF79" s="146"/>
      <c r="QG79" s="146"/>
      <c r="QH79" s="146"/>
      <c r="QI79" s="146"/>
      <c r="QJ79" s="146"/>
      <c r="QK79" s="146"/>
      <c r="QL79" s="146"/>
      <c r="QM79" s="146"/>
      <c r="QN79" s="146"/>
      <c r="QO79" s="146"/>
      <c r="QP79" s="146"/>
      <c r="QQ79" s="146"/>
      <c r="QR79" s="146"/>
      <c r="QS79" s="144"/>
      <c r="QT79" s="144"/>
      <c r="QU79" s="144"/>
      <c r="QV79" s="144"/>
      <c r="QW79" s="144"/>
      <c r="QX79" s="144"/>
      <c r="QY79" s="144"/>
      <c r="QZ79" s="144"/>
      <c r="RA79" s="144"/>
      <c r="RB79" s="144"/>
      <c r="RC79" s="144"/>
      <c r="RD79" s="144"/>
      <c r="RE79" s="144"/>
      <c r="RF79" s="144"/>
      <c r="RG79" s="144"/>
      <c r="RH79" s="144"/>
      <c r="RI79" s="144"/>
      <c r="RJ79" s="144"/>
      <c r="RK79" s="144"/>
      <c r="RL79" s="144"/>
      <c r="RM79" s="144"/>
      <c r="RN79" s="144"/>
      <c r="RO79" s="144"/>
      <c r="RP79" s="144"/>
      <c r="RQ79" s="144"/>
      <c r="RR79" s="144"/>
      <c r="RS79" s="144"/>
      <c r="RT79" s="144"/>
      <c r="RU79" s="144"/>
      <c r="RV79" s="144"/>
      <c r="RW79" s="144"/>
      <c r="RX79" s="144"/>
      <c r="RY79" s="144"/>
      <c r="RZ79" s="144"/>
      <c r="SA79" s="144"/>
      <c r="SB79" s="144"/>
      <c r="SC79" s="144"/>
      <c r="SD79" s="144"/>
      <c r="SE79" s="144"/>
      <c r="SF79" s="144"/>
      <c r="SG79" s="144"/>
      <c r="SH79" s="144"/>
      <c r="SI79" s="144"/>
      <c r="SJ79" s="144"/>
      <c r="SK79" s="144"/>
      <c r="SL79" s="144"/>
      <c r="SM79" s="84"/>
      <c r="SN79" s="84"/>
      <c r="SO79" s="154"/>
      <c r="SP79" s="154"/>
      <c r="SQ79" s="154"/>
      <c r="SR79" s="154"/>
      <c r="SS79" s="154"/>
      <c r="ST79" s="154"/>
      <c r="SU79" s="155"/>
      <c r="SV79" s="154"/>
      <c r="SW79" s="154"/>
      <c r="SX79" s="155"/>
      <c r="SY79" s="155"/>
      <c r="SZ79" s="155"/>
      <c r="TA79" s="155"/>
      <c r="TB79" s="155"/>
      <c r="TC79" s="155"/>
      <c r="TD79" s="155"/>
      <c r="TE79" s="156"/>
      <c r="TF79" s="144"/>
      <c r="TG79" s="84"/>
      <c r="TH79" s="144"/>
      <c r="TI79" s="144"/>
      <c r="TJ79" s="144"/>
      <c r="TK79" s="144"/>
      <c r="TL79" s="157"/>
      <c r="TM79" s="157"/>
      <c r="TN79" s="157"/>
      <c r="TO79" s="157"/>
      <c r="TP79" s="157"/>
      <c r="TQ79" s="157"/>
      <c r="TR79" s="157"/>
      <c r="TS79" s="157"/>
      <c r="TT79" s="157"/>
      <c r="TU79" s="158"/>
      <c r="TV79" s="157"/>
      <c r="TW79" s="158"/>
      <c r="TX79" s="144"/>
      <c r="TY79" s="144"/>
      <c r="TZ79" s="144"/>
      <c r="UA79" s="84"/>
      <c r="UB79" s="144"/>
      <c r="UC79" s="144"/>
      <c r="UD79" s="144"/>
      <c r="UE79" s="144"/>
      <c r="UF79" s="157"/>
      <c r="UG79" s="157"/>
      <c r="UH79" s="157"/>
      <c r="UI79" s="157"/>
      <c r="UJ79" s="157"/>
      <c r="UK79" s="157"/>
      <c r="UL79" s="157"/>
      <c r="UM79" s="157"/>
      <c r="UN79" s="157"/>
      <c r="UO79" s="157"/>
      <c r="UP79" s="157"/>
      <c r="UQ79" s="158"/>
      <c r="UR79" s="157"/>
      <c r="US79" s="158"/>
      <c r="UT79" s="144"/>
      <c r="UU79" s="144"/>
      <c r="UV79" s="144"/>
      <c r="UW79" s="144"/>
      <c r="UX79" s="144"/>
      <c r="UY79" s="144"/>
      <c r="UZ79" s="144"/>
      <c r="VA79" s="144"/>
      <c r="VB79" s="157"/>
      <c r="VC79" s="157"/>
      <c r="VD79" s="157"/>
      <c r="VE79" s="157"/>
      <c r="VF79" s="157"/>
      <c r="VG79" s="157"/>
      <c r="VH79" s="157"/>
      <c r="VI79" s="157"/>
      <c r="VJ79" s="157"/>
      <c r="VK79" s="157"/>
      <c r="VL79" s="157"/>
      <c r="VM79" s="157"/>
      <c r="VN79" s="157"/>
      <c r="VO79" s="157"/>
      <c r="VP79" s="144"/>
      <c r="VQ79" s="144"/>
      <c r="VR79" s="84"/>
      <c r="VS79" s="84"/>
      <c r="VT79" s="53"/>
      <c r="VU79" s="53"/>
    </row>
    <row r="80" ht="15.75" hidden="1" spans="1:1024 1025:16384">
      <c r="A80" s="53"/>
      <c r="B80" s="53"/>
      <c r="C80" s="236" t="s">
        <v>153</v>
      </c>
      <c r="D80" s="236">
        <f t="shared" ref="D80:M80" si="877">SUM(D79)</f>
        <v>0</v>
      </c>
      <c r="E80" s="236">
        <f t="shared" si="877"/>
        <v>0</v>
      </c>
      <c r="F80" s="236">
        <f t="shared" si="877"/>
        <v>0</v>
      </c>
      <c r="G80" s="236">
        <f t="shared" si="877"/>
        <v>0</v>
      </c>
      <c r="H80" s="236">
        <f t="shared" si="877"/>
        <v>0</v>
      </c>
      <c r="I80" s="236">
        <f t="shared" si="877"/>
        <v>0</v>
      </c>
      <c r="J80" s="236">
        <f t="shared" si="877"/>
        <v>0</v>
      </c>
      <c r="K80" s="236">
        <f t="shared" si="877"/>
        <v>0</v>
      </c>
      <c r="L80" s="240">
        <f t="shared" si="877"/>
        <v>0</v>
      </c>
      <c r="M80" s="236">
        <f t="shared" si="877"/>
        <v>0</v>
      </c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  <c r="AD80" s="293"/>
      <c r="AE80" s="293"/>
      <c r="AF80" s="293"/>
      <c r="AG80" s="293"/>
      <c r="AH80" s="293"/>
      <c r="AI80" s="53"/>
      <c r="AJ80" s="236" t="s">
        <v>153</v>
      </c>
      <c r="AK80" s="236">
        <f t="shared" ref="AK80:AT80" si="878">SUM(AK79)</f>
        <v>0</v>
      </c>
      <c r="AL80" s="236">
        <f t="shared" si="878"/>
        <v>0</v>
      </c>
      <c r="AM80" s="236">
        <f t="shared" si="878"/>
        <v>0</v>
      </c>
      <c r="AN80" s="236">
        <f t="shared" si="878"/>
        <v>0</v>
      </c>
      <c r="AO80" s="236">
        <f t="shared" si="878"/>
        <v>0</v>
      </c>
      <c r="AP80" s="236">
        <f t="shared" si="878"/>
        <v>0</v>
      </c>
      <c r="AQ80" s="236">
        <f t="shared" si="878"/>
        <v>0</v>
      </c>
      <c r="AR80" s="236">
        <f t="shared" si="878"/>
        <v>0</v>
      </c>
      <c r="AS80" s="240">
        <f t="shared" si="878"/>
        <v>0</v>
      </c>
      <c r="AT80" s="236">
        <f t="shared" si="878"/>
        <v>0</v>
      </c>
      <c r="AU80" s="293"/>
      <c r="AV80" s="293"/>
      <c r="AW80" s="293"/>
      <c r="AX80" s="293"/>
      <c r="AY80" s="293"/>
      <c r="AZ80" s="293"/>
      <c r="BA80" s="293"/>
      <c r="BB80" s="293"/>
      <c r="BC80" s="293"/>
      <c r="BD80" s="293"/>
      <c r="BE80" s="293"/>
      <c r="BF80" s="293"/>
      <c r="BG80" s="293"/>
      <c r="BH80" s="293"/>
      <c r="BI80" s="293"/>
      <c r="BJ80" s="293"/>
      <c r="BK80" s="293"/>
      <c r="BL80" s="293"/>
      <c r="BM80" s="293"/>
      <c r="BN80" s="293"/>
      <c r="BO80" s="293"/>
      <c r="BP80" s="53"/>
      <c r="BQ80" s="236" t="s">
        <v>153</v>
      </c>
      <c r="BR80" s="236">
        <f t="shared" ref="BR80:CA80" si="879">SUM(BR79)</f>
        <v>0</v>
      </c>
      <c r="BS80" s="236">
        <f t="shared" si="879"/>
        <v>1</v>
      </c>
      <c r="BT80" s="236">
        <f t="shared" si="879"/>
        <v>0</v>
      </c>
      <c r="BU80" s="236">
        <f t="shared" si="879"/>
        <v>0</v>
      </c>
      <c r="BV80" s="236">
        <f t="shared" si="879"/>
        <v>0</v>
      </c>
      <c r="BW80" s="236">
        <f t="shared" si="879"/>
        <v>0</v>
      </c>
      <c r="BX80" s="236">
        <f t="shared" si="879"/>
        <v>0</v>
      </c>
      <c r="BY80" s="236">
        <f t="shared" si="879"/>
        <v>0</v>
      </c>
      <c r="BZ80" s="240" t="e">
        <f t="shared" si="879"/>
        <v>#DIV/0!</v>
      </c>
      <c r="CA80" s="236" t="e">
        <f t="shared" si="879"/>
        <v>#DIV/0!</v>
      </c>
      <c r="CB80" s="293"/>
      <c r="CC80" s="293"/>
      <c r="CD80" s="293"/>
      <c r="CE80" s="293"/>
      <c r="CF80" s="293"/>
      <c r="CG80" s="293"/>
      <c r="CH80" s="293"/>
      <c r="CI80" s="293"/>
      <c r="CJ80" s="293"/>
      <c r="CK80" s="293"/>
      <c r="CL80" s="293"/>
      <c r="CM80" s="293"/>
      <c r="CN80" s="293"/>
      <c r="CO80" s="293"/>
      <c r="CP80" s="293"/>
      <c r="CQ80" s="293"/>
      <c r="CR80" s="293"/>
      <c r="CS80" s="293"/>
      <c r="CT80" s="293"/>
      <c r="CU80" s="293"/>
      <c r="CV80" s="293"/>
      <c r="CW80" s="53"/>
      <c r="CX80" s="236" t="s">
        <v>153</v>
      </c>
      <c r="CY80" s="236">
        <f t="shared" ref="CY80:DH80" si="880">SUM(CY79)</f>
        <v>0</v>
      </c>
      <c r="CZ80" s="236">
        <f t="shared" si="880"/>
        <v>1</v>
      </c>
      <c r="DA80" s="236">
        <f t="shared" si="880"/>
        <v>0</v>
      </c>
      <c r="DB80" s="236">
        <f t="shared" si="880"/>
        <v>0</v>
      </c>
      <c r="DC80" s="236">
        <f t="shared" si="880"/>
        <v>0</v>
      </c>
      <c r="DD80" s="236">
        <f t="shared" si="880"/>
        <v>0</v>
      </c>
      <c r="DE80" s="236">
        <f t="shared" si="880"/>
        <v>0</v>
      </c>
      <c r="DF80" s="236">
        <f t="shared" si="880"/>
        <v>0</v>
      </c>
      <c r="DG80" s="240" t="e">
        <f t="shared" si="880"/>
        <v>#DIV/0!</v>
      </c>
      <c r="DH80" s="236" t="e">
        <f t="shared" si="880"/>
        <v>#DIV/0!</v>
      </c>
      <c r="DI80" s="293"/>
      <c r="DJ80" s="293"/>
      <c r="DK80" s="293"/>
      <c r="DL80" s="293"/>
      <c r="DM80" s="293"/>
      <c r="DN80" s="293"/>
      <c r="DO80" s="293"/>
      <c r="DP80" s="293"/>
      <c r="DQ80" s="293"/>
      <c r="DR80" s="293"/>
      <c r="DS80" s="293"/>
      <c r="DT80" s="293"/>
      <c r="DU80" s="293"/>
      <c r="DV80" s="293"/>
      <c r="DW80" s="293"/>
      <c r="DX80" s="293"/>
      <c r="DY80" s="293"/>
      <c r="DZ80" s="293"/>
      <c r="EA80" s="293"/>
      <c r="EB80" s="293"/>
      <c r="EC80" s="293"/>
      <c r="ED80" s="53"/>
      <c r="EE80" s="341" t="s">
        <v>153</v>
      </c>
      <c r="EF80" s="343">
        <f>SUM(EF79)</f>
        <v>1</v>
      </c>
      <c r="EG80" s="343">
        <f>SUM(EG79)</f>
        <v>0</v>
      </c>
      <c r="EH80" s="343">
        <f>SUM(EH79)</f>
        <v>3</v>
      </c>
      <c r="EI80" s="343">
        <f t="shared" ref="EI80:EO80" si="881">SUM(EI79)</f>
        <v>36</v>
      </c>
      <c r="EJ80" s="343">
        <f t="shared" si="881"/>
        <v>6200</v>
      </c>
      <c r="EK80" s="343">
        <f t="shared" si="881"/>
        <v>6300</v>
      </c>
      <c r="EL80" s="343">
        <f t="shared" si="881"/>
        <v>5739</v>
      </c>
      <c r="EM80" s="343">
        <f t="shared" si="881"/>
        <v>561</v>
      </c>
      <c r="EN80" s="345">
        <f t="shared" si="881"/>
        <v>0.089047619047619</v>
      </c>
      <c r="EO80" s="343">
        <f t="shared" si="881"/>
        <v>175</v>
      </c>
      <c r="EP80" s="53"/>
      <c r="EQ80" s="53"/>
      <c r="ER80" s="53"/>
      <c r="ES80" s="53"/>
      <c r="ET80" s="53"/>
      <c r="EU80" s="53"/>
      <c r="EV80" s="53"/>
      <c r="EW80" s="53"/>
      <c r="EX80" s="53"/>
      <c r="EY80" s="53"/>
      <c r="EZ80" s="53"/>
      <c r="FA80" s="53"/>
      <c r="FB80" s="53"/>
      <c r="FC80" s="53"/>
      <c r="FD80" s="53"/>
      <c r="FE80" s="53"/>
      <c r="FF80" s="53"/>
      <c r="FG80" s="53"/>
      <c r="FH80" s="53"/>
      <c r="FI80" s="53"/>
      <c r="FJ80" s="53"/>
      <c r="FK80" s="53"/>
      <c r="FL80" s="53"/>
      <c r="FM80" s="53"/>
      <c r="FN80" s="341" t="s">
        <v>153</v>
      </c>
      <c r="FO80" s="342">
        <f>SUM(FO79)</f>
        <v>1</v>
      </c>
      <c r="FP80" s="342">
        <f>SUM(FP79)</f>
        <v>0</v>
      </c>
      <c r="FQ80" s="342">
        <f>SUM(FQ79)</f>
        <v>3</v>
      </c>
      <c r="FR80" s="343">
        <f t="shared" ref="FR80:FX80" si="882">SUM(FR79)</f>
        <v>34</v>
      </c>
      <c r="FS80" s="343">
        <f t="shared" si="882"/>
        <v>5600</v>
      </c>
      <c r="FT80" s="343">
        <f t="shared" si="882"/>
        <v>5700</v>
      </c>
      <c r="FU80" s="343">
        <f t="shared" si="882"/>
        <v>2000</v>
      </c>
      <c r="FV80" s="344">
        <f t="shared" si="882"/>
        <v>3700</v>
      </c>
      <c r="FW80" s="345">
        <f t="shared" si="882"/>
        <v>0.649122807017544</v>
      </c>
      <c r="FX80" s="343">
        <f t="shared" si="882"/>
        <v>167.647058823529</v>
      </c>
      <c r="FY80" s="53"/>
      <c r="FZ80" s="53"/>
      <c r="GA80" s="53"/>
      <c r="GB80" s="53"/>
      <c r="GC80" s="53"/>
      <c r="GD80" s="53"/>
      <c r="GE80" s="53"/>
      <c r="GF80" s="53"/>
      <c r="GG80" s="53"/>
      <c r="GH80" s="53"/>
      <c r="GI80" s="53"/>
      <c r="GJ80" s="53"/>
      <c r="GK80" s="53"/>
      <c r="GL80" s="53"/>
      <c r="GM80" s="53"/>
      <c r="GN80" s="53"/>
      <c r="GO80" s="53"/>
      <c r="GP80" s="53"/>
      <c r="GQ80" s="53"/>
      <c r="GR80" s="53"/>
      <c r="GS80" s="53"/>
      <c r="GT80" s="53"/>
      <c r="GU80" s="53"/>
      <c r="GV80" s="343" t="s">
        <v>153</v>
      </c>
      <c r="GW80" s="343">
        <f>SUM(GW79)</f>
        <v>1</v>
      </c>
      <c r="GX80" s="343">
        <f>SUM(GX79)</f>
        <v>0</v>
      </c>
      <c r="GY80" s="343">
        <f>SUM(GY79)</f>
        <v>12</v>
      </c>
      <c r="GZ80" s="343">
        <f t="shared" ref="GZ80:HF80" si="883">SUM(GZ79)</f>
        <v>86</v>
      </c>
      <c r="HA80" s="343">
        <f t="shared" si="883"/>
        <v>10922.17</v>
      </c>
      <c r="HB80" s="343">
        <f t="shared" si="883"/>
        <v>12822.17</v>
      </c>
      <c r="HC80" s="343">
        <f t="shared" si="883"/>
        <v>5512</v>
      </c>
      <c r="HD80" s="343">
        <f t="shared" si="883"/>
        <v>7310.17</v>
      </c>
      <c r="HE80" s="343">
        <f t="shared" si="883"/>
        <v>0.570119566344854</v>
      </c>
      <c r="HF80" s="343">
        <f t="shared" si="883"/>
        <v>149.095</v>
      </c>
      <c r="HI80" s="53"/>
      <c r="HJ80" s="53"/>
      <c r="HK80" s="53"/>
      <c r="HL80" s="53"/>
      <c r="HM80" s="53"/>
      <c r="HN80" s="53"/>
      <c r="HO80" s="53"/>
      <c r="HP80" s="53"/>
      <c r="HQ80" s="53"/>
      <c r="HR80" s="53"/>
      <c r="HS80" s="53"/>
      <c r="HT80" s="53"/>
      <c r="HU80" s="53"/>
      <c r="HV80" s="53"/>
      <c r="HW80" s="53"/>
      <c r="HX80" s="53"/>
      <c r="HY80" s="53"/>
      <c r="HZ80" s="53"/>
      <c r="IA80" s="53"/>
      <c r="IB80" s="53"/>
      <c r="IC80" s="53"/>
      <c r="ID80" s="343" t="s">
        <v>153</v>
      </c>
      <c r="IE80" s="343">
        <f>SUM(IE79)</f>
        <v>1</v>
      </c>
      <c r="IF80" s="343">
        <f>SUM(IF79)</f>
        <v>0</v>
      </c>
      <c r="IG80" s="343">
        <f>SUM(IG79)</f>
        <v>12</v>
      </c>
      <c r="IH80" s="343">
        <f t="shared" ref="IH80:IN80" si="884">SUM(IH79)</f>
        <v>62</v>
      </c>
      <c r="II80" s="343">
        <f t="shared" si="884"/>
        <v>7100</v>
      </c>
      <c r="IJ80" s="343">
        <f t="shared" si="884"/>
        <v>10800</v>
      </c>
      <c r="IK80" s="343">
        <f t="shared" si="884"/>
        <v>5100</v>
      </c>
      <c r="IL80" s="343">
        <f t="shared" si="884"/>
        <v>5700</v>
      </c>
      <c r="IM80" s="343">
        <f t="shared" si="884"/>
        <v>0.527777777777778</v>
      </c>
      <c r="IN80" s="343">
        <f t="shared" si="884"/>
        <v>174.193548387097</v>
      </c>
      <c r="IP80" s="11"/>
      <c r="IQ80" s="53"/>
      <c r="IR80" s="53"/>
      <c r="IS80" s="53"/>
      <c r="IT80" s="53"/>
      <c r="IU80" s="53"/>
      <c r="IV80" s="53"/>
      <c r="IW80" s="53"/>
      <c r="IX80" s="53"/>
      <c r="IY80" s="53"/>
      <c r="IZ80" s="53"/>
      <c r="JA80" s="53"/>
      <c r="JB80" s="53"/>
      <c r="JC80" s="53"/>
      <c r="JD80" s="53"/>
      <c r="JE80" s="53"/>
      <c r="JF80" s="53"/>
      <c r="JG80" s="53"/>
      <c r="JH80" s="53"/>
      <c r="JI80" s="53"/>
      <c r="JJ80" s="53"/>
      <c r="JK80" s="53"/>
      <c r="JL80" s="343" t="s">
        <v>153</v>
      </c>
      <c r="JM80" s="343">
        <f>SUM(JM79)</f>
        <v>1</v>
      </c>
      <c r="JN80" s="343">
        <f>SUM(JN79)</f>
        <v>8</v>
      </c>
      <c r="JO80" s="343">
        <f t="shared" ref="JO80:JU80" si="885">SUM(JO79)</f>
        <v>62</v>
      </c>
      <c r="JP80" s="343">
        <f t="shared" si="885"/>
        <v>6400</v>
      </c>
      <c r="JQ80" s="343">
        <f t="shared" si="885"/>
        <v>6400</v>
      </c>
      <c r="JR80" s="343">
        <f t="shared" si="885"/>
        <v>3121</v>
      </c>
      <c r="JS80" s="343">
        <f t="shared" si="885"/>
        <v>3279</v>
      </c>
      <c r="JT80" s="346">
        <f t="shared" si="850"/>
        <v>0.51234375</v>
      </c>
      <c r="JU80" s="343">
        <f t="shared" si="885"/>
        <v>103.225806451613</v>
      </c>
      <c r="JV80" s="192"/>
      <c r="JW80" s="192"/>
      <c r="JX80" s="53"/>
      <c r="JY80" s="53"/>
      <c r="JZ80" s="53"/>
      <c r="KA80" s="53"/>
      <c r="KB80" s="53"/>
      <c r="KC80" s="53"/>
      <c r="KD80" s="53"/>
      <c r="KE80" s="53"/>
      <c r="KF80" s="53"/>
      <c r="KG80" s="53"/>
      <c r="KH80" s="53"/>
      <c r="KI80" s="53"/>
      <c r="KJ80" s="53"/>
      <c r="KK80" s="53"/>
      <c r="KL80" s="53"/>
      <c r="KM80" s="53"/>
      <c r="KN80" s="53"/>
      <c r="KO80" s="53"/>
      <c r="KP80" s="53"/>
      <c r="KQ80" s="53"/>
      <c r="KR80" s="53"/>
      <c r="KS80" s="53"/>
      <c r="KT80" s="343" t="s">
        <v>153</v>
      </c>
      <c r="KU80" s="343">
        <v>1</v>
      </c>
      <c r="KV80" s="343">
        <v>19</v>
      </c>
      <c r="KW80" s="343">
        <v>47</v>
      </c>
      <c r="KX80" s="343">
        <v>36600</v>
      </c>
      <c r="KY80" s="343">
        <v>41400</v>
      </c>
      <c r="KZ80" s="343">
        <v>13644</v>
      </c>
      <c r="LA80" s="343">
        <v>27756</v>
      </c>
      <c r="LB80" s="346">
        <v>0.670434782608696</v>
      </c>
      <c r="LC80" s="343">
        <v>880.851063829787</v>
      </c>
      <c r="LD80" s="11"/>
      <c r="LE80" s="11"/>
      <c r="LF80" s="11"/>
      <c r="LG80" s="53"/>
      <c r="LH80" s="53"/>
      <c r="LI80" s="53"/>
      <c r="LJ80" s="53"/>
      <c r="LK80" s="53"/>
      <c r="LL80" s="53"/>
      <c r="LM80" s="53"/>
      <c r="LN80" s="53"/>
      <c r="LO80" s="53"/>
      <c r="LP80" s="53"/>
      <c r="LQ80" s="53"/>
      <c r="LR80" s="53"/>
      <c r="LS80" s="53"/>
      <c r="LT80" s="53"/>
      <c r="LU80" s="53"/>
      <c r="LV80" s="53"/>
      <c r="LW80" s="53"/>
      <c r="LX80" s="53"/>
      <c r="LY80" s="53"/>
      <c r="LZ80" s="53"/>
      <c r="MA80" s="53"/>
      <c r="MB80" s="343" t="s">
        <v>153</v>
      </c>
      <c r="MC80" s="343">
        <f>SUM(MC79)</f>
        <v>1</v>
      </c>
      <c r="MD80" s="343">
        <f>SUM(MD79)</f>
        <v>11</v>
      </c>
      <c r="ME80" s="343">
        <f t="shared" ref="ME80:MK80" si="886">SUM(ME79)</f>
        <v>90</v>
      </c>
      <c r="MF80" s="343">
        <f t="shared" si="886"/>
        <v>22000</v>
      </c>
      <c r="MG80" s="343">
        <f t="shared" si="886"/>
        <v>27150</v>
      </c>
      <c r="MH80" s="343">
        <f t="shared" si="886"/>
        <v>18280</v>
      </c>
      <c r="MI80" s="343">
        <f t="shared" si="886"/>
        <v>8870</v>
      </c>
      <c r="MJ80" s="346">
        <f t="shared" si="886"/>
        <v>0.32670349907919</v>
      </c>
      <c r="MK80" s="343">
        <f t="shared" si="886"/>
        <v>301.666666666667</v>
      </c>
      <c r="MO80" s="53"/>
      <c r="MP80" s="53"/>
      <c r="MQ80" s="53"/>
      <c r="MR80" s="53"/>
      <c r="MS80" s="53"/>
      <c r="MT80" s="53"/>
      <c r="MU80" s="53"/>
      <c r="MV80" s="53"/>
      <c r="MW80" s="53"/>
      <c r="MX80" s="53"/>
      <c r="MY80" s="53"/>
      <c r="MZ80" s="53"/>
      <c r="NA80" s="53"/>
      <c r="NB80" s="53"/>
      <c r="NC80" s="53"/>
      <c r="ND80" s="53"/>
      <c r="NE80" s="53"/>
      <c r="NF80" s="53"/>
      <c r="NG80" s="53"/>
      <c r="NH80" s="53"/>
      <c r="NI80" s="53"/>
      <c r="NJ80" s="192"/>
      <c r="NK80" s="192"/>
      <c r="NL80" s="192"/>
      <c r="NM80" s="192"/>
      <c r="NN80" s="192"/>
      <c r="NO80" s="192"/>
      <c r="NP80" s="192"/>
      <c r="NQ80" s="192"/>
      <c r="NR80" s="192"/>
      <c r="NS80" s="192"/>
      <c r="NT80" s="192"/>
      <c r="NU80" s="192"/>
      <c r="NV80" s="192"/>
      <c r="NW80" s="192"/>
      <c r="NX80" s="53"/>
      <c r="NY80" s="53"/>
      <c r="NZ80" s="53"/>
      <c r="OA80" s="53"/>
      <c r="OB80" s="53"/>
      <c r="OC80" s="53"/>
      <c r="OD80" s="53"/>
      <c r="OE80" s="53"/>
      <c r="OF80" s="53"/>
      <c r="OG80" s="53"/>
      <c r="OH80" s="53"/>
      <c r="OI80" s="53"/>
      <c r="OJ80" s="53"/>
      <c r="OK80" s="53"/>
      <c r="OL80" s="53"/>
      <c r="OM80" s="53"/>
      <c r="ON80" s="53"/>
      <c r="OO80" s="53"/>
      <c r="OP80" s="53"/>
      <c r="OQ80" s="53"/>
      <c r="OR80" s="53"/>
      <c r="OS80" s="154"/>
      <c r="OT80" s="84"/>
      <c r="OU80" s="154"/>
      <c r="OV80" s="154"/>
      <c r="OW80" s="154"/>
      <c r="OX80" s="154"/>
      <c r="OY80" s="154"/>
      <c r="OZ80" s="155"/>
      <c r="PA80" s="156"/>
      <c r="PB80" s="156"/>
      <c r="PC80" s="156"/>
      <c r="PD80" s="156"/>
      <c r="PE80" s="144"/>
      <c r="PF80" s="144"/>
      <c r="PG80" s="144"/>
      <c r="PH80" s="144"/>
      <c r="PI80" s="144"/>
      <c r="PJ80" s="144"/>
      <c r="PK80" s="144"/>
      <c r="PL80" s="144"/>
      <c r="PM80" s="144"/>
      <c r="PN80" s="144"/>
      <c r="PO80" s="144"/>
      <c r="PP80" s="144"/>
      <c r="PQ80" s="144"/>
      <c r="PR80" s="144"/>
      <c r="PS80" s="144"/>
      <c r="PT80" s="146"/>
      <c r="PU80" s="144"/>
      <c r="PV80" s="144"/>
      <c r="PW80" s="144"/>
      <c r="PX80" s="144"/>
      <c r="PY80" s="144"/>
      <c r="PZ80" s="144"/>
      <c r="QA80" s="144"/>
      <c r="QB80" s="144"/>
      <c r="QC80" s="144"/>
      <c r="QD80" s="144"/>
      <c r="QE80" s="146"/>
      <c r="QF80" s="146"/>
      <c r="QG80" s="146"/>
      <c r="QH80" s="146"/>
      <c r="QI80" s="146"/>
      <c r="QJ80" s="146"/>
      <c r="QK80" s="146"/>
      <c r="QL80" s="146"/>
      <c r="QM80" s="146"/>
      <c r="QN80" s="146"/>
      <c r="QO80" s="146"/>
      <c r="QP80" s="146"/>
      <c r="QQ80" s="146"/>
      <c r="QR80" s="146"/>
      <c r="QS80" s="144"/>
      <c r="QT80" s="144"/>
      <c r="QU80" s="144"/>
      <c r="QV80" s="144"/>
      <c r="QW80" s="144"/>
      <c r="QX80" s="144"/>
      <c r="QY80" s="144"/>
      <c r="QZ80" s="144"/>
      <c r="RA80" s="144"/>
      <c r="RB80" s="144"/>
      <c r="RC80" s="144"/>
      <c r="RD80" s="144"/>
      <c r="RE80" s="144"/>
      <c r="RF80" s="144"/>
      <c r="RG80" s="144"/>
      <c r="RH80" s="144"/>
      <c r="RI80" s="144"/>
      <c r="RJ80" s="144"/>
      <c r="RK80" s="144"/>
      <c r="RL80" s="144"/>
      <c r="RM80" s="144"/>
      <c r="RN80" s="144"/>
      <c r="RO80" s="144"/>
      <c r="RP80" s="144"/>
      <c r="RQ80" s="144"/>
      <c r="RR80" s="144"/>
      <c r="RS80" s="144"/>
      <c r="RT80" s="144"/>
      <c r="RU80" s="144"/>
      <c r="RV80" s="144"/>
      <c r="RW80" s="144"/>
      <c r="RX80" s="144"/>
      <c r="RY80" s="144"/>
      <c r="RZ80" s="144"/>
      <c r="SA80" s="144"/>
      <c r="SB80" s="144"/>
      <c r="SC80" s="144"/>
      <c r="SD80" s="144"/>
      <c r="SE80" s="144"/>
      <c r="SF80" s="144"/>
      <c r="SG80" s="144"/>
      <c r="SH80" s="144"/>
      <c r="SI80" s="144"/>
      <c r="SJ80" s="144"/>
      <c r="SK80" s="144"/>
      <c r="SL80" s="144"/>
      <c r="SM80" s="84"/>
      <c r="SN80" s="84"/>
      <c r="SO80" s="154"/>
      <c r="SP80" s="154"/>
      <c r="SQ80" s="154"/>
      <c r="SR80" s="154"/>
      <c r="SS80" s="154"/>
      <c r="ST80" s="154"/>
      <c r="SU80" s="155"/>
      <c r="SV80" s="154"/>
      <c r="SW80" s="154"/>
      <c r="SX80" s="155"/>
      <c r="SY80" s="155"/>
      <c r="SZ80" s="155"/>
      <c r="TA80" s="155"/>
      <c r="TB80" s="155"/>
      <c r="TC80" s="155"/>
      <c r="TD80" s="155"/>
      <c r="TE80" s="156"/>
      <c r="TF80" s="144"/>
      <c r="TG80" s="84"/>
      <c r="TH80" s="144"/>
      <c r="TI80" s="144"/>
      <c r="TJ80" s="144"/>
      <c r="TK80" s="144"/>
      <c r="TL80" s="157"/>
      <c r="TM80" s="157"/>
      <c r="TN80" s="157"/>
      <c r="TO80" s="157"/>
      <c r="TP80" s="157"/>
      <c r="TQ80" s="157"/>
      <c r="TR80" s="157"/>
      <c r="TS80" s="157"/>
      <c r="TT80" s="157"/>
      <c r="TU80" s="158"/>
      <c r="TV80" s="157"/>
      <c r="TW80" s="158"/>
      <c r="TX80" s="144"/>
      <c r="TY80" s="144"/>
      <c r="TZ80" s="144"/>
      <c r="UA80" s="84"/>
      <c r="UB80" s="144"/>
      <c r="UC80" s="144"/>
      <c r="UD80" s="144"/>
      <c r="UE80" s="144"/>
      <c r="UF80" s="157"/>
      <c r="UG80" s="157"/>
      <c r="UH80" s="157"/>
      <c r="UI80" s="157"/>
      <c r="UJ80" s="157"/>
      <c r="UK80" s="157"/>
      <c r="UL80" s="157"/>
      <c r="UM80" s="157"/>
      <c r="UN80" s="157"/>
      <c r="UO80" s="157"/>
      <c r="UP80" s="157"/>
      <c r="UQ80" s="158"/>
      <c r="UR80" s="157"/>
      <c r="US80" s="158"/>
      <c r="UT80" s="144"/>
      <c r="UU80" s="144"/>
      <c r="UV80" s="144"/>
      <c r="UW80" s="144"/>
      <c r="UX80" s="144"/>
      <c r="UY80" s="144"/>
      <c r="UZ80" s="144"/>
      <c r="VA80" s="144"/>
      <c r="VB80" s="157"/>
      <c r="VC80" s="157"/>
      <c r="VD80" s="157"/>
      <c r="VE80" s="157"/>
      <c r="VF80" s="157"/>
      <c r="VG80" s="157"/>
      <c r="VH80" s="157"/>
      <c r="VI80" s="157"/>
      <c r="VJ80" s="157"/>
      <c r="VK80" s="157"/>
      <c r="VL80" s="157"/>
      <c r="VM80" s="157"/>
      <c r="VN80" s="157"/>
      <c r="VO80" s="157"/>
      <c r="VP80" s="144"/>
      <c r="VQ80" s="144"/>
      <c r="VR80" s="84"/>
      <c r="VS80" s="84"/>
      <c r="VT80" s="53"/>
      <c r="VU80" s="53"/>
    </row>
    <row r="81" ht="15.75" spans="1:593">
      <c r="A81" s="192"/>
      <c r="B81" s="192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302"/>
      <c r="O81" s="302"/>
      <c r="P81" s="302"/>
      <c r="Q81" s="302"/>
      <c r="R81" s="302"/>
      <c r="S81" s="302"/>
      <c r="T81" s="302"/>
      <c r="U81" s="302"/>
      <c r="V81" s="302"/>
      <c r="W81" s="302"/>
      <c r="X81" s="302"/>
      <c r="Y81" s="302"/>
      <c r="Z81" s="302"/>
      <c r="AA81" s="302"/>
      <c r="AB81" s="302"/>
      <c r="AC81" s="302"/>
      <c r="AD81" s="302"/>
      <c r="AE81" s="302"/>
      <c r="AF81" s="302"/>
      <c r="AG81" s="302"/>
      <c r="AH81" s="302"/>
      <c r="AI81" s="192"/>
      <c r="AJ81" s="251"/>
      <c r="AK81" s="251"/>
      <c r="AL81" s="251"/>
      <c r="AM81" s="251"/>
      <c r="AN81" s="251"/>
      <c r="AO81" s="251"/>
      <c r="AP81" s="251"/>
      <c r="AQ81" s="251"/>
      <c r="AR81" s="251"/>
      <c r="AS81" s="251"/>
      <c r="AT81" s="251"/>
      <c r="AU81" s="302"/>
      <c r="AV81" s="302"/>
      <c r="AW81" s="302"/>
      <c r="AX81" s="302"/>
      <c r="AY81" s="302"/>
      <c r="AZ81" s="302"/>
      <c r="BA81" s="302"/>
      <c r="BB81" s="302"/>
      <c r="BC81" s="302"/>
      <c r="BD81" s="302"/>
      <c r="BE81" s="302"/>
      <c r="BF81" s="302"/>
      <c r="BG81" s="302"/>
      <c r="BH81" s="302"/>
      <c r="BI81" s="302"/>
      <c r="BJ81" s="302"/>
      <c r="BK81" s="302"/>
      <c r="BL81" s="302"/>
      <c r="BM81" s="302"/>
      <c r="BN81" s="302"/>
      <c r="BO81" s="302"/>
      <c r="BP81" s="192"/>
      <c r="BQ81" s="251"/>
      <c r="BR81" s="251"/>
      <c r="BS81" s="251"/>
      <c r="BT81" s="251"/>
      <c r="BU81" s="251"/>
      <c r="BV81" s="251"/>
      <c r="BW81" s="251"/>
      <c r="BX81" s="251"/>
      <c r="BY81" s="251"/>
      <c r="BZ81" s="251"/>
      <c r="CA81" s="251"/>
      <c r="CB81" s="302"/>
      <c r="CC81" s="302"/>
      <c r="CD81" s="302"/>
      <c r="CE81" s="302"/>
      <c r="CF81" s="302"/>
      <c r="CG81" s="302"/>
      <c r="CH81" s="302"/>
      <c r="CI81" s="302"/>
      <c r="CJ81" s="302"/>
      <c r="CK81" s="302"/>
      <c r="CL81" s="302"/>
      <c r="CM81" s="302"/>
      <c r="CN81" s="302"/>
      <c r="CO81" s="302"/>
      <c r="CP81" s="302"/>
      <c r="CQ81" s="302"/>
      <c r="CR81" s="302"/>
      <c r="CS81" s="302"/>
      <c r="CT81" s="302"/>
      <c r="CU81" s="302"/>
      <c r="CV81" s="302"/>
      <c r="CW81" s="192"/>
      <c r="CX81" s="251"/>
      <c r="CY81" s="251"/>
      <c r="CZ81" s="251"/>
      <c r="DA81" s="251"/>
      <c r="DB81" s="251"/>
      <c r="DC81" s="251"/>
      <c r="DD81" s="251"/>
      <c r="DE81" s="251"/>
      <c r="DF81" s="251"/>
      <c r="DG81" s="251"/>
      <c r="DH81" s="251"/>
      <c r="DI81" s="302"/>
      <c r="DJ81" s="302"/>
      <c r="DK81" s="302"/>
      <c r="DL81" s="302"/>
      <c r="DM81" s="302"/>
      <c r="DN81" s="302"/>
      <c r="DO81" s="302"/>
      <c r="DP81" s="302"/>
      <c r="DQ81" s="302"/>
      <c r="DR81" s="302"/>
      <c r="DS81" s="302"/>
      <c r="DT81" s="302"/>
      <c r="DU81" s="302"/>
      <c r="DV81" s="302"/>
      <c r="DW81" s="302"/>
      <c r="DX81" s="302"/>
      <c r="DY81" s="302"/>
      <c r="DZ81" s="302"/>
      <c r="EA81" s="302"/>
      <c r="EB81" s="302"/>
      <c r="EC81" s="302"/>
      <c r="ED81" s="192"/>
      <c r="EE81" s="159"/>
      <c r="EF81" s="159"/>
      <c r="EG81" s="159"/>
      <c r="EH81" s="159"/>
      <c r="EI81" s="159"/>
      <c r="EJ81" s="159"/>
      <c r="EK81" s="159"/>
      <c r="EL81" s="159"/>
      <c r="EM81" s="159"/>
      <c r="EN81" s="159"/>
      <c r="EO81" s="159"/>
      <c r="EP81" s="159"/>
      <c r="EQ81" s="159"/>
      <c r="ER81" s="192"/>
      <c r="ES81" s="192"/>
      <c r="ET81" s="192"/>
      <c r="EU81" s="192"/>
      <c r="EV81" s="192"/>
      <c r="EW81" s="192"/>
      <c r="EX81" s="192"/>
      <c r="EY81" s="192"/>
      <c r="EZ81" s="192"/>
      <c r="FA81" s="192"/>
      <c r="FB81" s="192"/>
      <c r="FC81" s="192"/>
      <c r="FD81" s="192"/>
      <c r="FE81" s="192"/>
      <c r="FF81" s="192"/>
      <c r="FG81" s="192"/>
      <c r="FH81" s="192"/>
      <c r="FI81" s="192"/>
      <c r="FJ81" s="192"/>
      <c r="FK81" s="192"/>
      <c r="FL81" s="192"/>
      <c r="FM81" s="192"/>
      <c r="FN81" s="159"/>
      <c r="FO81" s="159"/>
      <c r="FP81" s="159"/>
      <c r="FQ81" s="159"/>
      <c r="FR81" s="159"/>
      <c r="FS81" s="159"/>
      <c r="FT81" s="159"/>
      <c r="FU81" s="159"/>
      <c r="FV81" s="159"/>
      <c r="FW81" s="159"/>
      <c r="FX81" s="159"/>
      <c r="FY81" s="159"/>
      <c r="FZ81" s="192"/>
      <c r="GA81" s="192"/>
      <c r="GB81" s="192"/>
      <c r="GC81" s="192"/>
      <c r="GD81" s="192"/>
      <c r="GE81" s="192"/>
      <c r="GF81" s="192"/>
      <c r="GG81" s="192"/>
      <c r="GH81" s="192"/>
      <c r="GI81" s="192"/>
      <c r="GJ81" s="192"/>
      <c r="GK81" s="192"/>
      <c r="GL81" s="192"/>
      <c r="GM81" s="192"/>
      <c r="GN81" s="192"/>
      <c r="GO81" s="192"/>
      <c r="GP81" s="192"/>
      <c r="GQ81" s="192"/>
      <c r="GR81" s="192"/>
      <c r="GS81" s="192"/>
      <c r="GT81" s="192"/>
      <c r="GU81" s="192"/>
      <c r="GV81" s="159"/>
      <c r="GW81" s="159"/>
      <c r="GX81" s="159"/>
      <c r="GY81" s="159"/>
      <c r="GZ81" s="159"/>
      <c r="HA81" s="159"/>
      <c r="HB81" s="159"/>
      <c r="HC81" s="159"/>
      <c r="HD81" s="159"/>
      <c r="HE81" s="159"/>
      <c r="HF81" s="159"/>
      <c r="HG81" s="159"/>
      <c r="HI81" s="192"/>
      <c r="HJ81" s="192"/>
      <c r="HK81" s="192"/>
      <c r="HL81" s="192"/>
      <c r="HM81" s="192"/>
      <c r="HN81" s="192"/>
      <c r="HO81" s="192"/>
      <c r="HP81" s="192"/>
      <c r="HQ81" s="192"/>
      <c r="HR81" s="192"/>
      <c r="HS81" s="192"/>
      <c r="HT81" s="192"/>
      <c r="HU81" s="192"/>
      <c r="HV81" s="192"/>
      <c r="HW81" s="192"/>
      <c r="HX81" s="192"/>
      <c r="HY81" s="192"/>
      <c r="HZ81" s="192"/>
      <c r="IA81" s="192"/>
      <c r="IB81" s="192"/>
      <c r="IC81" s="192"/>
      <c r="ID81" s="159"/>
      <c r="IE81" s="159"/>
      <c r="IF81" s="159"/>
      <c r="IG81" s="159"/>
      <c r="IH81" s="159"/>
      <c r="II81" s="159"/>
      <c r="IJ81" s="159"/>
      <c r="IK81" s="159"/>
      <c r="IL81" s="159"/>
      <c r="IM81" s="159"/>
      <c r="IN81" s="159"/>
      <c r="IO81" s="159"/>
      <c r="IP81" s="11"/>
      <c r="IQ81" s="192"/>
      <c r="IR81" s="192"/>
      <c r="IS81" s="192"/>
      <c r="IT81" s="192"/>
      <c r="IU81" s="192"/>
      <c r="IV81" s="192"/>
      <c r="IW81" s="192"/>
      <c r="IX81" s="192"/>
      <c r="IY81" s="192"/>
      <c r="IZ81" s="192"/>
      <c r="JA81" s="192"/>
      <c r="JB81" s="192"/>
      <c r="JC81" s="192"/>
      <c r="JD81" s="192"/>
      <c r="JE81" s="192"/>
      <c r="JF81" s="192"/>
      <c r="JG81" s="192"/>
      <c r="JH81" s="192"/>
      <c r="JI81" s="192"/>
      <c r="JJ81" s="192"/>
      <c r="JK81" s="192"/>
      <c r="JL81" s="159"/>
      <c r="JM81" s="159"/>
      <c r="JN81" s="159"/>
      <c r="JO81" s="159"/>
      <c r="JP81" s="159"/>
      <c r="JQ81" s="159"/>
      <c r="JR81" s="159"/>
      <c r="JS81" s="159"/>
      <c r="JT81" s="159"/>
      <c r="JU81" s="159"/>
      <c r="JV81" s="192"/>
      <c r="JW81" s="192"/>
      <c r="JX81" s="192"/>
      <c r="JY81" s="192"/>
      <c r="JZ81" s="192"/>
      <c r="KA81" s="192"/>
      <c r="KB81" s="192"/>
      <c r="KC81" s="192"/>
      <c r="KD81" s="192"/>
      <c r="KE81" s="192"/>
      <c r="KF81" s="192"/>
      <c r="KG81" s="192"/>
      <c r="KH81" s="192"/>
      <c r="KI81" s="192"/>
      <c r="KJ81" s="192"/>
      <c r="KK81" s="192"/>
      <c r="KL81" s="192"/>
      <c r="KM81" s="192"/>
      <c r="KN81" s="192"/>
      <c r="KO81" s="192"/>
      <c r="KP81" s="192"/>
      <c r="KQ81" s="192"/>
      <c r="KR81" s="192"/>
      <c r="KS81" s="192"/>
      <c r="KT81" s="159"/>
      <c r="KU81" s="159"/>
      <c r="KV81" s="159"/>
      <c r="KW81" s="159"/>
      <c r="KX81" s="159"/>
      <c r="KY81" s="159"/>
      <c r="KZ81" s="159"/>
      <c r="LA81" s="159"/>
      <c r="LB81" s="159"/>
      <c r="LC81" s="159"/>
      <c r="LD81" s="11"/>
      <c r="LE81" s="11"/>
      <c r="LF81" s="11"/>
      <c r="LG81" s="192"/>
      <c r="LH81" s="192"/>
      <c r="LI81" s="192"/>
      <c r="LJ81" s="192"/>
      <c r="LK81" s="192"/>
      <c r="LL81" s="192"/>
      <c r="LM81" s="192"/>
      <c r="LN81" s="192"/>
      <c r="LO81" s="192"/>
      <c r="LP81" s="192"/>
      <c r="LQ81" s="192"/>
      <c r="LR81" s="192"/>
      <c r="LS81" s="192"/>
      <c r="LT81" s="192"/>
      <c r="LU81" s="192"/>
      <c r="LV81" s="192"/>
      <c r="LW81" s="192"/>
      <c r="LX81" s="192"/>
      <c r="LY81" s="192"/>
      <c r="LZ81" s="192"/>
      <c r="MA81" s="192"/>
      <c r="MB81" s="159"/>
      <c r="MC81" s="159"/>
      <c r="MD81" s="159"/>
      <c r="ME81" s="159"/>
      <c r="MF81" s="159"/>
      <c r="MG81" s="159"/>
      <c r="MH81" s="159"/>
      <c r="MI81" s="159"/>
      <c r="MJ81" s="159"/>
      <c r="MK81" s="159"/>
      <c r="MO81" s="192"/>
      <c r="MP81" s="192"/>
      <c r="MQ81" s="192"/>
      <c r="MR81" s="192"/>
      <c r="MS81" s="192"/>
      <c r="MT81" s="192"/>
      <c r="MU81" s="192"/>
      <c r="MV81" s="192"/>
      <c r="MW81" s="192"/>
      <c r="MX81" s="192"/>
      <c r="MY81" s="192"/>
      <c r="MZ81" s="192"/>
      <c r="NA81" s="192"/>
      <c r="NB81" s="192"/>
      <c r="NC81" s="192"/>
      <c r="ND81" s="192"/>
      <c r="NE81" s="192"/>
      <c r="NF81" s="192"/>
      <c r="NG81" s="192"/>
      <c r="NH81" s="192"/>
      <c r="NI81" s="192"/>
      <c r="NJ81" s="53"/>
      <c r="NK81" s="53"/>
      <c r="NL81" s="53"/>
      <c r="NM81" s="53"/>
      <c r="NN81" s="53"/>
      <c r="NO81" s="53"/>
      <c r="NP81" s="53"/>
      <c r="NQ81" s="53"/>
      <c r="NR81" s="53"/>
      <c r="NS81" s="53"/>
      <c r="NT81" s="53"/>
      <c r="NU81" s="53"/>
      <c r="NV81" s="53"/>
      <c r="NW81" s="53"/>
      <c r="NX81" s="53"/>
      <c r="NY81" s="53"/>
      <c r="NZ81" s="53"/>
      <c r="OA81" s="53"/>
      <c r="OB81" s="53"/>
      <c r="OC81" s="192"/>
      <c r="OD81" s="53"/>
      <c r="OE81" s="53"/>
      <c r="OF81" s="53"/>
      <c r="OG81" s="53"/>
      <c r="OH81" s="53"/>
      <c r="OI81" s="53"/>
      <c r="OJ81" s="53"/>
      <c r="OK81" s="53"/>
      <c r="OL81" s="53"/>
      <c r="OM81" s="53"/>
      <c r="ON81" s="53"/>
      <c r="OO81" s="192"/>
      <c r="OP81" s="192"/>
      <c r="OQ81" s="192"/>
      <c r="OR81" s="192"/>
      <c r="OS81" s="353"/>
      <c r="OT81" s="353"/>
      <c r="OU81" s="353"/>
      <c r="OV81" s="353"/>
      <c r="OW81" s="353"/>
      <c r="OX81" s="353"/>
      <c r="OY81" s="353"/>
      <c r="OZ81" s="353"/>
      <c r="PA81" s="353"/>
      <c r="PB81" s="353"/>
      <c r="PC81" s="156"/>
      <c r="PD81" s="156"/>
      <c r="PE81" s="146"/>
      <c r="PF81" s="144"/>
      <c r="PG81" s="144"/>
      <c r="PH81" s="144"/>
      <c r="PI81" s="144"/>
      <c r="PJ81" s="144"/>
      <c r="PK81" s="144"/>
      <c r="PL81" s="144"/>
      <c r="PM81" s="144"/>
      <c r="PN81" s="144"/>
      <c r="PO81" s="144"/>
      <c r="PP81" s="144"/>
      <c r="PQ81" s="146"/>
      <c r="PR81" s="146"/>
      <c r="PS81" s="146"/>
      <c r="PT81" s="146"/>
      <c r="PU81" s="353"/>
      <c r="PV81" s="353"/>
      <c r="PW81" s="353"/>
      <c r="PX81" s="353"/>
      <c r="PY81" s="353"/>
      <c r="PZ81" s="353"/>
      <c r="QA81" s="353"/>
      <c r="QB81" s="353"/>
      <c r="QC81" s="353"/>
      <c r="QD81" s="353"/>
      <c r="QE81" s="146"/>
      <c r="QF81" s="146"/>
      <c r="QG81" s="146"/>
      <c r="QH81" s="146"/>
      <c r="QI81" s="146"/>
      <c r="QJ81" s="146"/>
      <c r="QK81" s="146"/>
      <c r="QL81" s="146"/>
      <c r="QM81" s="146"/>
      <c r="QN81" s="146"/>
      <c r="QO81" s="146"/>
      <c r="QP81" s="146"/>
      <c r="QQ81" s="146"/>
      <c r="QR81" s="146"/>
      <c r="QS81" s="146"/>
      <c r="QT81" s="146"/>
      <c r="QU81" s="146"/>
      <c r="QV81" s="146"/>
      <c r="QW81" s="146"/>
      <c r="QX81" s="146"/>
      <c r="QY81" s="146"/>
      <c r="QZ81" s="146"/>
      <c r="RA81" s="146"/>
      <c r="RB81" s="146"/>
      <c r="RC81" s="146"/>
      <c r="RD81" s="146"/>
      <c r="RE81" s="146"/>
      <c r="RF81" s="146"/>
      <c r="RG81" s="146"/>
      <c r="RH81" s="146"/>
      <c r="RI81" s="146"/>
      <c r="RJ81" s="146"/>
      <c r="RK81" s="146"/>
      <c r="RL81" s="146"/>
      <c r="RM81" s="146"/>
      <c r="RN81" s="146"/>
      <c r="RO81" s="146"/>
      <c r="RP81" s="146"/>
      <c r="RQ81" s="146"/>
      <c r="RR81" s="146"/>
      <c r="RS81" s="146"/>
      <c r="RT81" s="146"/>
      <c r="RU81" s="146"/>
      <c r="RV81" s="146"/>
      <c r="RW81" s="146"/>
      <c r="RX81" s="146"/>
      <c r="RY81" s="146"/>
      <c r="RZ81" s="146"/>
      <c r="SA81" s="146"/>
      <c r="SB81" s="146"/>
      <c r="SC81" s="146"/>
      <c r="SD81" s="146"/>
      <c r="SE81" s="146"/>
      <c r="SF81" s="146"/>
      <c r="SG81" s="146"/>
      <c r="SH81" s="146"/>
      <c r="SI81" s="146"/>
      <c r="SJ81" s="146"/>
      <c r="SK81" s="146"/>
      <c r="SL81" s="146"/>
      <c r="SM81" s="84"/>
      <c r="SN81" s="84"/>
      <c r="SO81" s="154"/>
      <c r="SP81" s="154"/>
      <c r="SQ81" s="154"/>
      <c r="SR81" s="154"/>
      <c r="SS81" s="154"/>
      <c r="ST81" s="154"/>
      <c r="SU81" s="155"/>
      <c r="SV81" s="154"/>
      <c r="SW81" s="154"/>
      <c r="SX81" s="155"/>
      <c r="SY81" s="155"/>
      <c r="SZ81" s="155"/>
      <c r="TA81" s="155"/>
      <c r="TB81" s="155"/>
      <c r="TC81" s="155"/>
      <c r="TD81" s="155"/>
      <c r="TE81" s="156"/>
      <c r="TF81" s="146"/>
      <c r="TG81" s="84"/>
      <c r="TH81" s="146"/>
      <c r="TI81" s="146"/>
      <c r="TJ81" s="146"/>
      <c r="TK81" s="146"/>
      <c r="TL81" s="157"/>
      <c r="TM81" s="157"/>
      <c r="TN81" s="157"/>
      <c r="TO81" s="157"/>
      <c r="TP81" s="157"/>
      <c r="TQ81" s="157"/>
      <c r="TR81" s="157"/>
      <c r="TS81" s="157"/>
      <c r="TT81" s="157"/>
      <c r="TU81" s="158"/>
      <c r="TV81" s="157"/>
      <c r="TW81" s="158"/>
      <c r="TX81" s="146"/>
      <c r="TY81" s="146"/>
      <c r="TZ81" s="146"/>
      <c r="UA81" s="84"/>
      <c r="UB81" s="146"/>
      <c r="UC81" s="146"/>
      <c r="UD81" s="146"/>
      <c r="UE81" s="146"/>
      <c r="UF81" s="157"/>
      <c r="UG81" s="157"/>
      <c r="UH81" s="157"/>
      <c r="UI81" s="157"/>
      <c r="UJ81" s="157"/>
      <c r="UK81" s="157"/>
      <c r="UL81" s="157"/>
      <c r="UM81" s="157"/>
      <c r="UN81" s="157"/>
      <c r="UO81" s="157"/>
      <c r="UP81" s="157"/>
      <c r="UQ81" s="158"/>
      <c r="UR81" s="157"/>
      <c r="US81" s="158"/>
      <c r="UT81" s="146"/>
      <c r="UU81" s="146"/>
      <c r="UV81" s="146"/>
      <c r="UW81" s="146"/>
      <c r="UX81" s="146"/>
      <c r="UY81" s="146"/>
      <c r="UZ81" s="146"/>
      <c r="VA81" s="146"/>
      <c r="VB81" s="157"/>
      <c r="VC81" s="157"/>
      <c r="VD81" s="157"/>
      <c r="VE81" s="157"/>
      <c r="VF81" s="157"/>
      <c r="VG81" s="157"/>
      <c r="VH81" s="157"/>
      <c r="VI81" s="157"/>
      <c r="VJ81" s="157"/>
      <c r="VK81" s="157"/>
      <c r="VL81" s="157"/>
      <c r="VM81" s="157"/>
      <c r="VN81" s="157"/>
      <c r="VO81" s="157"/>
      <c r="VP81" s="146"/>
      <c r="VQ81" s="146"/>
      <c r="VR81" s="84"/>
      <c r="VS81" s="84"/>
      <c r="VT81" s="192"/>
      <c r="VU81" s="192"/>
    </row>
    <row r="82" ht="15.75" spans="1:593">
      <c r="A82" s="53"/>
      <c r="B82" s="53"/>
      <c r="C82" s="236" t="s">
        <v>227</v>
      </c>
      <c r="D82" s="320"/>
      <c r="E82" s="320"/>
      <c r="F82" s="320"/>
      <c r="G82" s="320"/>
      <c r="H82" s="320"/>
      <c r="I82" s="320"/>
      <c r="J82" s="320"/>
      <c r="K82" s="320"/>
      <c r="L82" s="320"/>
      <c r="M82" s="320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93"/>
      <c r="AB82" s="293"/>
      <c r="AC82" s="293"/>
      <c r="AD82" s="293"/>
      <c r="AE82" s="293"/>
      <c r="AF82" s="293"/>
      <c r="AG82" s="293"/>
      <c r="AH82" s="293"/>
      <c r="AI82" s="53"/>
      <c r="AJ82" s="236" t="s">
        <v>228</v>
      </c>
      <c r="AK82" s="320"/>
      <c r="AL82" s="320"/>
      <c r="AM82" s="320"/>
      <c r="AN82" s="320"/>
      <c r="AO82" s="320"/>
      <c r="AP82" s="320"/>
      <c r="AQ82" s="320"/>
      <c r="AR82" s="320"/>
      <c r="AS82" s="320"/>
      <c r="AT82" s="320"/>
      <c r="AU82" s="293"/>
      <c r="AV82" s="293"/>
      <c r="AW82" s="293"/>
      <c r="AX82" s="293"/>
      <c r="AY82" s="293"/>
      <c r="AZ82" s="293"/>
      <c r="BA82" s="293"/>
      <c r="BB82" s="293"/>
      <c r="BC82" s="293"/>
      <c r="BD82" s="293"/>
      <c r="BE82" s="293"/>
      <c r="BF82" s="293"/>
      <c r="BG82" s="293"/>
      <c r="BH82" s="293"/>
      <c r="BI82" s="293"/>
      <c r="BJ82" s="293"/>
      <c r="BK82" s="293"/>
      <c r="BL82" s="293"/>
      <c r="BM82" s="293"/>
      <c r="BN82" s="293"/>
      <c r="BO82" s="293"/>
      <c r="BP82" s="53"/>
      <c r="BQ82" s="236" t="s">
        <v>229</v>
      </c>
      <c r="BR82" s="320"/>
      <c r="BS82" s="320"/>
      <c r="BT82" s="320"/>
      <c r="BU82" s="320"/>
      <c r="BV82" s="320"/>
      <c r="BW82" s="320"/>
      <c r="BX82" s="320"/>
      <c r="BY82" s="320"/>
      <c r="BZ82" s="320"/>
      <c r="CA82" s="320"/>
      <c r="CB82" s="293"/>
      <c r="CC82" s="293"/>
      <c r="CD82" s="293"/>
      <c r="CE82" s="293"/>
      <c r="CF82" s="293"/>
      <c r="CG82" s="293"/>
      <c r="CH82" s="293"/>
      <c r="CI82" s="293"/>
      <c r="CJ82" s="293"/>
      <c r="CK82" s="293"/>
      <c r="CL82" s="293"/>
      <c r="CM82" s="293"/>
      <c r="CN82" s="293"/>
      <c r="CO82" s="293"/>
      <c r="CP82" s="293"/>
      <c r="CQ82" s="293"/>
      <c r="CR82" s="293"/>
      <c r="CS82" s="293"/>
      <c r="CT82" s="293"/>
      <c r="CU82" s="293"/>
      <c r="CV82" s="293"/>
      <c r="CW82" s="53"/>
      <c r="CX82" s="236" t="s">
        <v>230</v>
      </c>
      <c r="CY82" s="320"/>
      <c r="CZ82" s="320"/>
      <c r="DA82" s="320"/>
      <c r="DB82" s="320"/>
      <c r="DC82" s="320"/>
      <c r="DD82" s="320"/>
      <c r="DE82" s="320"/>
      <c r="DF82" s="320"/>
      <c r="DG82" s="320"/>
      <c r="DH82" s="320"/>
      <c r="DI82" s="293"/>
      <c r="DJ82" s="293"/>
      <c r="DK82" s="293"/>
      <c r="DL82" s="293"/>
      <c r="DM82" s="293"/>
      <c r="DN82" s="293"/>
      <c r="DO82" s="293"/>
      <c r="DP82" s="293"/>
      <c r="DQ82" s="293"/>
      <c r="DR82" s="293"/>
      <c r="DS82" s="293"/>
      <c r="DT82" s="293"/>
      <c r="DU82" s="293"/>
      <c r="DV82" s="293"/>
      <c r="DW82" s="293"/>
      <c r="DX82" s="293"/>
      <c r="DY82" s="293"/>
      <c r="DZ82" s="293"/>
      <c r="EA82" s="293"/>
      <c r="EB82" s="293"/>
      <c r="EC82" s="293"/>
      <c r="ED82" s="53"/>
      <c r="EE82" s="321" t="s">
        <v>211</v>
      </c>
      <c r="EF82" s="321"/>
      <c r="EG82" s="321"/>
      <c r="EH82" s="321"/>
      <c r="EI82" s="321"/>
      <c r="EJ82" s="321"/>
      <c r="EK82" s="321"/>
      <c r="EL82" s="321"/>
      <c r="EM82" s="321"/>
      <c r="EN82" s="321"/>
      <c r="EO82" s="321"/>
      <c r="EP82" s="192"/>
      <c r="EQ82" s="192"/>
      <c r="ER82" s="192"/>
      <c r="ES82" s="192"/>
      <c r="ET82" s="192"/>
      <c r="EU82" s="192"/>
      <c r="EV82" s="192"/>
      <c r="EW82" s="192"/>
      <c r="EX82" s="192"/>
      <c r="EY82" s="192"/>
      <c r="EZ82" s="192"/>
      <c r="FA82" s="192"/>
      <c r="FB82" s="192"/>
      <c r="FC82" s="192"/>
      <c r="FD82" s="192"/>
      <c r="FE82" s="192"/>
      <c r="FF82" s="192"/>
      <c r="FG82" s="192"/>
      <c r="FH82" s="192"/>
      <c r="FI82" s="192"/>
      <c r="FJ82" s="192"/>
      <c r="FK82" s="53"/>
      <c r="FL82" s="53"/>
      <c r="FM82" s="53"/>
      <c r="FN82" s="321" t="s">
        <v>231</v>
      </c>
      <c r="FO82" s="321"/>
      <c r="FP82" s="321"/>
      <c r="FQ82" s="321"/>
      <c r="FR82" s="321"/>
      <c r="FS82" s="321"/>
      <c r="FT82" s="321"/>
      <c r="FU82" s="321"/>
      <c r="FV82" s="321"/>
      <c r="FW82" s="321"/>
      <c r="FX82" s="321"/>
      <c r="FY82" s="192"/>
      <c r="FZ82" s="192"/>
      <c r="GA82" s="192"/>
      <c r="GB82" s="192"/>
      <c r="GC82" s="192"/>
      <c r="GD82" s="192"/>
      <c r="GE82" s="192"/>
      <c r="GF82" s="192"/>
      <c r="GG82" s="192"/>
      <c r="GH82" s="192"/>
      <c r="GI82" s="192"/>
      <c r="GJ82" s="192"/>
      <c r="GK82" s="192"/>
      <c r="GL82" s="192"/>
      <c r="GM82" s="192"/>
      <c r="GN82" s="192"/>
      <c r="GO82" s="192"/>
      <c r="GP82" s="192"/>
      <c r="GQ82" s="192"/>
      <c r="GR82" s="192"/>
      <c r="GS82" s="192"/>
      <c r="GT82" s="53"/>
      <c r="GU82" s="53"/>
      <c r="GV82" s="323" t="s">
        <v>232</v>
      </c>
      <c r="GW82" s="324"/>
      <c r="GX82" s="324"/>
      <c r="GY82" s="324"/>
      <c r="GZ82" s="324"/>
      <c r="HA82" s="324"/>
      <c r="HB82" s="324"/>
      <c r="HC82" s="324"/>
      <c r="HD82" s="324"/>
      <c r="HE82" s="324"/>
      <c r="HF82" s="325"/>
      <c r="HI82" s="192"/>
      <c r="HJ82" s="192"/>
      <c r="HK82" s="192"/>
      <c r="HL82" s="192"/>
      <c r="HM82" s="192"/>
      <c r="HN82" s="192"/>
      <c r="HO82" s="192"/>
      <c r="HP82" s="192"/>
      <c r="HQ82" s="192"/>
      <c r="HR82" s="192"/>
      <c r="HS82" s="192"/>
      <c r="HT82" s="192"/>
      <c r="HU82" s="192"/>
      <c r="HV82" s="192"/>
      <c r="HW82" s="192"/>
      <c r="HX82" s="192"/>
      <c r="HY82" s="192"/>
      <c r="HZ82" s="192"/>
      <c r="IA82" s="192"/>
      <c r="IB82" s="53"/>
      <c r="IC82" s="53"/>
      <c r="ID82" s="323" t="s">
        <v>233</v>
      </c>
      <c r="IE82" s="324"/>
      <c r="IF82" s="324"/>
      <c r="IG82" s="324"/>
      <c r="IH82" s="324"/>
      <c r="II82" s="324"/>
      <c r="IJ82" s="324"/>
      <c r="IK82" s="324"/>
      <c r="IL82" s="324"/>
      <c r="IM82" s="324"/>
      <c r="IN82" s="325"/>
      <c r="IO82" s="11"/>
      <c r="IP82" s="11"/>
      <c r="IQ82" s="192"/>
      <c r="IR82" s="192"/>
      <c r="IS82" s="192"/>
      <c r="IT82" s="192"/>
      <c r="IU82" s="192"/>
      <c r="IV82" s="192"/>
      <c r="IW82" s="192"/>
      <c r="IX82" s="192"/>
      <c r="IY82" s="192"/>
      <c r="IZ82" s="192"/>
      <c r="JA82" s="192"/>
      <c r="JB82" s="192"/>
      <c r="JC82" s="192"/>
      <c r="JD82" s="192"/>
      <c r="JE82" s="192"/>
      <c r="JF82" s="192"/>
      <c r="JG82" s="192"/>
      <c r="JH82" s="192"/>
      <c r="JI82" s="192"/>
      <c r="JJ82" s="53"/>
      <c r="JK82" s="53"/>
      <c r="JL82" s="323" t="s">
        <v>234</v>
      </c>
      <c r="JM82" s="324"/>
      <c r="JN82" s="324"/>
      <c r="JO82" s="324"/>
      <c r="JP82" s="324"/>
      <c r="JQ82" s="324"/>
      <c r="JR82" s="324"/>
      <c r="JS82" s="324"/>
      <c r="JT82" s="324"/>
      <c r="JU82" s="324"/>
      <c r="JV82" s="192"/>
      <c r="JW82" s="192"/>
      <c r="JX82" s="192"/>
      <c r="JY82" s="192"/>
      <c r="JZ82" s="192"/>
      <c r="KA82" s="192"/>
      <c r="KB82" s="192"/>
      <c r="KC82" s="192"/>
      <c r="KD82" s="192"/>
      <c r="KE82" s="192"/>
      <c r="KF82" s="192"/>
      <c r="KG82" s="192"/>
      <c r="KH82" s="192"/>
      <c r="KI82" s="192"/>
      <c r="KJ82" s="192"/>
      <c r="KK82" s="192"/>
      <c r="KL82" s="192"/>
      <c r="KM82" s="192"/>
      <c r="KN82" s="192"/>
      <c r="KO82" s="192"/>
      <c r="KP82" s="192"/>
      <c r="KQ82" s="192"/>
      <c r="KR82" s="53"/>
      <c r="KS82" s="53"/>
      <c r="KT82" s="321" t="s">
        <v>216</v>
      </c>
      <c r="KU82" s="321"/>
      <c r="KV82" s="321"/>
      <c r="KW82" s="321"/>
      <c r="KX82" s="321"/>
      <c r="KY82" s="321"/>
      <c r="KZ82" s="321"/>
      <c r="LA82" s="321"/>
      <c r="LB82" s="321"/>
      <c r="LC82" s="321"/>
      <c r="LD82" s="11"/>
      <c r="LE82" s="11"/>
      <c r="LF82" s="11"/>
      <c r="LG82" s="192"/>
      <c r="LH82" s="192"/>
      <c r="LI82" s="192"/>
      <c r="LJ82" s="192"/>
      <c r="LK82" s="192"/>
      <c r="LL82" s="192"/>
      <c r="LM82" s="192"/>
      <c r="LN82" s="192"/>
      <c r="LO82" s="192"/>
      <c r="LP82" s="192"/>
      <c r="LQ82" s="192"/>
      <c r="LR82" s="192"/>
      <c r="LS82" s="192"/>
      <c r="LT82" s="192"/>
      <c r="LU82" s="192"/>
      <c r="LV82" s="192"/>
      <c r="LW82" s="192"/>
      <c r="LX82" s="192"/>
      <c r="LY82" s="192"/>
      <c r="LZ82" s="192"/>
      <c r="MA82" s="192"/>
      <c r="MB82" s="321" t="s">
        <v>217</v>
      </c>
      <c r="MC82" s="321"/>
      <c r="MD82" s="321"/>
      <c r="ME82" s="321"/>
      <c r="MF82" s="321"/>
      <c r="MG82" s="321"/>
      <c r="MH82" s="321"/>
      <c r="MI82" s="321"/>
      <c r="MJ82" s="321"/>
      <c r="MK82" s="321"/>
      <c r="MO82" s="192"/>
      <c r="MP82" s="192"/>
      <c r="MQ82" s="192"/>
      <c r="MR82" s="192"/>
      <c r="MS82" s="192"/>
      <c r="MT82" s="192"/>
      <c r="MU82" s="192"/>
      <c r="MV82" s="192"/>
      <c r="MW82" s="192"/>
      <c r="MX82" s="192"/>
      <c r="MY82" s="192"/>
      <c r="MZ82" s="192"/>
      <c r="NA82" s="192"/>
      <c r="NB82" s="192"/>
      <c r="NC82" s="192"/>
      <c r="ND82" s="192"/>
      <c r="NE82" s="192"/>
      <c r="NF82" s="192"/>
      <c r="NG82" s="192"/>
      <c r="NH82" s="53"/>
      <c r="NI82" s="53"/>
      <c r="NJ82" s="321" t="s">
        <v>218</v>
      </c>
      <c r="NK82" s="321"/>
      <c r="NL82" s="321"/>
      <c r="NM82" s="321"/>
      <c r="NN82" s="321"/>
      <c r="NO82" s="321"/>
      <c r="NP82" s="321"/>
      <c r="NQ82" s="321"/>
      <c r="NR82" s="321"/>
      <c r="NS82" s="321"/>
      <c r="NT82" s="53"/>
      <c r="NU82" s="53"/>
      <c r="NV82" s="53"/>
      <c r="NW82" s="53"/>
      <c r="NX82" s="53"/>
      <c r="NY82" s="53"/>
      <c r="NZ82" s="53"/>
      <c r="OA82" s="53"/>
      <c r="OB82" s="53"/>
      <c r="OC82" s="53"/>
      <c r="OD82" s="53"/>
      <c r="OE82" s="53"/>
      <c r="OF82" s="53"/>
      <c r="OG82" s="53"/>
      <c r="OH82" s="53"/>
      <c r="OI82" s="53"/>
      <c r="OJ82" s="53"/>
      <c r="OK82" s="53"/>
      <c r="OL82" s="53"/>
      <c r="OM82" s="53"/>
      <c r="ON82" s="53"/>
      <c r="OO82" s="53"/>
      <c r="OP82" s="53"/>
      <c r="OQ82" s="53"/>
      <c r="OR82" s="53"/>
      <c r="OS82" s="243" t="s">
        <v>227</v>
      </c>
      <c r="OT82" s="113"/>
      <c r="OU82" s="113"/>
      <c r="OV82" s="113"/>
      <c r="OW82" s="113"/>
      <c r="OX82" s="113"/>
      <c r="OY82" s="113"/>
      <c r="OZ82" s="113"/>
      <c r="PA82" s="113"/>
      <c r="PB82" s="114"/>
      <c r="PC82" s="156"/>
      <c r="PD82" s="156"/>
      <c r="PE82" s="144"/>
      <c r="PF82" s="144"/>
      <c r="PG82" s="144"/>
      <c r="PH82" s="144"/>
      <c r="PI82" s="144"/>
      <c r="PJ82" s="144"/>
      <c r="PK82" s="144"/>
      <c r="PL82" s="144"/>
      <c r="PM82" s="144"/>
      <c r="PN82" s="144"/>
      <c r="PO82" s="144"/>
      <c r="PP82" s="144"/>
      <c r="PQ82" s="144"/>
      <c r="PR82" s="144"/>
      <c r="PS82" s="144"/>
      <c r="PT82" s="146"/>
      <c r="PU82" s="243" t="s">
        <v>228</v>
      </c>
      <c r="PV82" s="113"/>
      <c r="PW82" s="113"/>
      <c r="PX82" s="113"/>
      <c r="PY82" s="113"/>
      <c r="PZ82" s="113"/>
      <c r="QA82" s="113"/>
      <c r="QB82" s="113"/>
      <c r="QC82" s="113"/>
      <c r="QD82" s="114"/>
      <c r="QE82" s="146"/>
      <c r="QF82" s="146"/>
      <c r="QG82" s="146"/>
      <c r="QH82" s="146"/>
      <c r="QI82" s="146"/>
      <c r="QJ82" s="146"/>
      <c r="QK82" s="146"/>
      <c r="QL82" s="146"/>
      <c r="QM82" s="146"/>
      <c r="QN82" s="146"/>
      <c r="QO82" s="146"/>
      <c r="QP82" s="146"/>
      <c r="QQ82" s="146"/>
      <c r="QR82" s="146"/>
      <c r="QS82" s="144"/>
      <c r="QT82" s="144"/>
      <c r="QU82" s="144"/>
      <c r="QV82" s="144"/>
      <c r="QW82" s="144"/>
      <c r="QX82" s="144"/>
      <c r="QY82" s="144"/>
      <c r="QZ82" s="144"/>
      <c r="RA82" s="144"/>
      <c r="RB82" s="144"/>
      <c r="RC82" s="144"/>
      <c r="RD82" s="144"/>
      <c r="RE82" s="144"/>
      <c r="RF82" s="144"/>
      <c r="RG82" s="144"/>
      <c r="RH82" s="144"/>
      <c r="RI82" s="144"/>
      <c r="RJ82" s="144"/>
      <c r="RK82" s="144"/>
      <c r="RL82" s="144"/>
      <c r="RM82" s="144"/>
      <c r="RN82" s="144"/>
      <c r="RO82" s="144"/>
      <c r="RP82" s="144"/>
      <c r="RQ82" s="144"/>
      <c r="RR82" s="144"/>
      <c r="RS82" s="144"/>
      <c r="RT82" s="144"/>
      <c r="RU82" s="144"/>
      <c r="RV82" s="144"/>
      <c r="RW82" s="144"/>
      <c r="RX82" s="144"/>
      <c r="RY82" s="144"/>
      <c r="RZ82" s="144"/>
      <c r="SA82" s="144"/>
      <c r="SB82" s="144"/>
      <c r="SC82" s="144"/>
      <c r="SD82" s="144"/>
      <c r="SE82" s="144"/>
      <c r="SF82" s="144"/>
      <c r="SG82" s="144"/>
      <c r="SH82" s="144"/>
      <c r="SI82" s="144"/>
      <c r="SJ82" s="144"/>
      <c r="SK82" s="144"/>
      <c r="SL82" s="144"/>
      <c r="SM82" s="84"/>
      <c r="SN82" s="84"/>
      <c r="SO82" s="154"/>
      <c r="SP82" s="154"/>
      <c r="SQ82" s="154"/>
      <c r="SR82" s="154"/>
      <c r="SS82" s="154"/>
      <c r="ST82" s="154"/>
      <c r="SU82" s="155"/>
      <c r="SV82" s="154"/>
      <c r="SW82" s="154"/>
      <c r="SX82" s="155"/>
      <c r="SY82" s="155"/>
      <c r="SZ82" s="155"/>
      <c r="TA82" s="155"/>
      <c r="TB82" s="155"/>
      <c r="TC82" s="155"/>
      <c r="TD82" s="155"/>
      <c r="TE82" s="156"/>
      <c r="TF82" s="144"/>
      <c r="TG82" s="84"/>
      <c r="TH82" s="144"/>
      <c r="TI82" s="144"/>
      <c r="TJ82" s="144"/>
      <c r="TK82" s="144"/>
      <c r="TL82" s="157"/>
      <c r="TM82" s="157"/>
      <c r="TN82" s="157"/>
      <c r="TO82" s="157"/>
      <c r="TP82" s="157"/>
      <c r="TQ82" s="157"/>
      <c r="TR82" s="157"/>
      <c r="TS82" s="157"/>
      <c r="TT82" s="157"/>
      <c r="TU82" s="158"/>
      <c r="TV82" s="157"/>
      <c r="TW82" s="158"/>
      <c r="TX82" s="144"/>
      <c r="TY82" s="144"/>
      <c r="TZ82" s="144"/>
      <c r="UA82" s="84"/>
      <c r="UB82" s="144"/>
      <c r="UC82" s="144"/>
      <c r="UD82" s="144"/>
      <c r="UE82" s="144"/>
      <c r="UF82" s="157"/>
      <c r="UG82" s="157"/>
      <c r="UH82" s="157"/>
      <c r="UI82" s="157"/>
      <c r="UJ82" s="157"/>
      <c r="UK82" s="157"/>
      <c r="UL82" s="157"/>
      <c r="UM82" s="157"/>
      <c r="UN82" s="157"/>
      <c r="UO82" s="157"/>
      <c r="UP82" s="157"/>
      <c r="UQ82" s="158"/>
      <c r="UR82" s="157"/>
      <c r="US82" s="158"/>
      <c r="UT82" s="144"/>
      <c r="UU82" s="144"/>
      <c r="UV82" s="144"/>
      <c r="UW82" s="144"/>
      <c r="UX82" s="144"/>
      <c r="UY82" s="144"/>
      <c r="UZ82" s="144"/>
      <c r="VA82" s="144"/>
      <c r="VB82" s="157"/>
      <c r="VC82" s="157"/>
      <c r="VD82" s="157"/>
      <c r="VE82" s="157"/>
      <c r="VF82" s="157"/>
      <c r="VG82" s="157"/>
      <c r="VH82" s="157"/>
      <c r="VI82" s="157"/>
      <c r="VJ82" s="157"/>
      <c r="VK82" s="157"/>
      <c r="VL82" s="157"/>
      <c r="VM82" s="157"/>
      <c r="VN82" s="157"/>
      <c r="VO82" s="157"/>
      <c r="VP82" s="144"/>
      <c r="VQ82" s="144"/>
      <c r="VR82" s="84"/>
      <c r="VS82" s="84"/>
      <c r="VT82" s="53"/>
      <c r="VU82" s="53"/>
    </row>
    <row r="83" ht="15.75" spans="1:593">
      <c r="A83" s="53"/>
      <c r="B83" s="53"/>
      <c r="C83" s="162" t="s">
        <v>20</v>
      </c>
      <c r="D83" s="162" t="s">
        <v>21</v>
      </c>
      <c r="E83" s="162" t="s">
        <v>154</v>
      </c>
      <c r="F83" s="162" t="s">
        <v>23</v>
      </c>
      <c r="G83" s="162" t="s">
        <v>36</v>
      </c>
      <c r="H83" s="162" t="s">
        <v>37</v>
      </c>
      <c r="I83" s="162" t="s">
        <v>221</v>
      </c>
      <c r="J83" s="162" t="s">
        <v>222</v>
      </c>
      <c r="K83" s="162" t="s">
        <v>223</v>
      </c>
      <c r="L83" s="162" t="s">
        <v>224</v>
      </c>
      <c r="M83" s="162" t="s">
        <v>225</v>
      </c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  <c r="AB83" s="293"/>
      <c r="AC83" s="293"/>
      <c r="AD83" s="293"/>
      <c r="AE83" s="293"/>
      <c r="AF83" s="293"/>
      <c r="AG83" s="293"/>
      <c r="AH83" s="293"/>
      <c r="AI83" s="53"/>
      <c r="AJ83" s="162" t="s">
        <v>20</v>
      </c>
      <c r="AK83" s="162" t="s">
        <v>21</v>
      </c>
      <c r="AL83" s="162" t="s">
        <v>154</v>
      </c>
      <c r="AM83" s="162" t="s">
        <v>23</v>
      </c>
      <c r="AN83" s="162" t="s">
        <v>36</v>
      </c>
      <c r="AO83" s="162" t="s">
        <v>37</v>
      </c>
      <c r="AP83" s="162" t="s">
        <v>221</v>
      </c>
      <c r="AQ83" s="162" t="s">
        <v>222</v>
      </c>
      <c r="AR83" s="162" t="s">
        <v>223</v>
      </c>
      <c r="AS83" s="162" t="s">
        <v>224</v>
      </c>
      <c r="AT83" s="162" t="s">
        <v>225</v>
      </c>
      <c r="AU83" s="293"/>
      <c r="AV83" s="293"/>
      <c r="AW83" s="293"/>
      <c r="AX83" s="293"/>
      <c r="AY83" s="293"/>
      <c r="AZ83" s="293"/>
      <c r="BA83" s="293"/>
      <c r="BB83" s="293"/>
      <c r="BC83" s="293"/>
      <c r="BD83" s="293"/>
      <c r="BE83" s="293"/>
      <c r="BF83" s="293"/>
      <c r="BG83" s="293"/>
      <c r="BH83" s="293"/>
      <c r="BI83" s="293"/>
      <c r="BJ83" s="293"/>
      <c r="BK83" s="293"/>
      <c r="BL83" s="293"/>
      <c r="BM83" s="293"/>
      <c r="BN83" s="293"/>
      <c r="BO83" s="293"/>
      <c r="BP83" s="53"/>
      <c r="BQ83" s="162" t="s">
        <v>20</v>
      </c>
      <c r="BR83" s="162" t="s">
        <v>21</v>
      </c>
      <c r="BS83" s="162" t="s">
        <v>154</v>
      </c>
      <c r="BT83" s="162" t="s">
        <v>23</v>
      </c>
      <c r="BU83" s="162" t="s">
        <v>36</v>
      </c>
      <c r="BV83" s="162" t="s">
        <v>37</v>
      </c>
      <c r="BW83" s="162" t="s">
        <v>221</v>
      </c>
      <c r="BX83" s="162" t="s">
        <v>222</v>
      </c>
      <c r="BY83" s="162" t="s">
        <v>223</v>
      </c>
      <c r="BZ83" s="162" t="s">
        <v>224</v>
      </c>
      <c r="CA83" s="162" t="s">
        <v>225</v>
      </c>
      <c r="CB83" s="293"/>
      <c r="CC83" s="293"/>
      <c r="CD83" s="293"/>
      <c r="CE83" s="293"/>
      <c r="CF83" s="293"/>
      <c r="CG83" s="293"/>
      <c r="CH83" s="293"/>
      <c r="CI83" s="293"/>
      <c r="CJ83" s="293"/>
      <c r="CK83" s="293"/>
      <c r="CL83" s="293"/>
      <c r="CM83" s="293"/>
      <c r="CN83" s="293"/>
      <c r="CO83" s="293"/>
      <c r="CP83" s="293"/>
      <c r="CQ83" s="293"/>
      <c r="CR83" s="293"/>
      <c r="CS83" s="293"/>
      <c r="CT83" s="293"/>
      <c r="CU83" s="293"/>
      <c r="CV83" s="293"/>
      <c r="CW83" s="53"/>
      <c r="CX83" s="162" t="s">
        <v>20</v>
      </c>
      <c r="CY83" s="162" t="s">
        <v>21</v>
      </c>
      <c r="CZ83" s="162" t="s">
        <v>154</v>
      </c>
      <c r="DA83" s="162" t="s">
        <v>23</v>
      </c>
      <c r="DB83" s="162" t="s">
        <v>36</v>
      </c>
      <c r="DC83" s="162" t="s">
        <v>37</v>
      </c>
      <c r="DD83" s="162" t="s">
        <v>221</v>
      </c>
      <c r="DE83" s="162" t="s">
        <v>222</v>
      </c>
      <c r="DF83" s="162" t="s">
        <v>223</v>
      </c>
      <c r="DG83" s="162" t="s">
        <v>224</v>
      </c>
      <c r="DH83" s="162" t="s">
        <v>225</v>
      </c>
      <c r="DI83" s="293"/>
      <c r="DJ83" s="293"/>
      <c r="DK83" s="293"/>
      <c r="DL83" s="293"/>
      <c r="DM83" s="293"/>
      <c r="DN83" s="293"/>
      <c r="DO83" s="293"/>
      <c r="DP83" s="293"/>
      <c r="DQ83" s="293"/>
      <c r="DR83" s="293"/>
      <c r="DS83" s="293"/>
      <c r="DT83" s="293"/>
      <c r="DU83" s="293"/>
      <c r="DV83" s="293"/>
      <c r="DW83" s="293"/>
      <c r="DX83" s="293"/>
      <c r="DY83" s="293"/>
      <c r="DZ83" s="293"/>
      <c r="EA83" s="293"/>
      <c r="EB83" s="293"/>
      <c r="EC83" s="293"/>
      <c r="ED83" s="53"/>
      <c r="EE83" s="326" t="s">
        <v>20</v>
      </c>
      <c r="EF83" s="326" t="s">
        <v>21</v>
      </c>
      <c r="EG83" s="326" t="s">
        <v>154</v>
      </c>
      <c r="EH83" s="326" t="s">
        <v>23</v>
      </c>
      <c r="EI83" s="326" t="s">
        <v>219</v>
      </c>
      <c r="EJ83" s="326" t="s">
        <v>27</v>
      </c>
      <c r="EK83" s="326" t="s">
        <v>28</v>
      </c>
      <c r="EL83" s="326" t="s">
        <v>29</v>
      </c>
      <c r="EM83" s="326" t="s">
        <v>32</v>
      </c>
      <c r="EN83" s="326" t="s">
        <v>220</v>
      </c>
      <c r="EO83" s="326" t="s">
        <v>157</v>
      </c>
      <c r="EP83" s="53"/>
      <c r="EQ83" s="53"/>
      <c r="ER83" s="192"/>
      <c r="ES83" s="192"/>
      <c r="ET83" s="192"/>
      <c r="EU83" s="192"/>
      <c r="EV83" s="192"/>
      <c r="EW83" s="192"/>
      <c r="EX83" s="192"/>
      <c r="EY83" s="192"/>
      <c r="EZ83" s="192"/>
      <c r="FA83" s="192"/>
      <c r="FB83" s="192"/>
      <c r="FC83" s="192"/>
      <c r="FD83" s="192"/>
      <c r="FE83" s="192"/>
      <c r="FF83" s="192"/>
      <c r="FG83" s="192"/>
      <c r="FH83" s="192"/>
      <c r="FI83" s="192"/>
      <c r="FJ83" s="192"/>
      <c r="FK83" s="53"/>
      <c r="FL83" s="53"/>
      <c r="FM83" s="53"/>
      <c r="FN83" s="326" t="s">
        <v>20</v>
      </c>
      <c r="FO83" s="326" t="s">
        <v>21</v>
      </c>
      <c r="FP83" s="326" t="s">
        <v>154</v>
      </c>
      <c r="FQ83" s="326" t="s">
        <v>23</v>
      </c>
      <c r="FR83" s="326" t="s">
        <v>36</v>
      </c>
      <c r="FS83" s="326" t="s">
        <v>37</v>
      </c>
      <c r="FT83" s="326" t="s">
        <v>221</v>
      </c>
      <c r="FU83" s="326" t="s">
        <v>222</v>
      </c>
      <c r="FV83" s="326" t="s">
        <v>223</v>
      </c>
      <c r="FW83" s="326" t="s">
        <v>224</v>
      </c>
      <c r="FX83" s="326" t="s">
        <v>225</v>
      </c>
      <c r="FY83" s="53"/>
      <c r="FZ83" s="192"/>
      <c r="GA83" s="192"/>
      <c r="GB83" s="192"/>
      <c r="GC83" s="192"/>
      <c r="GD83" s="192"/>
      <c r="GE83" s="192"/>
      <c r="GF83" s="192"/>
      <c r="GG83" s="192"/>
      <c r="GH83" s="192"/>
      <c r="GI83" s="192"/>
      <c r="GJ83" s="192"/>
      <c r="GK83" s="192"/>
      <c r="GL83" s="192"/>
      <c r="GM83" s="192"/>
      <c r="GN83" s="192"/>
      <c r="GO83" s="192"/>
      <c r="GP83" s="192"/>
      <c r="GQ83" s="192"/>
      <c r="GR83" s="192"/>
      <c r="GS83" s="192"/>
      <c r="GT83" s="53"/>
      <c r="GU83" s="53"/>
      <c r="GV83" s="326" t="s">
        <v>20</v>
      </c>
      <c r="GW83" s="326" t="s">
        <v>21</v>
      </c>
      <c r="GX83" s="326" t="s">
        <v>154</v>
      </c>
      <c r="GY83" s="326" t="s">
        <v>23</v>
      </c>
      <c r="GZ83" s="326" t="s">
        <v>36</v>
      </c>
      <c r="HA83" s="326" t="s">
        <v>37</v>
      </c>
      <c r="HB83" s="326" t="s">
        <v>221</v>
      </c>
      <c r="HC83" s="326" t="s">
        <v>222</v>
      </c>
      <c r="HD83" s="326" t="s">
        <v>223</v>
      </c>
      <c r="HE83" s="326" t="s">
        <v>224</v>
      </c>
      <c r="HF83" s="326" t="s">
        <v>225</v>
      </c>
      <c r="HI83" s="192"/>
      <c r="HJ83" s="192"/>
      <c r="HK83" s="192"/>
      <c r="HL83" s="192"/>
      <c r="HM83" s="192"/>
      <c r="HN83" s="192"/>
      <c r="HO83" s="192"/>
      <c r="HP83" s="192"/>
      <c r="HQ83" s="192"/>
      <c r="HR83" s="192"/>
      <c r="HS83" s="192"/>
      <c r="HT83" s="192"/>
      <c r="HU83" s="192"/>
      <c r="HV83" s="192"/>
      <c r="HW83" s="192"/>
      <c r="HX83" s="192"/>
      <c r="HY83" s="192"/>
      <c r="HZ83" s="192"/>
      <c r="IA83" s="192"/>
      <c r="IB83" s="53"/>
      <c r="IC83" s="53"/>
      <c r="ID83" s="326" t="s">
        <v>20</v>
      </c>
      <c r="IE83" s="326" t="s">
        <v>21</v>
      </c>
      <c r="IF83" s="326" t="s">
        <v>22</v>
      </c>
      <c r="IG83" s="326" t="s">
        <v>23</v>
      </c>
      <c r="IH83" s="326" t="s">
        <v>219</v>
      </c>
      <c r="II83" s="326" t="s">
        <v>27</v>
      </c>
      <c r="IJ83" s="326" t="s">
        <v>159</v>
      </c>
      <c r="IK83" s="326" t="s">
        <v>29</v>
      </c>
      <c r="IL83" s="326" t="s">
        <v>32</v>
      </c>
      <c r="IM83" s="326" t="s">
        <v>220</v>
      </c>
      <c r="IN83" s="326" t="s">
        <v>157</v>
      </c>
      <c r="IP83" s="11"/>
      <c r="IQ83" s="192"/>
      <c r="IR83" s="192"/>
      <c r="IS83" s="192"/>
      <c r="IT83" s="192"/>
      <c r="IU83" s="192"/>
      <c r="IV83" s="192"/>
      <c r="IW83" s="192"/>
      <c r="IX83" s="192"/>
      <c r="IY83" s="192"/>
      <c r="IZ83" s="192"/>
      <c r="JA83" s="192"/>
      <c r="JB83" s="192"/>
      <c r="JC83" s="192"/>
      <c r="JD83" s="192"/>
      <c r="JE83" s="192"/>
      <c r="JF83" s="192"/>
      <c r="JG83" s="192"/>
      <c r="JH83" s="192"/>
      <c r="JI83" s="192"/>
      <c r="JJ83" s="53"/>
      <c r="JK83" s="53"/>
      <c r="JL83" s="326" t="s">
        <v>20</v>
      </c>
      <c r="JM83" s="326" t="s">
        <v>21</v>
      </c>
      <c r="JN83" s="326" t="s">
        <v>23</v>
      </c>
      <c r="JO83" s="326" t="s">
        <v>219</v>
      </c>
      <c r="JP83" s="326" t="s">
        <v>27</v>
      </c>
      <c r="JQ83" s="326" t="s">
        <v>159</v>
      </c>
      <c r="JR83" s="326" t="s">
        <v>29</v>
      </c>
      <c r="JS83" s="326" t="s">
        <v>32</v>
      </c>
      <c r="JT83" s="326" t="s">
        <v>220</v>
      </c>
      <c r="JU83" s="326" t="s">
        <v>157</v>
      </c>
      <c r="JV83" s="192"/>
      <c r="JW83" s="192"/>
      <c r="JX83" s="192"/>
      <c r="JY83" s="192"/>
      <c r="JZ83" s="192"/>
      <c r="KA83" s="192"/>
      <c r="KB83" s="192"/>
      <c r="KC83" s="192"/>
      <c r="KD83" s="192"/>
      <c r="KE83" s="192"/>
      <c r="KF83" s="192"/>
      <c r="KG83" s="192"/>
      <c r="KH83" s="192"/>
      <c r="KI83" s="192"/>
      <c r="KJ83" s="192"/>
      <c r="KK83" s="192"/>
      <c r="KL83" s="192"/>
      <c r="KM83" s="192"/>
      <c r="KN83" s="192"/>
      <c r="KO83" s="192"/>
      <c r="KP83" s="192"/>
      <c r="KQ83" s="192"/>
      <c r="KR83" s="53"/>
      <c r="KS83" s="53"/>
      <c r="KT83" s="326" t="s">
        <v>20</v>
      </c>
      <c r="KU83" s="326" t="s">
        <v>21</v>
      </c>
      <c r="KV83" s="326" t="s">
        <v>23</v>
      </c>
      <c r="KW83" s="326" t="s">
        <v>219</v>
      </c>
      <c r="KX83" s="326" t="s">
        <v>27</v>
      </c>
      <c r="KY83" s="326" t="s">
        <v>159</v>
      </c>
      <c r="KZ83" s="326" t="s">
        <v>29</v>
      </c>
      <c r="LA83" s="326" t="s">
        <v>32</v>
      </c>
      <c r="LB83" s="326" t="s">
        <v>220</v>
      </c>
      <c r="LC83" s="326" t="s">
        <v>157</v>
      </c>
      <c r="LD83" s="11"/>
      <c r="LE83" s="11"/>
      <c r="LF83" s="11"/>
      <c r="LG83" s="192"/>
      <c r="LH83" s="192"/>
      <c r="LI83" s="192"/>
      <c r="LJ83" s="192"/>
      <c r="LK83" s="192"/>
      <c r="LL83" s="192"/>
      <c r="LM83" s="192"/>
      <c r="LN83" s="192"/>
      <c r="LO83" s="192"/>
      <c r="LP83" s="192"/>
      <c r="LQ83" s="192"/>
      <c r="LR83" s="192"/>
      <c r="LS83" s="192"/>
      <c r="LT83" s="192"/>
      <c r="LU83" s="192"/>
      <c r="LV83" s="192"/>
      <c r="LW83" s="192"/>
      <c r="LX83" s="192"/>
      <c r="LY83" s="192"/>
      <c r="LZ83" s="192"/>
      <c r="MA83" s="192"/>
      <c r="MB83" s="326" t="s">
        <v>20</v>
      </c>
      <c r="MC83" s="326" t="s">
        <v>21</v>
      </c>
      <c r="MD83" s="326" t="s">
        <v>23</v>
      </c>
      <c r="ME83" s="326" t="s">
        <v>219</v>
      </c>
      <c r="MF83" s="326" t="s">
        <v>27</v>
      </c>
      <c r="MG83" s="326" t="s">
        <v>159</v>
      </c>
      <c r="MH83" s="326" t="s">
        <v>29</v>
      </c>
      <c r="MI83" s="326" t="s">
        <v>32</v>
      </c>
      <c r="MJ83" s="326" t="s">
        <v>220</v>
      </c>
      <c r="MK83" s="326" t="s">
        <v>157</v>
      </c>
      <c r="MO83" s="192"/>
      <c r="MP83" s="192"/>
      <c r="MQ83" s="192"/>
      <c r="MR83" s="192"/>
      <c r="MS83" s="192"/>
      <c r="MT83" s="192"/>
      <c r="MU83" s="192"/>
      <c r="MV83" s="192"/>
      <c r="MW83" s="192"/>
      <c r="MX83" s="192"/>
      <c r="MY83" s="192"/>
      <c r="MZ83" s="192"/>
      <c r="NA83" s="192"/>
      <c r="NB83" s="192"/>
      <c r="NC83" s="192"/>
      <c r="ND83" s="192"/>
      <c r="NE83" s="192"/>
      <c r="NF83" s="192"/>
      <c r="NG83" s="192"/>
      <c r="NH83" s="53"/>
      <c r="NI83" s="53"/>
      <c r="NJ83" s="326" t="s">
        <v>20</v>
      </c>
      <c r="NK83" s="326" t="s">
        <v>21</v>
      </c>
      <c r="NL83" s="326" t="s">
        <v>23</v>
      </c>
      <c r="NM83" s="326" t="s">
        <v>219</v>
      </c>
      <c r="NN83" s="326" t="s">
        <v>27</v>
      </c>
      <c r="NO83" s="326" t="s">
        <v>159</v>
      </c>
      <c r="NP83" s="326" t="s">
        <v>29</v>
      </c>
      <c r="NQ83" s="326" t="s">
        <v>32</v>
      </c>
      <c r="NR83" s="326" t="s">
        <v>220</v>
      </c>
      <c r="NS83" s="326" t="s">
        <v>157</v>
      </c>
      <c r="NT83" s="53"/>
      <c r="NU83" s="53"/>
      <c r="NV83" s="53"/>
      <c r="NW83" s="53"/>
      <c r="NX83" s="53"/>
      <c r="NY83" s="53"/>
      <c r="NZ83" s="53"/>
      <c r="OA83" s="53"/>
      <c r="OB83" s="53"/>
      <c r="OC83" s="53"/>
      <c r="OD83" s="53"/>
      <c r="OE83" s="53"/>
      <c r="OF83" s="53"/>
      <c r="OG83" s="53"/>
      <c r="OH83" s="53"/>
      <c r="OI83" s="53"/>
      <c r="OJ83" s="53"/>
      <c r="OK83" s="53"/>
      <c r="OL83" s="53"/>
      <c r="OM83" s="53"/>
      <c r="ON83" s="53"/>
      <c r="OO83" s="53"/>
      <c r="OP83" s="53"/>
      <c r="OQ83" s="53"/>
      <c r="OR83" s="53"/>
      <c r="OS83" s="170" t="s">
        <v>20</v>
      </c>
      <c r="OT83" s="170" t="s">
        <v>21</v>
      </c>
      <c r="OU83" s="170" t="s">
        <v>23</v>
      </c>
      <c r="OV83" s="170" t="s">
        <v>36</v>
      </c>
      <c r="OW83" s="170" t="s">
        <v>37</v>
      </c>
      <c r="OX83" s="170" t="s">
        <v>221</v>
      </c>
      <c r="OY83" s="170" t="s">
        <v>222</v>
      </c>
      <c r="OZ83" s="170" t="s">
        <v>223</v>
      </c>
      <c r="PA83" s="170" t="s">
        <v>224</v>
      </c>
      <c r="PB83" s="170" t="s">
        <v>225</v>
      </c>
      <c r="PC83" s="144"/>
      <c r="PD83" s="144"/>
      <c r="PE83" s="144"/>
      <c r="PF83" s="144"/>
      <c r="PG83" s="144"/>
      <c r="PH83" s="144"/>
      <c r="PI83" s="144"/>
      <c r="PJ83" s="144"/>
      <c r="PK83" s="144"/>
      <c r="PL83" s="144"/>
      <c r="PM83" s="144"/>
      <c r="PN83" s="144"/>
      <c r="PO83" s="144"/>
      <c r="PP83" s="144"/>
      <c r="PQ83" s="144"/>
      <c r="PR83" s="144"/>
      <c r="PS83" s="146"/>
      <c r="PT83" s="146"/>
      <c r="PU83" s="170" t="s">
        <v>20</v>
      </c>
      <c r="PV83" s="170" t="s">
        <v>21</v>
      </c>
      <c r="PW83" s="170" t="s">
        <v>23</v>
      </c>
      <c r="PX83" s="170" t="s">
        <v>36</v>
      </c>
      <c r="PY83" s="170" t="s">
        <v>37</v>
      </c>
      <c r="PZ83" s="170" t="s">
        <v>221</v>
      </c>
      <c r="QA83" s="170" t="s">
        <v>222</v>
      </c>
      <c r="QB83" s="170" t="s">
        <v>223</v>
      </c>
      <c r="QC83" s="170" t="s">
        <v>224</v>
      </c>
      <c r="QD83" s="170" t="s">
        <v>225</v>
      </c>
      <c r="QE83" s="146"/>
      <c r="QF83" s="146"/>
      <c r="QG83" s="146"/>
      <c r="QH83" s="146"/>
      <c r="QI83" s="146"/>
      <c r="QJ83" s="146"/>
      <c r="QK83" s="146"/>
      <c r="QL83" s="146"/>
      <c r="QM83" s="146"/>
      <c r="QN83" s="146"/>
      <c r="QO83" s="146"/>
      <c r="QP83" s="146"/>
      <c r="QQ83" s="146"/>
      <c r="QR83" s="144"/>
      <c r="QS83" s="144"/>
      <c r="QT83" s="144"/>
      <c r="QU83" s="144"/>
      <c r="QV83" s="144"/>
      <c r="QW83" s="144"/>
      <c r="QX83" s="144"/>
      <c r="QY83" s="144"/>
      <c r="QZ83" s="144"/>
      <c r="RA83" s="144"/>
      <c r="RB83" s="144"/>
      <c r="RC83" s="144"/>
      <c r="RD83" s="144"/>
      <c r="RE83" s="144"/>
      <c r="RF83" s="144"/>
      <c r="RG83" s="144"/>
      <c r="RH83" s="144"/>
      <c r="RI83" s="144"/>
      <c r="RJ83" s="144"/>
      <c r="RK83" s="144"/>
      <c r="RL83" s="144"/>
      <c r="RM83" s="144"/>
      <c r="RN83" s="144"/>
      <c r="RO83" s="144"/>
      <c r="RP83" s="144"/>
      <c r="RQ83" s="144"/>
      <c r="RR83" s="144"/>
      <c r="RS83" s="144"/>
      <c r="RT83" s="144"/>
      <c r="RU83" s="144"/>
      <c r="RV83" s="144"/>
      <c r="RW83" s="144"/>
      <c r="RX83" s="144"/>
      <c r="RY83" s="144"/>
      <c r="RZ83" s="144"/>
      <c r="SA83" s="144"/>
      <c r="SB83" s="144"/>
      <c r="SC83" s="144"/>
      <c r="SD83" s="144"/>
      <c r="SE83" s="144"/>
      <c r="SF83" s="144"/>
      <c r="SG83" s="144"/>
      <c r="SH83" s="144"/>
      <c r="SI83" s="144"/>
      <c r="SJ83" s="144"/>
      <c r="SK83" s="144"/>
      <c r="SL83" s="84"/>
      <c r="SM83" s="84"/>
      <c r="SN83" s="154"/>
      <c r="SO83" s="154"/>
      <c r="SP83" s="154"/>
      <c r="SQ83" s="154"/>
      <c r="SR83" s="154"/>
      <c r="SS83" s="154"/>
      <c r="ST83" s="155"/>
      <c r="SU83" s="154"/>
      <c r="SV83" s="154"/>
      <c r="SW83" s="155"/>
      <c r="SX83" s="155"/>
      <c r="SY83" s="155"/>
      <c r="SZ83" s="155"/>
      <c r="TA83" s="155"/>
      <c r="TB83" s="155"/>
      <c r="TC83" s="155"/>
      <c r="TD83" s="156"/>
      <c r="TE83" s="144"/>
      <c r="TF83" s="84"/>
      <c r="TG83" s="144"/>
      <c r="TH83" s="144"/>
      <c r="TI83" s="144"/>
      <c r="TJ83" s="144"/>
      <c r="TK83" s="157"/>
      <c r="TL83" s="157"/>
      <c r="TM83" s="157"/>
      <c r="TN83" s="157"/>
      <c r="TO83" s="157"/>
      <c r="TP83" s="157"/>
      <c r="TQ83" s="157"/>
      <c r="TR83" s="157"/>
      <c r="TS83" s="157"/>
      <c r="TT83" s="158"/>
      <c r="TU83" s="157"/>
      <c r="TV83" s="158"/>
      <c r="TW83" s="144"/>
      <c r="TX83" s="144"/>
      <c r="TY83" s="144"/>
      <c r="TZ83" s="84"/>
      <c r="UA83" s="144"/>
      <c r="UB83" s="144"/>
      <c r="UC83" s="144"/>
      <c r="UD83" s="144"/>
      <c r="UE83" s="157"/>
      <c r="UF83" s="157"/>
      <c r="UG83" s="157"/>
      <c r="UH83" s="157"/>
      <c r="UI83" s="157"/>
      <c r="UJ83" s="157"/>
      <c r="UK83" s="157"/>
      <c r="UL83" s="157"/>
      <c r="UM83" s="157"/>
      <c r="UN83" s="157"/>
      <c r="UO83" s="157"/>
      <c r="UP83" s="158"/>
      <c r="UQ83" s="157"/>
      <c r="UR83" s="158"/>
      <c r="US83" s="144"/>
      <c r="UT83" s="144"/>
      <c r="UU83" s="144"/>
      <c r="UV83" s="144"/>
      <c r="UW83" s="144"/>
      <c r="UX83" s="144"/>
      <c r="UY83" s="144"/>
      <c r="UZ83" s="144"/>
      <c r="VA83" s="157"/>
      <c r="VB83" s="157"/>
      <c r="VC83" s="157"/>
      <c r="VD83" s="157"/>
      <c r="VE83" s="157"/>
      <c r="VF83" s="157"/>
      <c r="VG83" s="157"/>
      <c r="VH83" s="157"/>
      <c r="VI83" s="157"/>
      <c r="VJ83" s="157"/>
      <c r="VK83" s="157"/>
      <c r="VL83" s="157"/>
      <c r="VM83" s="157"/>
      <c r="VN83" s="157"/>
      <c r="VO83" s="144"/>
      <c r="VP83" s="144"/>
      <c r="VQ83" s="84"/>
      <c r="VR83" s="84"/>
      <c r="VS83" s="144"/>
      <c r="VT83" s="53"/>
      <c r="VU83" s="53"/>
    </row>
    <row r="84" ht="15.75" spans="1:593">
      <c r="A84" s="53"/>
      <c r="B84" s="53"/>
      <c r="C84" s="327" t="s">
        <v>117</v>
      </c>
      <c r="D84" s="327">
        <f t="shared" ref="D84:F84" si="887">D51</f>
        <v>3</v>
      </c>
      <c r="E84" s="327">
        <f t="shared" si="887"/>
        <v>2</v>
      </c>
      <c r="F84" s="327">
        <f t="shared" si="887"/>
        <v>2</v>
      </c>
      <c r="G84" s="161">
        <f t="shared" ref="G84:G87" si="888">S4</f>
        <v>37917</v>
      </c>
      <c r="H84" s="161">
        <f t="shared" ref="H84:H87" si="889">T4</f>
        <v>32441</v>
      </c>
      <c r="I84" s="161">
        <f t="shared" ref="I84:I87" si="890">U4-I51</f>
        <v>24633228.12</v>
      </c>
      <c r="J84" s="161">
        <f t="shared" ref="J84:J87" si="891">V4-J51</f>
        <v>21156081.62</v>
      </c>
      <c r="K84" s="179">
        <f t="shared" ref="K84:K87" si="892">I84-J84</f>
        <v>3477146.5</v>
      </c>
      <c r="L84" s="328">
        <f t="shared" ref="L84:L87" si="893">K84/I84</f>
        <v>0.141156753108492</v>
      </c>
      <c r="M84" s="162">
        <f t="shared" ref="M84:M87" si="894">I84/H84</f>
        <v>759.323945624364</v>
      </c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  <c r="AB84" s="293"/>
      <c r="AC84" s="293"/>
      <c r="AD84" s="293"/>
      <c r="AE84" s="293"/>
      <c r="AF84" s="293"/>
      <c r="AG84" s="293"/>
      <c r="AH84" s="293"/>
      <c r="AI84" s="53"/>
      <c r="AJ84" s="327" t="s">
        <v>117</v>
      </c>
      <c r="AK84" s="327">
        <f t="shared" ref="AK84:AM84" si="895">AK51</f>
        <v>1</v>
      </c>
      <c r="AL84" s="327">
        <f t="shared" si="895"/>
        <v>2</v>
      </c>
      <c r="AM84" s="327">
        <f t="shared" si="895"/>
        <v>2</v>
      </c>
      <c r="AN84" s="161">
        <f t="shared" ref="AN84:AN87" si="896">AZ4</f>
        <v>43237</v>
      </c>
      <c r="AO84" s="161">
        <f t="shared" ref="AO84:AO87" si="897">BA4</f>
        <v>37175</v>
      </c>
      <c r="AP84" s="161">
        <f t="shared" ref="AP84:AP87" si="898">BB4-AP51</f>
        <v>26599397</v>
      </c>
      <c r="AQ84" s="161">
        <f t="shared" ref="AQ84:AQ87" si="899">BC4-AQ51</f>
        <v>22553027.42</v>
      </c>
      <c r="AR84" s="179">
        <f t="shared" ref="AR84:AR87" si="900">AP84-AQ84</f>
        <v>4046369.58</v>
      </c>
      <c r="AS84" s="328">
        <f t="shared" ref="AS84:AS87" si="901">AR84/AP84</f>
        <v>0.152122605636511</v>
      </c>
      <c r="AT84" s="162">
        <f t="shared" ref="AT84:AT87" si="902">AP84/AO84</f>
        <v>715.518412911903</v>
      </c>
      <c r="AU84" s="293"/>
      <c r="AV84" s="293"/>
      <c r="AW84" s="293"/>
      <c r="AX84" s="293"/>
      <c r="AY84" s="293"/>
      <c r="AZ84" s="293"/>
      <c r="BA84" s="293"/>
      <c r="BB84" s="293"/>
      <c r="BC84" s="293"/>
      <c r="BD84" s="293"/>
      <c r="BE84" s="293"/>
      <c r="BF84" s="293"/>
      <c r="BG84" s="293"/>
      <c r="BH84" s="293"/>
      <c r="BI84" s="293"/>
      <c r="BJ84" s="293"/>
      <c r="BK84" s="293"/>
      <c r="BL84" s="293"/>
      <c r="BM84" s="293"/>
      <c r="BN84" s="293"/>
      <c r="BO84" s="293"/>
      <c r="BP84" s="53"/>
      <c r="BQ84" s="327" t="s">
        <v>117</v>
      </c>
      <c r="BR84" s="327">
        <f t="shared" ref="BR84:BT84" si="903">BR51</f>
        <v>1</v>
      </c>
      <c r="BS84" s="327">
        <f t="shared" si="903"/>
        <v>2</v>
      </c>
      <c r="BT84" s="327">
        <f t="shared" si="903"/>
        <v>68</v>
      </c>
      <c r="BU84" s="161">
        <f t="shared" ref="BU84:BU87" si="904">CG4</f>
        <v>41794</v>
      </c>
      <c r="BV84" s="161">
        <f t="shared" ref="BV84:BV87" si="905">CH4</f>
        <v>38285</v>
      </c>
      <c r="BW84" s="161">
        <f t="shared" ref="BW84:BW87" si="906">CI4-BW51</f>
        <v>28055628</v>
      </c>
      <c r="BX84" s="161">
        <f t="shared" ref="BX84:BX87" si="907">CJ4-BX51</f>
        <v>24253160.25</v>
      </c>
      <c r="BY84" s="179">
        <f t="shared" ref="BY84:BY87" si="908">BW84-BX84</f>
        <v>3802467.75</v>
      </c>
      <c r="BZ84" s="328">
        <f t="shared" ref="BZ84:BZ87" si="909">BY84/BW84</f>
        <v>0.135533153989638</v>
      </c>
      <c r="CA84" s="162">
        <f t="shared" ref="CA84:CA87" si="910">BW84/BV84</f>
        <v>732.809925558313</v>
      </c>
      <c r="CB84" s="293"/>
      <c r="CC84" s="293"/>
      <c r="CD84" s="293"/>
      <c r="CE84" s="293"/>
      <c r="CF84" s="293"/>
      <c r="CG84" s="293"/>
      <c r="CH84" s="293"/>
      <c r="CI84" s="293"/>
      <c r="CJ84" s="293"/>
      <c r="CK84" s="293"/>
      <c r="CL84" s="293"/>
      <c r="CM84" s="293"/>
      <c r="CN84" s="293"/>
      <c r="CO84" s="293"/>
      <c r="CP84" s="293"/>
      <c r="CQ84" s="293"/>
      <c r="CR84" s="293"/>
      <c r="CS84" s="293"/>
      <c r="CT84" s="293"/>
      <c r="CU84" s="293"/>
      <c r="CV84" s="293"/>
      <c r="CW84" s="53"/>
      <c r="CX84" s="327" t="s">
        <v>117</v>
      </c>
      <c r="CY84" s="327" t="str">
        <f t="shared" ref="CY84:DA84" si="911">CY51</f>
        <v>PH09</v>
      </c>
      <c r="CZ84" s="327">
        <f t="shared" si="911"/>
        <v>1</v>
      </c>
      <c r="DA84" s="327">
        <f t="shared" si="911"/>
        <v>0</v>
      </c>
      <c r="DB84" s="161">
        <f t="shared" ref="DB84:DB87" si="912">DN4</f>
        <v>44966</v>
      </c>
      <c r="DC84" s="161">
        <f t="shared" ref="DC84:DC87" si="913">DO4</f>
        <v>40212</v>
      </c>
      <c r="DD84" s="161">
        <f t="shared" ref="DD84:DD87" si="914">DP4-DD51</f>
        <v>26724636</v>
      </c>
      <c r="DE84" s="161">
        <f t="shared" ref="DE84:DE87" si="915">DQ4-DE51</f>
        <v>24655292.5</v>
      </c>
      <c r="DF84" s="179">
        <f t="shared" ref="DF84:DF87" si="916">DD84-DE84</f>
        <v>2069343.5</v>
      </c>
      <c r="DG84" s="328">
        <f t="shared" ref="DG84:DG87" si="917">DF84/DD84</f>
        <v>0.0774320555759861</v>
      </c>
      <c r="DH84" s="162">
        <f t="shared" ref="DH84:DH87" si="918">DD84/DC84</f>
        <v>664.593554162936</v>
      </c>
      <c r="DI84" s="293"/>
      <c r="DJ84" s="293"/>
      <c r="DK84" s="293"/>
      <c r="DL84" s="293"/>
      <c r="DM84" s="293"/>
      <c r="DN84" s="293"/>
      <c r="DO84" s="293"/>
      <c r="DP84" s="293"/>
      <c r="DQ84" s="293"/>
      <c r="DR84" s="293"/>
      <c r="DS84" s="293"/>
      <c r="DT84" s="293"/>
      <c r="DU84" s="293"/>
      <c r="DV84" s="293"/>
      <c r="DW84" s="293"/>
      <c r="DX84" s="293"/>
      <c r="DY84" s="293"/>
      <c r="DZ84" s="293"/>
      <c r="EA84" s="293"/>
      <c r="EB84" s="293"/>
      <c r="EC84" s="293"/>
      <c r="ED84" s="53"/>
      <c r="EE84" s="329" t="s">
        <v>117</v>
      </c>
      <c r="EF84" s="329">
        <f t="shared" ref="EF84:EH84" si="919">EF51</f>
        <v>2</v>
      </c>
      <c r="EG84" s="329">
        <f t="shared" si="919"/>
        <v>0</v>
      </c>
      <c r="EH84" s="329">
        <f t="shared" si="919"/>
        <v>56</v>
      </c>
      <c r="EI84" s="330">
        <f t="shared" ref="EI84:EI87" si="920">EU4</f>
        <v>54550</v>
      </c>
      <c r="EJ84" s="330">
        <f t="shared" ref="EJ84:EJ87" si="921">EV4</f>
        <v>47818</v>
      </c>
      <c r="EK84" s="330">
        <f t="shared" ref="EK84:EK87" si="922">EW4-EK51</f>
        <v>28147977</v>
      </c>
      <c r="EL84" s="330">
        <f t="shared" ref="EL84:EL87" si="923">EX4-EL51</f>
        <v>25142561.5</v>
      </c>
      <c r="EM84" s="331">
        <f t="shared" ref="EM84:EM87" si="924">EK84-EL84</f>
        <v>3005415.5</v>
      </c>
      <c r="EN84" s="332">
        <f t="shared" ref="EN84:EN87" si="925">EM84/EK84</f>
        <v>0.106771989333372</v>
      </c>
      <c r="EO84" s="333">
        <f t="shared" ref="EO84:EO87" si="926">EK84/EJ84</f>
        <v>588.648145049981</v>
      </c>
      <c r="EP84" s="53"/>
      <c r="EQ84" s="53"/>
      <c r="ER84" s="192"/>
      <c r="ES84" s="192"/>
      <c r="ET84" s="192"/>
      <c r="EU84" s="192"/>
      <c r="EV84" s="192"/>
      <c r="EW84" s="192"/>
      <c r="EX84" s="192"/>
      <c r="EY84" s="192"/>
      <c r="EZ84" s="192"/>
      <c r="FA84" s="192"/>
      <c r="FB84" s="192"/>
      <c r="FC84" s="192"/>
      <c r="FD84" s="192"/>
      <c r="FE84" s="192"/>
      <c r="FF84" s="192"/>
      <c r="FG84" s="192"/>
      <c r="FH84" s="192"/>
      <c r="FI84" s="192"/>
      <c r="FJ84" s="192"/>
      <c r="FK84" s="53"/>
      <c r="FL84" s="53"/>
      <c r="FM84" s="53"/>
      <c r="FN84" s="329" t="s">
        <v>117</v>
      </c>
      <c r="FO84" s="329">
        <f t="shared" ref="FO84:FQ84" si="927">FO51</f>
        <v>2</v>
      </c>
      <c r="FP84" s="329">
        <f t="shared" si="927"/>
        <v>2</v>
      </c>
      <c r="FQ84" s="329">
        <f t="shared" si="927"/>
        <v>91</v>
      </c>
      <c r="FR84" s="330">
        <f t="shared" ref="FR84:FR87" si="928">GD4</f>
        <v>61216</v>
      </c>
      <c r="FS84" s="330">
        <f t="shared" ref="FS84:FS87" si="929">GE4</f>
        <v>52969</v>
      </c>
      <c r="FT84" s="330">
        <f t="shared" ref="FT84:FT87" si="930">GF4-FT51</f>
        <v>30527437</v>
      </c>
      <c r="FU84" s="330">
        <f t="shared" ref="FU84:FU87" si="931">GG4-FU51</f>
        <v>28446663</v>
      </c>
      <c r="FV84" s="331">
        <f t="shared" ref="FV84:FV87" si="932">FT84-FU84</f>
        <v>2080774</v>
      </c>
      <c r="FW84" s="332">
        <f t="shared" ref="FW84:FW87" si="933">FV84/FT84</f>
        <v>0.0681607827083551</v>
      </c>
      <c r="FX84" s="333">
        <f t="shared" ref="FX84:FX87" si="934">FT84/FS84</f>
        <v>576.326473975344</v>
      </c>
      <c r="FY84" s="53"/>
      <c r="FZ84" s="192"/>
      <c r="GA84" s="192"/>
      <c r="GB84" s="192"/>
      <c r="GC84" s="192"/>
      <c r="GD84" s="192"/>
      <c r="GE84" s="192"/>
      <c r="GF84" s="192"/>
      <c r="GG84" s="192"/>
      <c r="GH84" s="192"/>
      <c r="GI84" s="192"/>
      <c r="GJ84" s="192"/>
      <c r="GK84" s="192"/>
      <c r="GL84" s="192"/>
      <c r="GM84" s="192"/>
      <c r="GN84" s="192"/>
      <c r="GO84" s="192"/>
      <c r="GP84" s="192"/>
      <c r="GQ84" s="192"/>
      <c r="GR84" s="192"/>
      <c r="GS84" s="192"/>
      <c r="GT84" s="53"/>
      <c r="GU84" s="53"/>
      <c r="GV84" s="329" t="s">
        <v>117</v>
      </c>
      <c r="GW84" s="329">
        <f t="shared" ref="GW84:GY84" si="935">GW51</f>
        <v>2</v>
      </c>
      <c r="GX84" s="329">
        <f t="shared" si="935"/>
        <v>2</v>
      </c>
      <c r="GY84" s="329">
        <f t="shared" si="935"/>
        <v>58</v>
      </c>
      <c r="GZ84" s="330">
        <f t="shared" ref="GZ84:GZ87" si="936">HL4</f>
        <v>69375</v>
      </c>
      <c r="HA84" s="330">
        <f t="shared" ref="HA84:HA87" si="937">HM4</f>
        <v>61434</v>
      </c>
      <c r="HB84" s="330">
        <f t="shared" ref="HB84:HB87" si="938">HN4-HB51</f>
        <v>33842970</v>
      </c>
      <c r="HC84" s="330">
        <f t="shared" ref="HC84:HC87" si="939">HO4-HC51</f>
        <v>31148904</v>
      </c>
      <c r="HD84" s="331">
        <f t="shared" ref="HD84:HD87" si="940">HB84-HC84</f>
        <v>2694066</v>
      </c>
      <c r="HE84" s="332">
        <f t="shared" ref="HE84:HE87" si="941">HD84/HB84</f>
        <v>0.0796048928329872</v>
      </c>
      <c r="HF84" s="333">
        <f t="shared" ref="HF84:HF87" si="942">HB84/HA84</f>
        <v>550.883387049517</v>
      </c>
      <c r="HI84" s="192"/>
      <c r="HJ84" s="192"/>
      <c r="HK84" s="192"/>
      <c r="HL84" s="192"/>
      <c r="HM84" s="192"/>
      <c r="HN84" s="192"/>
      <c r="HO84" s="192"/>
      <c r="HP84" s="192"/>
      <c r="HQ84" s="192"/>
      <c r="HR84" s="192"/>
      <c r="HS84" s="192"/>
      <c r="HT84" s="192"/>
      <c r="HU84" s="192"/>
      <c r="HV84" s="192"/>
      <c r="HW84" s="192"/>
      <c r="HX84" s="192"/>
      <c r="HY84" s="192"/>
      <c r="HZ84" s="192"/>
      <c r="IA84" s="192"/>
      <c r="IB84" s="53"/>
      <c r="IC84" s="53"/>
      <c r="ID84" s="329" t="s">
        <v>117</v>
      </c>
      <c r="IE84" s="329">
        <f t="shared" ref="IE84:IE87" si="943">IE51</f>
        <v>5</v>
      </c>
      <c r="IF84" s="329">
        <v>0</v>
      </c>
      <c r="IG84" s="329">
        <f t="shared" ref="IG84:IG87" si="944">IG51</f>
        <v>71</v>
      </c>
      <c r="IH84" s="330">
        <f t="shared" ref="IH84:IH87" si="945">IT4</f>
        <v>79569</v>
      </c>
      <c r="II84" s="330">
        <f t="shared" ref="II84:II87" si="946">IU4</f>
        <v>70448</v>
      </c>
      <c r="IJ84" s="330">
        <f t="shared" ref="IJ84:IJ87" si="947">IV4-IJ51</f>
        <v>40025678.37</v>
      </c>
      <c r="IK84" s="330">
        <f t="shared" ref="IK84:IK87" si="948">IW4-IK51</f>
        <v>35001995.44</v>
      </c>
      <c r="IL84" s="331">
        <f t="shared" ref="IL84:IL87" si="949">IJ84-IK84</f>
        <v>5023682.93</v>
      </c>
      <c r="IM84" s="332">
        <f t="shared" ref="IM84:IM87" si="950">IL84/IJ84</f>
        <v>0.125511499981605</v>
      </c>
      <c r="IN84" s="333">
        <f t="shared" ref="IN84:IN87" si="951">IJ84/II84</f>
        <v>568.159186492164</v>
      </c>
      <c r="IP84" s="11"/>
      <c r="IQ84" s="192"/>
      <c r="IR84" s="192"/>
      <c r="IS84" s="192"/>
      <c r="IT84" s="192"/>
      <c r="IU84" s="192"/>
      <c r="IV84" s="192"/>
      <c r="IW84" s="192"/>
      <c r="IX84" s="192"/>
      <c r="IY84" s="192"/>
      <c r="IZ84" s="192"/>
      <c r="JA84" s="192"/>
      <c r="JB84" s="192"/>
      <c r="JC84" s="192"/>
      <c r="JD84" s="192"/>
      <c r="JE84" s="192"/>
      <c r="JF84" s="192"/>
      <c r="JG84" s="192"/>
      <c r="JH84" s="192"/>
      <c r="JI84" s="192"/>
      <c r="JJ84" s="53"/>
      <c r="JK84" s="53"/>
      <c r="JL84" s="329" t="s">
        <v>117</v>
      </c>
      <c r="JM84" s="329">
        <f t="shared" ref="JM84:JM87" si="952">JM51</f>
        <v>6</v>
      </c>
      <c r="JN84" s="329">
        <f t="shared" ref="JN84:JN87" si="953">JN51</f>
        <v>0</v>
      </c>
      <c r="JO84" s="329">
        <f t="shared" ref="JO84:JO87" si="954">KB4</f>
        <v>59831</v>
      </c>
      <c r="JP84" s="330">
        <f t="shared" ref="JP84:JP87" si="955">KC4</f>
        <v>53317</v>
      </c>
      <c r="JQ84" s="330">
        <f t="shared" ref="JQ84:JQ87" si="956">KD4-JQ51</f>
        <v>31308221</v>
      </c>
      <c r="JR84" s="330">
        <f t="shared" ref="JR84:JR87" si="957">KE4-JR51</f>
        <v>26930442</v>
      </c>
      <c r="JS84" s="330">
        <f t="shared" ref="JS84:JS87" si="958">JQ84-JR84</f>
        <v>4377779</v>
      </c>
      <c r="JT84" s="334">
        <f t="shared" ref="JT84:JT87" si="959">JS84/JQ84</f>
        <v>0.139828417590383</v>
      </c>
      <c r="JU84" s="335">
        <f t="shared" ref="JU84:JU87" si="960">JQ84/JP84</f>
        <v>587.208976499053</v>
      </c>
      <c r="JV84" s="192"/>
      <c r="JW84" s="192"/>
      <c r="JX84" s="192"/>
      <c r="JY84" s="192"/>
      <c r="JZ84" s="192"/>
      <c r="KA84" s="192"/>
      <c r="KB84" s="192"/>
      <c r="KC84" s="192"/>
      <c r="KD84" s="192"/>
      <c r="KE84" s="192"/>
      <c r="KF84" s="192"/>
      <c r="KG84" s="192"/>
      <c r="KH84" s="192"/>
      <c r="KI84" s="192"/>
      <c r="KJ84" s="192"/>
      <c r="KK84" s="192"/>
      <c r="KL84" s="192"/>
      <c r="KM84" s="192"/>
      <c r="KN84" s="192"/>
      <c r="KO84" s="192"/>
      <c r="KP84" s="192"/>
      <c r="KQ84" s="192"/>
      <c r="KR84" s="53"/>
      <c r="KS84" s="53"/>
      <c r="KT84" s="329" t="s">
        <v>117</v>
      </c>
      <c r="KU84" s="329">
        <v>6</v>
      </c>
      <c r="KV84" s="329">
        <v>231</v>
      </c>
      <c r="KW84" s="329">
        <v>92176</v>
      </c>
      <c r="KX84" s="330">
        <v>79791</v>
      </c>
      <c r="KY84" s="330">
        <v>42524245</v>
      </c>
      <c r="KZ84" s="330">
        <v>36275032</v>
      </c>
      <c r="LA84" s="330">
        <v>6249213</v>
      </c>
      <c r="LB84" s="334">
        <v>0.14695647153759</v>
      </c>
      <c r="LC84" s="335">
        <v>532.945382311288</v>
      </c>
      <c r="LD84" s="11"/>
      <c r="LE84" s="11"/>
      <c r="LF84" s="11"/>
      <c r="LG84" s="192"/>
      <c r="LH84" s="192"/>
      <c r="LI84" s="192"/>
      <c r="LJ84" s="192"/>
      <c r="LK84" s="192"/>
      <c r="LL84" s="192"/>
      <c r="LM84" s="192"/>
      <c r="LN84" s="192"/>
      <c r="LO84" s="192"/>
      <c r="LP84" s="192"/>
      <c r="LQ84" s="192"/>
      <c r="LR84" s="192"/>
      <c r="LS84" s="192"/>
      <c r="LT84" s="192"/>
      <c r="LU84" s="192"/>
      <c r="LV84" s="192"/>
      <c r="LW84" s="192"/>
      <c r="LX84" s="192"/>
      <c r="LY84" s="192"/>
      <c r="LZ84" s="192"/>
      <c r="MA84" s="192"/>
      <c r="MB84" s="329" t="s">
        <v>117</v>
      </c>
      <c r="MC84" s="329">
        <f t="shared" ref="MC84:MC87" si="961">MC51</f>
        <v>7</v>
      </c>
      <c r="MD84" s="329">
        <f t="shared" ref="MD84:MD87" si="962">MD51</f>
        <v>306</v>
      </c>
      <c r="ME84" s="329">
        <f t="shared" ref="ME84:ME87" si="963">MR4</f>
        <v>111717</v>
      </c>
      <c r="MF84" s="330">
        <f t="shared" ref="MF84:MF87" si="964">MS4</f>
        <v>88291</v>
      </c>
      <c r="MG84" s="330">
        <f t="shared" ref="MG84:MG87" si="965">MT4-MG51</f>
        <v>43102106</v>
      </c>
      <c r="MH84" s="330">
        <f t="shared" ref="MH84:MH87" si="966">MU4-MH51</f>
        <v>36261308</v>
      </c>
      <c r="MI84" s="330">
        <f t="shared" ref="MI84:MI87" si="967">MG84-MH84</f>
        <v>6840798</v>
      </c>
      <c r="MJ84" s="334">
        <f t="shared" ref="MJ84:MJ87" si="968">MI84/MG84</f>
        <v>0.158711456001709</v>
      </c>
      <c r="MK84" s="335">
        <f t="shared" ref="MK84:MK87" si="969">MG84/MF84</f>
        <v>488.182328889694</v>
      </c>
      <c r="MO84" s="192"/>
      <c r="MP84" s="192"/>
      <c r="MQ84" s="192"/>
      <c r="MR84" s="192"/>
      <c r="MS84" s="192"/>
      <c r="MT84" s="192"/>
      <c r="MU84" s="192"/>
      <c r="MV84" s="192"/>
      <c r="MW84" s="192"/>
      <c r="MX84" s="192"/>
      <c r="MY84" s="192"/>
      <c r="MZ84" s="192"/>
      <c r="NA84" s="192"/>
      <c r="NB84" s="192"/>
      <c r="NC84" s="192"/>
      <c r="ND84" s="192"/>
      <c r="NE84" s="192"/>
      <c r="NF84" s="192"/>
      <c r="NG84" s="192"/>
      <c r="NH84" s="53"/>
      <c r="NI84" s="53"/>
      <c r="NJ84" s="329" t="s">
        <v>117</v>
      </c>
      <c r="NK84" s="329">
        <f t="shared" ref="NK84:NK87" si="970">NK51</f>
        <v>7</v>
      </c>
      <c r="NL84" s="329">
        <f t="shared" ref="NL84:NL87" si="971">NL51</f>
        <v>247</v>
      </c>
      <c r="NM84" s="329">
        <f t="shared" ref="NM84:NM87" si="972">NZ4</f>
        <v>117490</v>
      </c>
      <c r="NN84" s="330">
        <f t="shared" ref="NN84:NN87" si="973">OA4</f>
        <v>94131</v>
      </c>
      <c r="NO84" s="330">
        <f t="shared" ref="NO84:NO87" si="974">OB4-NO51</f>
        <v>42992145</v>
      </c>
      <c r="NP84" s="330">
        <f t="shared" ref="NP84:NP87" si="975">OC4-NP51</f>
        <v>36905145</v>
      </c>
      <c r="NQ84" s="330">
        <f t="shared" ref="NQ84:NQ87" si="976">NO84-NP84</f>
        <v>6087000</v>
      </c>
      <c r="NR84" s="334">
        <f t="shared" ref="NR84:NR95" si="977">NQ84/NO84</f>
        <v>0.141584003310372</v>
      </c>
      <c r="NS84" s="335">
        <f t="shared" ref="NS84:NS95" si="978">NO84/NN84</f>
        <v>456.726742518405</v>
      </c>
      <c r="NT84" s="53"/>
      <c r="NU84" s="53"/>
      <c r="NV84" s="53"/>
      <c r="NW84" s="53"/>
      <c r="NX84" s="53"/>
      <c r="NY84" s="53"/>
      <c r="NZ84" s="53"/>
      <c r="OA84" s="53"/>
      <c r="OB84" s="53"/>
      <c r="OC84" s="53"/>
      <c r="OD84" s="53"/>
      <c r="OE84" s="53"/>
      <c r="OF84" s="53"/>
      <c r="OG84" s="53"/>
      <c r="OH84" s="53"/>
      <c r="OI84" s="53"/>
      <c r="OJ84" s="53"/>
      <c r="OK84" s="53"/>
      <c r="OL84" s="53"/>
      <c r="OM84" s="53"/>
      <c r="ON84" s="53"/>
      <c r="OO84" s="53"/>
      <c r="OP84" s="53"/>
      <c r="OQ84" s="53"/>
      <c r="OR84" s="53"/>
      <c r="OS84" s="336" t="s">
        <v>117</v>
      </c>
      <c r="OT84" s="336">
        <f t="shared" ref="OT84:OT93" si="979">OT51</f>
        <v>7</v>
      </c>
      <c r="OU84" s="336">
        <f t="shared" ref="OU84:OU93" si="980">OU51</f>
        <v>365</v>
      </c>
      <c r="OV84" s="172">
        <f t="shared" ref="OV84:OV93" si="981">PC4</f>
        <v>141267</v>
      </c>
      <c r="OW84" s="172">
        <f t="shared" ref="OW84:OW93" si="982">PD4</f>
        <v>104178</v>
      </c>
      <c r="OX84" s="172">
        <f t="shared" ref="OX84:OX93" si="983">PE4-OX51</f>
        <v>44157267</v>
      </c>
      <c r="OY84" s="172">
        <f t="shared" ref="OY84:OY93" si="984">PF4-OY51</f>
        <v>37728874</v>
      </c>
      <c r="OZ84" s="171">
        <f t="shared" ref="OZ84:OZ93" si="985">OX84-OY84</f>
        <v>6428393</v>
      </c>
      <c r="PA84" s="337">
        <f t="shared" ref="PA84:PA93" si="986">OZ84/OX84</f>
        <v>0.145579503369174</v>
      </c>
      <c r="PB84" s="170">
        <f t="shared" ref="PB84:PB93" si="987">OX84/OW84</f>
        <v>423.863646835224</v>
      </c>
      <c r="PC84" s="144"/>
      <c r="PD84" s="144"/>
      <c r="PE84" s="144"/>
      <c r="PF84" s="144"/>
      <c r="PG84" s="144"/>
      <c r="PH84" s="144"/>
      <c r="PI84" s="144"/>
      <c r="PJ84" s="144"/>
      <c r="PK84" s="144"/>
      <c r="PL84" s="144"/>
      <c r="PM84" s="144"/>
      <c r="PN84" s="144"/>
      <c r="PO84" s="144"/>
      <c r="PP84" s="144"/>
      <c r="PQ84" s="144"/>
      <c r="PR84" s="144"/>
      <c r="PS84" s="146"/>
      <c r="PT84" s="146"/>
      <c r="PU84" s="336" t="s">
        <v>117</v>
      </c>
      <c r="PV84" s="336">
        <f t="shared" ref="PV84:PV93" si="988">PV51</f>
        <v>7</v>
      </c>
      <c r="PW84" s="336">
        <f t="shared" ref="PW84:PW93" si="989">PW51</f>
        <v>523</v>
      </c>
      <c r="PX84" s="172">
        <f t="shared" ref="PX84:PX93" si="990">QC4</f>
        <v>133093</v>
      </c>
      <c r="PY84" s="172">
        <f t="shared" ref="PY84:PY93" si="991">QD4</f>
        <v>96559</v>
      </c>
      <c r="PZ84" s="172">
        <f t="shared" ref="PZ84:PZ93" si="992">QE4-PZ51</f>
        <v>40655300</v>
      </c>
      <c r="QA84" s="172">
        <f t="shared" ref="QA84:QA93" si="993">QF4-QA51</f>
        <v>37727489</v>
      </c>
      <c r="QB84" s="171">
        <f t="shared" ref="QB84:QB87" si="994">PZ84-QA84</f>
        <v>2927811</v>
      </c>
      <c r="QC84" s="337">
        <f t="shared" ref="QC84:QC93" si="995">QB84/PZ84</f>
        <v>0.0720154813763519</v>
      </c>
      <c r="QD84" s="170">
        <f t="shared" ref="QD84:QD93" si="996">PZ84/PY84</f>
        <v>421.04102155159</v>
      </c>
      <c r="QE84" s="146"/>
      <c r="QF84" s="146"/>
      <c r="QG84" s="146"/>
      <c r="QH84" s="146"/>
      <c r="QI84" s="146"/>
      <c r="QJ84" s="146"/>
      <c r="QK84" s="146"/>
      <c r="QL84" s="146"/>
      <c r="QM84" s="146"/>
      <c r="QN84" s="146"/>
      <c r="QO84" s="146"/>
      <c r="QP84" s="146"/>
      <c r="QQ84" s="146"/>
      <c r="QR84" s="144"/>
      <c r="QS84" s="144"/>
      <c r="QT84" s="144"/>
      <c r="QU84" s="144"/>
      <c r="QV84" s="144"/>
      <c r="QW84" s="144"/>
      <c r="QX84" s="144"/>
      <c r="QY84" s="144"/>
      <c r="QZ84" s="144"/>
      <c r="RA84" s="144"/>
      <c r="RB84" s="144"/>
      <c r="RC84" s="144"/>
      <c r="RD84" s="144"/>
      <c r="RE84" s="144"/>
      <c r="RF84" s="144"/>
      <c r="RG84" s="144"/>
      <c r="RH84" s="144"/>
      <c r="RI84" s="144"/>
      <c r="RJ84" s="144"/>
      <c r="RK84" s="144"/>
      <c r="RL84" s="144"/>
      <c r="RM84" s="144"/>
      <c r="RN84" s="144"/>
      <c r="RO84" s="144"/>
      <c r="RP84" s="144"/>
      <c r="RQ84" s="144"/>
      <c r="RR84" s="144"/>
      <c r="RS84" s="144"/>
      <c r="RT84" s="144"/>
      <c r="RU84" s="144"/>
      <c r="RV84" s="144"/>
      <c r="RW84" s="144"/>
      <c r="RX84" s="144"/>
      <c r="RY84" s="144"/>
      <c r="RZ84" s="144"/>
      <c r="SA84" s="144"/>
      <c r="SB84" s="144"/>
      <c r="SC84" s="144"/>
      <c r="SD84" s="144"/>
      <c r="SE84" s="144"/>
      <c r="SF84" s="144"/>
      <c r="SG84" s="144"/>
      <c r="SH84" s="144"/>
      <c r="SI84" s="144"/>
      <c r="SJ84" s="144"/>
      <c r="SK84" s="144"/>
      <c r="SL84" s="84"/>
      <c r="SM84" s="84"/>
      <c r="SN84" s="154"/>
      <c r="SO84" s="154"/>
      <c r="SP84" s="154"/>
      <c r="SQ84" s="154"/>
      <c r="SR84" s="154"/>
      <c r="SS84" s="154"/>
      <c r="ST84" s="155"/>
      <c r="SU84" s="154"/>
      <c r="SV84" s="154"/>
      <c r="SW84" s="155"/>
      <c r="SX84" s="155"/>
      <c r="SY84" s="155"/>
      <c r="SZ84" s="155"/>
      <c r="TA84" s="155"/>
      <c r="TB84" s="155"/>
      <c r="TC84" s="155"/>
      <c r="TD84" s="156"/>
      <c r="TE84" s="144"/>
      <c r="TF84" s="84"/>
      <c r="TG84" s="144"/>
      <c r="TH84" s="144"/>
      <c r="TI84" s="144"/>
      <c r="TJ84" s="144"/>
      <c r="TK84" s="157"/>
      <c r="TL84" s="157"/>
      <c r="TM84" s="157"/>
      <c r="TN84" s="157"/>
      <c r="TO84" s="157"/>
      <c r="TP84" s="157"/>
      <c r="TQ84" s="157"/>
      <c r="TR84" s="157"/>
      <c r="TS84" s="157"/>
      <c r="TT84" s="158"/>
      <c r="TU84" s="157"/>
      <c r="TV84" s="158"/>
      <c r="TW84" s="144"/>
      <c r="TX84" s="144"/>
      <c r="TY84" s="144"/>
      <c r="TZ84" s="84"/>
      <c r="UA84" s="144"/>
      <c r="UB84" s="144"/>
      <c r="UC84" s="144"/>
      <c r="UD84" s="144"/>
      <c r="UE84" s="157"/>
      <c r="UF84" s="157"/>
      <c r="UG84" s="157"/>
      <c r="UH84" s="157"/>
      <c r="UI84" s="157"/>
      <c r="UJ84" s="157"/>
      <c r="UK84" s="157"/>
      <c r="UL84" s="157"/>
      <c r="UM84" s="157"/>
      <c r="UN84" s="157"/>
      <c r="UO84" s="157"/>
      <c r="UP84" s="158"/>
      <c r="UQ84" s="157"/>
      <c r="UR84" s="158"/>
      <c r="US84" s="144"/>
      <c r="UT84" s="144"/>
      <c r="UU84" s="144"/>
      <c r="UV84" s="144"/>
      <c r="UW84" s="144"/>
      <c r="UX84" s="144"/>
      <c r="UY84" s="144"/>
      <c r="UZ84" s="144"/>
      <c r="VA84" s="157"/>
      <c r="VB84" s="157"/>
      <c r="VC84" s="157"/>
      <c r="VD84" s="157"/>
      <c r="VE84" s="157"/>
      <c r="VF84" s="157"/>
      <c r="VG84" s="157"/>
      <c r="VH84" s="157"/>
      <c r="VI84" s="157"/>
      <c r="VJ84" s="157"/>
      <c r="VK84" s="157"/>
      <c r="VL84" s="157"/>
      <c r="VM84" s="157"/>
      <c r="VN84" s="157"/>
      <c r="VO84" s="144"/>
      <c r="VP84" s="144"/>
      <c r="VQ84" s="84"/>
      <c r="VR84" s="84"/>
      <c r="VS84" s="144"/>
      <c r="VT84" s="53"/>
      <c r="VU84" s="53"/>
    </row>
    <row r="85" ht="15.75" hidden="1" spans="1:593">
      <c r="A85" s="53"/>
      <c r="B85" s="53"/>
      <c r="C85" s="327" t="s">
        <v>120</v>
      </c>
      <c r="D85" s="327"/>
      <c r="E85" s="327"/>
      <c r="F85" s="327"/>
      <c r="G85" s="161"/>
      <c r="H85" s="161"/>
      <c r="I85" s="161"/>
      <c r="J85" s="161"/>
      <c r="K85" s="179"/>
      <c r="L85" s="328"/>
      <c r="M85" s="162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  <c r="AB85" s="293"/>
      <c r="AC85" s="293"/>
      <c r="AD85" s="293"/>
      <c r="AE85" s="293"/>
      <c r="AF85" s="293"/>
      <c r="AG85" s="293"/>
      <c r="AH85" s="293"/>
      <c r="AI85" s="53"/>
      <c r="AJ85" s="327" t="s">
        <v>120</v>
      </c>
      <c r="AK85" s="327"/>
      <c r="AL85" s="327"/>
      <c r="AM85" s="327"/>
      <c r="AN85" s="161"/>
      <c r="AO85" s="161"/>
      <c r="AP85" s="161"/>
      <c r="AQ85" s="161"/>
      <c r="AR85" s="179"/>
      <c r="AS85" s="328"/>
      <c r="AT85" s="162"/>
      <c r="AU85" s="293"/>
      <c r="AV85" s="293"/>
      <c r="AW85" s="293"/>
      <c r="AX85" s="293"/>
      <c r="AY85" s="293"/>
      <c r="AZ85" s="293"/>
      <c r="BA85" s="293"/>
      <c r="BB85" s="293"/>
      <c r="BC85" s="293"/>
      <c r="BD85" s="293"/>
      <c r="BE85" s="293"/>
      <c r="BF85" s="293"/>
      <c r="BG85" s="293"/>
      <c r="BH85" s="293"/>
      <c r="BI85" s="293"/>
      <c r="BJ85" s="293"/>
      <c r="BK85" s="293"/>
      <c r="BL85" s="293"/>
      <c r="BM85" s="293"/>
      <c r="BN85" s="293"/>
      <c r="BO85" s="293"/>
      <c r="BP85" s="53"/>
      <c r="BQ85" s="327" t="s">
        <v>120</v>
      </c>
      <c r="BR85" s="327" t="str">
        <f t="shared" ref="BR85:BT85" si="997">BR52</f>
        <v>PH09-2</v>
      </c>
      <c r="BS85" s="327">
        <f t="shared" si="997"/>
        <v>1</v>
      </c>
      <c r="BT85" s="327">
        <f t="shared" si="997"/>
        <v>2</v>
      </c>
      <c r="BU85" s="161">
        <f t="shared" si="904"/>
        <v>3363</v>
      </c>
      <c r="BV85" s="161">
        <f t="shared" si="905"/>
        <v>2867</v>
      </c>
      <c r="BW85" s="161">
        <f t="shared" si="906"/>
        <v>1112555</v>
      </c>
      <c r="BX85" s="161">
        <f t="shared" si="907"/>
        <v>1374379</v>
      </c>
      <c r="BY85" s="179">
        <f t="shared" si="908"/>
        <v>-261824</v>
      </c>
      <c r="BZ85" s="328">
        <f t="shared" si="909"/>
        <v>-0.235335781152392</v>
      </c>
      <c r="CA85" s="162">
        <f t="shared" si="910"/>
        <v>388.055458667597</v>
      </c>
      <c r="CB85" s="293"/>
      <c r="CC85" s="293"/>
      <c r="CD85" s="293"/>
      <c r="CE85" s="293"/>
      <c r="CF85" s="293"/>
      <c r="CG85" s="293"/>
      <c r="CH85" s="293"/>
      <c r="CI85" s="293"/>
      <c r="CJ85" s="293"/>
      <c r="CK85" s="293"/>
      <c r="CL85" s="293"/>
      <c r="CM85" s="293"/>
      <c r="CN85" s="293"/>
      <c r="CO85" s="293"/>
      <c r="CP85" s="293"/>
      <c r="CQ85" s="293"/>
      <c r="CR85" s="293"/>
      <c r="CS85" s="293"/>
      <c r="CT85" s="293"/>
      <c r="CU85" s="293"/>
      <c r="CV85" s="293"/>
      <c r="CW85" s="53"/>
      <c r="CX85" s="327" t="s">
        <v>120</v>
      </c>
      <c r="CY85" s="327" t="str">
        <f t="shared" ref="CY85:DA85" si="998">CY52</f>
        <v>PH09-2</v>
      </c>
      <c r="CZ85" s="327">
        <f t="shared" si="998"/>
        <v>1</v>
      </c>
      <c r="DA85" s="327">
        <f t="shared" si="998"/>
        <v>2</v>
      </c>
      <c r="DB85" s="161">
        <f t="shared" si="912"/>
        <v>4678</v>
      </c>
      <c r="DC85" s="161">
        <f t="shared" si="913"/>
        <v>3874</v>
      </c>
      <c r="DD85" s="161">
        <f t="shared" si="914"/>
        <v>1552272</v>
      </c>
      <c r="DE85" s="161">
        <f t="shared" si="915"/>
        <v>1809854.05</v>
      </c>
      <c r="DF85" s="179">
        <f t="shared" si="916"/>
        <v>-257582.05</v>
      </c>
      <c r="DG85" s="328">
        <f t="shared" si="917"/>
        <v>-0.165938733675541</v>
      </c>
      <c r="DH85" s="162">
        <f t="shared" si="918"/>
        <v>400.689726381002</v>
      </c>
      <c r="DI85" s="293"/>
      <c r="DJ85" s="293"/>
      <c r="DK85" s="293"/>
      <c r="DL85" s="293"/>
      <c r="DM85" s="293"/>
      <c r="DN85" s="293"/>
      <c r="DO85" s="293"/>
      <c r="DP85" s="293"/>
      <c r="DQ85" s="293"/>
      <c r="DR85" s="293"/>
      <c r="DS85" s="293"/>
      <c r="DT85" s="293"/>
      <c r="DU85" s="293"/>
      <c r="DV85" s="293"/>
      <c r="DW85" s="293"/>
      <c r="DX85" s="293"/>
      <c r="DY85" s="293"/>
      <c r="DZ85" s="293"/>
      <c r="EA85" s="293"/>
      <c r="EB85" s="293"/>
      <c r="EC85" s="293"/>
      <c r="ED85" s="53"/>
      <c r="EE85" s="329" t="s">
        <v>120</v>
      </c>
      <c r="EF85" s="329">
        <f t="shared" ref="EF85:EH85" si="999">EF52</f>
        <v>2</v>
      </c>
      <c r="EG85" s="329">
        <f t="shared" si="999"/>
        <v>2</v>
      </c>
      <c r="EH85" s="329">
        <f t="shared" si="999"/>
        <v>35</v>
      </c>
      <c r="EI85" s="330">
        <f t="shared" si="920"/>
        <v>8699</v>
      </c>
      <c r="EJ85" s="330">
        <f t="shared" si="921"/>
        <v>6323</v>
      </c>
      <c r="EK85" s="330">
        <f t="shared" si="922"/>
        <v>2565851</v>
      </c>
      <c r="EL85" s="330">
        <f t="shared" si="923"/>
        <v>2775584</v>
      </c>
      <c r="EM85" s="331">
        <f t="shared" si="924"/>
        <v>-209733</v>
      </c>
      <c r="EN85" s="332">
        <f t="shared" si="925"/>
        <v>-0.0817401322212397</v>
      </c>
      <c r="EO85" s="333">
        <f t="shared" si="926"/>
        <v>405.796457377827</v>
      </c>
      <c r="EP85" s="53"/>
      <c r="EQ85" s="53"/>
      <c r="ER85" s="192"/>
      <c r="ES85" s="192"/>
      <c r="ET85" s="192"/>
      <c r="EU85" s="192"/>
      <c r="EV85" s="192"/>
      <c r="EW85" s="192"/>
      <c r="EX85" s="192"/>
      <c r="EY85" s="192"/>
      <c r="EZ85" s="192"/>
      <c r="FA85" s="192"/>
      <c r="FB85" s="192"/>
      <c r="FC85" s="192"/>
      <c r="FD85" s="192"/>
      <c r="FE85" s="192"/>
      <c r="FF85" s="192"/>
      <c r="FG85" s="192"/>
      <c r="FH85" s="192"/>
      <c r="FI85" s="192"/>
      <c r="FJ85" s="192"/>
      <c r="FK85" s="53"/>
      <c r="FL85" s="53"/>
      <c r="FM85" s="53"/>
      <c r="FN85" s="329" t="s">
        <v>120</v>
      </c>
      <c r="FO85" s="329">
        <f t="shared" ref="FO85:FQ85" si="1000">FO52</f>
        <v>2</v>
      </c>
      <c r="FP85" s="329">
        <f t="shared" si="1000"/>
        <v>2</v>
      </c>
      <c r="FQ85" s="329">
        <f t="shared" si="1000"/>
        <v>83</v>
      </c>
      <c r="FR85" s="330">
        <f t="shared" si="928"/>
        <v>9792</v>
      </c>
      <c r="FS85" s="330">
        <f t="shared" si="929"/>
        <v>6485</v>
      </c>
      <c r="FT85" s="330">
        <f t="shared" si="930"/>
        <v>3041652</v>
      </c>
      <c r="FU85" s="330">
        <f t="shared" si="931"/>
        <v>3929852</v>
      </c>
      <c r="FV85" s="331">
        <f t="shared" si="932"/>
        <v>-888200</v>
      </c>
      <c r="FW85" s="332">
        <f t="shared" si="933"/>
        <v>-0.292012366963742</v>
      </c>
      <c r="FX85" s="333">
        <f t="shared" si="934"/>
        <v>469.028835774865</v>
      </c>
      <c r="FY85" s="53"/>
      <c r="FZ85" s="192"/>
      <c r="GA85" s="192"/>
      <c r="GB85" s="192"/>
      <c r="GC85" s="192"/>
      <c r="GD85" s="192"/>
      <c r="GE85" s="192"/>
      <c r="GF85" s="192"/>
      <c r="GG85" s="192"/>
      <c r="GH85" s="192"/>
      <c r="GI85" s="192"/>
      <c r="GJ85" s="192"/>
      <c r="GK85" s="192"/>
      <c r="GL85" s="192"/>
      <c r="GM85" s="192"/>
      <c r="GN85" s="192"/>
      <c r="GO85" s="192"/>
      <c r="GP85" s="192"/>
      <c r="GQ85" s="192"/>
      <c r="GR85" s="192"/>
      <c r="GS85" s="192"/>
      <c r="GT85" s="53"/>
      <c r="GU85" s="53"/>
      <c r="GV85" s="329" t="s">
        <v>120</v>
      </c>
      <c r="GW85" s="329">
        <f t="shared" ref="GW85:GY85" si="1001">GW52</f>
        <v>2</v>
      </c>
      <c r="GX85" s="329">
        <f t="shared" si="1001"/>
        <v>2</v>
      </c>
      <c r="GY85" s="329">
        <f t="shared" si="1001"/>
        <v>36</v>
      </c>
      <c r="GZ85" s="330">
        <f t="shared" si="936"/>
        <v>5985</v>
      </c>
      <c r="HA85" s="330">
        <f t="shared" si="937"/>
        <v>4407</v>
      </c>
      <c r="HB85" s="330">
        <f t="shared" si="938"/>
        <v>2251173</v>
      </c>
      <c r="HC85" s="330">
        <f t="shared" si="939"/>
        <v>2167850</v>
      </c>
      <c r="HD85" s="331">
        <f t="shared" si="940"/>
        <v>83323</v>
      </c>
      <c r="HE85" s="332">
        <f t="shared" si="941"/>
        <v>0.0370131482564867</v>
      </c>
      <c r="HF85" s="333">
        <f t="shared" si="942"/>
        <v>510.817562968005</v>
      </c>
      <c r="HI85" s="192"/>
      <c r="HJ85" s="192"/>
      <c r="HK85" s="192"/>
      <c r="HL85" s="192"/>
      <c r="HM85" s="192"/>
      <c r="HN85" s="192"/>
      <c r="HO85" s="192"/>
      <c r="HP85" s="192"/>
      <c r="HQ85" s="192"/>
      <c r="HR85" s="192"/>
      <c r="HS85" s="192"/>
      <c r="HT85" s="192"/>
      <c r="HU85" s="192"/>
      <c r="HV85" s="192"/>
      <c r="HW85" s="192"/>
      <c r="HX85" s="192"/>
      <c r="HY85" s="192"/>
      <c r="HZ85" s="192"/>
      <c r="IA85" s="192"/>
      <c r="IB85" s="53"/>
      <c r="IC85" s="53"/>
      <c r="ID85" s="329" t="s">
        <v>120</v>
      </c>
      <c r="IE85" s="329">
        <f t="shared" si="943"/>
        <v>3</v>
      </c>
      <c r="IF85" s="329">
        <v>0</v>
      </c>
      <c r="IG85" s="329">
        <f t="shared" si="944"/>
        <v>12</v>
      </c>
      <c r="IH85" s="330">
        <f t="shared" si="945"/>
        <v>5103</v>
      </c>
      <c r="II85" s="330">
        <f t="shared" si="946"/>
        <v>4051</v>
      </c>
      <c r="IJ85" s="330">
        <f t="shared" si="947"/>
        <v>1815215</v>
      </c>
      <c r="IK85" s="330">
        <f t="shared" si="948"/>
        <v>1822940</v>
      </c>
      <c r="IL85" s="331">
        <f t="shared" si="949"/>
        <v>-7725</v>
      </c>
      <c r="IM85" s="332">
        <f t="shared" si="950"/>
        <v>-0.00425569422905827</v>
      </c>
      <c r="IN85" s="333">
        <f t="shared" si="951"/>
        <v>448.090594914836</v>
      </c>
      <c r="IP85" s="11"/>
      <c r="IQ85" s="192"/>
      <c r="IR85" s="192"/>
      <c r="IS85" s="192"/>
      <c r="IT85" s="192"/>
      <c r="IU85" s="192"/>
      <c r="IV85" s="192"/>
      <c r="IW85" s="192"/>
      <c r="IX85" s="192"/>
      <c r="IY85" s="192"/>
      <c r="IZ85" s="192"/>
      <c r="JA85" s="192"/>
      <c r="JB85" s="192"/>
      <c r="JC85" s="192"/>
      <c r="JD85" s="192"/>
      <c r="JE85" s="192"/>
      <c r="JF85" s="192"/>
      <c r="JG85" s="192"/>
      <c r="JH85" s="192"/>
      <c r="JI85" s="192"/>
      <c r="JJ85" s="53"/>
      <c r="JK85" s="53"/>
      <c r="JL85" s="329" t="s">
        <v>120</v>
      </c>
      <c r="JM85" s="329">
        <f t="shared" si="952"/>
        <v>3</v>
      </c>
      <c r="JN85" s="329">
        <f t="shared" si="953"/>
        <v>20</v>
      </c>
      <c r="JO85" s="329">
        <f t="shared" si="954"/>
        <v>3880</v>
      </c>
      <c r="JP85" s="330">
        <f t="shared" si="955"/>
        <v>3202</v>
      </c>
      <c r="JQ85" s="330">
        <f t="shared" si="956"/>
        <v>2544291</v>
      </c>
      <c r="JR85" s="330">
        <f t="shared" si="957"/>
        <v>2069445</v>
      </c>
      <c r="JS85" s="330">
        <f t="shared" si="958"/>
        <v>474846</v>
      </c>
      <c r="JT85" s="334">
        <f t="shared" si="959"/>
        <v>0.186631953656245</v>
      </c>
      <c r="JU85" s="335">
        <f t="shared" si="960"/>
        <v>794.594316052467</v>
      </c>
      <c r="JV85" s="192"/>
      <c r="JW85" s="192"/>
      <c r="JX85" s="192"/>
      <c r="JY85" s="192"/>
      <c r="JZ85" s="192"/>
      <c r="KA85" s="192"/>
      <c r="KB85" s="192"/>
      <c r="KC85" s="192"/>
      <c r="KD85" s="192"/>
      <c r="KE85" s="192"/>
      <c r="KF85" s="192"/>
      <c r="KG85" s="192"/>
      <c r="KH85" s="192"/>
      <c r="KI85" s="192"/>
      <c r="KJ85" s="192"/>
      <c r="KK85" s="192"/>
      <c r="KL85" s="192"/>
      <c r="KM85" s="192"/>
      <c r="KN85" s="192"/>
      <c r="KO85" s="192"/>
      <c r="KP85" s="192"/>
      <c r="KQ85" s="192"/>
      <c r="KR85" s="53"/>
      <c r="KS85" s="53"/>
      <c r="KT85" s="329" t="s">
        <v>120</v>
      </c>
      <c r="KU85" s="329">
        <v>3</v>
      </c>
      <c r="KV85" s="329">
        <v>71</v>
      </c>
      <c r="KW85" s="329">
        <v>6314</v>
      </c>
      <c r="KX85" s="330">
        <v>4812</v>
      </c>
      <c r="KY85" s="330">
        <v>3482953</v>
      </c>
      <c r="KZ85" s="330">
        <v>4482123</v>
      </c>
      <c r="LA85" s="354">
        <v>-999170</v>
      </c>
      <c r="LB85" s="355">
        <v>-0.28687438504051</v>
      </c>
      <c r="LC85" s="335">
        <v>723.805694098088</v>
      </c>
      <c r="LD85" s="11"/>
      <c r="LE85" s="11"/>
      <c r="LF85" s="11"/>
      <c r="LG85" s="192"/>
      <c r="LH85" s="192"/>
      <c r="LI85" s="192"/>
      <c r="LJ85" s="192"/>
      <c r="LK85" s="192"/>
      <c r="LL85" s="192"/>
      <c r="LM85" s="192"/>
      <c r="LN85" s="192"/>
      <c r="LO85" s="192"/>
      <c r="LP85" s="192"/>
      <c r="LQ85" s="192"/>
      <c r="LR85" s="192"/>
      <c r="LS85" s="192"/>
      <c r="LT85" s="192"/>
      <c r="LU85" s="192"/>
      <c r="LV85" s="192"/>
      <c r="LW85" s="192"/>
      <c r="LX85" s="192"/>
      <c r="LY85" s="192"/>
      <c r="LZ85" s="192"/>
      <c r="MA85" s="192"/>
      <c r="MB85" s="329" t="s">
        <v>120</v>
      </c>
      <c r="MC85" s="329">
        <f t="shared" si="961"/>
        <v>3</v>
      </c>
      <c r="MD85" s="329">
        <f t="shared" si="962"/>
        <v>67</v>
      </c>
      <c r="ME85" s="329">
        <f t="shared" si="963"/>
        <v>7517</v>
      </c>
      <c r="MF85" s="330">
        <f t="shared" si="964"/>
        <v>5203</v>
      </c>
      <c r="MG85" s="330">
        <f t="shared" si="965"/>
        <v>4196260</v>
      </c>
      <c r="MH85" s="330">
        <f t="shared" si="966"/>
        <v>3725186</v>
      </c>
      <c r="MI85" s="330">
        <f t="shared" si="967"/>
        <v>471074</v>
      </c>
      <c r="MJ85" s="334">
        <f t="shared" si="968"/>
        <v>0.112260441440711</v>
      </c>
      <c r="MK85" s="335">
        <f t="shared" si="969"/>
        <v>806.507783970786</v>
      </c>
      <c r="MO85" s="192"/>
      <c r="MP85" s="192"/>
      <c r="MQ85" s="192"/>
      <c r="MR85" s="192"/>
      <c r="MS85" s="192"/>
      <c r="MT85" s="192"/>
      <c r="MU85" s="192"/>
      <c r="MV85" s="192"/>
      <c r="MW85" s="192"/>
      <c r="MX85" s="192"/>
      <c r="MY85" s="192"/>
      <c r="MZ85" s="192"/>
      <c r="NA85" s="192"/>
      <c r="NB85" s="192"/>
      <c r="NC85" s="192"/>
      <c r="ND85" s="192"/>
      <c r="NE85" s="192"/>
      <c r="NF85" s="192"/>
      <c r="NG85" s="192"/>
      <c r="NH85" s="53"/>
      <c r="NI85" s="53"/>
      <c r="NJ85" s="329" t="s">
        <v>120</v>
      </c>
      <c r="NK85" s="329">
        <f t="shared" si="970"/>
        <v>4</v>
      </c>
      <c r="NL85" s="329">
        <f t="shared" si="971"/>
        <v>41</v>
      </c>
      <c r="NM85" s="329">
        <f t="shared" si="972"/>
        <v>8156</v>
      </c>
      <c r="NN85" s="330">
        <f t="shared" si="973"/>
        <v>5411</v>
      </c>
      <c r="NO85" s="330">
        <f t="shared" si="974"/>
        <v>4904480</v>
      </c>
      <c r="NP85" s="330">
        <f t="shared" si="975"/>
        <v>4255901</v>
      </c>
      <c r="NQ85" s="330">
        <f t="shared" si="976"/>
        <v>648579</v>
      </c>
      <c r="NR85" s="334">
        <f t="shared" si="977"/>
        <v>0.132242154112159</v>
      </c>
      <c r="NS85" s="335">
        <f t="shared" si="978"/>
        <v>906.390685640362</v>
      </c>
      <c r="NT85" s="53"/>
      <c r="NU85" s="53"/>
      <c r="NV85" s="53"/>
      <c r="NW85" s="53"/>
      <c r="NX85" s="53"/>
      <c r="NY85" s="53"/>
      <c r="NZ85" s="53"/>
      <c r="OA85" s="53"/>
      <c r="OB85" s="53"/>
      <c r="OC85" s="53"/>
      <c r="OD85" s="53"/>
      <c r="OE85" s="53"/>
      <c r="OF85" s="53"/>
      <c r="OG85" s="53"/>
      <c r="OH85" s="53"/>
      <c r="OI85" s="53"/>
      <c r="OJ85" s="53"/>
      <c r="OK85" s="53"/>
      <c r="OL85" s="53"/>
      <c r="OM85" s="53"/>
      <c r="ON85" s="53"/>
      <c r="OO85" s="53"/>
      <c r="OP85" s="53"/>
      <c r="OQ85" s="53"/>
      <c r="OR85" s="53"/>
      <c r="OS85" s="336" t="s">
        <v>120</v>
      </c>
      <c r="OT85" s="336">
        <f t="shared" si="979"/>
        <v>2</v>
      </c>
      <c r="OU85" s="336">
        <f t="shared" si="980"/>
        <v>57</v>
      </c>
      <c r="OV85" s="172">
        <f t="shared" si="981"/>
        <v>9177</v>
      </c>
      <c r="OW85" s="172">
        <f t="shared" si="982"/>
        <v>5666</v>
      </c>
      <c r="OX85" s="172">
        <f t="shared" si="983"/>
        <v>3527068</v>
      </c>
      <c r="OY85" s="172">
        <f t="shared" si="984"/>
        <v>3010745</v>
      </c>
      <c r="OZ85" s="171">
        <f t="shared" si="985"/>
        <v>516323</v>
      </c>
      <c r="PA85" s="337">
        <f t="shared" si="986"/>
        <v>0.146388728541667</v>
      </c>
      <c r="PB85" s="170">
        <f t="shared" si="987"/>
        <v>622.496999647017</v>
      </c>
      <c r="PC85" s="144"/>
      <c r="PD85" s="144"/>
      <c r="PE85" s="144"/>
      <c r="PF85" s="144"/>
      <c r="PG85" s="144"/>
      <c r="PH85" s="144"/>
      <c r="PI85" s="144"/>
      <c r="PJ85" s="144"/>
      <c r="PK85" s="144"/>
      <c r="PL85" s="144"/>
      <c r="PM85" s="144"/>
      <c r="PN85" s="144"/>
      <c r="PO85" s="144"/>
      <c r="PP85" s="144"/>
      <c r="PQ85" s="144"/>
      <c r="PR85" s="144"/>
      <c r="PS85" s="146"/>
      <c r="PT85" s="146"/>
      <c r="PU85" s="336" t="s">
        <v>120</v>
      </c>
      <c r="PV85" s="336">
        <f t="shared" si="988"/>
        <v>2</v>
      </c>
      <c r="PW85" s="336">
        <f t="shared" si="989"/>
        <v>53</v>
      </c>
      <c r="PX85" s="172">
        <f t="shared" si="990"/>
        <v>6940</v>
      </c>
      <c r="PY85" s="172">
        <f t="shared" si="991"/>
        <v>4386</v>
      </c>
      <c r="PZ85" s="172">
        <f t="shared" si="992"/>
        <v>2009856</v>
      </c>
      <c r="QA85" s="172">
        <f t="shared" si="993"/>
        <v>1634759</v>
      </c>
      <c r="QB85" s="171">
        <f t="shared" si="994"/>
        <v>375097</v>
      </c>
      <c r="QC85" s="337">
        <f t="shared" si="995"/>
        <v>0.186628793306585</v>
      </c>
      <c r="QD85" s="170">
        <f t="shared" si="996"/>
        <v>458.243502051984</v>
      </c>
      <c r="QE85" s="146"/>
      <c r="QF85" s="146"/>
      <c r="QG85" s="146"/>
      <c r="QH85" s="146"/>
      <c r="QI85" s="146"/>
      <c r="QJ85" s="146"/>
      <c r="QK85" s="146"/>
      <c r="QL85" s="146"/>
      <c r="QM85" s="146"/>
      <c r="QN85" s="146"/>
      <c r="QO85" s="146"/>
      <c r="QP85" s="146"/>
      <c r="QQ85" s="146"/>
      <c r="QR85" s="144"/>
      <c r="QS85" s="144"/>
      <c r="QT85" s="144"/>
      <c r="QU85" s="144"/>
      <c r="QV85" s="144"/>
      <c r="QW85" s="144"/>
      <c r="QX85" s="144"/>
      <c r="QY85" s="144"/>
      <c r="QZ85" s="144"/>
      <c r="RA85" s="144"/>
      <c r="RB85" s="144"/>
      <c r="RC85" s="144"/>
      <c r="RD85" s="144"/>
      <c r="RE85" s="144"/>
      <c r="RF85" s="144"/>
      <c r="RG85" s="144"/>
      <c r="RH85" s="144"/>
      <c r="RI85" s="144"/>
      <c r="RJ85" s="144"/>
      <c r="RK85" s="144"/>
      <c r="RL85" s="144"/>
      <c r="RM85" s="144"/>
      <c r="RN85" s="144"/>
      <c r="RO85" s="144"/>
      <c r="RP85" s="144"/>
      <c r="RQ85" s="144"/>
      <c r="RR85" s="144"/>
      <c r="RS85" s="144"/>
      <c r="RT85" s="144"/>
      <c r="RU85" s="144"/>
      <c r="RV85" s="144"/>
      <c r="RW85" s="144"/>
      <c r="RX85" s="144"/>
      <c r="RY85" s="144"/>
      <c r="RZ85" s="144"/>
      <c r="SA85" s="144"/>
      <c r="SB85" s="144"/>
      <c r="SC85" s="144"/>
      <c r="SD85" s="144"/>
      <c r="SE85" s="144"/>
      <c r="SF85" s="144"/>
      <c r="SG85" s="144"/>
      <c r="SH85" s="144"/>
      <c r="SI85" s="144"/>
      <c r="SJ85" s="144"/>
      <c r="SK85" s="144"/>
      <c r="SL85" s="84"/>
      <c r="SM85" s="84"/>
      <c r="SN85" s="154"/>
      <c r="SO85" s="154"/>
      <c r="SP85" s="154"/>
      <c r="SQ85" s="154"/>
      <c r="SR85" s="154"/>
      <c r="SS85" s="154"/>
      <c r="ST85" s="155"/>
      <c r="SU85" s="154"/>
      <c r="SV85" s="154"/>
      <c r="SW85" s="155"/>
      <c r="SX85" s="155"/>
      <c r="SY85" s="155"/>
      <c r="SZ85" s="155"/>
      <c r="TA85" s="155"/>
      <c r="TB85" s="155"/>
      <c r="TC85" s="155"/>
      <c r="TD85" s="156"/>
      <c r="TE85" s="144"/>
      <c r="TF85" s="84"/>
      <c r="TG85" s="144"/>
      <c r="TH85" s="144"/>
      <c r="TI85" s="144"/>
      <c r="TJ85" s="144"/>
      <c r="TK85" s="157"/>
      <c r="TL85" s="157"/>
      <c r="TM85" s="157"/>
      <c r="TN85" s="157"/>
      <c r="TO85" s="157"/>
      <c r="TP85" s="157"/>
      <c r="TQ85" s="157"/>
      <c r="TR85" s="157"/>
      <c r="TS85" s="157"/>
      <c r="TT85" s="158"/>
      <c r="TU85" s="157"/>
      <c r="TV85" s="158"/>
      <c r="TW85" s="144"/>
      <c r="TX85" s="144"/>
      <c r="TY85" s="144"/>
      <c r="TZ85" s="84"/>
      <c r="UA85" s="144"/>
      <c r="UB85" s="144"/>
      <c r="UC85" s="144"/>
      <c r="UD85" s="144"/>
      <c r="UE85" s="157"/>
      <c r="UF85" s="157"/>
      <c r="UG85" s="157"/>
      <c r="UH85" s="157"/>
      <c r="UI85" s="157"/>
      <c r="UJ85" s="157"/>
      <c r="UK85" s="157"/>
      <c r="UL85" s="157"/>
      <c r="UM85" s="157"/>
      <c r="UN85" s="157"/>
      <c r="UO85" s="157"/>
      <c r="UP85" s="158"/>
      <c r="UQ85" s="157"/>
      <c r="UR85" s="158"/>
      <c r="US85" s="144"/>
      <c r="UT85" s="144"/>
      <c r="UU85" s="144"/>
      <c r="UV85" s="144"/>
      <c r="UW85" s="144"/>
      <c r="UX85" s="144"/>
      <c r="UY85" s="144"/>
      <c r="UZ85" s="144"/>
      <c r="VA85" s="157"/>
      <c r="VB85" s="157"/>
      <c r="VC85" s="157"/>
      <c r="VD85" s="157"/>
      <c r="VE85" s="157"/>
      <c r="VF85" s="157"/>
      <c r="VG85" s="157"/>
      <c r="VH85" s="157"/>
      <c r="VI85" s="157"/>
      <c r="VJ85" s="157"/>
      <c r="VK85" s="157"/>
      <c r="VL85" s="157"/>
      <c r="VM85" s="157"/>
      <c r="VN85" s="157"/>
      <c r="VO85" s="144"/>
      <c r="VP85" s="144"/>
      <c r="VQ85" s="84"/>
      <c r="VR85" s="84"/>
      <c r="VS85" s="144"/>
      <c r="VT85" s="53"/>
      <c r="VU85" s="53"/>
    </row>
    <row r="86" ht="15.75" spans="1:593">
      <c r="A86" s="53"/>
      <c r="B86" s="53"/>
      <c r="C86" s="327" t="s">
        <v>124</v>
      </c>
      <c r="D86" s="327">
        <f t="shared" ref="D86:F86" si="1002">D53</f>
        <v>2</v>
      </c>
      <c r="E86" s="327">
        <f t="shared" si="1002"/>
        <v>4</v>
      </c>
      <c r="F86" s="327">
        <f t="shared" si="1002"/>
        <v>4</v>
      </c>
      <c r="G86" s="161">
        <f t="shared" si="888"/>
        <v>9423</v>
      </c>
      <c r="H86" s="161">
        <f t="shared" si="889"/>
        <v>6891</v>
      </c>
      <c r="I86" s="161">
        <f t="shared" si="890"/>
        <v>3555801</v>
      </c>
      <c r="J86" s="161">
        <f t="shared" si="891"/>
        <v>2967959.69</v>
      </c>
      <c r="K86" s="179">
        <f t="shared" si="892"/>
        <v>587841.31</v>
      </c>
      <c r="L86" s="328">
        <f t="shared" si="893"/>
        <v>0.1653189562633</v>
      </c>
      <c r="M86" s="162">
        <f t="shared" si="894"/>
        <v>516.006530256857</v>
      </c>
      <c r="N86" s="293"/>
      <c r="O86" s="293"/>
      <c r="P86" s="293"/>
      <c r="Q86" s="293"/>
      <c r="R86" s="293"/>
      <c r="S86" s="293"/>
      <c r="T86" s="293"/>
      <c r="U86" s="293"/>
      <c r="V86" s="293"/>
      <c r="W86" s="293"/>
      <c r="X86" s="293"/>
      <c r="Y86" s="293"/>
      <c r="Z86" s="293"/>
      <c r="AA86" s="293"/>
      <c r="AB86" s="293"/>
      <c r="AC86" s="293"/>
      <c r="AD86" s="293"/>
      <c r="AE86" s="293"/>
      <c r="AF86" s="293"/>
      <c r="AG86" s="293"/>
      <c r="AH86" s="293"/>
      <c r="AI86" s="53"/>
      <c r="AJ86" s="327" t="s">
        <v>124</v>
      </c>
      <c r="AK86" s="327">
        <f t="shared" ref="AK86:AM86" si="1003">AK53</f>
        <v>1</v>
      </c>
      <c r="AL86" s="327">
        <f t="shared" si="1003"/>
        <v>4</v>
      </c>
      <c r="AM86" s="327">
        <f t="shared" si="1003"/>
        <v>4</v>
      </c>
      <c r="AN86" s="161">
        <f t="shared" si="896"/>
        <v>10789</v>
      </c>
      <c r="AO86" s="161">
        <f t="shared" si="897"/>
        <v>7670</v>
      </c>
      <c r="AP86" s="161">
        <f t="shared" si="898"/>
        <v>4089559</v>
      </c>
      <c r="AQ86" s="161">
        <f t="shared" si="899"/>
        <v>3389927.23</v>
      </c>
      <c r="AR86" s="179">
        <f t="shared" si="900"/>
        <v>699631.77</v>
      </c>
      <c r="AS86" s="328">
        <f t="shared" si="901"/>
        <v>0.171077558729438</v>
      </c>
      <c r="AT86" s="162">
        <f t="shared" si="902"/>
        <v>533.188917861799</v>
      </c>
      <c r="AU86" s="293"/>
      <c r="AV86" s="293"/>
      <c r="AW86" s="293"/>
      <c r="AX86" s="293"/>
      <c r="AY86" s="293"/>
      <c r="AZ86" s="293"/>
      <c r="BA86" s="293"/>
      <c r="BB86" s="293"/>
      <c r="BC86" s="293"/>
      <c r="BD86" s="293"/>
      <c r="BE86" s="293"/>
      <c r="BF86" s="293"/>
      <c r="BG86" s="293"/>
      <c r="BH86" s="293"/>
      <c r="BI86" s="293"/>
      <c r="BJ86" s="293"/>
      <c r="BK86" s="293"/>
      <c r="BL86" s="293"/>
      <c r="BM86" s="293"/>
      <c r="BN86" s="293"/>
      <c r="BO86" s="293"/>
      <c r="BP86" s="53"/>
      <c r="BQ86" s="327" t="s">
        <v>124</v>
      </c>
      <c r="BR86" s="327">
        <f t="shared" ref="BR86:BT86" si="1004">BR53</f>
        <v>1</v>
      </c>
      <c r="BS86" s="327">
        <f t="shared" si="1004"/>
        <v>4</v>
      </c>
      <c r="BT86" s="327">
        <f t="shared" si="1004"/>
        <v>106</v>
      </c>
      <c r="BU86" s="161">
        <f t="shared" si="904"/>
        <v>9765</v>
      </c>
      <c r="BV86" s="161">
        <f t="shared" si="905"/>
        <v>7490</v>
      </c>
      <c r="BW86" s="161">
        <f t="shared" si="906"/>
        <v>4641960</v>
      </c>
      <c r="BX86" s="161">
        <f t="shared" si="907"/>
        <v>3616045.75</v>
      </c>
      <c r="BY86" s="179">
        <f t="shared" si="908"/>
        <v>1025914.25</v>
      </c>
      <c r="BZ86" s="328">
        <f t="shared" si="909"/>
        <v>0.221008851864299</v>
      </c>
      <c r="CA86" s="162">
        <f t="shared" si="910"/>
        <v>619.754339118825</v>
      </c>
      <c r="CB86" s="293"/>
      <c r="CC86" s="293"/>
      <c r="CD86" s="293"/>
      <c r="CE86" s="293"/>
      <c r="CF86" s="293"/>
      <c r="CG86" s="293"/>
      <c r="CH86" s="293"/>
      <c r="CI86" s="293"/>
      <c r="CJ86" s="293"/>
      <c r="CK86" s="293"/>
      <c r="CL86" s="293"/>
      <c r="CM86" s="293"/>
      <c r="CN86" s="293"/>
      <c r="CO86" s="293"/>
      <c r="CP86" s="293"/>
      <c r="CQ86" s="293"/>
      <c r="CR86" s="293"/>
      <c r="CS86" s="293"/>
      <c r="CT86" s="293"/>
      <c r="CU86" s="293"/>
      <c r="CV86" s="293"/>
      <c r="CW86" s="53"/>
      <c r="CX86" s="327" t="s">
        <v>124</v>
      </c>
      <c r="CY86" s="327" t="str">
        <f t="shared" ref="CY86:DA86" si="1005">CY53</f>
        <v>PH25</v>
      </c>
      <c r="CZ86" s="327">
        <f t="shared" si="1005"/>
        <v>0</v>
      </c>
      <c r="DA86" s="327">
        <f t="shared" si="1005"/>
        <v>4</v>
      </c>
      <c r="DB86" s="161">
        <f t="shared" si="912"/>
        <v>9321</v>
      </c>
      <c r="DC86" s="161">
        <f t="shared" si="913"/>
        <v>7793</v>
      </c>
      <c r="DD86" s="161">
        <f t="shared" si="914"/>
        <v>4614009</v>
      </c>
      <c r="DE86" s="161">
        <f t="shared" si="915"/>
        <v>3982471</v>
      </c>
      <c r="DF86" s="179">
        <f t="shared" si="916"/>
        <v>631538</v>
      </c>
      <c r="DG86" s="328">
        <f t="shared" si="917"/>
        <v>0.136874028637569</v>
      </c>
      <c r="DH86" s="162">
        <f t="shared" si="918"/>
        <v>592.070961118953</v>
      </c>
      <c r="DI86" s="293"/>
      <c r="DJ86" s="293"/>
      <c r="DK86" s="293"/>
      <c r="DL86" s="293"/>
      <c r="DM86" s="293"/>
      <c r="DN86" s="293"/>
      <c r="DO86" s="293"/>
      <c r="DP86" s="293"/>
      <c r="DQ86" s="293"/>
      <c r="DR86" s="293"/>
      <c r="DS86" s="293"/>
      <c r="DT86" s="293"/>
      <c r="DU86" s="293"/>
      <c r="DV86" s="293"/>
      <c r="DW86" s="293"/>
      <c r="DX86" s="293"/>
      <c r="DY86" s="293"/>
      <c r="DZ86" s="293"/>
      <c r="EA86" s="293"/>
      <c r="EB86" s="293"/>
      <c r="EC86" s="293"/>
      <c r="ED86" s="53"/>
      <c r="EE86" s="329" t="s">
        <v>124</v>
      </c>
      <c r="EF86" s="329">
        <f t="shared" ref="EF86:EH86" si="1006">EF53</f>
        <v>0</v>
      </c>
      <c r="EG86" s="329">
        <f t="shared" si="1006"/>
        <v>4</v>
      </c>
      <c r="EH86" s="329">
        <f t="shared" si="1006"/>
        <v>111</v>
      </c>
      <c r="EI86" s="330">
        <f t="shared" si="920"/>
        <v>14949</v>
      </c>
      <c r="EJ86" s="330">
        <f t="shared" si="921"/>
        <v>11391</v>
      </c>
      <c r="EK86" s="330">
        <f t="shared" si="922"/>
        <v>5387284</v>
      </c>
      <c r="EL86" s="330">
        <f t="shared" si="923"/>
        <v>4773463.64</v>
      </c>
      <c r="EM86" s="331">
        <f t="shared" si="924"/>
        <v>613820.36</v>
      </c>
      <c r="EN86" s="332">
        <f t="shared" si="925"/>
        <v>0.113938741673912</v>
      </c>
      <c r="EO86" s="333">
        <f t="shared" si="926"/>
        <v>472.942147309279</v>
      </c>
      <c r="EP86" s="53"/>
      <c r="EQ86" s="53"/>
      <c r="ER86" s="192"/>
      <c r="ES86" s="192"/>
      <c r="ET86" s="192"/>
      <c r="EU86" s="192"/>
      <c r="EV86" s="192"/>
      <c r="EW86" s="192"/>
      <c r="EX86" s="192"/>
      <c r="EY86" s="192"/>
      <c r="EZ86" s="192"/>
      <c r="FA86" s="192"/>
      <c r="FB86" s="192"/>
      <c r="FC86" s="192"/>
      <c r="FD86" s="192"/>
      <c r="FE86" s="192"/>
      <c r="FF86" s="192"/>
      <c r="FG86" s="192"/>
      <c r="FH86" s="192"/>
      <c r="FI86" s="192"/>
      <c r="FJ86" s="192"/>
      <c r="FK86" s="53"/>
      <c r="FL86" s="53"/>
      <c r="FM86" s="53"/>
      <c r="FN86" s="329" t="s">
        <v>124</v>
      </c>
      <c r="FO86" s="329">
        <f t="shared" ref="FO86:FQ86" si="1007">FO53</f>
        <v>0</v>
      </c>
      <c r="FP86" s="329">
        <f t="shared" si="1007"/>
        <v>5</v>
      </c>
      <c r="FQ86" s="329">
        <f t="shared" si="1007"/>
        <v>134</v>
      </c>
      <c r="FR86" s="330">
        <f t="shared" si="928"/>
        <v>14130</v>
      </c>
      <c r="FS86" s="330">
        <f t="shared" si="929"/>
        <v>10373</v>
      </c>
      <c r="FT86" s="330">
        <f t="shared" si="930"/>
        <v>5098609</v>
      </c>
      <c r="FU86" s="330">
        <f t="shared" si="931"/>
        <v>4535235.8</v>
      </c>
      <c r="FV86" s="331">
        <f t="shared" si="932"/>
        <v>563373.2</v>
      </c>
      <c r="FW86" s="332">
        <f t="shared" si="933"/>
        <v>0.110495470431249</v>
      </c>
      <c r="FX86" s="333">
        <f t="shared" si="934"/>
        <v>491.526944953244</v>
      </c>
      <c r="FY86" s="53"/>
      <c r="FZ86" s="192"/>
      <c r="GA86" s="192"/>
      <c r="GB86" s="192"/>
      <c r="GC86" s="192"/>
      <c r="GD86" s="192"/>
      <c r="GE86" s="192"/>
      <c r="GF86" s="192"/>
      <c r="GG86" s="192"/>
      <c r="GH86" s="192"/>
      <c r="GI86" s="192"/>
      <c r="GJ86" s="192"/>
      <c r="GK86" s="192"/>
      <c r="GL86" s="192"/>
      <c r="GM86" s="192"/>
      <c r="GN86" s="192"/>
      <c r="GO86" s="192"/>
      <c r="GP86" s="192"/>
      <c r="GQ86" s="192"/>
      <c r="GR86" s="192"/>
      <c r="GS86" s="192"/>
      <c r="GT86" s="53"/>
      <c r="GU86" s="53"/>
      <c r="GV86" s="329" t="s">
        <v>124</v>
      </c>
      <c r="GW86" s="329">
        <f t="shared" ref="GW86:GY86" si="1008">GW53</f>
        <v>1</v>
      </c>
      <c r="GX86" s="329">
        <f t="shared" si="1008"/>
        <v>4</v>
      </c>
      <c r="GY86" s="329">
        <f t="shared" si="1008"/>
        <v>110</v>
      </c>
      <c r="GZ86" s="330">
        <f t="shared" si="936"/>
        <v>13540</v>
      </c>
      <c r="HA86" s="330">
        <f t="shared" si="937"/>
        <v>10649</v>
      </c>
      <c r="HB86" s="330">
        <f t="shared" si="938"/>
        <v>4951069</v>
      </c>
      <c r="HC86" s="330">
        <f t="shared" si="939"/>
        <v>4261558</v>
      </c>
      <c r="HD86" s="331">
        <f t="shared" si="940"/>
        <v>689511</v>
      </c>
      <c r="HE86" s="332">
        <f t="shared" si="941"/>
        <v>0.139265075885632</v>
      </c>
      <c r="HF86" s="333">
        <f t="shared" si="942"/>
        <v>464.932763639778</v>
      </c>
      <c r="HI86" s="192"/>
      <c r="HJ86" s="192"/>
      <c r="HK86" s="192"/>
      <c r="HL86" s="192"/>
      <c r="HM86" s="192"/>
      <c r="HN86" s="192"/>
      <c r="HO86" s="192"/>
      <c r="HP86" s="192"/>
      <c r="HQ86" s="192"/>
      <c r="HR86" s="192"/>
      <c r="HS86" s="192"/>
      <c r="HT86" s="192"/>
      <c r="HU86" s="192"/>
      <c r="HV86" s="192"/>
      <c r="HW86" s="192"/>
      <c r="HX86" s="192"/>
      <c r="HY86" s="192"/>
      <c r="HZ86" s="192"/>
      <c r="IA86" s="192"/>
      <c r="IB86" s="53"/>
      <c r="IC86" s="53"/>
      <c r="ID86" s="329" t="s">
        <v>124</v>
      </c>
      <c r="IE86" s="329">
        <f t="shared" si="943"/>
        <v>5</v>
      </c>
      <c r="IF86" s="329">
        <v>0</v>
      </c>
      <c r="IG86" s="329">
        <f t="shared" si="944"/>
        <v>104</v>
      </c>
      <c r="IH86" s="330">
        <f t="shared" si="945"/>
        <v>16869</v>
      </c>
      <c r="II86" s="330">
        <f t="shared" si="946"/>
        <v>13332</v>
      </c>
      <c r="IJ86" s="330">
        <f t="shared" si="947"/>
        <v>6078774.57</v>
      </c>
      <c r="IK86" s="330">
        <f t="shared" si="948"/>
        <v>4945222</v>
      </c>
      <c r="IL86" s="331">
        <f t="shared" si="949"/>
        <v>1133552.57</v>
      </c>
      <c r="IM86" s="332">
        <f t="shared" si="950"/>
        <v>0.186477152088237</v>
      </c>
      <c r="IN86" s="333">
        <f t="shared" si="951"/>
        <v>455.953688118812</v>
      </c>
      <c r="IP86" s="11"/>
      <c r="IQ86" s="192"/>
      <c r="IR86" s="192"/>
      <c r="IS86" s="192"/>
      <c r="IT86" s="192"/>
      <c r="IU86" s="192"/>
      <c r="IV86" s="192"/>
      <c r="IW86" s="192"/>
      <c r="IX86" s="192"/>
      <c r="IY86" s="192"/>
      <c r="IZ86" s="192"/>
      <c r="JA86" s="192"/>
      <c r="JB86" s="192"/>
      <c r="JC86" s="192"/>
      <c r="JD86" s="192"/>
      <c r="JE86" s="192"/>
      <c r="JF86" s="192"/>
      <c r="JG86" s="192"/>
      <c r="JH86" s="192"/>
      <c r="JI86" s="192"/>
      <c r="JJ86" s="53"/>
      <c r="JK86" s="53"/>
      <c r="JL86" s="329" t="s">
        <v>124</v>
      </c>
      <c r="JM86" s="329">
        <f t="shared" si="952"/>
        <v>5</v>
      </c>
      <c r="JN86" s="329">
        <f t="shared" si="953"/>
        <v>0</v>
      </c>
      <c r="JO86" s="329">
        <f t="shared" si="954"/>
        <v>14859</v>
      </c>
      <c r="JP86" s="330">
        <f t="shared" si="955"/>
        <v>11703</v>
      </c>
      <c r="JQ86" s="330">
        <f t="shared" si="956"/>
        <v>5006218</v>
      </c>
      <c r="JR86" s="330">
        <f t="shared" si="957"/>
        <v>4306174</v>
      </c>
      <c r="JS86" s="330">
        <f t="shared" si="958"/>
        <v>700044</v>
      </c>
      <c r="JT86" s="334">
        <f t="shared" si="959"/>
        <v>0.139834901316723</v>
      </c>
      <c r="JU86" s="335">
        <f t="shared" si="960"/>
        <v>427.772195163633</v>
      </c>
      <c r="JX86" s="192"/>
      <c r="JY86" s="192"/>
      <c r="JZ86" s="192"/>
      <c r="KA86" s="192"/>
      <c r="KB86" s="192"/>
      <c r="KC86" s="192"/>
      <c r="KD86" s="192"/>
      <c r="KE86" s="192"/>
      <c r="KF86" s="192"/>
      <c r="KG86" s="192"/>
      <c r="KH86" s="192"/>
      <c r="KI86" s="192"/>
      <c r="KJ86" s="192"/>
      <c r="KK86" s="192"/>
      <c r="KL86" s="192"/>
      <c r="KM86" s="192"/>
      <c r="KN86" s="192"/>
      <c r="KO86" s="192"/>
      <c r="KP86" s="192"/>
      <c r="KQ86" s="192"/>
      <c r="KR86" s="53"/>
      <c r="KS86" s="53"/>
      <c r="KT86" s="329" t="s">
        <v>124</v>
      </c>
      <c r="KU86" s="329">
        <v>5</v>
      </c>
      <c r="KV86" s="329">
        <v>155</v>
      </c>
      <c r="KW86" s="329">
        <v>20676</v>
      </c>
      <c r="KX86" s="330">
        <v>16377</v>
      </c>
      <c r="KY86" s="330">
        <v>6634696</v>
      </c>
      <c r="KZ86" s="330">
        <v>6076680.52</v>
      </c>
      <c r="LA86" s="330">
        <v>558015.48</v>
      </c>
      <c r="LB86" s="334">
        <v>0.0841056590987742</v>
      </c>
      <c r="LC86" s="335">
        <v>405.122794162545</v>
      </c>
      <c r="LF86" s="11"/>
      <c r="LG86" s="192"/>
      <c r="LH86" s="192"/>
      <c r="LI86" s="192"/>
      <c r="LJ86" s="192"/>
      <c r="LK86" s="192"/>
      <c r="LL86" s="192"/>
      <c r="LM86" s="192"/>
      <c r="LN86" s="192"/>
      <c r="LO86" s="192"/>
      <c r="LP86" s="192"/>
      <c r="LQ86" s="192"/>
      <c r="LR86" s="192"/>
      <c r="LS86" s="192"/>
      <c r="LT86" s="192"/>
      <c r="LU86" s="192"/>
      <c r="LV86" s="192"/>
      <c r="LW86" s="192"/>
      <c r="LX86" s="192"/>
      <c r="LY86" s="192"/>
      <c r="LZ86" s="192"/>
      <c r="MA86" s="192"/>
      <c r="MB86" s="329" t="s">
        <v>124</v>
      </c>
      <c r="MC86" s="329">
        <f t="shared" si="961"/>
        <v>5</v>
      </c>
      <c r="MD86" s="329">
        <f t="shared" si="962"/>
        <v>131</v>
      </c>
      <c r="ME86" s="329">
        <f t="shared" si="963"/>
        <v>22982</v>
      </c>
      <c r="MF86" s="330">
        <f t="shared" si="964"/>
        <v>16928</v>
      </c>
      <c r="MG86" s="330">
        <f t="shared" si="965"/>
        <v>6696903</v>
      </c>
      <c r="MH86" s="330">
        <f t="shared" si="966"/>
        <v>5526324</v>
      </c>
      <c r="MI86" s="330">
        <f t="shared" si="967"/>
        <v>1170579</v>
      </c>
      <c r="MJ86" s="334">
        <f t="shared" si="968"/>
        <v>0.174794080189007</v>
      </c>
      <c r="MK86" s="335">
        <f t="shared" si="969"/>
        <v>395.61099952741</v>
      </c>
      <c r="MO86" s="192"/>
      <c r="MP86" s="192"/>
      <c r="MQ86" s="192"/>
      <c r="MR86" s="192"/>
      <c r="MS86" s="192"/>
      <c r="MT86" s="192"/>
      <c r="MU86" s="192"/>
      <c r="MV86" s="192"/>
      <c r="MW86" s="192"/>
      <c r="MX86" s="192"/>
      <c r="MY86" s="192"/>
      <c r="MZ86" s="192"/>
      <c r="NA86" s="192"/>
      <c r="NB86" s="192"/>
      <c r="NC86" s="192"/>
      <c r="ND86" s="192"/>
      <c r="NE86" s="192"/>
      <c r="NF86" s="192"/>
      <c r="NG86" s="192"/>
      <c r="NH86" s="53"/>
      <c r="NI86" s="53"/>
      <c r="NJ86" s="329" t="s">
        <v>124</v>
      </c>
      <c r="NK86" s="329">
        <f t="shared" si="970"/>
        <v>5</v>
      </c>
      <c r="NL86" s="329">
        <f t="shared" si="971"/>
        <v>123</v>
      </c>
      <c r="NM86" s="329">
        <f t="shared" si="972"/>
        <v>24614</v>
      </c>
      <c r="NN86" s="330">
        <f t="shared" si="973"/>
        <v>17190</v>
      </c>
      <c r="NO86" s="330">
        <f t="shared" si="974"/>
        <v>6271071</v>
      </c>
      <c r="NP86" s="330">
        <f t="shared" si="975"/>
        <v>5360212</v>
      </c>
      <c r="NQ86" s="330">
        <f t="shared" si="976"/>
        <v>910859</v>
      </c>
      <c r="NR86" s="334">
        <f t="shared" si="977"/>
        <v>0.145247757520207</v>
      </c>
      <c r="NS86" s="335">
        <f t="shared" si="978"/>
        <v>364.8092495637</v>
      </c>
      <c r="NT86" s="53"/>
      <c r="NU86" s="53"/>
      <c r="NV86" s="53"/>
      <c r="NW86" s="53"/>
      <c r="NX86" s="53"/>
      <c r="NY86" s="53"/>
      <c r="NZ86" s="53"/>
      <c r="OA86" s="53"/>
      <c r="OB86" s="53"/>
      <c r="OC86" s="53"/>
      <c r="OD86" s="53"/>
      <c r="OE86" s="53"/>
      <c r="OF86" s="53"/>
      <c r="OG86" s="53"/>
      <c r="OH86" s="53"/>
      <c r="OI86" s="53"/>
      <c r="OJ86" s="53"/>
      <c r="OK86" s="53"/>
      <c r="OL86" s="53"/>
      <c r="OM86" s="53"/>
      <c r="ON86" s="53"/>
      <c r="OO86" s="53"/>
      <c r="OP86" s="53"/>
      <c r="OQ86" s="53"/>
      <c r="OR86" s="53"/>
      <c r="OS86" s="336" t="s">
        <v>124</v>
      </c>
      <c r="OT86" s="336">
        <f t="shared" si="979"/>
        <v>5</v>
      </c>
      <c r="OU86" s="336">
        <f t="shared" si="980"/>
        <v>93</v>
      </c>
      <c r="OV86" s="172">
        <f t="shared" si="981"/>
        <v>20460</v>
      </c>
      <c r="OW86" s="172">
        <f t="shared" si="982"/>
        <v>12286</v>
      </c>
      <c r="OX86" s="172">
        <f t="shared" si="983"/>
        <v>4759237</v>
      </c>
      <c r="OY86" s="172">
        <f t="shared" si="984"/>
        <v>4806463</v>
      </c>
      <c r="OZ86" s="171">
        <f t="shared" si="985"/>
        <v>-47226</v>
      </c>
      <c r="PA86" s="337">
        <f t="shared" si="986"/>
        <v>-0.00992301917303131</v>
      </c>
      <c r="PB86" s="170">
        <f t="shared" si="987"/>
        <v>387.370747191926</v>
      </c>
      <c r="PC86" s="144"/>
      <c r="PD86" s="144"/>
      <c r="PE86" s="144"/>
      <c r="PF86" s="144"/>
      <c r="PG86" s="144"/>
      <c r="PH86" s="144"/>
      <c r="PI86" s="144"/>
      <c r="PJ86" s="144"/>
      <c r="PK86" s="144"/>
      <c r="PL86" s="144"/>
      <c r="PM86" s="144"/>
      <c r="PN86" s="144"/>
      <c r="PO86" s="144"/>
      <c r="PP86" s="144"/>
      <c r="PQ86" s="144"/>
      <c r="PR86" s="144"/>
      <c r="PS86" s="146"/>
      <c r="PT86" s="146"/>
      <c r="PU86" s="336" t="s">
        <v>124</v>
      </c>
      <c r="PV86" s="336">
        <f t="shared" si="988"/>
        <v>5</v>
      </c>
      <c r="PW86" s="336">
        <f t="shared" si="989"/>
        <v>74</v>
      </c>
      <c r="PX86" s="172">
        <f t="shared" si="990"/>
        <v>7320</v>
      </c>
      <c r="PY86" s="172">
        <f t="shared" si="991"/>
        <v>5166</v>
      </c>
      <c r="PZ86" s="172">
        <f t="shared" si="992"/>
        <v>2239081</v>
      </c>
      <c r="QA86" s="172">
        <f t="shared" si="993"/>
        <v>2110088</v>
      </c>
      <c r="QB86" s="171">
        <f t="shared" si="994"/>
        <v>128993</v>
      </c>
      <c r="QC86" s="337">
        <f t="shared" si="995"/>
        <v>0.0576097961619075</v>
      </c>
      <c r="QD86" s="170">
        <f t="shared" si="996"/>
        <v>433.426442121564</v>
      </c>
      <c r="QE86" s="146"/>
      <c r="QF86" s="146"/>
      <c r="QG86" s="146"/>
      <c r="QH86" s="146"/>
      <c r="QI86" s="146"/>
      <c r="QJ86" s="146"/>
      <c r="QK86" s="146"/>
      <c r="QL86" s="146"/>
      <c r="QM86" s="146"/>
      <c r="QN86" s="146"/>
      <c r="QO86" s="146"/>
      <c r="QP86" s="146"/>
      <c r="QQ86" s="146"/>
      <c r="QR86" s="144"/>
      <c r="QS86" s="144"/>
      <c r="QT86" s="144"/>
      <c r="QU86" s="144"/>
      <c r="QV86" s="144"/>
      <c r="QW86" s="144"/>
      <c r="QX86" s="144"/>
      <c r="QY86" s="144"/>
      <c r="QZ86" s="144"/>
      <c r="RA86" s="144"/>
      <c r="RB86" s="144"/>
      <c r="RC86" s="144"/>
      <c r="RD86" s="144"/>
      <c r="RE86" s="144"/>
      <c r="RF86" s="144"/>
      <c r="RG86" s="144"/>
      <c r="RH86" s="144"/>
      <c r="RI86" s="144"/>
      <c r="RJ86" s="144"/>
      <c r="RK86" s="144"/>
      <c r="RL86" s="144"/>
      <c r="RM86" s="144"/>
      <c r="RN86" s="144"/>
      <c r="RO86" s="144"/>
      <c r="RP86" s="144"/>
      <c r="RQ86" s="144"/>
      <c r="RR86" s="144"/>
      <c r="RS86" s="144"/>
      <c r="RT86" s="144"/>
      <c r="RU86" s="144"/>
      <c r="RV86" s="144"/>
      <c r="RW86" s="144"/>
      <c r="RX86" s="144"/>
      <c r="RY86" s="144"/>
      <c r="RZ86" s="144"/>
      <c r="SA86" s="144"/>
      <c r="SB86" s="144"/>
      <c r="SC86" s="144"/>
      <c r="SD86" s="144"/>
      <c r="SE86" s="144"/>
      <c r="SF86" s="144"/>
      <c r="SG86" s="144"/>
      <c r="SH86" s="144"/>
      <c r="SI86" s="144"/>
      <c r="SJ86" s="144"/>
      <c r="SK86" s="144"/>
      <c r="SL86" s="84"/>
      <c r="SM86" s="84"/>
      <c r="SN86" s="154"/>
      <c r="SO86" s="154"/>
      <c r="SP86" s="154"/>
      <c r="SQ86" s="154"/>
      <c r="SR86" s="154"/>
      <c r="SS86" s="154"/>
      <c r="ST86" s="155"/>
      <c r="SU86" s="154"/>
      <c r="SV86" s="154"/>
      <c r="SW86" s="155"/>
      <c r="SX86" s="155"/>
      <c r="SY86" s="155"/>
      <c r="SZ86" s="155"/>
      <c r="TA86" s="155"/>
      <c r="TB86" s="155"/>
      <c r="TC86" s="155"/>
      <c r="TD86" s="156"/>
      <c r="TE86" s="144"/>
      <c r="TF86" s="84"/>
      <c r="TG86" s="144"/>
      <c r="TH86" s="144"/>
      <c r="TI86" s="144"/>
      <c r="TJ86" s="144"/>
      <c r="TK86" s="157"/>
      <c r="TL86" s="157"/>
      <c r="TM86" s="157"/>
      <c r="TN86" s="157"/>
      <c r="TO86" s="157"/>
      <c r="TP86" s="157"/>
      <c r="TQ86" s="157"/>
      <c r="TR86" s="157"/>
      <c r="TS86" s="157"/>
      <c r="TT86" s="158"/>
      <c r="TU86" s="157"/>
      <c r="TV86" s="158"/>
      <c r="TW86" s="144"/>
      <c r="TX86" s="144"/>
      <c r="TY86" s="144"/>
      <c r="TZ86" s="84"/>
      <c r="UA86" s="144"/>
      <c r="UB86" s="144"/>
      <c r="UC86" s="144"/>
      <c r="UD86" s="144"/>
      <c r="UE86" s="157"/>
      <c r="UF86" s="157"/>
      <c r="UG86" s="157"/>
      <c r="UH86" s="157"/>
      <c r="UI86" s="157"/>
      <c r="UJ86" s="157"/>
      <c r="UK86" s="157"/>
      <c r="UL86" s="157"/>
      <c r="UM86" s="157"/>
      <c r="UN86" s="157"/>
      <c r="UO86" s="157"/>
      <c r="UP86" s="158"/>
      <c r="UQ86" s="157"/>
      <c r="UR86" s="158"/>
      <c r="US86" s="144"/>
      <c r="UT86" s="144"/>
      <c r="UU86" s="144"/>
      <c r="UV86" s="144"/>
      <c r="UW86" s="144"/>
      <c r="UX86" s="144"/>
      <c r="UY86" s="144"/>
      <c r="UZ86" s="144"/>
      <c r="VA86" s="157"/>
      <c r="VB86" s="157"/>
      <c r="VC86" s="157"/>
      <c r="VD86" s="157"/>
      <c r="VE86" s="157"/>
      <c r="VF86" s="157"/>
      <c r="VG86" s="157"/>
      <c r="VH86" s="157"/>
      <c r="VI86" s="157"/>
      <c r="VJ86" s="157"/>
      <c r="VK86" s="157"/>
      <c r="VL86" s="157"/>
      <c r="VM86" s="157"/>
      <c r="VN86" s="157"/>
      <c r="VO86" s="144"/>
      <c r="VP86" s="144"/>
      <c r="VQ86" s="84"/>
      <c r="VR86" s="84"/>
      <c r="VS86" s="144"/>
      <c r="VT86" s="53"/>
      <c r="VU86" s="53"/>
    </row>
    <row r="87" ht="15.75" spans="1:593">
      <c r="A87" s="53"/>
      <c r="B87" s="53"/>
      <c r="C87" s="327" t="s">
        <v>127</v>
      </c>
      <c r="D87" s="327">
        <f t="shared" ref="D87:F87" si="1009">D54</f>
        <v>3</v>
      </c>
      <c r="E87" s="327">
        <f t="shared" si="1009"/>
        <v>2</v>
      </c>
      <c r="F87" s="327">
        <f t="shared" si="1009"/>
        <v>2</v>
      </c>
      <c r="G87" s="161">
        <f t="shared" si="888"/>
        <v>8992</v>
      </c>
      <c r="H87" s="161">
        <f t="shared" si="889"/>
        <v>6728</v>
      </c>
      <c r="I87" s="161">
        <f t="shared" si="890"/>
        <v>4067935.54</v>
      </c>
      <c r="J87" s="161">
        <f t="shared" si="891"/>
        <v>3650614.46</v>
      </c>
      <c r="K87" s="179">
        <f t="shared" si="892"/>
        <v>417321.08</v>
      </c>
      <c r="L87" s="328">
        <f t="shared" si="893"/>
        <v>0.102587928421304</v>
      </c>
      <c r="M87" s="162">
        <f t="shared" si="894"/>
        <v>604.627755648038</v>
      </c>
      <c r="N87" s="293"/>
      <c r="O87" s="293"/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93"/>
      <c r="AB87" s="293"/>
      <c r="AC87" s="293"/>
      <c r="AD87" s="293"/>
      <c r="AE87" s="293"/>
      <c r="AF87" s="293"/>
      <c r="AG87" s="293"/>
      <c r="AH87" s="293"/>
      <c r="AI87" s="53"/>
      <c r="AJ87" s="327" t="s">
        <v>127</v>
      </c>
      <c r="AK87" s="327">
        <f t="shared" ref="AK87:AM87" si="1010">AK54</f>
        <v>3</v>
      </c>
      <c r="AL87" s="327">
        <f t="shared" si="1010"/>
        <v>2</v>
      </c>
      <c r="AM87" s="327">
        <f t="shared" si="1010"/>
        <v>2</v>
      </c>
      <c r="AN87" s="161">
        <f t="shared" si="896"/>
        <v>9211</v>
      </c>
      <c r="AO87" s="161">
        <f t="shared" si="897"/>
        <v>6963</v>
      </c>
      <c r="AP87" s="161">
        <f t="shared" si="898"/>
        <v>4772248.51</v>
      </c>
      <c r="AQ87" s="161">
        <f t="shared" si="899"/>
        <v>3714375.34</v>
      </c>
      <c r="AR87" s="179">
        <f t="shared" si="900"/>
        <v>1057873.17</v>
      </c>
      <c r="AS87" s="328">
        <f t="shared" si="901"/>
        <v>0.221671852960566</v>
      </c>
      <c r="AT87" s="162">
        <f t="shared" si="902"/>
        <v>685.372470199627</v>
      </c>
      <c r="AU87" s="293"/>
      <c r="AV87" s="293"/>
      <c r="AW87" s="293"/>
      <c r="AX87" s="293"/>
      <c r="AY87" s="293"/>
      <c r="AZ87" s="293"/>
      <c r="BA87" s="293"/>
      <c r="BB87" s="293"/>
      <c r="BC87" s="293"/>
      <c r="BD87" s="293"/>
      <c r="BE87" s="293"/>
      <c r="BF87" s="293"/>
      <c r="BG87" s="293"/>
      <c r="BH87" s="293"/>
      <c r="BI87" s="293"/>
      <c r="BJ87" s="293"/>
      <c r="BK87" s="293"/>
      <c r="BL87" s="293"/>
      <c r="BM87" s="293"/>
      <c r="BN87" s="293"/>
      <c r="BO87" s="293"/>
      <c r="BP87" s="53"/>
      <c r="BQ87" s="327" t="s">
        <v>127</v>
      </c>
      <c r="BR87" s="327">
        <f t="shared" ref="BR87:BT87" si="1011">BR54</f>
        <v>2</v>
      </c>
      <c r="BS87" s="327">
        <f t="shared" si="1011"/>
        <v>1</v>
      </c>
      <c r="BT87" s="327">
        <f t="shared" si="1011"/>
        <v>48</v>
      </c>
      <c r="BU87" s="161">
        <f t="shared" si="904"/>
        <v>9246</v>
      </c>
      <c r="BV87" s="161">
        <f t="shared" si="905"/>
        <v>8065</v>
      </c>
      <c r="BW87" s="161">
        <f t="shared" si="906"/>
        <v>6948138.03</v>
      </c>
      <c r="BX87" s="161">
        <f t="shared" si="907"/>
        <v>5006721</v>
      </c>
      <c r="BY87" s="179">
        <f t="shared" si="908"/>
        <v>1941417.03</v>
      </c>
      <c r="BZ87" s="328">
        <f t="shared" si="909"/>
        <v>0.279415437865157</v>
      </c>
      <c r="CA87" s="162">
        <f t="shared" si="910"/>
        <v>861.51742467452</v>
      </c>
      <c r="CB87" s="293"/>
      <c r="CC87" s="293"/>
      <c r="CD87" s="293"/>
      <c r="CE87" s="293"/>
      <c r="CF87" s="293"/>
      <c r="CG87" s="293"/>
      <c r="CH87" s="293"/>
      <c r="CI87" s="293"/>
      <c r="CJ87" s="293"/>
      <c r="CK87" s="293"/>
      <c r="CL87" s="293"/>
      <c r="CM87" s="293"/>
      <c r="CN87" s="293"/>
      <c r="CO87" s="293"/>
      <c r="CP87" s="293"/>
      <c r="CQ87" s="293"/>
      <c r="CR87" s="293"/>
      <c r="CS87" s="293"/>
      <c r="CT87" s="293"/>
      <c r="CU87" s="293"/>
      <c r="CV87" s="293"/>
      <c r="CW87" s="53"/>
      <c r="CX87" s="327" t="s">
        <v>127</v>
      </c>
      <c r="CY87" s="327" t="str">
        <f t="shared" ref="CY87:DA87" si="1012">CY54</f>
        <v>PH18</v>
      </c>
      <c r="CZ87" s="327">
        <f t="shared" si="1012"/>
        <v>2</v>
      </c>
      <c r="DA87" s="327">
        <f t="shared" si="1012"/>
        <v>1</v>
      </c>
      <c r="DB87" s="161">
        <f t="shared" si="912"/>
        <v>10172</v>
      </c>
      <c r="DC87" s="161">
        <f t="shared" si="913"/>
        <v>8777</v>
      </c>
      <c r="DD87" s="161">
        <f t="shared" si="914"/>
        <v>7224492.28</v>
      </c>
      <c r="DE87" s="161">
        <f t="shared" si="915"/>
        <v>6525793.6</v>
      </c>
      <c r="DF87" s="179">
        <f t="shared" si="916"/>
        <v>698698.680000001</v>
      </c>
      <c r="DG87" s="328">
        <f t="shared" si="917"/>
        <v>0.096712495898743</v>
      </c>
      <c r="DH87" s="162">
        <f t="shared" si="918"/>
        <v>823.116358664692</v>
      </c>
      <c r="DI87" s="293"/>
      <c r="DJ87" s="293"/>
      <c r="DK87" s="293"/>
      <c r="DL87" s="293"/>
      <c r="DM87" s="293"/>
      <c r="DN87" s="293"/>
      <c r="DO87" s="293"/>
      <c r="DP87" s="293"/>
      <c r="DQ87" s="293"/>
      <c r="DR87" s="293"/>
      <c r="DS87" s="293"/>
      <c r="DT87" s="293"/>
      <c r="DU87" s="293"/>
      <c r="DV87" s="293"/>
      <c r="DW87" s="293"/>
      <c r="DX87" s="293"/>
      <c r="DY87" s="293"/>
      <c r="DZ87" s="293"/>
      <c r="EA87" s="293"/>
      <c r="EB87" s="293"/>
      <c r="EC87" s="293"/>
      <c r="ED87" s="53"/>
      <c r="EE87" s="329" t="s">
        <v>127</v>
      </c>
      <c r="EF87" s="329">
        <f t="shared" ref="EF87:EH87" si="1013">EF54</f>
        <v>2</v>
      </c>
      <c r="EG87" s="329">
        <f t="shared" si="1013"/>
        <v>1</v>
      </c>
      <c r="EH87" s="329">
        <f t="shared" si="1013"/>
        <v>40</v>
      </c>
      <c r="EI87" s="330">
        <f t="shared" si="920"/>
        <v>14566</v>
      </c>
      <c r="EJ87" s="330">
        <f t="shared" si="921"/>
        <v>12105</v>
      </c>
      <c r="EK87" s="330">
        <f t="shared" si="922"/>
        <v>7717545.37</v>
      </c>
      <c r="EL87" s="330">
        <f t="shared" si="923"/>
        <v>7244986.62</v>
      </c>
      <c r="EM87" s="331">
        <f t="shared" si="924"/>
        <v>472558.75</v>
      </c>
      <c r="EN87" s="332">
        <f t="shared" si="925"/>
        <v>0.061231742392724</v>
      </c>
      <c r="EO87" s="333">
        <f t="shared" si="926"/>
        <v>637.550216439488</v>
      </c>
      <c r="EP87" s="53"/>
      <c r="EQ87" s="53"/>
      <c r="ER87" s="192"/>
      <c r="ES87" s="192"/>
      <c r="ET87" s="192"/>
      <c r="EU87" s="192"/>
      <c r="EV87" s="192"/>
      <c r="EW87" s="192"/>
      <c r="EX87" s="192"/>
      <c r="EY87" s="192"/>
      <c r="EZ87" s="192"/>
      <c r="FA87" s="192"/>
      <c r="FB87" s="192"/>
      <c r="FC87" s="192"/>
      <c r="FD87" s="192"/>
      <c r="FE87" s="192"/>
      <c r="FF87" s="192"/>
      <c r="FG87" s="192"/>
      <c r="FH87" s="192"/>
      <c r="FI87" s="192"/>
      <c r="FJ87" s="192"/>
      <c r="FK87" s="53"/>
      <c r="FL87" s="53"/>
      <c r="FM87" s="53"/>
      <c r="FN87" s="329" t="s">
        <v>127</v>
      </c>
      <c r="FO87" s="329">
        <f t="shared" ref="FO87:FQ87" si="1014">FO54</f>
        <v>2</v>
      </c>
      <c r="FP87" s="329">
        <f t="shared" si="1014"/>
        <v>1</v>
      </c>
      <c r="FQ87" s="329">
        <f t="shared" si="1014"/>
        <v>62</v>
      </c>
      <c r="FR87" s="330">
        <f t="shared" si="928"/>
        <v>14175</v>
      </c>
      <c r="FS87" s="330">
        <f t="shared" si="929"/>
        <v>11968</v>
      </c>
      <c r="FT87" s="330">
        <f t="shared" si="930"/>
        <v>7179690.21</v>
      </c>
      <c r="FU87" s="330">
        <f t="shared" si="931"/>
        <v>6359184.25</v>
      </c>
      <c r="FV87" s="331">
        <f t="shared" si="932"/>
        <v>820505.96</v>
      </c>
      <c r="FW87" s="332">
        <f t="shared" si="933"/>
        <v>0.114281526918416</v>
      </c>
      <c r="FX87" s="333">
        <f t="shared" si="934"/>
        <v>599.907270220588</v>
      </c>
      <c r="FY87" s="53"/>
      <c r="FZ87" s="192"/>
      <c r="GA87" s="192"/>
      <c r="GB87" s="192"/>
      <c r="GC87" s="192"/>
      <c r="GD87" s="192"/>
      <c r="GE87" s="192"/>
      <c r="GF87" s="192"/>
      <c r="GG87" s="192"/>
      <c r="GH87" s="192"/>
      <c r="GI87" s="192"/>
      <c r="GJ87" s="192"/>
      <c r="GK87" s="192"/>
      <c r="GL87" s="192"/>
      <c r="GM87" s="192"/>
      <c r="GN87" s="192"/>
      <c r="GO87" s="192"/>
      <c r="GP87" s="192"/>
      <c r="GQ87" s="192"/>
      <c r="GR87" s="192"/>
      <c r="GS87" s="192"/>
      <c r="GT87" s="53"/>
      <c r="GU87" s="53"/>
      <c r="GV87" s="329" t="s">
        <v>127</v>
      </c>
      <c r="GW87" s="329">
        <f t="shared" ref="GW87:GY87" si="1015">GW54</f>
        <v>2</v>
      </c>
      <c r="GX87" s="329">
        <f t="shared" si="1015"/>
        <v>1</v>
      </c>
      <c r="GY87" s="329">
        <f t="shared" si="1015"/>
        <v>50</v>
      </c>
      <c r="GZ87" s="330">
        <f t="shared" si="936"/>
        <v>18094</v>
      </c>
      <c r="HA87" s="330">
        <f t="shared" si="937"/>
        <v>15174</v>
      </c>
      <c r="HB87" s="330">
        <f t="shared" si="938"/>
        <v>7944393.26</v>
      </c>
      <c r="HC87" s="330">
        <f t="shared" si="939"/>
        <v>7279439</v>
      </c>
      <c r="HD87" s="331">
        <f t="shared" si="940"/>
        <v>664954.26</v>
      </c>
      <c r="HE87" s="332">
        <f t="shared" si="941"/>
        <v>0.0837010754928312</v>
      </c>
      <c r="HF87" s="333">
        <f t="shared" si="942"/>
        <v>523.553002504284</v>
      </c>
      <c r="HI87" s="192"/>
      <c r="HJ87" s="192"/>
      <c r="HK87" s="192"/>
      <c r="HL87" s="192"/>
      <c r="HM87" s="192"/>
      <c r="HN87" s="192"/>
      <c r="HO87" s="192"/>
      <c r="HP87" s="192"/>
      <c r="HQ87" s="192"/>
      <c r="HR87" s="192"/>
      <c r="HS87" s="192"/>
      <c r="HT87" s="192"/>
      <c r="HU87" s="192"/>
      <c r="HV87" s="192"/>
      <c r="HW87" s="192"/>
      <c r="HX87" s="192"/>
      <c r="HY87" s="192"/>
      <c r="HZ87" s="192"/>
      <c r="IA87" s="192"/>
      <c r="IB87" s="53"/>
      <c r="IC87" s="53"/>
      <c r="ID87" s="329" t="s">
        <v>127</v>
      </c>
      <c r="IE87" s="329">
        <f t="shared" si="943"/>
        <v>3</v>
      </c>
      <c r="IF87" s="329">
        <v>0</v>
      </c>
      <c r="IG87" s="329">
        <f t="shared" si="944"/>
        <v>58</v>
      </c>
      <c r="IH87" s="330">
        <f t="shared" si="945"/>
        <v>26333</v>
      </c>
      <c r="II87" s="330">
        <f t="shared" si="946"/>
        <v>20835</v>
      </c>
      <c r="IJ87" s="330">
        <f t="shared" si="947"/>
        <v>10528634.74</v>
      </c>
      <c r="IK87" s="330">
        <f t="shared" si="948"/>
        <v>8802367</v>
      </c>
      <c r="IL87" s="331">
        <f t="shared" si="949"/>
        <v>1726267.74</v>
      </c>
      <c r="IM87" s="332">
        <f t="shared" si="950"/>
        <v>0.163959315013715</v>
      </c>
      <c r="IN87" s="333">
        <f t="shared" si="951"/>
        <v>505.334040796736</v>
      </c>
      <c r="IP87" s="11"/>
      <c r="IQ87" s="192"/>
      <c r="IR87" s="192"/>
      <c r="IS87" s="192"/>
      <c r="IT87" s="192"/>
      <c r="IU87" s="192"/>
      <c r="IV87" s="192"/>
      <c r="IW87" s="192"/>
      <c r="IX87" s="192"/>
      <c r="IY87" s="192"/>
      <c r="IZ87" s="192"/>
      <c r="JA87" s="192"/>
      <c r="JB87" s="192"/>
      <c r="JC87" s="192"/>
      <c r="JD87" s="192"/>
      <c r="JE87" s="192"/>
      <c r="JF87" s="192"/>
      <c r="JG87" s="192"/>
      <c r="JH87" s="192"/>
      <c r="JI87" s="192"/>
      <c r="JJ87" s="53"/>
      <c r="JK87" s="53"/>
      <c r="JL87" s="329" t="s">
        <v>127</v>
      </c>
      <c r="JM87" s="329">
        <f t="shared" si="952"/>
        <v>5</v>
      </c>
      <c r="JN87" s="329">
        <f t="shared" si="953"/>
        <v>0</v>
      </c>
      <c r="JO87" s="329">
        <f t="shared" si="954"/>
        <v>22103</v>
      </c>
      <c r="JP87" s="330">
        <f t="shared" si="955"/>
        <v>18102</v>
      </c>
      <c r="JQ87" s="330">
        <f t="shared" si="956"/>
        <v>9572423.77</v>
      </c>
      <c r="JR87" s="330">
        <f t="shared" si="957"/>
        <v>8002827</v>
      </c>
      <c r="JS87" s="330">
        <f t="shared" si="958"/>
        <v>1569596.77</v>
      </c>
      <c r="JT87" s="334">
        <f t="shared" si="959"/>
        <v>0.163970673228981</v>
      </c>
      <c r="JU87" s="335">
        <f t="shared" si="960"/>
        <v>528.804760247486</v>
      </c>
      <c r="JX87" s="192"/>
      <c r="JY87" s="192"/>
      <c r="JZ87" s="192"/>
      <c r="KA87" s="192"/>
      <c r="KB87" s="192"/>
      <c r="KC87" s="192"/>
      <c r="KD87" s="192"/>
      <c r="KE87" s="192"/>
      <c r="KF87" s="192"/>
      <c r="KG87" s="192"/>
      <c r="KH87" s="192"/>
      <c r="KI87" s="192"/>
      <c r="KJ87" s="192"/>
      <c r="KK87" s="192"/>
      <c r="KL87" s="192"/>
      <c r="KM87" s="192"/>
      <c r="KN87" s="192"/>
      <c r="KO87" s="192"/>
      <c r="KP87" s="192"/>
      <c r="KQ87" s="192"/>
      <c r="KR87" s="53"/>
      <c r="KS87" s="53"/>
      <c r="KT87" s="329" t="s">
        <v>127</v>
      </c>
      <c r="KU87" s="329">
        <v>5</v>
      </c>
      <c r="KV87" s="329">
        <v>125</v>
      </c>
      <c r="KW87" s="329">
        <v>27158</v>
      </c>
      <c r="KX87" s="330">
        <v>21613</v>
      </c>
      <c r="KY87" s="330">
        <v>10083112.61</v>
      </c>
      <c r="KZ87" s="330">
        <v>9087731</v>
      </c>
      <c r="LA87" s="330">
        <v>995381.610000003</v>
      </c>
      <c r="LB87" s="334">
        <v>0.0987176924923784</v>
      </c>
      <c r="LC87" s="335">
        <v>466.529987044834</v>
      </c>
      <c r="LF87" s="11"/>
      <c r="LG87" s="192"/>
      <c r="LH87" s="192"/>
      <c r="LI87" s="192"/>
      <c r="LJ87" s="192"/>
      <c r="LK87" s="192"/>
      <c r="LL87" s="192"/>
      <c r="LM87" s="192"/>
      <c r="LN87" s="192"/>
      <c r="LO87" s="192"/>
      <c r="LP87" s="192"/>
      <c r="LQ87" s="192"/>
      <c r="LR87" s="192"/>
      <c r="LS87" s="192"/>
      <c r="LT87" s="192"/>
      <c r="LU87" s="192"/>
      <c r="LV87" s="192"/>
      <c r="LW87" s="192"/>
      <c r="LX87" s="192"/>
      <c r="LY87" s="192"/>
      <c r="LZ87" s="192"/>
      <c r="MA87" s="192"/>
      <c r="MB87" s="329" t="s">
        <v>127</v>
      </c>
      <c r="MC87" s="329">
        <f t="shared" si="961"/>
        <v>5</v>
      </c>
      <c r="MD87" s="329">
        <f t="shared" si="962"/>
        <v>142</v>
      </c>
      <c r="ME87" s="329">
        <f t="shared" si="963"/>
        <v>27821</v>
      </c>
      <c r="MF87" s="330">
        <f t="shared" si="964"/>
        <v>21175</v>
      </c>
      <c r="MG87" s="330">
        <f t="shared" si="965"/>
        <v>14377878.75</v>
      </c>
      <c r="MH87" s="330">
        <f t="shared" si="966"/>
        <v>14721946</v>
      </c>
      <c r="MI87" s="354">
        <f t="shared" si="967"/>
        <v>-344067.25</v>
      </c>
      <c r="MJ87" s="355">
        <f t="shared" si="968"/>
        <v>-0.0239303207366386</v>
      </c>
      <c r="MK87" s="335">
        <f t="shared" si="969"/>
        <v>679.00253837072</v>
      </c>
      <c r="MO87" s="192"/>
      <c r="MP87" s="192"/>
      <c r="MQ87" s="192"/>
      <c r="MR87" s="192"/>
      <c r="MS87" s="192"/>
      <c r="MT87" s="192"/>
      <c r="MU87" s="192"/>
      <c r="MV87" s="192"/>
      <c r="MW87" s="192"/>
      <c r="MX87" s="192"/>
      <c r="MY87" s="192"/>
      <c r="MZ87" s="192"/>
      <c r="NA87" s="192"/>
      <c r="NB87" s="192"/>
      <c r="NC87" s="192"/>
      <c r="ND87" s="192"/>
      <c r="NE87" s="192"/>
      <c r="NF87" s="192"/>
      <c r="NG87" s="192"/>
      <c r="NH87" s="53"/>
      <c r="NI87" s="53"/>
      <c r="NJ87" s="329" t="s">
        <v>127</v>
      </c>
      <c r="NK87" s="329">
        <f t="shared" si="970"/>
        <v>7</v>
      </c>
      <c r="NL87" s="329">
        <f t="shared" si="971"/>
        <v>145</v>
      </c>
      <c r="NM87" s="329">
        <f t="shared" si="972"/>
        <v>30033</v>
      </c>
      <c r="NN87" s="330">
        <f t="shared" si="973"/>
        <v>20073</v>
      </c>
      <c r="NO87" s="330">
        <f t="shared" si="974"/>
        <v>8161444.14</v>
      </c>
      <c r="NP87" s="330">
        <f t="shared" si="975"/>
        <v>8135548</v>
      </c>
      <c r="NQ87" s="330">
        <f t="shared" si="976"/>
        <v>25896.1400000006</v>
      </c>
      <c r="NR87" s="334">
        <f t="shared" si="977"/>
        <v>0.00317298502027125</v>
      </c>
      <c r="NS87" s="335">
        <f t="shared" si="978"/>
        <v>406.588160215214</v>
      </c>
      <c r="NT87" s="53"/>
      <c r="NU87" s="53"/>
      <c r="NV87" s="53"/>
      <c r="NW87" s="53"/>
      <c r="NX87" s="53"/>
      <c r="NY87" s="53"/>
      <c r="NZ87" s="53"/>
      <c r="OA87" s="53"/>
      <c r="OB87" s="53"/>
      <c r="OC87" s="53"/>
      <c r="OD87" s="53"/>
      <c r="OE87" s="53"/>
      <c r="OF87" s="53"/>
      <c r="OG87" s="53"/>
      <c r="OH87" s="53"/>
      <c r="OI87" s="53"/>
      <c r="OJ87" s="53"/>
      <c r="OK87" s="53"/>
      <c r="OL87" s="53"/>
      <c r="OM87" s="53"/>
      <c r="ON87" s="53"/>
      <c r="OO87" s="53"/>
      <c r="OP87" s="53"/>
      <c r="OQ87" s="53"/>
      <c r="OR87" s="53"/>
      <c r="OS87" s="336" t="s">
        <v>127</v>
      </c>
      <c r="OT87" s="336">
        <f t="shared" si="979"/>
        <v>6</v>
      </c>
      <c r="OU87" s="336">
        <f t="shared" si="980"/>
        <v>175</v>
      </c>
      <c r="OV87" s="172">
        <f t="shared" si="981"/>
        <v>29075</v>
      </c>
      <c r="OW87" s="172">
        <f t="shared" si="982"/>
        <v>17592</v>
      </c>
      <c r="OX87" s="172">
        <f t="shared" si="983"/>
        <v>6222524.84</v>
      </c>
      <c r="OY87" s="172">
        <f t="shared" si="984"/>
        <v>5466031</v>
      </c>
      <c r="OZ87" s="171">
        <f t="shared" si="985"/>
        <v>756493.84</v>
      </c>
      <c r="PA87" s="337">
        <f t="shared" si="986"/>
        <v>0.121573454417902</v>
      </c>
      <c r="PB87" s="170">
        <f t="shared" si="987"/>
        <v>353.713326512051</v>
      </c>
      <c r="PC87" s="144"/>
      <c r="PD87" s="144"/>
      <c r="PE87" s="144"/>
      <c r="PF87" s="144"/>
      <c r="PG87" s="144"/>
      <c r="PH87" s="144"/>
      <c r="PI87" s="144"/>
      <c r="PJ87" s="144"/>
      <c r="PK87" s="144"/>
      <c r="PL87" s="144"/>
      <c r="PM87" s="144"/>
      <c r="PN87" s="144"/>
      <c r="PO87" s="144"/>
      <c r="PP87" s="144"/>
      <c r="PQ87" s="144"/>
      <c r="PR87" s="144"/>
      <c r="PS87" s="146"/>
      <c r="PT87" s="146"/>
      <c r="PU87" s="336" t="s">
        <v>127</v>
      </c>
      <c r="PV87" s="336">
        <f t="shared" si="988"/>
        <v>6</v>
      </c>
      <c r="PW87" s="336">
        <f t="shared" si="989"/>
        <v>196</v>
      </c>
      <c r="PX87" s="172">
        <f t="shared" si="990"/>
        <v>22040</v>
      </c>
      <c r="PY87" s="172">
        <f t="shared" si="991"/>
        <v>13249</v>
      </c>
      <c r="PZ87" s="172">
        <f t="shared" si="992"/>
        <v>5370259.76</v>
      </c>
      <c r="QA87" s="172">
        <f t="shared" si="993"/>
        <v>5572029</v>
      </c>
      <c r="QB87" s="171">
        <f t="shared" si="994"/>
        <v>-201769.24</v>
      </c>
      <c r="QC87" s="337">
        <f t="shared" si="995"/>
        <v>-0.037571597840176</v>
      </c>
      <c r="QD87" s="170">
        <f t="shared" si="996"/>
        <v>405.333214582233</v>
      </c>
      <c r="QE87" s="146"/>
      <c r="QF87" s="146"/>
      <c r="QG87" s="146"/>
      <c r="QH87" s="146"/>
      <c r="QI87" s="146"/>
      <c r="QJ87" s="146"/>
      <c r="QK87" s="146"/>
      <c r="QL87" s="146"/>
      <c r="QM87" s="146"/>
      <c r="QN87" s="146"/>
      <c r="QO87" s="146"/>
      <c r="QP87" s="146"/>
      <c r="QQ87" s="146"/>
      <c r="QR87" s="144"/>
      <c r="QS87" s="144"/>
      <c r="QT87" s="144"/>
      <c r="QU87" s="144"/>
      <c r="QV87" s="144"/>
      <c r="QW87" s="144"/>
      <c r="QX87" s="144"/>
      <c r="QY87" s="144"/>
      <c r="QZ87" s="144"/>
      <c r="RA87" s="144"/>
      <c r="RB87" s="144"/>
      <c r="RC87" s="144"/>
      <c r="RD87" s="144"/>
      <c r="RE87" s="144"/>
      <c r="RF87" s="144"/>
      <c r="RG87" s="144"/>
      <c r="RH87" s="144"/>
      <c r="RI87" s="144"/>
      <c r="RJ87" s="144"/>
      <c r="RK87" s="144"/>
      <c r="RL87" s="144"/>
      <c r="RM87" s="144"/>
      <c r="RN87" s="144"/>
      <c r="RO87" s="144"/>
      <c r="RP87" s="144"/>
      <c r="RQ87" s="144"/>
      <c r="RR87" s="144"/>
      <c r="RS87" s="144"/>
      <c r="RT87" s="144"/>
      <c r="RU87" s="144"/>
      <c r="RV87" s="144"/>
      <c r="RW87" s="144"/>
      <c r="RX87" s="144"/>
      <c r="RY87" s="144"/>
      <c r="RZ87" s="144"/>
      <c r="SA87" s="144"/>
      <c r="SB87" s="144"/>
      <c r="SC87" s="144"/>
      <c r="SD87" s="144"/>
      <c r="SE87" s="144"/>
      <c r="SF87" s="144"/>
      <c r="SG87" s="144"/>
      <c r="SH87" s="144"/>
      <c r="SI87" s="144"/>
      <c r="SJ87" s="144"/>
      <c r="SK87" s="144"/>
      <c r="SL87" s="84"/>
      <c r="SM87" s="84"/>
      <c r="SN87" s="154"/>
      <c r="SO87" s="154"/>
      <c r="SP87" s="154"/>
      <c r="SQ87" s="154"/>
      <c r="SR87" s="154"/>
      <c r="SS87" s="154"/>
      <c r="ST87" s="155"/>
      <c r="SU87" s="154"/>
      <c r="SV87" s="154"/>
      <c r="SW87" s="155"/>
      <c r="SX87" s="155"/>
      <c r="SY87" s="155"/>
      <c r="SZ87" s="155"/>
      <c r="TA87" s="155"/>
      <c r="TB87" s="155"/>
      <c r="TC87" s="155"/>
      <c r="TD87" s="156"/>
      <c r="TE87" s="144"/>
      <c r="TF87" s="84"/>
      <c r="TG87" s="144"/>
      <c r="TH87" s="144"/>
      <c r="TI87" s="144"/>
      <c r="TJ87" s="144"/>
      <c r="TK87" s="157"/>
      <c r="TL87" s="157"/>
      <c r="TM87" s="157"/>
      <c r="TN87" s="157"/>
      <c r="TO87" s="157"/>
      <c r="TP87" s="157"/>
      <c r="TQ87" s="157"/>
      <c r="TR87" s="157"/>
      <c r="TS87" s="157"/>
      <c r="TT87" s="158"/>
      <c r="TU87" s="157"/>
      <c r="TV87" s="158"/>
      <c r="TW87" s="144"/>
      <c r="TX87" s="144"/>
      <c r="TY87" s="144"/>
      <c r="TZ87" s="84"/>
      <c r="UA87" s="144"/>
      <c r="UB87" s="144"/>
      <c r="UC87" s="144"/>
      <c r="UD87" s="144"/>
      <c r="UE87" s="157"/>
      <c r="UF87" s="157"/>
      <c r="UG87" s="157"/>
      <c r="UH87" s="157"/>
      <c r="UI87" s="157"/>
      <c r="UJ87" s="157"/>
      <c r="UK87" s="157"/>
      <c r="UL87" s="157"/>
      <c r="UM87" s="157"/>
      <c r="UN87" s="157"/>
      <c r="UO87" s="157"/>
      <c r="UP87" s="158"/>
      <c r="UQ87" s="157"/>
      <c r="UR87" s="158"/>
      <c r="US87" s="144"/>
      <c r="UT87" s="144"/>
      <c r="UU87" s="144"/>
      <c r="UV87" s="144"/>
      <c r="UW87" s="144"/>
      <c r="UX87" s="144"/>
      <c r="UY87" s="144"/>
      <c r="UZ87" s="144"/>
      <c r="VA87" s="157"/>
      <c r="VB87" s="157"/>
      <c r="VC87" s="157"/>
      <c r="VD87" s="157"/>
      <c r="VE87" s="157"/>
      <c r="VF87" s="157"/>
      <c r="VG87" s="157"/>
      <c r="VH87" s="157"/>
      <c r="VI87" s="157"/>
      <c r="VJ87" s="157"/>
      <c r="VK87" s="157"/>
      <c r="VL87" s="157"/>
      <c r="VM87" s="157"/>
      <c r="VN87" s="157"/>
      <c r="VO87" s="144"/>
      <c r="VP87" s="144"/>
      <c r="VQ87" s="84"/>
      <c r="VR87" s="84"/>
      <c r="VS87" s="144"/>
      <c r="VT87" s="53"/>
      <c r="VU87" s="53"/>
    </row>
    <row r="88" ht="15.75" hidden="1" spans="1:593">
      <c r="A88" s="53"/>
      <c r="B88" s="53"/>
      <c r="C88" s="327" t="s">
        <v>130</v>
      </c>
      <c r="D88" s="327"/>
      <c r="E88" s="327"/>
      <c r="F88" s="327"/>
      <c r="G88" s="161"/>
      <c r="H88" s="161"/>
      <c r="I88" s="161"/>
      <c r="J88" s="161"/>
      <c r="K88" s="179"/>
      <c r="L88" s="328"/>
      <c r="M88" s="162"/>
      <c r="N88" s="293"/>
      <c r="O88" s="293"/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  <c r="AA88" s="293"/>
      <c r="AB88" s="293"/>
      <c r="AC88" s="293"/>
      <c r="AD88" s="293"/>
      <c r="AE88" s="293"/>
      <c r="AF88" s="293"/>
      <c r="AG88" s="293"/>
      <c r="AH88" s="293"/>
      <c r="AI88" s="53"/>
      <c r="AJ88" s="327" t="s">
        <v>130</v>
      </c>
      <c r="AK88" s="327"/>
      <c r="AL88" s="327"/>
      <c r="AM88" s="327"/>
      <c r="AN88" s="161"/>
      <c r="AO88" s="161"/>
      <c r="AP88" s="161"/>
      <c r="AQ88" s="161"/>
      <c r="AR88" s="179"/>
      <c r="AS88" s="328"/>
      <c r="AT88" s="162"/>
      <c r="AU88" s="293"/>
      <c r="AV88" s="293"/>
      <c r="AW88" s="293"/>
      <c r="AX88" s="293"/>
      <c r="AY88" s="293"/>
      <c r="AZ88" s="293"/>
      <c r="BA88" s="293"/>
      <c r="BB88" s="293"/>
      <c r="BC88" s="293"/>
      <c r="BD88" s="293"/>
      <c r="BE88" s="293"/>
      <c r="BF88" s="293"/>
      <c r="BG88" s="293"/>
      <c r="BH88" s="293"/>
      <c r="BI88" s="293"/>
      <c r="BJ88" s="293"/>
      <c r="BK88" s="293"/>
      <c r="BL88" s="293"/>
      <c r="BM88" s="293"/>
      <c r="BN88" s="293"/>
      <c r="BO88" s="293"/>
      <c r="BP88" s="53"/>
      <c r="BQ88" s="327" t="s">
        <v>130</v>
      </c>
      <c r="BR88" s="327"/>
      <c r="BS88" s="327"/>
      <c r="BT88" s="327"/>
      <c r="BU88" s="161"/>
      <c r="BV88" s="161"/>
      <c r="BW88" s="161"/>
      <c r="BX88" s="161"/>
      <c r="BY88" s="179"/>
      <c r="BZ88" s="328"/>
      <c r="CA88" s="162"/>
      <c r="CB88" s="293"/>
      <c r="CC88" s="293"/>
      <c r="CD88" s="293"/>
      <c r="CE88" s="293"/>
      <c r="CF88" s="293"/>
      <c r="CG88" s="293"/>
      <c r="CH88" s="293"/>
      <c r="CI88" s="293"/>
      <c r="CJ88" s="293"/>
      <c r="CK88" s="293"/>
      <c r="CL88" s="293"/>
      <c r="CM88" s="293"/>
      <c r="CN88" s="293"/>
      <c r="CO88" s="293"/>
      <c r="CP88" s="293"/>
      <c r="CQ88" s="293"/>
      <c r="CR88" s="293"/>
      <c r="CS88" s="293"/>
      <c r="CT88" s="293"/>
      <c r="CU88" s="293"/>
      <c r="CV88" s="293"/>
      <c r="CW88" s="53"/>
      <c r="CX88" s="327" t="s">
        <v>130</v>
      </c>
      <c r="CY88" s="327"/>
      <c r="CZ88" s="327"/>
      <c r="DA88" s="327"/>
      <c r="DB88" s="161"/>
      <c r="DC88" s="161"/>
      <c r="DD88" s="161"/>
      <c r="DE88" s="161"/>
      <c r="DF88" s="179"/>
      <c r="DG88" s="328"/>
      <c r="DH88" s="162"/>
      <c r="DI88" s="293"/>
      <c r="DJ88" s="293"/>
      <c r="DK88" s="293"/>
      <c r="DL88" s="293"/>
      <c r="DM88" s="293"/>
      <c r="DN88" s="293"/>
      <c r="DO88" s="293"/>
      <c r="DP88" s="293"/>
      <c r="DQ88" s="293"/>
      <c r="DR88" s="293"/>
      <c r="DS88" s="293"/>
      <c r="DT88" s="293"/>
      <c r="DU88" s="293"/>
      <c r="DV88" s="293"/>
      <c r="DW88" s="293"/>
      <c r="DX88" s="293"/>
      <c r="DY88" s="293"/>
      <c r="DZ88" s="293"/>
      <c r="EA88" s="293"/>
      <c r="EB88" s="293"/>
      <c r="EC88" s="293"/>
      <c r="ED88" s="53"/>
      <c r="EE88" s="329" t="s">
        <v>130</v>
      </c>
      <c r="EF88" s="329"/>
      <c r="EG88" s="329"/>
      <c r="EH88" s="329"/>
      <c r="EI88" s="330"/>
      <c r="EJ88" s="330"/>
      <c r="EK88" s="330"/>
      <c r="EL88" s="330"/>
      <c r="EM88" s="331"/>
      <c r="EN88" s="332"/>
      <c r="EO88" s="333"/>
      <c r="EP88" s="53"/>
      <c r="EQ88" s="53"/>
      <c r="ER88" s="192"/>
      <c r="ES88" s="192"/>
      <c r="ET88" s="192"/>
      <c r="EU88" s="192"/>
      <c r="EV88" s="192"/>
      <c r="EW88" s="192"/>
      <c r="EX88" s="192"/>
      <c r="EY88" s="192"/>
      <c r="EZ88" s="192"/>
      <c r="FA88" s="192"/>
      <c r="FB88" s="192"/>
      <c r="FC88" s="192"/>
      <c r="FD88" s="192"/>
      <c r="FE88" s="192"/>
      <c r="FF88" s="192"/>
      <c r="FG88" s="192"/>
      <c r="FH88" s="192"/>
      <c r="FI88" s="192"/>
      <c r="FJ88" s="192"/>
      <c r="FK88" s="53"/>
      <c r="FL88" s="53"/>
      <c r="FM88" s="53"/>
      <c r="FN88" s="329" t="s">
        <v>130</v>
      </c>
      <c r="FO88" s="329"/>
      <c r="FP88" s="329"/>
      <c r="FQ88" s="329"/>
      <c r="FR88" s="330"/>
      <c r="FS88" s="330"/>
      <c r="FT88" s="330"/>
      <c r="FU88" s="330"/>
      <c r="FV88" s="331"/>
      <c r="FW88" s="332"/>
      <c r="FX88" s="333"/>
      <c r="FY88" s="53"/>
      <c r="FZ88" s="192"/>
      <c r="GA88" s="192"/>
      <c r="GB88" s="192"/>
      <c r="GC88" s="192"/>
      <c r="GD88" s="192"/>
      <c r="GE88" s="192"/>
      <c r="GF88" s="192"/>
      <c r="GG88" s="192"/>
      <c r="GH88" s="192"/>
      <c r="GI88" s="192"/>
      <c r="GJ88" s="192"/>
      <c r="GK88" s="192"/>
      <c r="GL88" s="192"/>
      <c r="GM88" s="192"/>
      <c r="GN88" s="192"/>
      <c r="GO88" s="192"/>
      <c r="GP88" s="192"/>
      <c r="GQ88" s="192"/>
      <c r="GR88" s="192"/>
      <c r="GS88" s="192"/>
      <c r="GT88" s="53"/>
      <c r="GU88" s="53"/>
      <c r="GV88" s="329" t="s">
        <v>130</v>
      </c>
      <c r="GW88" s="329"/>
      <c r="GX88" s="329"/>
      <c r="GY88" s="329"/>
      <c r="GZ88" s="330"/>
      <c r="HA88" s="330"/>
      <c r="HB88" s="330"/>
      <c r="HC88" s="330"/>
      <c r="HD88" s="331"/>
      <c r="HE88" s="332"/>
      <c r="HF88" s="333"/>
      <c r="HI88" s="192"/>
      <c r="HJ88" s="192"/>
      <c r="HK88" s="192"/>
      <c r="HL88" s="192"/>
      <c r="HM88" s="192"/>
      <c r="HN88" s="192"/>
      <c r="HO88" s="192"/>
      <c r="HP88" s="192"/>
      <c r="HQ88" s="192"/>
      <c r="HR88" s="192"/>
      <c r="HS88" s="192"/>
      <c r="HT88" s="192"/>
      <c r="HU88" s="192"/>
      <c r="HV88" s="192"/>
      <c r="HW88" s="192"/>
      <c r="HX88" s="192"/>
      <c r="HY88" s="192"/>
      <c r="HZ88" s="192"/>
      <c r="IA88" s="192"/>
      <c r="IB88" s="53"/>
      <c r="IC88" s="53"/>
      <c r="ID88" s="329" t="s">
        <v>130</v>
      </c>
      <c r="IE88" s="329"/>
      <c r="IF88" s="329"/>
      <c r="IG88" s="329"/>
      <c r="IH88" s="330"/>
      <c r="II88" s="330"/>
      <c r="IJ88" s="330"/>
      <c r="IK88" s="330"/>
      <c r="IL88" s="331"/>
      <c r="IM88" s="332"/>
      <c r="IN88" s="333"/>
      <c r="IP88" s="11"/>
      <c r="IQ88" s="192"/>
      <c r="IR88" s="192"/>
      <c r="IS88" s="192"/>
      <c r="IT88" s="192"/>
      <c r="IU88" s="192"/>
      <c r="IV88" s="192"/>
      <c r="IW88" s="192"/>
      <c r="IX88" s="192"/>
      <c r="IY88" s="192"/>
      <c r="IZ88" s="192"/>
      <c r="JA88" s="192"/>
      <c r="JB88" s="192"/>
      <c r="JC88" s="192"/>
      <c r="JD88" s="192"/>
      <c r="JE88" s="192"/>
      <c r="JF88" s="192"/>
      <c r="JG88" s="192"/>
      <c r="JH88" s="192"/>
      <c r="JI88" s="192"/>
      <c r="JJ88" s="53"/>
      <c r="JK88" s="53"/>
      <c r="JL88" s="329" t="s">
        <v>130</v>
      </c>
      <c r="JM88" s="329"/>
      <c r="JN88" s="329"/>
      <c r="JO88" s="329"/>
      <c r="JP88" s="330"/>
      <c r="JQ88" s="330"/>
      <c r="JR88" s="330"/>
      <c r="JS88" s="330"/>
      <c r="JT88" s="331"/>
      <c r="JU88" s="335"/>
      <c r="JX88" s="192"/>
      <c r="JY88" s="192"/>
      <c r="JZ88" s="192"/>
      <c r="KA88" s="192"/>
      <c r="KB88" s="192"/>
      <c r="KC88" s="192"/>
      <c r="KD88" s="192"/>
      <c r="KE88" s="192"/>
      <c r="KF88" s="192"/>
      <c r="KG88" s="192"/>
      <c r="KH88" s="192"/>
      <c r="KI88" s="192"/>
      <c r="KJ88" s="192"/>
      <c r="KK88" s="192"/>
      <c r="KL88" s="192"/>
      <c r="KM88" s="192"/>
      <c r="KN88" s="192"/>
      <c r="KO88" s="192"/>
      <c r="KP88" s="192"/>
      <c r="KQ88" s="192"/>
      <c r="KR88" s="53"/>
      <c r="KS88" s="53"/>
      <c r="KT88" s="329" t="s">
        <v>130</v>
      </c>
      <c r="KU88" s="329"/>
      <c r="KV88" s="329"/>
      <c r="KW88" s="329"/>
      <c r="KX88" s="330"/>
      <c r="KY88" s="330"/>
      <c r="KZ88" s="330"/>
      <c r="LA88" s="330"/>
      <c r="LB88" s="334"/>
      <c r="LC88" s="335"/>
      <c r="LF88" s="11"/>
      <c r="LG88" s="192"/>
      <c r="LH88" s="192"/>
      <c r="LI88" s="192"/>
      <c r="LJ88" s="192"/>
      <c r="LK88" s="192"/>
      <c r="LL88" s="192"/>
      <c r="LM88" s="192"/>
      <c r="LN88" s="192"/>
      <c r="LO88" s="192"/>
      <c r="LP88" s="192"/>
      <c r="LQ88" s="192"/>
      <c r="LR88" s="192"/>
      <c r="LS88" s="192"/>
      <c r="LT88" s="192"/>
      <c r="LU88" s="192"/>
      <c r="LV88" s="192"/>
      <c r="LW88" s="192"/>
      <c r="LX88" s="192"/>
      <c r="LY88" s="192"/>
      <c r="LZ88" s="192"/>
      <c r="MA88" s="192"/>
      <c r="MB88" s="329" t="s">
        <v>130</v>
      </c>
      <c r="MC88" s="329"/>
      <c r="MD88" s="329"/>
      <c r="ME88" s="329"/>
      <c r="MF88" s="330"/>
      <c r="MG88" s="330"/>
      <c r="MH88" s="330"/>
      <c r="MI88" s="330"/>
      <c r="MJ88" s="334"/>
      <c r="MK88" s="335"/>
      <c r="MO88" s="192"/>
      <c r="MP88" s="192"/>
      <c r="MQ88" s="192"/>
      <c r="MR88" s="192"/>
      <c r="MS88" s="192"/>
      <c r="MT88" s="192"/>
      <c r="MU88" s="192"/>
      <c r="MV88" s="192"/>
      <c r="MW88" s="192"/>
      <c r="MX88" s="192"/>
      <c r="MY88" s="192"/>
      <c r="MZ88" s="192"/>
      <c r="NA88" s="192"/>
      <c r="NB88" s="192"/>
      <c r="NC88" s="192"/>
      <c r="ND88" s="192"/>
      <c r="NE88" s="192"/>
      <c r="NF88" s="192"/>
      <c r="NG88" s="192"/>
      <c r="NH88" s="53"/>
      <c r="NI88" s="53"/>
      <c r="NJ88" s="329" t="s">
        <v>130</v>
      </c>
      <c r="NK88" s="329"/>
      <c r="NL88" s="329"/>
      <c r="NM88" s="329"/>
      <c r="NN88" s="330"/>
      <c r="NO88" s="330"/>
      <c r="NP88" s="330"/>
      <c r="NQ88" s="330"/>
      <c r="NR88" s="334" t="e">
        <f t="shared" si="977"/>
        <v>#DIV/0!</v>
      </c>
      <c r="NS88" s="335" t="e">
        <f t="shared" si="978"/>
        <v>#DIV/0!</v>
      </c>
      <c r="NT88" s="53"/>
      <c r="NU88" s="53"/>
      <c r="NV88" s="53"/>
      <c r="NW88" s="53"/>
      <c r="NX88" s="53"/>
      <c r="NY88" s="53"/>
      <c r="NZ88" s="53"/>
      <c r="OA88" s="53"/>
      <c r="OB88" s="53"/>
      <c r="OC88" s="53"/>
      <c r="OD88" s="53"/>
      <c r="OE88" s="53"/>
      <c r="OF88" s="53"/>
      <c r="OG88" s="53"/>
      <c r="OH88" s="53"/>
      <c r="OI88" s="53"/>
      <c r="OJ88" s="53"/>
      <c r="OK88" s="53"/>
      <c r="OL88" s="53"/>
      <c r="OM88" s="53"/>
      <c r="ON88" s="53"/>
      <c r="OO88" s="53"/>
      <c r="OP88" s="53"/>
      <c r="OQ88" s="53"/>
      <c r="OR88" s="53"/>
      <c r="OS88" s="336" t="s">
        <v>130</v>
      </c>
      <c r="OT88" s="336">
        <f t="shared" si="979"/>
        <v>0</v>
      </c>
      <c r="OU88" s="336">
        <f t="shared" si="980"/>
        <v>0</v>
      </c>
      <c r="OV88" s="172">
        <f t="shared" si="981"/>
        <v>4824</v>
      </c>
      <c r="OW88" s="172">
        <f t="shared" si="982"/>
        <v>4824</v>
      </c>
      <c r="OX88" s="172">
        <f t="shared" si="983"/>
        <v>0</v>
      </c>
      <c r="OY88" s="172">
        <f t="shared" si="984"/>
        <v>0</v>
      </c>
      <c r="OZ88" s="171">
        <f t="shared" si="985"/>
        <v>0</v>
      </c>
      <c r="PA88" s="337" t="e">
        <f t="shared" si="986"/>
        <v>#DIV/0!</v>
      </c>
      <c r="PB88" s="170">
        <f t="shared" si="987"/>
        <v>0</v>
      </c>
      <c r="PC88" s="144"/>
      <c r="PD88" s="144"/>
      <c r="PE88" s="144"/>
      <c r="PF88" s="144"/>
      <c r="PG88" s="144"/>
      <c r="PH88" s="144"/>
      <c r="PI88" s="144"/>
      <c r="PJ88" s="144"/>
      <c r="PK88" s="144"/>
      <c r="PL88" s="144"/>
      <c r="PM88" s="144"/>
      <c r="PN88" s="144"/>
      <c r="PO88" s="144"/>
      <c r="PP88" s="144"/>
      <c r="PQ88" s="144"/>
      <c r="PR88" s="144"/>
      <c r="PS88" s="146"/>
      <c r="PT88" s="146"/>
      <c r="PU88" s="336" t="s">
        <v>130</v>
      </c>
      <c r="PV88" s="336">
        <f t="shared" si="988"/>
        <v>0</v>
      </c>
      <c r="PW88" s="336">
        <f t="shared" si="989"/>
        <v>0</v>
      </c>
      <c r="PX88" s="172">
        <f t="shared" si="990"/>
        <v>0</v>
      </c>
      <c r="PY88" s="172">
        <f t="shared" si="991"/>
        <v>0</v>
      </c>
      <c r="PZ88" s="172">
        <f t="shared" si="992"/>
        <v>0</v>
      </c>
      <c r="QA88" s="172">
        <f t="shared" si="993"/>
        <v>0</v>
      </c>
      <c r="QB88" s="171"/>
      <c r="QC88" s="337" t="e">
        <f t="shared" si="995"/>
        <v>#DIV/0!</v>
      </c>
      <c r="QD88" s="170" t="e">
        <f t="shared" si="996"/>
        <v>#DIV/0!</v>
      </c>
      <c r="QE88" s="146"/>
      <c r="QF88" s="146"/>
      <c r="QG88" s="146"/>
      <c r="QH88" s="146"/>
      <c r="QI88" s="146"/>
      <c r="QJ88" s="146"/>
      <c r="QK88" s="146"/>
      <c r="QL88" s="146"/>
      <c r="QM88" s="146"/>
      <c r="QN88" s="146"/>
      <c r="QO88" s="146"/>
      <c r="QP88" s="146"/>
      <c r="QQ88" s="146"/>
      <c r="QR88" s="144"/>
      <c r="QS88" s="144"/>
      <c r="QT88" s="144"/>
      <c r="QU88" s="144"/>
      <c r="QV88" s="144"/>
      <c r="QW88" s="144"/>
      <c r="QX88" s="144"/>
      <c r="QY88" s="144"/>
      <c r="QZ88" s="144"/>
      <c r="RA88" s="144"/>
      <c r="RB88" s="144"/>
      <c r="RC88" s="144"/>
      <c r="RD88" s="144"/>
      <c r="RE88" s="144"/>
      <c r="RF88" s="144"/>
      <c r="RG88" s="144"/>
      <c r="RH88" s="144"/>
      <c r="RI88" s="144"/>
      <c r="RJ88" s="144"/>
      <c r="RK88" s="144"/>
      <c r="RL88" s="144"/>
      <c r="RM88" s="144"/>
      <c r="RN88" s="144"/>
      <c r="RO88" s="144"/>
      <c r="RP88" s="144"/>
      <c r="RQ88" s="144"/>
      <c r="RR88" s="144"/>
      <c r="RS88" s="144"/>
      <c r="RT88" s="144"/>
      <c r="RU88" s="144"/>
      <c r="RV88" s="144"/>
      <c r="RW88" s="144"/>
      <c r="RX88" s="144"/>
      <c r="RY88" s="144"/>
      <c r="RZ88" s="144"/>
      <c r="SA88" s="144"/>
      <c r="SB88" s="144"/>
      <c r="SC88" s="144"/>
      <c r="SD88" s="144"/>
      <c r="SE88" s="144"/>
      <c r="SF88" s="144"/>
      <c r="SG88" s="144"/>
      <c r="SH88" s="144"/>
      <c r="SI88" s="144"/>
      <c r="SJ88" s="144"/>
      <c r="SK88" s="144"/>
      <c r="SL88" s="84"/>
      <c r="SM88" s="84"/>
      <c r="SN88" s="154"/>
      <c r="SO88" s="154"/>
      <c r="SP88" s="154"/>
      <c r="SQ88" s="154"/>
      <c r="SR88" s="154"/>
      <c r="SS88" s="154"/>
      <c r="ST88" s="155"/>
      <c r="SU88" s="154"/>
      <c r="SV88" s="154"/>
      <c r="SW88" s="155"/>
      <c r="SX88" s="155"/>
      <c r="SY88" s="155"/>
      <c r="SZ88" s="155"/>
      <c r="TA88" s="155"/>
      <c r="TB88" s="155"/>
      <c r="TC88" s="155"/>
      <c r="TD88" s="156"/>
      <c r="TE88" s="144"/>
      <c r="TF88" s="84"/>
      <c r="TG88" s="144"/>
      <c r="TH88" s="144"/>
      <c r="TI88" s="144"/>
      <c r="TJ88" s="144"/>
      <c r="TK88" s="157"/>
      <c r="TL88" s="157"/>
      <c r="TM88" s="157"/>
      <c r="TN88" s="157"/>
      <c r="TO88" s="157"/>
      <c r="TP88" s="157"/>
      <c r="TQ88" s="157"/>
      <c r="TR88" s="157"/>
      <c r="TS88" s="157"/>
      <c r="TT88" s="158"/>
      <c r="TU88" s="157"/>
      <c r="TV88" s="158"/>
      <c r="TW88" s="144"/>
      <c r="TX88" s="144"/>
      <c r="TY88" s="144"/>
      <c r="TZ88" s="84"/>
      <c r="UA88" s="144"/>
      <c r="UB88" s="144"/>
      <c r="UC88" s="144"/>
      <c r="UD88" s="144"/>
      <c r="UE88" s="157"/>
      <c r="UF88" s="157"/>
      <c r="UG88" s="157"/>
      <c r="UH88" s="157"/>
      <c r="UI88" s="157"/>
      <c r="UJ88" s="157"/>
      <c r="UK88" s="157"/>
      <c r="UL88" s="157"/>
      <c r="UM88" s="157"/>
      <c r="UN88" s="157"/>
      <c r="UO88" s="157"/>
      <c r="UP88" s="158"/>
      <c r="UQ88" s="157"/>
      <c r="UR88" s="158"/>
      <c r="US88" s="144"/>
      <c r="UT88" s="144"/>
      <c r="UU88" s="144"/>
      <c r="UV88" s="144"/>
      <c r="UW88" s="144"/>
      <c r="UX88" s="144"/>
      <c r="UY88" s="144"/>
      <c r="UZ88" s="144"/>
      <c r="VA88" s="157"/>
      <c r="VB88" s="157"/>
      <c r="VC88" s="157"/>
      <c r="VD88" s="157"/>
      <c r="VE88" s="157"/>
      <c r="VF88" s="157"/>
      <c r="VG88" s="157"/>
      <c r="VH88" s="157"/>
      <c r="VI88" s="157"/>
      <c r="VJ88" s="157"/>
      <c r="VK88" s="157"/>
      <c r="VL88" s="157"/>
      <c r="VM88" s="157"/>
      <c r="VN88" s="157"/>
      <c r="VO88" s="144"/>
      <c r="VP88" s="144"/>
      <c r="VQ88" s="84"/>
      <c r="VR88" s="84"/>
      <c r="VS88" s="144"/>
      <c r="VT88" s="53"/>
      <c r="VU88" s="53"/>
    </row>
    <row r="89" ht="15.75" hidden="1" spans="1:593">
      <c r="A89" s="53"/>
      <c r="B89" s="53"/>
      <c r="C89" s="327" t="s">
        <v>133</v>
      </c>
      <c r="D89" s="327"/>
      <c r="E89" s="327"/>
      <c r="F89" s="327"/>
      <c r="G89" s="161"/>
      <c r="H89" s="161"/>
      <c r="I89" s="161"/>
      <c r="J89" s="161"/>
      <c r="K89" s="179"/>
      <c r="L89" s="328"/>
      <c r="M89" s="162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93"/>
      <c r="AB89" s="293"/>
      <c r="AC89" s="293"/>
      <c r="AD89" s="293"/>
      <c r="AE89" s="293"/>
      <c r="AF89" s="293"/>
      <c r="AG89" s="293"/>
      <c r="AH89" s="293"/>
      <c r="AI89" s="53"/>
      <c r="AJ89" s="327" t="s">
        <v>133</v>
      </c>
      <c r="AK89" s="327"/>
      <c r="AL89" s="327"/>
      <c r="AM89" s="327"/>
      <c r="AN89" s="161"/>
      <c r="AO89" s="161"/>
      <c r="AP89" s="161"/>
      <c r="AQ89" s="161"/>
      <c r="AR89" s="179"/>
      <c r="AS89" s="328"/>
      <c r="AT89" s="162"/>
      <c r="AU89" s="293"/>
      <c r="AV89" s="293"/>
      <c r="AW89" s="293"/>
      <c r="AX89" s="293"/>
      <c r="AY89" s="293"/>
      <c r="AZ89" s="293"/>
      <c r="BA89" s="293"/>
      <c r="BB89" s="293"/>
      <c r="BC89" s="293"/>
      <c r="BD89" s="293"/>
      <c r="BE89" s="293"/>
      <c r="BF89" s="293"/>
      <c r="BG89" s="293"/>
      <c r="BH89" s="293"/>
      <c r="BI89" s="293"/>
      <c r="BJ89" s="293"/>
      <c r="BK89" s="293"/>
      <c r="BL89" s="293"/>
      <c r="BM89" s="293"/>
      <c r="BN89" s="293"/>
      <c r="BO89" s="293"/>
      <c r="BP89" s="53"/>
      <c r="BQ89" s="327" t="s">
        <v>133</v>
      </c>
      <c r="BR89" s="327"/>
      <c r="BS89" s="327"/>
      <c r="BT89" s="327"/>
      <c r="BU89" s="161"/>
      <c r="BV89" s="161"/>
      <c r="BW89" s="161"/>
      <c r="BX89" s="161"/>
      <c r="BY89" s="179"/>
      <c r="BZ89" s="328"/>
      <c r="CA89" s="162"/>
      <c r="CB89" s="293"/>
      <c r="CC89" s="293"/>
      <c r="CD89" s="293"/>
      <c r="CE89" s="293"/>
      <c r="CF89" s="293"/>
      <c r="CG89" s="293"/>
      <c r="CH89" s="293"/>
      <c r="CI89" s="293"/>
      <c r="CJ89" s="293"/>
      <c r="CK89" s="293"/>
      <c r="CL89" s="293"/>
      <c r="CM89" s="293"/>
      <c r="CN89" s="293"/>
      <c r="CO89" s="293"/>
      <c r="CP89" s="293"/>
      <c r="CQ89" s="293"/>
      <c r="CR89" s="293"/>
      <c r="CS89" s="293"/>
      <c r="CT89" s="293"/>
      <c r="CU89" s="293"/>
      <c r="CV89" s="293"/>
      <c r="CW89" s="53"/>
      <c r="CX89" s="327" t="s">
        <v>133</v>
      </c>
      <c r="CY89" s="327"/>
      <c r="CZ89" s="327"/>
      <c r="DA89" s="327"/>
      <c r="DB89" s="161"/>
      <c r="DC89" s="161"/>
      <c r="DD89" s="161"/>
      <c r="DE89" s="161"/>
      <c r="DF89" s="179"/>
      <c r="DG89" s="328"/>
      <c r="DH89" s="162"/>
      <c r="DI89" s="293"/>
      <c r="DJ89" s="293"/>
      <c r="DK89" s="293"/>
      <c r="DL89" s="293"/>
      <c r="DM89" s="293"/>
      <c r="DN89" s="293"/>
      <c r="DO89" s="293"/>
      <c r="DP89" s="293"/>
      <c r="DQ89" s="293"/>
      <c r="DR89" s="293"/>
      <c r="DS89" s="293"/>
      <c r="DT89" s="293"/>
      <c r="DU89" s="293"/>
      <c r="DV89" s="293"/>
      <c r="DW89" s="293"/>
      <c r="DX89" s="293"/>
      <c r="DY89" s="293"/>
      <c r="DZ89" s="293"/>
      <c r="EA89" s="293"/>
      <c r="EB89" s="293"/>
      <c r="EC89" s="293"/>
      <c r="ED89" s="53"/>
      <c r="EE89" s="329" t="s">
        <v>133</v>
      </c>
      <c r="EF89" s="329"/>
      <c r="EG89" s="329"/>
      <c r="EH89" s="329"/>
      <c r="EI89" s="330"/>
      <c r="EJ89" s="330"/>
      <c r="EK89" s="330"/>
      <c r="EL89" s="330"/>
      <c r="EM89" s="331"/>
      <c r="EN89" s="332"/>
      <c r="EO89" s="333"/>
      <c r="EP89" s="53"/>
      <c r="EQ89" s="53"/>
      <c r="ER89" s="192"/>
      <c r="ES89" s="192"/>
      <c r="ET89" s="192"/>
      <c r="EU89" s="192"/>
      <c r="EV89" s="192"/>
      <c r="EW89" s="192"/>
      <c r="EX89" s="192"/>
      <c r="EY89" s="192"/>
      <c r="EZ89" s="192"/>
      <c r="FA89" s="192"/>
      <c r="FB89" s="192"/>
      <c r="FC89" s="192"/>
      <c r="FD89" s="192"/>
      <c r="FE89" s="192"/>
      <c r="FF89" s="192"/>
      <c r="FG89" s="192"/>
      <c r="FH89" s="192"/>
      <c r="FI89" s="192"/>
      <c r="FJ89" s="192"/>
      <c r="FK89" s="53"/>
      <c r="FL89" s="53"/>
      <c r="FM89" s="53"/>
      <c r="FN89" s="329" t="s">
        <v>133</v>
      </c>
      <c r="FO89" s="329"/>
      <c r="FP89" s="329"/>
      <c r="FQ89" s="329"/>
      <c r="FR89" s="330"/>
      <c r="FS89" s="330"/>
      <c r="FT89" s="330"/>
      <c r="FU89" s="330"/>
      <c r="FV89" s="331"/>
      <c r="FW89" s="332"/>
      <c r="FX89" s="333"/>
      <c r="FY89" s="53"/>
      <c r="FZ89" s="192"/>
      <c r="GA89" s="192"/>
      <c r="GB89" s="192"/>
      <c r="GC89" s="192"/>
      <c r="GD89" s="192"/>
      <c r="GE89" s="192"/>
      <c r="GF89" s="192"/>
      <c r="GG89" s="192"/>
      <c r="GH89" s="192"/>
      <c r="GI89" s="192"/>
      <c r="GJ89" s="192"/>
      <c r="GK89" s="192"/>
      <c r="GL89" s="192"/>
      <c r="GM89" s="192"/>
      <c r="GN89" s="192"/>
      <c r="GO89" s="192"/>
      <c r="GP89" s="192"/>
      <c r="GQ89" s="192"/>
      <c r="GR89" s="192"/>
      <c r="GS89" s="192"/>
      <c r="GT89" s="53"/>
      <c r="GU89" s="53"/>
      <c r="GV89" s="329" t="s">
        <v>133</v>
      </c>
      <c r="GW89" s="329"/>
      <c r="GX89" s="329"/>
      <c r="GY89" s="329"/>
      <c r="GZ89" s="330"/>
      <c r="HA89" s="330"/>
      <c r="HB89" s="330"/>
      <c r="HC89" s="330"/>
      <c r="HD89" s="331"/>
      <c r="HE89" s="332"/>
      <c r="HF89" s="333"/>
      <c r="HI89" s="192"/>
      <c r="HJ89" s="192"/>
      <c r="HK89" s="192"/>
      <c r="HL89" s="192"/>
      <c r="HM89" s="192"/>
      <c r="HN89" s="192"/>
      <c r="HO89" s="192"/>
      <c r="HP89" s="192"/>
      <c r="HQ89" s="192"/>
      <c r="HR89" s="192"/>
      <c r="HS89" s="192"/>
      <c r="HT89" s="192"/>
      <c r="HU89" s="192"/>
      <c r="HV89" s="192"/>
      <c r="HW89" s="192"/>
      <c r="HX89" s="192"/>
      <c r="HY89" s="192"/>
      <c r="HZ89" s="192"/>
      <c r="IA89" s="192"/>
      <c r="IB89" s="53"/>
      <c r="IC89" s="53"/>
      <c r="ID89" s="329" t="s">
        <v>133</v>
      </c>
      <c r="IE89" s="329"/>
      <c r="IF89" s="329"/>
      <c r="IG89" s="329"/>
      <c r="IH89" s="330"/>
      <c r="II89" s="330"/>
      <c r="IJ89" s="330"/>
      <c r="IK89" s="330"/>
      <c r="IL89" s="331"/>
      <c r="IM89" s="332"/>
      <c r="IN89" s="333"/>
      <c r="IP89" s="11"/>
      <c r="IQ89" s="192"/>
      <c r="IR89" s="192"/>
      <c r="IS89" s="192"/>
      <c r="IT89" s="192"/>
      <c r="IU89" s="192"/>
      <c r="IV89" s="192"/>
      <c r="IW89" s="192"/>
      <c r="IX89" s="192"/>
      <c r="IY89" s="192"/>
      <c r="IZ89" s="192"/>
      <c r="JA89" s="192"/>
      <c r="JB89" s="192"/>
      <c r="JC89" s="192"/>
      <c r="JD89" s="192"/>
      <c r="JE89" s="192"/>
      <c r="JF89" s="192"/>
      <c r="JG89" s="192"/>
      <c r="JH89" s="192"/>
      <c r="JI89" s="192"/>
      <c r="JJ89" s="53"/>
      <c r="JK89" s="53"/>
      <c r="JL89" s="329" t="s">
        <v>133</v>
      </c>
      <c r="JM89" s="329"/>
      <c r="JN89" s="329"/>
      <c r="JO89" s="329"/>
      <c r="JP89" s="330"/>
      <c r="JQ89" s="330"/>
      <c r="JR89" s="330"/>
      <c r="JS89" s="330"/>
      <c r="JT89" s="331"/>
      <c r="JU89" s="335"/>
      <c r="JX89" s="192"/>
      <c r="JY89" s="192"/>
      <c r="JZ89" s="192"/>
      <c r="KA89" s="192"/>
      <c r="KB89" s="192"/>
      <c r="KC89" s="192"/>
      <c r="KD89" s="192"/>
      <c r="KE89" s="192"/>
      <c r="KF89" s="192"/>
      <c r="KG89" s="192"/>
      <c r="KH89" s="192"/>
      <c r="KI89" s="192"/>
      <c r="KJ89" s="192"/>
      <c r="KK89" s="192"/>
      <c r="KL89" s="192"/>
      <c r="KM89" s="192"/>
      <c r="KN89" s="192"/>
      <c r="KO89" s="192"/>
      <c r="KP89" s="192"/>
      <c r="KQ89" s="192"/>
      <c r="KR89" s="53"/>
      <c r="KS89" s="53"/>
      <c r="KT89" s="329" t="s">
        <v>133</v>
      </c>
      <c r="KU89" s="329"/>
      <c r="KV89" s="329"/>
      <c r="KW89" s="329"/>
      <c r="KX89" s="330"/>
      <c r="KY89" s="330"/>
      <c r="KZ89" s="330"/>
      <c r="LA89" s="330"/>
      <c r="LB89" s="334"/>
      <c r="LC89" s="335"/>
      <c r="LF89" s="11"/>
      <c r="LG89" s="192"/>
      <c r="LH89" s="192"/>
      <c r="LI89" s="192"/>
      <c r="LJ89" s="192"/>
      <c r="LK89" s="192"/>
      <c r="LL89" s="192"/>
      <c r="LM89" s="192"/>
      <c r="LN89" s="192"/>
      <c r="LO89" s="192"/>
      <c r="LP89" s="192"/>
      <c r="LQ89" s="192"/>
      <c r="LR89" s="192"/>
      <c r="LS89" s="192"/>
      <c r="LT89" s="192"/>
      <c r="LU89" s="192"/>
      <c r="LV89" s="192"/>
      <c r="LW89" s="192"/>
      <c r="LX89" s="192"/>
      <c r="LY89" s="192"/>
      <c r="LZ89" s="192"/>
      <c r="MA89" s="192"/>
      <c r="MB89" s="329" t="s">
        <v>133</v>
      </c>
      <c r="MC89" s="329"/>
      <c r="MD89" s="329"/>
      <c r="ME89" s="329"/>
      <c r="MF89" s="330"/>
      <c r="MG89" s="330"/>
      <c r="MH89" s="330"/>
      <c r="MI89" s="330"/>
      <c r="MJ89" s="334"/>
      <c r="MK89" s="335"/>
      <c r="MO89" s="192"/>
      <c r="MP89" s="192"/>
      <c r="MQ89" s="192"/>
      <c r="MR89" s="192"/>
      <c r="MS89" s="192"/>
      <c r="MT89" s="192"/>
      <c r="MU89" s="192"/>
      <c r="MV89" s="192"/>
      <c r="MW89" s="192"/>
      <c r="MX89" s="192"/>
      <c r="MY89" s="192"/>
      <c r="MZ89" s="192"/>
      <c r="NA89" s="192"/>
      <c r="NB89" s="192"/>
      <c r="NC89" s="192"/>
      <c r="ND89" s="192"/>
      <c r="NE89" s="192"/>
      <c r="NF89" s="192"/>
      <c r="NG89" s="192"/>
      <c r="NH89" s="53"/>
      <c r="NI89" s="53"/>
      <c r="NJ89" s="329" t="s">
        <v>133</v>
      </c>
      <c r="NK89" s="329"/>
      <c r="NL89" s="329"/>
      <c r="NM89" s="329"/>
      <c r="NN89" s="330"/>
      <c r="NO89" s="330"/>
      <c r="NP89" s="330"/>
      <c r="NQ89" s="330"/>
      <c r="NR89" s="334" t="e">
        <f t="shared" si="977"/>
        <v>#DIV/0!</v>
      </c>
      <c r="NS89" s="335" t="e">
        <f t="shared" si="978"/>
        <v>#DIV/0!</v>
      </c>
      <c r="NT89" s="53"/>
      <c r="NU89" s="53"/>
      <c r="NV89" s="53"/>
      <c r="NW89" s="53"/>
      <c r="NX89" s="53"/>
      <c r="NY89" s="53"/>
      <c r="NZ89" s="53"/>
      <c r="OA89" s="53"/>
      <c r="OB89" s="53"/>
      <c r="OC89" s="53"/>
      <c r="OD89" s="53"/>
      <c r="OE89" s="53"/>
      <c r="OF89" s="53"/>
      <c r="OG89" s="53"/>
      <c r="OH89" s="53"/>
      <c r="OI89" s="53"/>
      <c r="OJ89" s="53"/>
      <c r="OK89" s="53"/>
      <c r="OL89" s="53"/>
      <c r="OM89" s="53"/>
      <c r="ON89" s="53"/>
      <c r="OO89" s="53"/>
      <c r="OP89" s="53"/>
      <c r="OQ89" s="53"/>
      <c r="OR89" s="53"/>
      <c r="OS89" s="336" t="s">
        <v>133</v>
      </c>
      <c r="OT89" s="336">
        <f t="shared" si="979"/>
        <v>0</v>
      </c>
      <c r="OU89" s="336">
        <f t="shared" si="980"/>
        <v>0</v>
      </c>
      <c r="OV89" s="172">
        <f t="shared" si="981"/>
        <v>4733</v>
      </c>
      <c r="OW89" s="172">
        <f t="shared" si="982"/>
        <v>4733</v>
      </c>
      <c r="OX89" s="172">
        <f t="shared" si="983"/>
        <v>0</v>
      </c>
      <c r="OY89" s="172">
        <f t="shared" si="984"/>
        <v>0</v>
      </c>
      <c r="OZ89" s="171">
        <f t="shared" si="985"/>
        <v>0</v>
      </c>
      <c r="PA89" s="337" t="e">
        <f t="shared" si="986"/>
        <v>#DIV/0!</v>
      </c>
      <c r="PB89" s="170">
        <f t="shared" si="987"/>
        <v>0</v>
      </c>
      <c r="PC89" s="144"/>
      <c r="PD89" s="144"/>
      <c r="PE89" s="144"/>
      <c r="PF89" s="144"/>
      <c r="PG89" s="144"/>
      <c r="PH89" s="144"/>
      <c r="PI89" s="144"/>
      <c r="PJ89" s="144"/>
      <c r="PK89" s="144"/>
      <c r="PL89" s="144"/>
      <c r="PM89" s="144"/>
      <c r="PN89" s="144"/>
      <c r="PO89" s="144"/>
      <c r="PP89" s="144"/>
      <c r="PQ89" s="144"/>
      <c r="PR89" s="144"/>
      <c r="PS89" s="146"/>
      <c r="PT89" s="146"/>
      <c r="PU89" s="336" t="s">
        <v>133</v>
      </c>
      <c r="PV89" s="336">
        <f t="shared" si="988"/>
        <v>0</v>
      </c>
      <c r="PW89" s="336">
        <f t="shared" si="989"/>
        <v>0</v>
      </c>
      <c r="PX89" s="172">
        <f t="shared" si="990"/>
        <v>0</v>
      </c>
      <c r="PY89" s="172">
        <f t="shared" si="991"/>
        <v>0</v>
      </c>
      <c r="PZ89" s="172">
        <f t="shared" si="992"/>
        <v>0</v>
      </c>
      <c r="QA89" s="172">
        <f t="shared" si="993"/>
        <v>0</v>
      </c>
      <c r="QB89" s="171"/>
      <c r="QC89" s="337" t="e">
        <f t="shared" si="995"/>
        <v>#DIV/0!</v>
      </c>
      <c r="QD89" s="170" t="e">
        <f t="shared" si="996"/>
        <v>#DIV/0!</v>
      </c>
      <c r="QE89" s="146"/>
      <c r="QF89" s="146"/>
      <c r="QG89" s="146"/>
      <c r="QH89" s="146"/>
      <c r="QI89" s="146"/>
      <c r="QJ89" s="146"/>
      <c r="QK89" s="146"/>
      <c r="QL89" s="146"/>
      <c r="QM89" s="146"/>
      <c r="QN89" s="146"/>
      <c r="QO89" s="146"/>
      <c r="QP89" s="146"/>
      <c r="QQ89" s="146"/>
      <c r="QR89" s="144"/>
      <c r="QS89" s="144"/>
      <c r="QT89" s="144"/>
      <c r="QU89" s="144"/>
      <c r="QV89" s="144"/>
      <c r="QW89" s="144"/>
      <c r="QX89" s="144"/>
      <c r="QY89" s="144"/>
      <c r="QZ89" s="144"/>
      <c r="RA89" s="144"/>
      <c r="RB89" s="144"/>
      <c r="RC89" s="144"/>
      <c r="RD89" s="144"/>
      <c r="RE89" s="144"/>
      <c r="RF89" s="144"/>
      <c r="RG89" s="144"/>
      <c r="RH89" s="144"/>
      <c r="RI89" s="144"/>
      <c r="RJ89" s="144"/>
      <c r="RK89" s="144"/>
      <c r="RL89" s="144"/>
      <c r="RM89" s="144"/>
      <c r="RN89" s="144"/>
      <c r="RO89" s="144"/>
      <c r="RP89" s="144"/>
      <c r="RQ89" s="144"/>
      <c r="RR89" s="144"/>
      <c r="RS89" s="144"/>
      <c r="RT89" s="144"/>
      <c r="RU89" s="144"/>
      <c r="RV89" s="144"/>
      <c r="RW89" s="144"/>
      <c r="RX89" s="144"/>
      <c r="RY89" s="144"/>
      <c r="RZ89" s="144"/>
      <c r="SA89" s="144"/>
      <c r="SB89" s="144"/>
      <c r="SC89" s="144"/>
      <c r="SD89" s="144"/>
      <c r="SE89" s="144"/>
      <c r="SF89" s="144"/>
      <c r="SG89" s="144"/>
      <c r="SH89" s="144"/>
      <c r="SI89" s="144"/>
      <c r="SJ89" s="144"/>
      <c r="SK89" s="144"/>
      <c r="SL89" s="84"/>
      <c r="SM89" s="84"/>
      <c r="SN89" s="154"/>
      <c r="SO89" s="154"/>
      <c r="SP89" s="154"/>
      <c r="SQ89" s="154"/>
      <c r="SR89" s="154"/>
      <c r="SS89" s="154"/>
      <c r="ST89" s="155"/>
      <c r="SU89" s="154"/>
      <c r="SV89" s="154"/>
      <c r="SW89" s="155"/>
      <c r="SX89" s="155"/>
      <c r="SY89" s="155"/>
      <c r="SZ89" s="155"/>
      <c r="TA89" s="155"/>
      <c r="TB89" s="155"/>
      <c r="TC89" s="155"/>
      <c r="TD89" s="156"/>
      <c r="TE89" s="144"/>
      <c r="TF89" s="84"/>
      <c r="TG89" s="144"/>
      <c r="TH89" s="144"/>
      <c r="TI89" s="144"/>
      <c r="TJ89" s="144"/>
      <c r="TK89" s="157"/>
      <c r="TL89" s="157"/>
      <c r="TM89" s="157"/>
      <c r="TN89" s="157"/>
      <c r="TO89" s="157"/>
      <c r="TP89" s="157"/>
      <c r="TQ89" s="157"/>
      <c r="TR89" s="157"/>
      <c r="TS89" s="157"/>
      <c r="TT89" s="158"/>
      <c r="TU89" s="157"/>
      <c r="TV89" s="158"/>
      <c r="TW89" s="144"/>
      <c r="TX89" s="144"/>
      <c r="TY89" s="144"/>
      <c r="TZ89" s="84"/>
      <c r="UA89" s="144"/>
      <c r="UB89" s="144"/>
      <c r="UC89" s="144"/>
      <c r="UD89" s="144"/>
      <c r="UE89" s="157"/>
      <c r="UF89" s="157"/>
      <c r="UG89" s="157"/>
      <c r="UH89" s="157"/>
      <c r="UI89" s="157"/>
      <c r="UJ89" s="157"/>
      <c r="UK89" s="157"/>
      <c r="UL89" s="157"/>
      <c r="UM89" s="157"/>
      <c r="UN89" s="157"/>
      <c r="UO89" s="157"/>
      <c r="UP89" s="158"/>
      <c r="UQ89" s="157"/>
      <c r="UR89" s="158"/>
      <c r="US89" s="144"/>
      <c r="UT89" s="144"/>
      <c r="UU89" s="144"/>
      <c r="UV89" s="144"/>
      <c r="UW89" s="144"/>
      <c r="UX89" s="144"/>
      <c r="UY89" s="144"/>
      <c r="UZ89" s="144"/>
      <c r="VA89" s="157"/>
      <c r="VB89" s="157"/>
      <c r="VC89" s="157"/>
      <c r="VD89" s="157"/>
      <c r="VE89" s="157"/>
      <c r="VF89" s="157"/>
      <c r="VG89" s="157"/>
      <c r="VH89" s="157"/>
      <c r="VI89" s="157"/>
      <c r="VJ89" s="157"/>
      <c r="VK89" s="157"/>
      <c r="VL89" s="157"/>
      <c r="VM89" s="157"/>
      <c r="VN89" s="157"/>
      <c r="VO89" s="144"/>
      <c r="VP89" s="144"/>
      <c r="VQ89" s="84"/>
      <c r="VR89" s="84"/>
      <c r="VS89" s="144"/>
      <c r="VT89" s="53"/>
      <c r="VU89" s="53"/>
    </row>
    <row r="90" ht="15.75" spans="1:593">
      <c r="A90" s="53"/>
      <c r="B90" s="53"/>
      <c r="C90" s="327" t="s">
        <v>137</v>
      </c>
      <c r="D90" s="327">
        <f t="shared" ref="D90:F90" si="1016">D57</f>
        <v>3</v>
      </c>
      <c r="E90" s="327">
        <f t="shared" si="1016"/>
        <v>1</v>
      </c>
      <c r="F90" s="327">
        <f t="shared" si="1016"/>
        <v>1</v>
      </c>
      <c r="G90" s="161">
        <f>S10</f>
        <v>16663</v>
      </c>
      <c r="H90" s="161">
        <f>T10</f>
        <v>13002</v>
      </c>
      <c r="I90" s="161">
        <f>U10-I57</f>
        <v>7279737.74</v>
      </c>
      <c r="J90" s="161">
        <f>V10-J57</f>
        <v>6693994.22</v>
      </c>
      <c r="K90" s="179">
        <f>I90-J90</f>
        <v>585743.52</v>
      </c>
      <c r="L90" s="328">
        <f>K90/I90</f>
        <v>0.0804621733529648</v>
      </c>
      <c r="M90" s="162">
        <f>I90/H90</f>
        <v>559.893688663283</v>
      </c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93"/>
      <c r="AB90" s="293"/>
      <c r="AC90" s="293"/>
      <c r="AD90" s="293"/>
      <c r="AE90" s="293"/>
      <c r="AF90" s="293"/>
      <c r="AG90" s="293"/>
      <c r="AH90" s="293"/>
      <c r="AI90" s="53"/>
      <c r="AJ90" s="327" t="s">
        <v>137</v>
      </c>
      <c r="AK90" s="327">
        <f t="shared" ref="AK90:AM90" si="1017">AK57</f>
        <v>3</v>
      </c>
      <c r="AL90" s="327">
        <f t="shared" si="1017"/>
        <v>2</v>
      </c>
      <c r="AM90" s="327">
        <f t="shared" si="1017"/>
        <v>2</v>
      </c>
      <c r="AN90" s="161">
        <f>AZ10</f>
        <v>18420</v>
      </c>
      <c r="AO90" s="161">
        <f>BA10</f>
        <v>14301</v>
      </c>
      <c r="AP90" s="161">
        <f>BB10-AP57</f>
        <v>8947478.95</v>
      </c>
      <c r="AQ90" s="161">
        <f>BC10-AQ57</f>
        <v>8158053.9</v>
      </c>
      <c r="AR90" s="179">
        <f>AP90-AQ90</f>
        <v>789425.049999999</v>
      </c>
      <c r="AS90" s="328">
        <f>AR90/AP90</f>
        <v>0.0882287686186732</v>
      </c>
      <c r="AT90" s="162">
        <f>AP90/AO90</f>
        <v>625.654076637997</v>
      </c>
      <c r="AU90" s="293"/>
      <c r="AV90" s="293"/>
      <c r="AW90" s="293"/>
      <c r="AX90" s="293"/>
      <c r="AY90" s="293"/>
      <c r="AZ90" s="293"/>
      <c r="BA90" s="293"/>
      <c r="BB90" s="293"/>
      <c r="BC90" s="293"/>
      <c r="BD90" s="293"/>
      <c r="BE90" s="293"/>
      <c r="BF90" s="293"/>
      <c r="BG90" s="293"/>
      <c r="BH90" s="293"/>
      <c r="BI90" s="293"/>
      <c r="BJ90" s="293"/>
      <c r="BK90" s="293"/>
      <c r="BL90" s="293"/>
      <c r="BM90" s="293"/>
      <c r="BN90" s="293"/>
      <c r="BO90" s="293"/>
      <c r="BP90" s="53"/>
      <c r="BQ90" s="327" t="s">
        <v>137</v>
      </c>
      <c r="BR90" s="327">
        <f t="shared" ref="BR90:BT90" si="1018">BR57</f>
        <v>3</v>
      </c>
      <c r="BS90" s="327">
        <f t="shared" si="1018"/>
        <v>2</v>
      </c>
      <c r="BT90" s="327">
        <f t="shared" si="1018"/>
        <v>78</v>
      </c>
      <c r="BU90" s="161">
        <f t="shared" ref="BU90:BU94" si="1019">CG10</f>
        <v>16107</v>
      </c>
      <c r="BV90" s="161">
        <f t="shared" ref="BV90:BV94" si="1020">CH10</f>
        <v>13576</v>
      </c>
      <c r="BW90" s="161">
        <f t="shared" ref="BW90:BW93" si="1021">CI10-BW57</f>
        <v>7486802.18</v>
      </c>
      <c r="BX90" s="161">
        <f t="shared" ref="BX90:BX93" si="1022">CJ10-BX57</f>
        <v>6251621.04</v>
      </c>
      <c r="BY90" s="179">
        <f t="shared" ref="BY90:BY94" si="1023">BW90-BX90</f>
        <v>1235181.14</v>
      </c>
      <c r="BZ90" s="328">
        <f t="shared" ref="BZ90:BZ94" si="1024">BY90/BW90</f>
        <v>0.164981137514174</v>
      </c>
      <c r="CA90" s="162">
        <f t="shared" ref="CA90:CA94" si="1025">BW90/BV90</f>
        <v>551.473348556276</v>
      </c>
      <c r="CB90" s="293"/>
      <c r="CC90" s="293"/>
      <c r="CD90" s="293"/>
      <c r="CE90" s="293"/>
      <c r="CF90" s="293"/>
      <c r="CG90" s="293"/>
      <c r="CH90" s="293"/>
      <c r="CI90" s="293"/>
      <c r="CJ90" s="293"/>
      <c r="CK90" s="293"/>
      <c r="CL90" s="293"/>
      <c r="CM90" s="293"/>
      <c r="CN90" s="293"/>
      <c r="CO90" s="293"/>
      <c r="CP90" s="293"/>
      <c r="CQ90" s="293"/>
      <c r="CR90" s="293"/>
      <c r="CS90" s="293"/>
      <c r="CT90" s="293"/>
      <c r="CU90" s="293"/>
      <c r="CV90" s="293"/>
      <c r="CW90" s="53"/>
      <c r="CX90" s="327" t="s">
        <v>137</v>
      </c>
      <c r="CY90" s="327" t="str">
        <f t="shared" ref="CY90:DA90" si="1026">CY57</f>
        <v>PH30</v>
      </c>
      <c r="CZ90" s="327">
        <f t="shared" si="1026"/>
        <v>4</v>
      </c>
      <c r="DA90" s="327">
        <f t="shared" si="1026"/>
        <v>1</v>
      </c>
      <c r="DB90" s="161">
        <f t="shared" ref="DB90:DB94" si="1027">DN10</f>
        <v>19329</v>
      </c>
      <c r="DC90" s="161">
        <f t="shared" ref="DC90:DC94" si="1028">DO10</f>
        <v>16535</v>
      </c>
      <c r="DD90" s="161">
        <f t="shared" ref="DD90:DD93" si="1029">DP10-DD57</f>
        <v>7788970.99</v>
      </c>
      <c r="DE90" s="161">
        <f t="shared" ref="DE90:DE93" si="1030">DQ10-DE57</f>
        <v>6627817.59</v>
      </c>
      <c r="DF90" s="179">
        <f t="shared" ref="DF90:DF94" si="1031">DD90-DE90</f>
        <v>1161153.4</v>
      </c>
      <c r="DG90" s="328">
        <f t="shared" ref="DG90:DG94" si="1032">DF90/DD90</f>
        <v>0.149076611209718</v>
      </c>
      <c r="DH90" s="162">
        <f t="shared" ref="DH90:DH94" si="1033">DD90/DC90</f>
        <v>471.059630480798</v>
      </c>
      <c r="DI90" s="293"/>
      <c r="DJ90" s="293"/>
      <c r="DK90" s="293"/>
      <c r="DL90" s="293"/>
      <c r="DM90" s="293"/>
      <c r="DN90" s="293"/>
      <c r="DO90" s="293"/>
      <c r="DP90" s="293"/>
      <c r="DQ90" s="293"/>
      <c r="DR90" s="293"/>
      <c r="DS90" s="293"/>
      <c r="DT90" s="293"/>
      <c r="DU90" s="293"/>
      <c r="DV90" s="293"/>
      <c r="DW90" s="293"/>
      <c r="DX90" s="293"/>
      <c r="DY90" s="293"/>
      <c r="DZ90" s="293"/>
      <c r="EA90" s="293"/>
      <c r="EB90" s="293"/>
      <c r="EC90" s="293"/>
      <c r="ED90" s="53"/>
      <c r="EE90" s="329" t="s">
        <v>137</v>
      </c>
      <c r="EF90" s="329">
        <f t="shared" ref="EF90:EH90" si="1034">EF57</f>
        <v>4</v>
      </c>
      <c r="EG90" s="329">
        <f t="shared" si="1034"/>
        <v>1</v>
      </c>
      <c r="EH90" s="329">
        <f t="shared" si="1034"/>
        <v>58</v>
      </c>
      <c r="EI90" s="330">
        <f t="shared" ref="EI90:EI94" si="1035">EU10</f>
        <v>22821</v>
      </c>
      <c r="EJ90" s="330">
        <f t="shared" ref="EJ90:EJ94" si="1036">EV10</f>
        <v>19237</v>
      </c>
      <c r="EK90" s="330">
        <f t="shared" ref="EK90:EK93" si="1037">EW10-EK57</f>
        <v>11932623.55</v>
      </c>
      <c r="EL90" s="330">
        <f t="shared" ref="EL90:EL93" si="1038">EX10-EL57</f>
        <v>10233810.7</v>
      </c>
      <c r="EM90" s="331">
        <f t="shared" ref="EM90:EM94" si="1039">EK90-EL90</f>
        <v>1698812.85</v>
      </c>
      <c r="EN90" s="332">
        <f t="shared" ref="EN90:EN94" si="1040">EM90/EK90</f>
        <v>0.142367086574184</v>
      </c>
      <c r="EO90" s="333">
        <f t="shared" ref="EO90:EO94" si="1041">EK90/EJ90</f>
        <v>620.295448874565</v>
      </c>
      <c r="EP90" s="53"/>
      <c r="EQ90" s="53"/>
      <c r="ER90" s="192"/>
      <c r="ES90" s="192"/>
      <c r="ET90" s="192"/>
      <c r="EU90" s="192"/>
      <c r="EV90" s="192"/>
      <c r="EW90" s="192"/>
      <c r="EX90" s="192"/>
      <c r="EY90" s="192"/>
      <c r="EZ90" s="192"/>
      <c r="FA90" s="192"/>
      <c r="FB90" s="192"/>
      <c r="FC90" s="192"/>
      <c r="FD90" s="192"/>
      <c r="FE90" s="192"/>
      <c r="FF90" s="192"/>
      <c r="FG90" s="192"/>
      <c r="FH90" s="192"/>
      <c r="FI90" s="192"/>
      <c r="FJ90" s="192"/>
      <c r="FK90" s="53"/>
      <c r="FL90" s="53"/>
      <c r="FM90" s="53"/>
      <c r="FN90" s="329" t="s">
        <v>137</v>
      </c>
      <c r="FO90" s="329">
        <f t="shared" ref="FO90:FQ90" si="1042">FO57</f>
        <v>4</v>
      </c>
      <c r="FP90" s="329">
        <f t="shared" si="1042"/>
        <v>1</v>
      </c>
      <c r="FQ90" s="329">
        <f t="shared" si="1042"/>
        <v>82</v>
      </c>
      <c r="FR90" s="330">
        <f t="shared" ref="FR90:FR94" si="1043">GD10</f>
        <v>23070</v>
      </c>
      <c r="FS90" s="330">
        <f t="shared" ref="FS90:FS94" si="1044">GE10</f>
        <v>19433</v>
      </c>
      <c r="FT90" s="330">
        <f t="shared" ref="FT90:FT93" si="1045">GF10-FT57</f>
        <v>11101655.37</v>
      </c>
      <c r="FU90" s="330">
        <f t="shared" ref="FU90:FU93" si="1046">GG10-FU57</f>
        <v>10574578</v>
      </c>
      <c r="FV90" s="331">
        <f t="shared" ref="FV90:FV94" si="1047">FT90-FU90</f>
        <v>527077.369999999</v>
      </c>
      <c r="FW90" s="332">
        <f t="shared" ref="FW90:FW94" si="1048">FV90/FT90</f>
        <v>0.0474773673324719</v>
      </c>
      <c r="FX90" s="333">
        <f t="shared" ref="FX90:FX94" si="1049">FT90/FS90</f>
        <v>571.278514382751</v>
      </c>
      <c r="FY90" s="53"/>
      <c r="FZ90" s="192"/>
      <c r="GA90" s="192"/>
      <c r="GB90" s="192"/>
      <c r="GC90" s="192"/>
      <c r="GD90" s="192"/>
      <c r="GE90" s="192"/>
      <c r="GF90" s="192"/>
      <c r="GG90" s="192"/>
      <c r="GH90" s="192"/>
      <c r="GI90" s="192"/>
      <c r="GJ90" s="192"/>
      <c r="GK90" s="192"/>
      <c r="GL90" s="192"/>
      <c r="GM90" s="192"/>
      <c r="GN90" s="192"/>
      <c r="GO90" s="192"/>
      <c r="GP90" s="192"/>
      <c r="GQ90" s="192"/>
      <c r="GR90" s="192"/>
      <c r="GS90" s="192"/>
      <c r="GT90" s="53"/>
      <c r="GU90" s="53"/>
      <c r="GV90" s="329" t="s">
        <v>137</v>
      </c>
      <c r="GW90" s="329">
        <f t="shared" ref="GW90:GY90" si="1050">GW57</f>
        <v>4</v>
      </c>
      <c r="GX90" s="329">
        <f t="shared" si="1050"/>
        <v>1</v>
      </c>
      <c r="GY90" s="329">
        <f t="shared" si="1050"/>
        <v>80</v>
      </c>
      <c r="GZ90" s="330">
        <f t="shared" ref="GZ90:GZ94" si="1051">HL10</f>
        <v>28068</v>
      </c>
      <c r="HA90" s="330">
        <f t="shared" ref="HA90:HA94" si="1052">HM10</f>
        <v>24188</v>
      </c>
      <c r="HB90" s="330">
        <f t="shared" ref="HB90:HB93" si="1053">HN10-HB57</f>
        <v>12392100.21</v>
      </c>
      <c r="HC90" s="330">
        <f t="shared" ref="HC90:HC93" si="1054">HO10-HC57</f>
        <v>11371911</v>
      </c>
      <c r="HD90" s="331">
        <f t="shared" ref="HD90:HD94" si="1055">HB90-HC90</f>
        <v>1020189.21</v>
      </c>
      <c r="HE90" s="332">
        <f t="shared" ref="HE90:HE94" si="1056">HD90/HB90</f>
        <v>0.0823257714763105</v>
      </c>
      <c r="HF90" s="333">
        <f t="shared" ref="HF90:HF94" si="1057">HB90/HA90</f>
        <v>512.324301719861</v>
      </c>
      <c r="HI90" s="192"/>
      <c r="HJ90" s="192"/>
      <c r="HK90" s="192"/>
      <c r="HL90" s="192"/>
      <c r="HM90" s="192"/>
      <c r="HN90" s="192"/>
      <c r="HO90" s="192"/>
      <c r="HP90" s="192"/>
      <c r="HQ90" s="192"/>
      <c r="HR90" s="192"/>
      <c r="HS90" s="192"/>
      <c r="HT90" s="192"/>
      <c r="HU90" s="192"/>
      <c r="HV90" s="192"/>
      <c r="HW90" s="192"/>
      <c r="HX90" s="192"/>
      <c r="HY90" s="192"/>
      <c r="HZ90" s="192"/>
      <c r="IA90" s="192"/>
      <c r="IB90" s="53"/>
      <c r="IC90" s="53"/>
      <c r="ID90" s="329" t="s">
        <v>137</v>
      </c>
      <c r="IE90" s="329">
        <f t="shared" ref="IE90:IE93" si="1058">IE57</f>
        <v>5</v>
      </c>
      <c r="IF90" s="329">
        <v>0</v>
      </c>
      <c r="IG90" s="329">
        <f t="shared" ref="IG90:IG94" si="1059">IG57</f>
        <v>84</v>
      </c>
      <c r="IH90" s="330">
        <f t="shared" ref="IH90:IH94" si="1060">IT10</f>
        <v>39873</v>
      </c>
      <c r="II90" s="330">
        <f t="shared" ref="II90:II94" si="1061">IU10</f>
        <v>32058</v>
      </c>
      <c r="IJ90" s="330">
        <f t="shared" ref="IJ90:IJ93" si="1062">IV10-IJ57</f>
        <v>15149903.03</v>
      </c>
      <c r="IK90" s="330">
        <f t="shared" ref="IK90:IK93" si="1063">IW10-IK57</f>
        <v>13594111</v>
      </c>
      <c r="IL90" s="331">
        <f t="shared" ref="IL90:IL94" si="1064">IJ90-IK90</f>
        <v>1555792.03</v>
      </c>
      <c r="IM90" s="332">
        <f t="shared" ref="IM90:IM94" si="1065">IL90/IJ90</f>
        <v>0.102693200538591</v>
      </c>
      <c r="IN90" s="333">
        <f t="shared" ref="IN90:IN94" si="1066">IJ90/II90</f>
        <v>472.577922203506</v>
      </c>
      <c r="IP90" s="11"/>
      <c r="IQ90" s="192"/>
      <c r="IR90" s="192"/>
      <c r="IS90" s="192"/>
      <c r="IT90" s="192"/>
      <c r="IU90" s="192"/>
      <c r="IV90" s="192"/>
      <c r="IW90" s="192"/>
      <c r="IX90" s="192"/>
      <c r="IY90" s="192"/>
      <c r="IZ90" s="192"/>
      <c r="JA90" s="192"/>
      <c r="JB90" s="192"/>
      <c r="JC90" s="192"/>
      <c r="JD90" s="192"/>
      <c r="JE90" s="192"/>
      <c r="JF90" s="192"/>
      <c r="JG90" s="192"/>
      <c r="JH90" s="192"/>
      <c r="JI90" s="192"/>
      <c r="JJ90" s="53"/>
      <c r="JK90" s="53"/>
      <c r="JL90" s="329" t="s">
        <v>137</v>
      </c>
      <c r="JM90" s="329">
        <f t="shared" ref="JM90:JM93" si="1067">JM57</f>
        <v>6</v>
      </c>
      <c r="JN90" s="329">
        <f t="shared" ref="JN90:JN94" si="1068">JN57</f>
        <v>0</v>
      </c>
      <c r="JO90" s="329">
        <f t="shared" ref="JO90:JO94" si="1069">KB10</f>
        <v>33119</v>
      </c>
      <c r="JP90" s="330">
        <f t="shared" ref="JP90:JP94" si="1070">KC10</f>
        <v>27190</v>
      </c>
      <c r="JQ90" s="330">
        <f t="shared" ref="JQ90:JQ93" si="1071">KD10-JQ57</f>
        <v>13526272.55</v>
      </c>
      <c r="JR90" s="330">
        <f t="shared" ref="JR90:JR93" si="1072">KE10-JR57</f>
        <v>11431016</v>
      </c>
      <c r="JS90" s="330">
        <f t="shared" ref="JS90:JS94" si="1073">JQ90-JR90</f>
        <v>2095256.55</v>
      </c>
      <c r="JT90" s="334">
        <f t="shared" ref="JT90:JT94" si="1074">JS90/JQ90</f>
        <v>0.154902730390421</v>
      </c>
      <c r="JU90" s="335">
        <f t="shared" ref="JU90:JU94" si="1075">JQ90/JP90</f>
        <v>497.472326222876</v>
      </c>
      <c r="JX90" s="192"/>
      <c r="JY90" s="192"/>
      <c r="JZ90" s="192"/>
      <c r="KA90" s="192"/>
      <c r="KB90" s="192"/>
      <c r="KC90" s="192"/>
      <c r="KD90" s="192"/>
      <c r="KE90" s="192"/>
      <c r="KF90" s="192"/>
      <c r="KG90" s="192"/>
      <c r="KH90" s="192"/>
      <c r="KI90" s="192"/>
      <c r="KJ90" s="192"/>
      <c r="KK90" s="192"/>
      <c r="KL90" s="192"/>
      <c r="KM90" s="192"/>
      <c r="KN90" s="192"/>
      <c r="KO90" s="192"/>
      <c r="KP90" s="192"/>
      <c r="KQ90" s="192"/>
      <c r="KR90" s="53"/>
      <c r="KS90" s="53"/>
      <c r="KT90" s="329" t="s">
        <v>137</v>
      </c>
      <c r="KU90" s="329">
        <v>6</v>
      </c>
      <c r="KV90" s="329">
        <v>206</v>
      </c>
      <c r="KW90" s="329">
        <v>53370</v>
      </c>
      <c r="KX90" s="330">
        <v>43013</v>
      </c>
      <c r="KY90" s="330">
        <v>18016566.56</v>
      </c>
      <c r="KZ90" s="330">
        <v>15234371</v>
      </c>
      <c r="LA90" s="330">
        <v>2782195.56</v>
      </c>
      <c r="LB90" s="334">
        <v>0.154424293371023</v>
      </c>
      <c r="LC90" s="335">
        <v>418.863286913259</v>
      </c>
      <c r="LF90" s="11"/>
      <c r="LG90" s="192"/>
      <c r="LH90" s="192"/>
      <c r="LI90" s="192"/>
      <c r="LJ90" s="192"/>
      <c r="LK90" s="192"/>
      <c r="LL90" s="192"/>
      <c r="LM90" s="192"/>
      <c r="LN90" s="192"/>
      <c r="LO90" s="192"/>
      <c r="LP90" s="192"/>
      <c r="LQ90" s="192"/>
      <c r="LR90" s="192"/>
      <c r="LS90" s="192"/>
      <c r="LT90" s="192"/>
      <c r="LU90" s="192"/>
      <c r="LV90" s="192"/>
      <c r="LW90" s="192"/>
      <c r="LX90" s="192"/>
      <c r="LY90" s="192"/>
      <c r="LZ90" s="192"/>
      <c r="MA90" s="192"/>
      <c r="MB90" s="329" t="s">
        <v>137</v>
      </c>
      <c r="MC90" s="329">
        <f t="shared" ref="MC90:MC93" si="1076">MC57</f>
        <v>6</v>
      </c>
      <c r="MD90" s="329">
        <f t="shared" ref="MD90:MD94" si="1077">MD57</f>
        <v>247</v>
      </c>
      <c r="ME90" s="329">
        <f t="shared" ref="ME90:ME94" si="1078">MR10</f>
        <v>64104</v>
      </c>
      <c r="MF90" s="330">
        <f t="shared" ref="MF90:MF94" si="1079">MS10</f>
        <v>47648</v>
      </c>
      <c r="MG90" s="330">
        <f t="shared" ref="MG90:MG93" si="1080">MT10-MG57</f>
        <v>20221902.28</v>
      </c>
      <c r="MH90" s="330">
        <f t="shared" ref="MH90:MH93" si="1081">MU10-MH57</f>
        <v>17582114</v>
      </c>
      <c r="MI90" s="330">
        <f t="shared" ref="MI90:MI94" si="1082">MG90-MH90</f>
        <v>2639788.28</v>
      </c>
      <c r="MJ90" s="334">
        <f t="shared" ref="MJ90:MJ94" si="1083">MI90/MG90</f>
        <v>0.130541046210614</v>
      </c>
      <c r="MK90" s="335">
        <f t="shared" ref="MK90:MK94" si="1084">MG90/MF90</f>
        <v>424.401911517797</v>
      </c>
      <c r="MO90" s="192"/>
      <c r="MP90" s="192"/>
      <c r="MQ90" s="192"/>
      <c r="MR90" s="192"/>
      <c r="MS90" s="192"/>
      <c r="MT90" s="192"/>
      <c r="MU90" s="192"/>
      <c r="MV90" s="192"/>
      <c r="MW90" s="192"/>
      <c r="MX90" s="192"/>
      <c r="MY90" s="192"/>
      <c r="MZ90" s="192"/>
      <c r="NA90" s="192"/>
      <c r="NB90" s="192"/>
      <c r="NC90" s="192"/>
      <c r="ND90" s="192"/>
      <c r="NE90" s="192"/>
      <c r="NF90" s="192"/>
      <c r="NG90" s="192"/>
      <c r="NH90" s="53"/>
      <c r="NI90" s="53"/>
      <c r="NJ90" s="329" t="s">
        <v>137</v>
      </c>
      <c r="NK90" s="329">
        <f t="shared" ref="NK90:NK93" si="1085">NK57</f>
        <v>6</v>
      </c>
      <c r="NL90" s="329">
        <f t="shared" ref="NL90:NL93" si="1086">NL57</f>
        <v>149</v>
      </c>
      <c r="NM90" s="329">
        <f t="shared" ref="NM90:NM94" si="1087">NZ10</f>
        <v>60257</v>
      </c>
      <c r="NN90" s="330">
        <f t="shared" ref="NN90:NN94" si="1088">OA10</f>
        <v>42829</v>
      </c>
      <c r="NO90" s="330">
        <f t="shared" ref="NO90:NO93" si="1089">OB10-NO57</f>
        <v>15895885.86</v>
      </c>
      <c r="NP90" s="330">
        <f t="shared" ref="NP90:NP93" si="1090">OC10-NP57</f>
        <v>14278464</v>
      </c>
      <c r="NQ90" s="330">
        <f t="shared" ref="NQ90:NQ94" si="1091">NO90-NP90</f>
        <v>1617421.86</v>
      </c>
      <c r="NR90" s="334">
        <f t="shared" si="977"/>
        <v>0.101750973443389</v>
      </c>
      <c r="NS90" s="335">
        <f t="shared" si="978"/>
        <v>371.147723738588</v>
      </c>
      <c r="NT90" s="53"/>
      <c r="NU90" s="53"/>
      <c r="NV90" s="53"/>
      <c r="NW90" s="53"/>
      <c r="NX90" s="53"/>
      <c r="NY90" s="53"/>
      <c r="NZ90" s="53"/>
      <c r="OA90" s="53"/>
      <c r="OB90" s="53"/>
      <c r="OC90" s="53"/>
      <c r="OD90" s="53"/>
      <c r="OE90" s="53"/>
      <c r="OF90" s="53"/>
      <c r="OG90" s="53"/>
      <c r="OH90" s="53"/>
      <c r="OI90" s="53"/>
      <c r="OJ90" s="53"/>
      <c r="OK90" s="53"/>
      <c r="OL90" s="53"/>
      <c r="OM90" s="53"/>
      <c r="ON90" s="53"/>
      <c r="OO90" s="53"/>
      <c r="OP90" s="53"/>
      <c r="OQ90" s="53"/>
      <c r="OR90" s="53"/>
      <c r="OS90" s="336" t="s">
        <v>137</v>
      </c>
      <c r="OT90" s="336">
        <f t="shared" si="979"/>
        <v>5</v>
      </c>
      <c r="OU90" s="336">
        <f t="shared" si="980"/>
        <v>201</v>
      </c>
      <c r="OV90" s="172">
        <f t="shared" si="981"/>
        <v>48234</v>
      </c>
      <c r="OW90" s="172">
        <f t="shared" si="982"/>
        <v>32869</v>
      </c>
      <c r="OX90" s="172">
        <f t="shared" si="983"/>
        <v>11402678.43</v>
      </c>
      <c r="OY90" s="172">
        <f t="shared" si="984"/>
        <v>10151654</v>
      </c>
      <c r="OZ90" s="171">
        <f t="shared" si="985"/>
        <v>1251024.43</v>
      </c>
      <c r="PA90" s="337">
        <f t="shared" si="986"/>
        <v>0.109713207969507</v>
      </c>
      <c r="PB90" s="170">
        <f t="shared" si="987"/>
        <v>346.912848884968</v>
      </c>
      <c r="PC90" s="144"/>
      <c r="PD90" s="144"/>
      <c r="PE90" s="144"/>
      <c r="PF90" s="144"/>
      <c r="PG90" s="144"/>
      <c r="PH90" s="144"/>
      <c r="PI90" s="144"/>
      <c r="PJ90" s="144"/>
      <c r="PK90" s="144"/>
      <c r="PL90" s="144"/>
      <c r="PM90" s="144"/>
      <c r="PN90" s="144"/>
      <c r="PO90" s="144"/>
      <c r="PP90" s="144"/>
      <c r="PQ90" s="144"/>
      <c r="PR90" s="144"/>
      <c r="PS90" s="146"/>
      <c r="PT90" s="146"/>
      <c r="PU90" s="336" t="s">
        <v>137</v>
      </c>
      <c r="PV90" s="336">
        <f t="shared" si="988"/>
        <v>4</v>
      </c>
      <c r="PW90" s="336">
        <f t="shared" si="989"/>
        <v>157</v>
      </c>
      <c r="PX90" s="172">
        <f t="shared" si="990"/>
        <v>38118</v>
      </c>
      <c r="PY90" s="172">
        <f t="shared" si="991"/>
        <v>26471</v>
      </c>
      <c r="PZ90" s="172">
        <f t="shared" si="992"/>
        <v>10993676.38</v>
      </c>
      <c r="QA90" s="172">
        <f t="shared" si="993"/>
        <v>10044845</v>
      </c>
      <c r="QB90" s="171">
        <f t="shared" ref="QB90:QB93" si="1092">PZ90-QA90</f>
        <v>948831.380000001</v>
      </c>
      <c r="QC90" s="337">
        <f t="shared" si="995"/>
        <v>0.0863070138871962</v>
      </c>
      <c r="QD90" s="170">
        <f t="shared" si="996"/>
        <v>415.310202863511</v>
      </c>
      <c r="QE90" s="146"/>
      <c r="QF90" s="146"/>
      <c r="QG90" s="146"/>
      <c r="QH90" s="146"/>
      <c r="QI90" s="146"/>
      <c r="QJ90" s="146"/>
      <c r="QK90" s="146"/>
      <c r="QL90" s="146"/>
      <c r="QM90" s="146"/>
      <c r="QN90" s="146"/>
      <c r="QO90" s="146"/>
      <c r="QP90" s="146"/>
      <c r="QQ90" s="146"/>
      <c r="QR90" s="144"/>
      <c r="QS90" s="144"/>
      <c r="QT90" s="144"/>
      <c r="QU90" s="144"/>
      <c r="QV90" s="144"/>
      <c r="QW90" s="144"/>
      <c r="QX90" s="144"/>
      <c r="QY90" s="144"/>
      <c r="QZ90" s="144"/>
      <c r="RA90" s="144"/>
      <c r="RB90" s="144"/>
      <c r="RC90" s="144"/>
      <c r="RD90" s="144"/>
      <c r="RE90" s="144"/>
      <c r="RF90" s="144"/>
      <c r="RG90" s="144"/>
      <c r="RH90" s="144"/>
      <c r="RI90" s="144"/>
      <c r="RJ90" s="144"/>
      <c r="RK90" s="144"/>
      <c r="RL90" s="144"/>
      <c r="RM90" s="144"/>
      <c r="RN90" s="144"/>
      <c r="RO90" s="144"/>
      <c r="RP90" s="144"/>
      <c r="RQ90" s="144"/>
      <c r="RR90" s="144"/>
      <c r="RS90" s="144"/>
      <c r="RT90" s="144"/>
      <c r="RU90" s="144"/>
      <c r="RV90" s="144"/>
      <c r="RW90" s="144"/>
      <c r="RX90" s="144"/>
      <c r="RY90" s="144"/>
      <c r="RZ90" s="144"/>
      <c r="SA90" s="144"/>
      <c r="SB90" s="144"/>
      <c r="SC90" s="144"/>
      <c r="SD90" s="144"/>
      <c r="SE90" s="144"/>
      <c r="SF90" s="144"/>
      <c r="SG90" s="144"/>
      <c r="SH90" s="144"/>
      <c r="SI90" s="144"/>
      <c r="SJ90" s="144"/>
      <c r="SK90" s="144"/>
      <c r="SL90" s="84"/>
      <c r="SM90" s="84"/>
      <c r="SN90" s="154"/>
      <c r="SO90" s="154"/>
      <c r="SP90" s="154"/>
      <c r="SQ90" s="154"/>
      <c r="SR90" s="154"/>
      <c r="SS90" s="154"/>
      <c r="ST90" s="155"/>
      <c r="SU90" s="154"/>
      <c r="SV90" s="154"/>
      <c r="SW90" s="155"/>
      <c r="SX90" s="155"/>
      <c r="SY90" s="155"/>
      <c r="SZ90" s="155"/>
      <c r="TA90" s="155"/>
      <c r="TB90" s="155"/>
      <c r="TC90" s="155"/>
      <c r="TD90" s="156"/>
      <c r="TE90" s="144"/>
      <c r="TF90" s="84"/>
      <c r="TG90" s="144"/>
      <c r="TH90" s="144"/>
      <c r="TI90" s="144"/>
      <c r="TJ90" s="144"/>
      <c r="TK90" s="157"/>
      <c r="TL90" s="157"/>
      <c r="TM90" s="157"/>
      <c r="TN90" s="157"/>
      <c r="TO90" s="157"/>
      <c r="TP90" s="157"/>
      <c r="TQ90" s="157"/>
      <c r="TR90" s="157"/>
      <c r="TS90" s="157"/>
      <c r="TT90" s="158"/>
      <c r="TU90" s="157"/>
      <c r="TV90" s="158"/>
      <c r="TW90" s="144"/>
      <c r="TX90" s="144"/>
      <c r="TY90" s="144"/>
      <c r="TZ90" s="84"/>
      <c r="UA90" s="144"/>
      <c r="UB90" s="144"/>
      <c r="UC90" s="144"/>
      <c r="UD90" s="144"/>
      <c r="UE90" s="157"/>
      <c r="UF90" s="157"/>
      <c r="UG90" s="157"/>
      <c r="UH90" s="157"/>
      <c r="UI90" s="157"/>
      <c r="UJ90" s="157"/>
      <c r="UK90" s="157"/>
      <c r="UL90" s="157"/>
      <c r="UM90" s="157"/>
      <c r="UN90" s="157"/>
      <c r="UO90" s="157"/>
      <c r="UP90" s="158"/>
      <c r="UQ90" s="157"/>
      <c r="UR90" s="158"/>
      <c r="US90" s="144"/>
      <c r="UT90" s="144"/>
      <c r="UU90" s="144"/>
      <c r="UV90" s="144"/>
      <c r="UW90" s="144"/>
      <c r="UX90" s="144"/>
      <c r="UY90" s="144"/>
      <c r="UZ90" s="144"/>
      <c r="VA90" s="157"/>
      <c r="VB90" s="157"/>
      <c r="VC90" s="157"/>
      <c r="VD90" s="157"/>
      <c r="VE90" s="157"/>
      <c r="VF90" s="157"/>
      <c r="VG90" s="157"/>
      <c r="VH90" s="157"/>
      <c r="VI90" s="157"/>
      <c r="VJ90" s="157"/>
      <c r="VK90" s="157"/>
      <c r="VL90" s="157"/>
      <c r="VM90" s="157"/>
      <c r="VN90" s="157"/>
      <c r="VO90" s="144"/>
      <c r="VP90" s="144"/>
      <c r="VQ90" s="84"/>
      <c r="VR90" s="84"/>
      <c r="VS90" s="144"/>
      <c r="VT90" s="53"/>
      <c r="VU90" s="53"/>
    </row>
    <row r="91" ht="15.75" hidden="1" spans="1:593">
      <c r="A91" s="53"/>
      <c r="B91" s="53"/>
      <c r="C91" s="327" t="s">
        <v>140</v>
      </c>
      <c r="D91" s="327"/>
      <c r="E91" s="327"/>
      <c r="F91" s="327"/>
      <c r="G91" s="161"/>
      <c r="H91" s="161"/>
      <c r="I91" s="161"/>
      <c r="J91" s="161"/>
      <c r="K91" s="179"/>
      <c r="L91" s="328"/>
      <c r="M91" s="162"/>
      <c r="N91" s="293"/>
      <c r="O91" s="293"/>
      <c r="P91" s="293"/>
      <c r="Q91" s="293"/>
      <c r="R91" s="293"/>
      <c r="S91" s="293"/>
      <c r="T91" s="293"/>
      <c r="U91" s="293"/>
      <c r="V91" s="293"/>
      <c r="W91" s="293"/>
      <c r="X91" s="293"/>
      <c r="Y91" s="293"/>
      <c r="Z91" s="293"/>
      <c r="AA91" s="293"/>
      <c r="AB91" s="293"/>
      <c r="AC91" s="293"/>
      <c r="AD91" s="293"/>
      <c r="AE91" s="293"/>
      <c r="AF91" s="293"/>
      <c r="AG91" s="293"/>
      <c r="AH91" s="293"/>
      <c r="AI91" s="53"/>
      <c r="AJ91" s="327" t="s">
        <v>140</v>
      </c>
      <c r="AK91" s="327"/>
      <c r="AL91" s="327"/>
      <c r="AM91" s="327"/>
      <c r="AN91" s="161"/>
      <c r="AO91" s="161"/>
      <c r="AP91" s="161"/>
      <c r="AQ91" s="161"/>
      <c r="AR91" s="179"/>
      <c r="AS91" s="328"/>
      <c r="AT91" s="162"/>
      <c r="AU91" s="293"/>
      <c r="AV91" s="293"/>
      <c r="AW91" s="293"/>
      <c r="AX91" s="293"/>
      <c r="AY91" s="293"/>
      <c r="AZ91" s="293"/>
      <c r="BA91" s="293"/>
      <c r="BB91" s="293"/>
      <c r="BC91" s="293"/>
      <c r="BD91" s="293"/>
      <c r="BE91" s="293"/>
      <c r="BF91" s="293"/>
      <c r="BG91" s="293"/>
      <c r="BH91" s="293"/>
      <c r="BI91" s="293"/>
      <c r="BJ91" s="293"/>
      <c r="BK91" s="293"/>
      <c r="BL91" s="293"/>
      <c r="BM91" s="293"/>
      <c r="BN91" s="293"/>
      <c r="BO91" s="293"/>
      <c r="BP91" s="53"/>
      <c r="BQ91" s="327" t="s">
        <v>140</v>
      </c>
      <c r="BR91" s="327" t="str">
        <f t="shared" ref="BR91:BT91" si="1093">BR58</f>
        <v>PH05</v>
      </c>
      <c r="BS91" s="327">
        <f t="shared" si="1093"/>
        <v>0</v>
      </c>
      <c r="BT91" s="327">
        <f t="shared" si="1093"/>
        <v>0</v>
      </c>
      <c r="BU91" s="161">
        <f t="shared" si="1019"/>
        <v>11016</v>
      </c>
      <c r="BV91" s="161">
        <f t="shared" si="1020"/>
        <v>9633</v>
      </c>
      <c r="BW91" s="161">
        <f t="shared" si="1021"/>
        <v>8877008</v>
      </c>
      <c r="BX91" s="161">
        <f t="shared" si="1022"/>
        <v>7808538</v>
      </c>
      <c r="BY91" s="179">
        <f t="shared" si="1023"/>
        <v>1068470</v>
      </c>
      <c r="BZ91" s="328">
        <f t="shared" si="1024"/>
        <v>0.120363753192517</v>
      </c>
      <c r="CA91" s="162">
        <f t="shared" si="1025"/>
        <v>921.520606249351</v>
      </c>
      <c r="CB91" s="293"/>
      <c r="CC91" s="293"/>
      <c r="CD91" s="293"/>
      <c r="CE91" s="293"/>
      <c r="CF91" s="293"/>
      <c r="CG91" s="293"/>
      <c r="CH91" s="293"/>
      <c r="CI91" s="293"/>
      <c r="CJ91" s="293"/>
      <c r="CK91" s="293"/>
      <c r="CL91" s="293"/>
      <c r="CM91" s="293"/>
      <c r="CN91" s="293"/>
      <c r="CO91" s="293"/>
      <c r="CP91" s="293"/>
      <c r="CQ91" s="293"/>
      <c r="CR91" s="293"/>
      <c r="CS91" s="293"/>
      <c r="CT91" s="293"/>
      <c r="CU91" s="293"/>
      <c r="CV91" s="293"/>
      <c r="CW91" s="53"/>
      <c r="CX91" s="327" t="s">
        <v>140</v>
      </c>
      <c r="CY91" s="327" t="str">
        <f t="shared" ref="CY91:DA91" si="1094">CY58</f>
        <v>PH05</v>
      </c>
      <c r="CZ91" s="327">
        <f t="shared" si="1094"/>
        <v>1</v>
      </c>
      <c r="DA91" s="327">
        <f t="shared" si="1094"/>
        <v>1</v>
      </c>
      <c r="DB91" s="161">
        <f t="shared" si="1027"/>
        <v>14137</v>
      </c>
      <c r="DC91" s="161">
        <f t="shared" si="1028"/>
        <v>11665</v>
      </c>
      <c r="DD91" s="161">
        <f t="shared" si="1029"/>
        <v>8976014</v>
      </c>
      <c r="DE91" s="161">
        <f t="shared" si="1030"/>
        <v>8260477.82</v>
      </c>
      <c r="DF91" s="179">
        <f t="shared" si="1031"/>
        <v>715536.18</v>
      </c>
      <c r="DG91" s="328">
        <f t="shared" si="1032"/>
        <v>0.0797164732586201</v>
      </c>
      <c r="DH91" s="162">
        <f t="shared" si="1033"/>
        <v>769.482554650664</v>
      </c>
      <c r="DI91" s="293"/>
      <c r="DJ91" s="293"/>
      <c r="DK91" s="293"/>
      <c r="DL91" s="293"/>
      <c r="DM91" s="293"/>
      <c r="DN91" s="293"/>
      <c r="DO91" s="293"/>
      <c r="DP91" s="293"/>
      <c r="DQ91" s="293"/>
      <c r="DR91" s="293"/>
      <c r="DS91" s="293"/>
      <c r="DT91" s="293"/>
      <c r="DU91" s="293"/>
      <c r="DV91" s="293"/>
      <c r="DW91" s="293"/>
      <c r="DX91" s="293"/>
      <c r="DY91" s="293"/>
      <c r="DZ91" s="293"/>
      <c r="EA91" s="293"/>
      <c r="EB91" s="293"/>
      <c r="EC91" s="293"/>
      <c r="ED91" s="53"/>
      <c r="EE91" s="329" t="s">
        <v>140</v>
      </c>
      <c r="EF91" s="329">
        <f t="shared" ref="EF91:EH91" si="1095">EF58</f>
        <v>1</v>
      </c>
      <c r="EG91" s="329">
        <f t="shared" si="1095"/>
        <v>1</v>
      </c>
      <c r="EH91" s="329">
        <f t="shared" si="1095"/>
        <v>92</v>
      </c>
      <c r="EI91" s="330">
        <f t="shared" si="1035"/>
        <v>14957</v>
      </c>
      <c r="EJ91" s="330">
        <f t="shared" si="1036"/>
        <v>12031</v>
      </c>
      <c r="EK91" s="330">
        <f t="shared" si="1037"/>
        <v>9259631</v>
      </c>
      <c r="EL91" s="330">
        <f t="shared" si="1038"/>
        <v>8436136</v>
      </c>
      <c r="EM91" s="331">
        <f t="shared" si="1039"/>
        <v>823495</v>
      </c>
      <c r="EN91" s="332">
        <f t="shared" si="1040"/>
        <v>0.0889338894822051</v>
      </c>
      <c r="EO91" s="333">
        <f t="shared" si="1041"/>
        <v>769.647660211121</v>
      </c>
      <c r="EP91" s="53"/>
      <c r="EQ91" s="53"/>
      <c r="ER91" s="192"/>
      <c r="ES91" s="192"/>
      <c r="ET91" s="192"/>
      <c r="EU91" s="192"/>
      <c r="EV91" s="192"/>
      <c r="EW91" s="192"/>
      <c r="EX91" s="192"/>
      <c r="EY91" s="192"/>
      <c r="EZ91" s="192"/>
      <c r="FA91" s="192"/>
      <c r="FB91" s="192"/>
      <c r="FC91" s="192"/>
      <c r="FD91" s="192"/>
      <c r="FE91" s="192"/>
      <c r="FF91" s="192"/>
      <c r="FG91" s="192"/>
      <c r="FH91" s="192"/>
      <c r="FI91" s="192"/>
      <c r="FJ91" s="192"/>
      <c r="FK91" s="53"/>
      <c r="FL91" s="53"/>
      <c r="FM91" s="53"/>
      <c r="FN91" s="329" t="s">
        <v>140</v>
      </c>
      <c r="FO91" s="329">
        <f t="shared" ref="FO91:FQ91" si="1096">FO58</f>
        <v>1</v>
      </c>
      <c r="FP91" s="329">
        <f t="shared" si="1096"/>
        <v>1</v>
      </c>
      <c r="FQ91" s="329">
        <f t="shared" si="1096"/>
        <v>66</v>
      </c>
      <c r="FR91" s="330">
        <f t="shared" si="1043"/>
        <v>13449</v>
      </c>
      <c r="FS91" s="330">
        <f t="shared" si="1044"/>
        <v>11499</v>
      </c>
      <c r="FT91" s="330">
        <f t="shared" si="1045"/>
        <v>8414815</v>
      </c>
      <c r="FU91" s="330">
        <f t="shared" si="1046"/>
        <v>7598843</v>
      </c>
      <c r="FV91" s="331">
        <f t="shared" si="1047"/>
        <v>815972</v>
      </c>
      <c r="FW91" s="332">
        <f t="shared" si="1048"/>
        <v>0.0969685013871368</v>
      </c>
      <c r="FX91" s="333">
        <f t="shared" si="1049"/>
        <v>731.786677102357</v>
      </c>
      <c r="FY91" s="53"/>
      <c r="FZ91" s="192"/>
      <c r="GA91" s="192"/>
      <c r="GB91" s="192"/>
      <c r="GC91" s="192"/>
      <c r="GD91" s="192"/>
      <c r="GE91" s="192"/>
      <c r="GF91" s="192"/>
      <c r="GG91" s="192"/>
      <c r="GH91" s="192"/>
      <c r="GI91" s="192"/>
      <c r="GJ91" s="192"/>
      <c r="GK91" s="192"/>
      <c r="GL91" s="192"/>
      <c r="GM91" s="192"/>
      <c r="GN91" s="192"/>
      <c r="GO91" s="192"/>
      <c r="GP91" s="192"/>
      <c r="GQ91" s="192"/>
      <c r="GR91" s="192"/>
      <c r="GS91" s="192"/>
      <c r="GT91" s="53"/>
      <c r="GU91" s="53"/>
      <c r="GV91" s="329" t="s">
        <v>140</v>
      </c>
      <c r="GW91" s="329">
        <f t="shared" ref="GW91:GY91" si="1097">GW58</f>
        <v>1</v>
      </c>
      <c r="GX91" s="329">
        <f t="shared" si="1097"/>
        <v>1</v>
      </c>
      <c r="GY91" s="329">
        <f t="shared" si="1097"/>
        <v>62</v>
      </c>
      <c r="GZ91" s="330">
        <f t="shared" si="1051"/>
        <v>14132</v>
      </c>
      <c r="HA91" s="330">
        <f t="shared" si="1052"/>
        <v>12606</v>
      </c>
      <c r="HB91" s="330">
        <f t="shared" si="1053"/>
        <v>8092637</v>
      </c>
      <c r="HC91" s="330">
        <f t="shared" si="1054"/>
        <v>7363156</v>
      </c>
      <c r="HD91" s="331">
        <f t="shared" si="1055"/>
        <v>729481</v>
      </c>
      <c r="HE91" s="332">
        <f t="shared" si="1056"/>
        <v>0.0901413222908676</v>
      </c>
      <c r="HF91" s="333">
        <f t="shared" si="1057"/>
        <v>641.96707916865</v>
      </c>
      <c r="HI91" s="192"/>
      <c r="HJ91" s="192"/>
      <c r="HK91" s="192"/>
      <c r="HL91" s="192"/>
      <c r="HM91" s="192"/>
      <c r="HN91" s="192"/>
      <c r="HO91" s="192"/>
      <c r="HP91" s="192"/>
      <c r="HQ91" s="192"/>
      <c r="HR91" s="192"/>
      <c r="HS91" s="192"/>
      <c r="HT91" s="192"/>
      <c r="HU91" s="192"/>
      <c r="HV91" s="192"/>
      <c r="HW91" s="192"/>
      <c r="HX91" s="192"/>
      <c r="HY91" s="192"/>
      <c r="HZ91" s="192"/>
      <c r="IA91" s="192"/>
      <c r="IB91" s="53"/>
      <c r="IC91" s="53"/>
      <c r="ID91" s="329" t="s">
        <v>140</v>
      </c>
      <c r="IE91" s="329">
        <f t="shared" si="1058"/>
        <v>2</v>
      </c>
      <c r="IF91" s="329">
        <v>0</v>
      </c>
      <c r="IG91" s="329">
        <f t="shared" si="1059"/>
        <v>44</v>
      </c>
      <c r="IH91" s="330">
        <f t="shared" si="1060"/>
        <v>17203</v>
      </c>
      <c r="II91" s="330">
        <f t="shared" si="1061"/>
        <v>14810</v>
      </c>
      <c r="IJ91" s="330">
        <f t="shared" si="1062"/>
        <v>8920926</v>
      </c>
      <c r="IK91" s="330">
        <f t="shared" si="1063"/>
        <v>7958173</v>
      </c>
      <c r="IL91" s="331">
        <f t="shared" si="1064"/>
        <v>962753</v>
      </c>
      <c r="IM91" s="332">
        <f t="shared" si="1065"/>
        <v>0.107920747240813</v>
      </c>
      <c r="IN91" s="333">
        <f t="shared" si="1066"/>
        <v>602.358271438217</v>
      </c>
      <c r="IP91" s="11"/>
      <c r="IQ91" s="192"/>
      <c r="IR91" s="192"/>
      <c r="IS91" s="192"/>
      <c r="IT91" s="192"/>
      <c r="IU91" s="192"/>
      <c r="IV91" s="192"/>
      <c r="IW91" s="192"/>
      <c r="IX91" s="192"/>
      <c r="IY91" s="192"/>
      <c r="IZ91" s="192"/>
      <c r="JA91" s="192"/>
      <c r="JB91" s="192"/>
      <c r="JC91" s="192"/>
      <c r="JD91" s="192"/>
      <c r="JE91" s="192"/>
      <c r="JF91" s="192"/>
      <c r="JG91" s="192"/>
      <c r="JH91" s="192"/>
      <c r="JI91" s="192"/>
      <c r="JJ91" s="53"/>
      <c r="JK91" s="53"/>
      <c r="JL91" s="329" t="s">
        <v>140</v>
      </c>
      <c r="JM91" s="329">
        <f t="shared" si="1067"/>
        <v>3</v>
      </c>
      <c r="JN91" s="329">
        <f t="shared" si="1068"/>
        <v>44</v>
      </c>
      <c r="JO91" s="329">
        <f t="shared" si="1069"/>
        <v>16511</v>
      </c>
      <c r="JP91" s="330">
        <f t="shared" si="1070"/>
        <v>14194</v>
      </c>
      <c r="JQ91" s="330">
        <f t="shared" si="1071"/>
        <v>8608174</v>
      </c>
      <c r="JR91" s="330">
        <f t="shared" si="1072"/>
        <v>7085950</v>
      </c>
      <c r="JS91" s="330">
        <f t="shared" si="1073"/>
        <v>1522224</v>
      </c>
      <c r="JT91" s="334">
        <f t="shared" si="1074"/>
        <v>0.176834715469274</v>
      </c>
      <c r="JU91" s="335">
        <f t="shared" si="1075"/>
        <v>606.465689728054</v>
      </c>
      <c r="JX91" s="192"/>
      <c r="JY91" s="192"/>
      <c r="JZ91" s="192"/>
      <c r="KA91" s="192"/>
      <c r="KB91" s="192"/>
      <c r="KC91" s="192"/>
      <c r="KD91" s="192"/>
      <c r="KE91" s="192"/>
      <c r="KF91" s="192"/>
      <c r="KG91" s="192"/>
      <c r="KH91" s="192"/>
      <c r="KI91" s="192"/>
      <c r="KJ91" s="192"/>
      <c r="KK91" s="192"/>
      <c r="KL91" s="192"/>
      <c r="KM91" s="192"/>
      <c r="KN91" s="192"/>
      <c r="KO91" s="192"/>
      <c r="KP91" s="192"/>
      <c r="KQ91" s="192"/>
      <c r="KR91" s="53"/>
      <c r="KS91" s="53"/>
      <c r="KT91" s="329" t="s">
        <v>140</v>
      </c>
      <c r="KU91" s="329">
        <v>3</v>
      </c>
      <c r="KV91" s="329">
        <v>92</v>
      </c>
      <c r="KW91" s="329">
        <v>27016</v>
      </c>
      <c r="KX91" s="330">
        <v>21704</v>
      </c>
      <c r="KY91" s="330">
        <v>11471506</v>
      </c>
      <c r="KZ91" s="330">
        <v>10179400</v>
      </c>
      <c r="LA91" s="330">
        <v>1292106</v>
      </c>
      <c r="LB91" s="334">
        <v>0.112636126416183</v>
      </c>
      <c r="LC91" s="335">
        <v>528.543402137855</v>
      </c>
      <c r="LF91" s="11"/>
      <c r="LG91" s="192"/>
      <c r="LH91" s="192"/>
      <c r="LI91" s="192"/>
      <c r="LJ91" s="192"/>
      <c r="LK91" s="192"/>
      <c r="LL91" s="192"/>
      <c r="LM91" s="192"/>
      <c r="LN91" s="192"/>
      <c r="LO91" s="192"/>
      <c r="LP91" s="192"/>
      <c r="LQ91" s="192"/>
      <c r="LR91" s="192"/>
      <c r="LS91" s="192"/>
      <c r="LT91" s="192"/>
      <c r="LU91" s="192"/>
      <c r="LV91" s="192"/>
      <c r="LW91" s="192"/>
      <c r="LX91" s="192"/>
      <c r="LY91" s="192"/>
      <c r="LZ91" s="192"/>
      <c r="MA91" s="192"/>
      <c r="MB91" s="329" t="s">
        <v>140</v>
      </c>
      <c r="MC91" s="329">
        <f t="shared" si="1076"/>
        <v>3</v>
      </c>
      <c r="MD91" s="329">
        <f t="shared" si="1077"/>
        <v>102</v>
      </c>
      <c r="ME91" s="329">
        <f t="shared" si="1078"/>
        <v>30122</v>
      </c>
      <c r="MF91" s="330">
        <f t="shared" si="1079"/>
        <v>23786</v>
      </c>
      <c r="MG91" s="330">
        <f t="shared" si="1080"/>
        <v>10861001</v>
      </c>
      <c r="MH91" s="330">
        <f t="shared" si="1081"/>
        <v>9219900</v>
      </c>
      <c r="MI91" s="330">
        <f t="shared" si="1082"/>
        <v>1641101</v>
      </c>
      <c r="MJ91" s="334">
        <f t="shared" si="1083"/>
        <v>0.151100345170763</v>
      </c>
      <c r="MK91" s="335">
        <f t="shared" si="1084"/>
        <v>456.613175817708</v>
      </c>
      <c r="MO91" s="192"/>
      <c r="MP91" s="192"/>
      <c r="MQ91" s="192"/>
      <c r="MR91" s="192"/>
      <c r="MS91" s="192"/>
      <c r="MT91" s="192"/>
      <c r="MU91" s="192"/>
      <c r="MV91" s="192"/>
      <c r="MW91" s="192"/>
      <c r="MX91" s="192"/>
      <c r="MY91" s="192"/>
      <c r="MZ91" s="192"/>
      <c r="NA91" s="192"/>
      <c r="NB91" s="192"/>
      <c r="NC91" s="192"/>
      <c r="ND91" s="192"/>
      <c r="NE91" s="192"/>
      <c r="NF91" s="192"/>
      <c r="NG91" s="192"/>
      <c r="NH91" s="53"/>
      <c r="NI91" s="53"/>
      <c r="NJ91" s="329" t="s">
        <v>140</v>
      </c>
      <c r="NK91" s="329">
        <f t="shared" si="1085"/>
        <v>3</v>
      </c>
      <c r="NL91" s="329">
        <f t="shared" si="1086"/>
        <v>90</v>
      </c>
      <c r="NM91" s="329">
        <f t="shared" si="1087"/>
        <v>29501</v>
      </c>
      <c r="NN91" s="330">
        <f t="shared" si="1088"/>
        <v>21703</v>
      </c>
      <c r="NO91" s="330">
        <f t="shared" si="1089"/>
        <v>10141172</v>
      </c>
      <c r="NP91" s="330">
        <f t="shared" si="1090"/>
        <v>8650756</v>
      </c>
      <c r="NQ91" s="330">
        <f t="shared" si="1091"/>
        <v>1490416</v>
      </c>
      <c r="NR91" s="334">
        <f t="shared" si="977"/>
        <v>0.146966839730161</v>
      </c>
      <c r="NS91" s="335">
        <f t="shared" si="978"/>
        <v>467.270515596922</v>
      </c>
      <c r="NT91" s="53"/>
      <c r="NU91" s="53"/>
      <c r="NV91" s="53"/>
      <c r="NW91" s="53"/>
      <c r="NX91" s="53"/>
      <c r="NY91" s="53"/>
      <c r="NZ91" s="53"/>
      <c r="OA91" s="53"/>
      <c r="OB91" s="53"/>
      <c r="OC91" s="53"/>
      <c r="OD91" s="53"/>
      <c r="OE91" s="53"/>
      <c r="OF91" s="53"/>
      <c r="OG91" s="53"/>
      <c r="OH91" s="53"/>
      <c r="OI91" s="53"/>
      <c r="OJ91" s="53"/>
      <c r="OK91" s="53"/>
      <c r="OL91" s="53"/>
      <c r="OM91" s="53"/>
      <c r="ON91" s="53"/>
      <c r="OO91" s="53"/>
      <c r="OP91" s="53"/>
      <c r="OQ91" s="53"/>
      <c r="OR91" s="53"/>
      <c r="OS91" s="336" t="s">
        <v>140</v>
      </c>
      <c r="OT91" s="336">
        <f t="shared" si="979"/>
        <v>3</v>
      </c>
      <c r="OU91" s="336">
        <f t="shared" si="980"/>
        <v>103</v>
      </c>
      <c r="OV91" s="172">
        <f t="shared" si="981"/>
        <v>30472</v>
      </c>
      <c r="OW91" s="172">
        <f t="shared" si="982"/>
        <v>20018</v>
      </c>
      <c r="OX91" s="172">
        <f t="shared" si="983"/>
        <v>9915725</v>
      </c>
      <c r="OY91" s="172">
        <f t="shared" si="984"/>
        <v>8860080</v>
      </c>
      <c r="OZ91" s="171">
        <f t="shared" si="985"/>
        <v>1055645</v>
      </c>
      <c r="PA91" s="337">
        <f t="shared" si="986"/>
        <v>0.106461706027547</v>
      </c>
      <c r="PB91" s="170">
        <f t="shared" si="987"/>
        <v>495.340443600759</v>
      </c>
      <c r="PC91" s="144"/>
      <c r="PD91" s="144"/>
      <c r="PE91" s="144"/>
      <c r="PF91" s="144"/>
      <c r="PG91" s="144"/>
      <c r="PH91" s="144"/>
      <c r="PI91" s="144"/>
      <c r="PJ91" s="144"/>
      <c r="PK91" s="144"/>
      <c r="PL91" s="144"/>
      <c r="PM91" s="144"/>
      <c r="PN91" s="144"/>
      <c r="PO91" s="144"/>
      <c r="PP91" s="144"/>
      <c r="PQ91" s="144"/>
      <c r="PR91" s="144"/>
      <c r="PS91" s="146"/>
      <c r="PT91" s="146"/>
      <c r="PU91" s="336" t="s">
        <v>140</v>
      </c>
      <c r="PV91" s="336">
        <f t="shared" si="988"/>
        <v>3</v>
      </c>
      <c r="PW91" s="336">
        <f t="shared" si="989"/>
        <v>160</v>
      </c>
      <c r="PX91" s="172">
        <f t="shared" si="990"/>
        <v>27476</v>
      </c>
      <c r="PY91" s="172">
        <f t="shared" si="991"/>
        <v>17089</v>
      </c>
      <c r="PZ91" s="172">
        <f t="shared" si="992"/>
        <v>9612247</v>
      </c>
      <c r="QA91" s="172">
        <f t="shared" si="993"/>
        <v>9752154</v>
      </c>
      <c r="QB91" s="171">
        <f t="shared" si="1092"/>
        <v>-139907</v>
      </c>
      <c r="QC91" s="337">
        <f t="shared" si="995"/>
        <v>-0.014555077496448</v>
      </c>
      <c r="QD91" s="170">
        <f t="shared" si="996"/>
        <v>562.481537831354</v>
      </c>
      <c r="QE91" s="146"/>
      <c r="QF91" s="146"/>
      <c r="QG91" s="146"/>
      <c r="QH91" s="146"/>
      <c r="QI91" s="146"/>
      <c r="QJ91" s="146"/>
      <c r="QK91" s="146"/>
      <c r="QL91" s="146"/>
      <c r="QM91" s="146"/>
      <c r="QN91" s="146"/>
      <c r="QO91" s="146"/>
      <c r="QP91" s="146"/>
      <c r="QQ91" s="146"/>
      <c r="QR91" s="144"/>
      <c r="QS91" s="144"/>
      <c r="QT91" s="144"/>
      <c r="QU91" s="144"/>
      <c r="QV91" s="144"/>
      <c r="QW91" s="144"/>
      <c r="QX91" s="144"/>
      <c r="QY91" s="144"/>
      <c r="QZ91" s="144"/>
      <c r="RA91" s="144"/>
      <c r="RB91" s="144"/>
      <c r="RC91" s="144"/>
      <c r="RD91" s="144"/>
      <c r="RE91" s="144"/>
      <c r="RF91" s="144"/>
      <c r="RG91" s="144"/>
      <c r="RH91" s="144"/>
      <c r="RI91" s="144"/>
      <c r="RJ91" s="144"/>
      <c r="RK91" s="144"/>
      <c r="RL91" s="144"/>
      <c r="RM91" s="144"/>
      <c r="RN91" s="144"/>
      <c r="RO91" s="144"/>
      <c r="RP91" s="144"/>
      <c r="RQ91" s="144"/>
      <c r="RR91" s="144"/>
      <c r="RS91" s="144"/>
      <c r="RT91" s="144"/>
      <c r="RU91" s="144"/>
      <c r="RV91" s="144"/>
      <c r="RW91" s="144"/>
      <c r="RX91" s="144"/>
      <c r="RY91" s="144"/>
      <c r="RZ91" s="144"/>
      <c r="SA91" s="144"/>
      <c r="SB91" s="144"/>
      <c r="SC91" s="144"/>
      <c r="SD91" s="144"/>
      <c r="SE91" s="144"/>
      <c r="SF91" s="144"/>
      <c r="SG91" s="144"/>
      <c r="SH91" s="144"/>
      <c r="SI91" s="144"/>
      <c r="SJ91" s="144"/>
      <c r="SK91" s="144"/>
      <c r="SL91" s="84"/>
      <c r="SM91" s="84"/>
      <c r="SN91" s="154"/>
      <c r="SO91" s="154"/>
      <c r="SP91" s="154"/>
      <c r="SQ91" s="154"/>
      <c r="SR91" s="154"/>
      <c r="SS91" s="154"/>
      <c r="ST91" s="155"/>
      <c r="SU91" s="154"/>
      <c r="SV91" s="154"/>
      <c r="SW91" s="155"/>
      <c r="SX91" s="155"/>
      <c r="SY91" s="155"/>
      <c r="SZ91" s="155"/>
      <c r="TA91" s="155"/>
      <c r="TB91" s="155"/>
      <c r="TC91" s="155"/>
      <c r="TD91" s="156"/>
      <c r="TE91" s="144"/>
      <c r="TF91" s="84"/>
      <c r="TG91" s="144"/>
      <c r="TH91" s="144"/>
      <c r="TI91" s="144"/>
      <c r="TJ91" s="144"/>
      <c r="TK91" s="157"/>
      <c r="TL91" s="157"/>
      <c r="TM91" s="157"/>
      <c r="TN91" s="157"/>
      <c r="TO91" s="157"/>
      <c r="TP91" s="157"/>
      <c r="TQ91" s="157"/>
      <c r="TR91" s="157"/>
      <c r="TS91" s="157"/>
      <c r="TT91" s="158"/>
      <c r="TU91" s="157"/>
      <c r="TV91" s="158"/>
      <c r="TW91" s="144"/>
      <c r="TX91" s="144"/>
      <c r="TY91" s="144"/>
      <c r="TZ91" s="84"/>
      <c r="UA91" s="144"/>
      <c r="UB91" s="144"/>
      <c r="UC91" s="144"/>
      <c r="UD91" s="144"/>
      <c r="UE91" s="157"/>
      <c r="UF91" s="157"/>
      <c r="UG91" s="157"/>
      <c r="UH91" s="157"/>
      <c r="UI91" s="157"/>
      <c r="UJ91" s="157"/>
      <c r="UK91" s="157"/>
      <c r="UL91" s="157"/>
      <c r="UM91" s="157"/>
      <c r="UN91" s="157"/>
      <c r="UO91" s="157"/>
      <c r="UP91" s="158"/>
      <c r="UQ91" s="157"/>
      <c r="UR91" s="158"/>
      <c r="US91" s="144"/>
      <c r="UT91" s="144"/>
      <c r="UU91" s="144"/>
      <c r="UV91" s="144"/>
      <c r="UW91" s="144"/>
      <c r="UX91" s="144"/>
      <c r="UY91" s="144"/>
      <c r="UZ91" s="144"/>
      <c r="VA91" s="157"/>
      <c r="VB91" s="157"/>
      <c r="VC91" s="157"/>
      <c r="VD91" s="157"/>
      <c r="VE91" s="157"/>
      <c r="VF91" s="157"/>
      <c r="VG91" s="157"/>
      <c r="VH91" s="157"/>
      <c r="VI91" s="157"/>
      <c r="VJ91" s="157"/>
      <c r="VK91" s="157"/>
      <c r="VL91" s="157"/>
      <c r="VM91" s="157"/>
      <c r="VN91" s="157"/>
      <c r="VO91" s="144"/>
      <c r="VP91" s="144"/>
      <c r="VQ91" s="84"/>
      <c r="VR91" s="84"/>
      <c r="VS91" s="144"/>
      <c r="VT91" s="53"/>
      <c r="VU91" s="53"/>
    </row>
    <row r="92" ht="15.75" hidden="1" spans="1:593">
      <c r="A92" s="53"/>
      <c r="B92" s="53"/>
      <c r="C92" s="327" t="s">
        <v>144</v>
      </c>
      <c r="D92" s="327"/>
      <c r="E92" s="327"/>
      <c r="F92" s="327"/>
      <c r="G92" s="161"/>
      <c r="H92" s="161"/>
      <c r="I92" s="161"/>
      <c r="J92" s="161"/>
      <c r="K92" s="179"/>
      <c r="L92" s="328"/>
      <c r="M92" s="162"/>
      <c r="N92" s="293"/>
      <c r="O92" s="293"/>
      <c r="P92" s="293"/>
      <c r="Q92" s="293"/>
      <c r="R92" s="293"/>
      <c r="S92" s="293"/>
      <c r="T92" s="293"/>
      <c r="U92" s="293"/>
      <c r="V92" s="293"/>
      <c r="W92" s="293"/>
      <c r="X92" s="293"/>
      <c r="Y92" s="293"/>
      <c r="Z92" s="293"/>
      <c r="AA92" s="293"/>
      <c r="AB92" s="293"/>
      <c r="AC92" s="293"/>
      <c r="AD92" s="293"/>
      <c r="AE92" s="293"/>
      <c r="AF92" s="293"/>
      <c r="AG92" s="293"/>
      <c r="AH92" s="293"/>
      <c r="AI92" s="53"/>
      <c r="AJ92" s="327" t="s">
        <v>144</v>
      </c>
      <c r="AK92" s="327"/>
      <c r="AL92" s="327"/>
      <c r="AM92" s="327"/>
      <c r="AN92" s="161"/>
      <c r="AO92" s="161"/>
      <c r="AP92" s="161"/>
      <c r="AQ92" s="161"/>
      <c r="AR92" s="179"/>
      <c r="AS92" s="328"/>
      <c r="AT92" s="162"/>
      <c r="AU92" s="293"/>
      <c r="AV92" s="293"/>
      <c r="AW92" s="293"/>
      <c r="AX92" s="293"/>
      <c r="AY92" s="293"/>
      <c r="AZ92" s="293"/>
      <c r="BA92" s="293"/>
      <c r="BB92" s="293"/>
      <c r="BC92" s="293"/>
      <c r="BD92" s="293"/>
      <c r="BE92" s="293"/>
      <c r="BF92" s="293"/>
      <c r="BG92" s="293"/>
      <c r="BH92" s="293"/>
      <c r="BI92" s="293"/>
      <c r="BJ92" s="293"/>
      <c r="BK92" s="293"/>
      <c r="BL92" s="293"/>
      <c r="BM92" s="293"/>
      <c r="BN92" s="293"/>
      <c r="BO92" s="293"/>
      <c r="BP92" s="53"/>
      <c r="BQ92" s="327" t="s">
        <v>144</v>
      </c>
      <c r="BR92" s="327"/>
      <c r="BS92" s="327"/>
      <c r="BT92" s="327"/>
      <c r="BU92" s="161"/>
      <c r="BV92" s="161"/>
      <c r="BW92" s="161"/>
      <c r="BX92" s="161"/>
      <c r="BY92" s="179"/>
      <c r="BZ92" s="328"/>
      <c r="CA92" s="162"/>
      <c r="CB92" s="293"/>
      <c r="CC92" s="293"/>
      <c r="CD92" s="293"/>
      <c r="CE92" s="293"/>
      <c r="CF92" s="293"/>
      <c r="CG92" s="293"/>
      <c r="CH92" s="293"/>
      <c r="CI92" s="293"/>
      <c r="CJ92" s="293"/>
      <c r="CK92" s="293"/>
      <c r="CL92" s="293"/>
      <c r="CM92" s="293"/>
      <c r="CN92" s="293"/>
      <c r="CO92" s="293"/>
      <c r="CP92" s="293"/>
      <c r="CQ92" s="293"/>
      <c r="CR92" s="293"/>
      <c r="CS92" s="293"/>
      <c r="CT92" s="293"/>
      <c r="CU92" s="293"/>
      <c r="CV92" s="293"/>
      <c r="CW92" s="53"/>
      <c r="CX92" s="327" t="s">
        <v>144</v>
      </c>
      <c r="CY92" s="327"/>
      <c r="CZ92" s="327"/>
      <c r="DA92" s="327"/>
      <c r="DB92" s="161"/>
      <c r="DC92" s="161"/>
      <c r="DD92" s="161"/>
      <c r="DE92" s="161"/>
      <c r="DF92" s="179"/>
      <c r="DG92" s="328"/>
      <c r="DH92" s="162"/>
      <c r="DI92" s="293"/>
      <c r="DJ92" s="293"/>
      <c r="DK92" s="293"/>
      <c r="DL92" s="293"/>
      <c r="DM92" s="293"/>
      <c r="DN92" s="293"/>
      <c r="DO92" s="293"/>
      <c r="DP92" s="293"/>
      <c r="DQ92" s="293"/>
      <c r="DR92" s="293"/>
      <c r="DS92" s="293"/>
      <c r="DT92" s="293"/>
      <c r="DU92" s="293"/>
      <c r="DV92" s="293"/>
      <c r="DW92" s="293"/>
      <c r="DX92" s="293"/>
      <c r="DY92" s="293"/>
      <c r="DZ92" s="293"/>
      <c r="EA92" s="293"/>
      <c r="EB92" s="293"/>
      <c r="EC92" s="293"/>
      <c r="ED92" s="53"/>
      <c r="EE92" s="329" t="s">
        <v>144</v>
      </c>
      <c r="EF92" s="329"/>
      <c r="EG92" s="329"/>
      <c r="EH92" s="329"/>
      <c r="EI92" s="330"/>
      <c r="EJ92" s="330"/>
      <c r="EK92" s="330"/>
      <c r="EL92" s="330"/>
      <c r="EM92" s="331"/>
      <c r="EN92" s="332"/>
      <c r="EO92" s="333"/>
      <c r="EP92" s="53"/>
      <c r="EQ92" s="53"/>
      <c r="ER92" s="192"/>
      <c r="ES92" s="192"/>
      <c r="ET92" s="192"/>
      <c r="EU92" s="192"/>
      <c r="EV92" s="192"/>
      <c r="EW92" s="192"/>
      <c r="EX92" s="192"/>
      <c r="EY92" s="192"/>
      <c r="EZ92" s="192"/>
      <c r="FA92" s="192"/>
      <c r="FB92" s="192"/>
      <c r="FC92" s="192"/>
      <c r="FD92" s="192"/>
      <c r="FE92" s="192"/>
      <c r="FF92" s="192"/>
      <c r="FG92" s="192"/>
      <c r="FH92" s="192"/>
      <c r="FI92" s="192"/>
      <c r="FJ92" s="192"/>
      <c r="FK92" s="53"/>
      <c r="FL92" s="53"/>
      <c r="FM92" s="53"/>
      <c r="FN92" s="329" t="s">
        <v>144</v>
      </c>
      <c r="FO92" s="329"/>
      <c r="FP92" s="329"/>
      <c r="FQ92" s="329"/>
      <c r="FR92" s="330"/>
      <c r="FS92" s="330"/>
      <c r="FT92" s="330"/>
      <c r="FU92" s="330"/>
      <c r="FV92" s="331"/>
      <c r="FW92" s="332"/>
      <c r="FX92" s="333"/>
      <c r="FY92" s="53"/>
      <c r="FZ92" s="192"/>
      <c r="GA92" s="192"/>
      <c r="GB92" s="192"/>
      <c r="GC92" s="192"/>
      <c r="GD92" s="192"/>
      <c r="GE92" s="192"/>
      <c r="GF92" s="192"/>
      <c r="GG92" s="192"/>
      <c r="GH92" s="192"/>
      <c r="GI92" s="192"/>
      <c r="GJ92" s="192"/>
      <c r="GK92" s="192"/>
      <c r="GL92" s="192"/>
      <c r="GM92" s="192"/>
      <c r="GN92" s="192"/>
      <c r="GO92" s="192"/>
      <c r="GP92" s="192"/>
      <c r="GQ92" s="192"/>
      <c r="GR92" s="192"/>
      <c r="GS92" s="192"/>
      <c r="GT92" s="53"/>
      <c r="GU92" s="53"/>
      <c r="GV92" s="329" t="s">
        <v>144</v>
      </c>
      <c r="GW92" s="329"/>
      <c r="GX92" s="329"/>
      <c r="GY92" s="329"/>
      <c r="GZ92" s="330"/>
      <c r="HA92" s="330"/>
      <c r="HB92" s="330"/>
      <c r="HC92" s="330"/>
      <c r="HD92" s="331"/>
      <c r="HE92" s="332"/>
      <c r="HF92" s="333"/>
      <c r="HI92" s="192"/>
      <c r="HJ92" s="192"/>
      <c r="HK92" s="192"/>
      <c r="HL92" s="192"/>
      <c r="HM92" s="192"/>
      <c r="HN92" s="192"/>
      <c r="HO92" s="192"/>
      <c r="HP92" s="192"/>
      <c r="HQ92" s="192"/>
      <c r="HR92" s="192"/>
      <c r="HS92" s="192"/>
      <c r="HT92" s="192"/>
      <c r="HU92" s="192"/>
      <c r="HV92" s="192"/>
      <c r="HW92" s="192"/>
      <c r="HX92" s="192"/>
      <c r="HY92" s="192"/>
      <c r="HZ92" s="192"/>
      <c r="IA92" s="192"/>
      <c r="IB92" s="53"/>
      <c r="IC92" s="53"/>
      <c r="ID92" s="329" t="s">
        <v>144</v>
      </c>
      <c r="IE92" s="329"/>
      <c r="IF92" s="329"/>
      <c r="IG92" s="329"/>
      <c r="IH92" s="330"/>
      <c r="II92" s="330"/>
      <c r="IJ92" s="330"/>
      <c r="IK92" s="330"/>
      <c r="IL92" s="331"/>
      <c r="IM92" s="332"/>
      <c r="IN92" s="333"/>
      <c r="IP92" s="11"/>
      <c r="IQ92" s="192"/>
      <c r="IR92" s="192"/>
      <c r="IS92" s="192"/>
      <c r="IT92" s="192"/>
      <c r="IU92" s="192"/>
      <c r="IV92" s="192"/>
      <c r="IW92" s="192"/>
      <c r="IX92" s="192"/>
      <c r="IY92" s="192"/>
      <c r="IZ92" s="192"/>
      <c r="JA92" s="192"/>
      <c r="JB92" s="192"/>
      <c r="JC92" s="192"/>
      <c r="JD92" s="192"/>
      <c r="JE92" s="192"/>
      <c r="JF92" s="192"/>
      <c r="JG92" s="192"/>
      <c r="JH92" s="192"/>
      <c r="JI92" s="192"/>
      <c r="JJ92" s="53"/>
      <c r="JK92" s="53"/>
      <c r="JL92" s="329" t="s">
        <v>144</v>
      </c>
      <c r="JM92" s="329"/>
      <c r="JN92" s="329"/>
      <c r="JO92" s="329"/>
      <c r="JP92" s="330"/>
      <c r="JQ92" s="330"/>
      <c r="JR92" s="330"/>
      <c r="JS92" s="330"/>
      <c r="JT92" s="331"/>
      <c r="JU92" s="335"/>
      <c r="JX92" s="192"/>
      <c r="JY92" s="192"/>
      <c r="JZ92" s="192"/>
      <c r="KA92" s="192"/>
      <c r="KB92" s="192"/>
      <c r="KC92" s="192"/>
      <c r="KD92" s="192"/>
      <c r="KE92" s="192"/>
      <c r="KF92" s="192"/>
      <c r="KG92" s="192"/>
      <c r="KH92" s="192"/>
      <c r="KI92" s="192"/>
      <c r="KJ92" s="192"/>
      <c r="KK92" s="192"/>
      <c r="KL92" s="192"/>
      <c r="KM92" s="192"/>
      <c r="KN92" s="192"/>
      <c r="KO92" s="192"/>
      <c r="KP92" s="192"/>
      <c r="KQ92" s="192"/>
      <c r="KR92" s="53"/>
      <c r="KS92" s="53"/>
      <c r="KT92" s="329" t="s">
        <v>144</v>
      </c>
      <c r="KU92" s="329"/>
      <c r="KV92" s="329"/>
      <c r="KW92" s="329"/>
      <c r="KX92" s="330"/>
      <c r="KY92" s="330"/>
      <c r="KZ92" s="330"/>
      <c r="LA92" s="330"/>
      <c r="LB92" s="334"/>
      <c r="LC92" s="335"/>
      <c r="LF92" s="11"/>
      <c r="LG92" s="192"/>
      <c r="LH92" s="192"/>
      <c r="LI92" s="192"/>
      <c r="LJ92" s="192"/>
      <c r="LK92" s="192"/>
      <c r="LL92" s="192"/>
      <c r="LM92" s="192"/>
      <c r="LN92" s="192"/>
      <c r="LO92" s="192"/>
      <c r="LP92" s="192"/>
      <c r="LQ92" s="192"/>
      <c r="LR92" s="192"/>
      <c r="LS92" s="192"/>
      <c r="LT92" s="192"/>
      <c r="LU92" s="192"/>
      <c r="LV92" s="192"/>
      <c r="LW92" s="192"/>
      <c r="LX92" s="192"/>
      <c r="LY92" s="192"/>
      <c r="LZ92" s="192"/>
      <c r="MA92" s="192"/>
      <c r="MB92" s="329" t="s">
        <v>144</v>
      </c>
      <c r="MC92" s="329"/>
      <c r="MD92" s="329"/>
      <c r="ME92" s="329"/>
      <c r="MF92" s="330"/>
      <c r="MG92" s="330"/>
      <c r="MH92" s="330"/>
      <c r="MI92" s="330"/>
      <c r="MJ92" s="334"/>
      <c r="MK92" s="335"/>
      <c r="MO92" s="192"/>
      <c r="MP92" s="192"/>
      <c r="MQ92" s="192"/>
      <c r="MR92" s="192"/>
      <c r="MS92" s="192"/>
      <c r="MT92" s="192"/>
      <c r="MU92" s="192"/>
      <c r="MV92" s="192"/>
      <c r="MW92" s="192"/>
      <c r="MX92" s="192"/>
      <c r="MY92" s="192"/>
      <c r="MZ92" s="192"/>
      <c r="NA92" s="192"/>
      <c r="NB92" s="192"/>
      <c r="NC92" s="192"/>
      <c r="ND92" s="192"/>
      <c r="NE92" s="192"/>
      <c r="NF92" s="192"/>
      <c r="NG92" s="192"/>
      <c r="NH92" s="53"/>
      <c r="NI92" s="53"/>
      <c r="NJ92" s="329" t="s">
        <v>144</v>
      </c>
      <c r="NK92" s="329"/>
      <c r="NL92" s="329"/>
      <c r="NM92" s="329"/>
      <c r="NN92" s="330"/>
      <c r="NO92" s="330"/>
      <c r="NP92" s="330"/>
      <c r="NQ92" s="330"/>
      <c r="NR92" s="334" t="e">
        <f t="shared" si="977"/>
        <v>#DIV/0!</v>
      </c>
      <c r="NS92" s="335" t="e">
        <f t="shared" si="978"/>
        <v>#DIV/0!</v>
      </c>
      <c r="NT92" s="53"/>
      <c r="NU92" s="53"/>
      <c r="NV92" s="53"/>
      <c r="NW92" s="53"/>
      <c r="NX92" s="53"/>
      <c r="NY92" s="53"/>
      <c r="NZ92" s="53"/>
      <c r="OA92" s="53"/>
      <c r="OB92" s="53"/>
      <c r="OC92" s="53"/>
      <c r="OD92" s="53"/>
      <c r="OE92" s="53"/>
      <c r="OF92" s="53"/>
      <c r="OG92" s="53"/>
      <c r="OH92" s="53"/>
      <c r="OI92" s="53"/>
      <c r="OJ92" s="53"/>
      <c r="OK92" s="53"/>
      <c r="OL92" s="53"/>
      <c r="OM92" s="53"/>
      <c r="ON92" s="53"/>
      <c r="OO92" s="53"/>
      <c r="OP92" s="53"/>
      <c r="OQ92" s="53"/>
      <c r="OR92" s="53"/>
      <c r="OS92" s="336" t="s">
        <v>144</v>
      </c>
      <c r="OT92" s="336">
        <f t="shared" si="979"/>
        <v>0</v>
      </c>
      <c r="OU92" s="336">
        <f t="shared" si="980"/>
        <v>0</v>
      </c>
      <c r="OV92" s="172">
        <f t="shared" si="981"/>
        <v>4605</v>
      </c>
      <c r="OW92" s="172">
        <f t="shared" si="982"/>
        <v>4605</v>
      </c>
      <c r="OX92" s="172">
        <f t="shared" si="983"/>
        <v>0</v>
      </c>
      <c r="OY92" s="172">
        <f t="shared" si="984"/>
        <v>0</v>
      </c>
      <c r="OZ92" s="171">
        <f t="shared" si="985"/>
        <v>0</v>
      </c>
      <c r="PA92" s="337" t="e">
        <f t="shared" si="986"/>
        <v>#DIV/0!</v>
      </c>
      <c r="PB92" s="170">
        <f t="shared" si="987"/>
        <v>0</v>
      </c>
      <c r="PC92" s="144"/>
      <c r="PD92" s="144"/>
      <c r="PE92" s="144"/>
      <c r="PF92" s="144"/>
      <c r="PG92" s="144"/>
      <c r="PH92" s="144"/>
      <c r="PI92" s="144"/>
      <c r="PJ92" s="144"/>
      <c r="PK92" s="144"/>
      <c r="PL92" s="144"/>
      <c r="PM92" s="144"/>
      <c r="PN92" s="144"/>
      <c r="PO92" s="144"/>
      <c r="PP92" s="144"/>
      <c r="PQ92" s="144"/>
      <c r="PR92" s="144"/>
      <c r="PS92" s="146"/>
      <c r="PT92" s="146"/>
      <c r="PU92" s="336" t="s">
        <v>144</v>
      </c>
      <c r="PV92" s="336">
        <f t="shared" si="988"/>
        <v>0</v>
      </c>
      <c r="PW92" s="336">
        <f t="shared" si="989"/>
        <v>0</v>
      </c>
      <c r="PX92" s="172">
        <f t="shared" si="990"/>
        <v>0</v>
      </c>
      <c r="PY92" s="172">
        <f t="shared" si="991"/>
        <v>0</v>
      </c>
      <c r="PZ92" s="172">
        <f t="shared" si="992"/>
        <v>0</v>
      </c>
      <c r="QA92" s="172">
        <f t="shared" si="993"/>
        <v>0</v>
      </c>
      <c r="QB92" s="171"/>
      <c r="QC92" s="337" t="e">
        <f t="shared" si="995"/>
        <v>#DIV/0!</v>
      </c>
      <c r="QD92" s="170" t="e">
        <f t="shared" si="996"/>
        <v>#DIV/0!</v>
      </c>
      <c r="QE92" s="146"/>
      <c r="QF92" s="146"/>
      <c r="QG92" s="146"/>
      <c r="QH92" s="146"/>
      <c r="QI92" s="146"/>
      <c r="QJ92" s="146"/>
      <c r="QK92" s="146"/>
      <c r="QL92" s="146"/>
      <c r="QM92" s="146"/>
      <c r="QN92" s="146"/>
      <c r="QO92" s="146"/>
      <c r="QP92" s="146"/>
      <c r="QQ92" s="146"/>
      <c r="QR92" s="144"/>
      <c r="QS92" s="144"/>
      <c r="QT92" s="144"/>
      <c r="QU92" s="144"/>
      <c r="QV92" s="144"/>
      <c r="QW92" s="144"/>
      <c r="QX92" s="144"/>
      <c r="QY92" s="144"/>
      <c r="QZ92" s="144"/>
      <c r="RA92" s="144"/>
      <c r="RB92" s="144"/>
      <c r="RC92" s="144"/>
      <c r="RD92" s="144"/>
      <c r="RE92" s="144"/>
      <c r="RF92" s="144"/>
      <c r="RG92" s="144"/>
      <c r="RH92" s="144"/>
      <c r="RI92" s="144"/>
      <c r="RJ92" s="144"/>
      <c r="RK92" s="144"/>
      <c r="RL92" s="144"/>
      <c r="RM92" s="144"/>
      <c r="RN92" s="144"/>
      <c r="RO92" s="144"/>
      <c r="RP92" s="144"/>
      <c r="RQ92" s="144"/>
      <c r="RR92" s="144"/>
      <c r="RS92" s="144"/>
      <c r="RT92" s="144"/>
      <c r="RU92" s="144"/>
      <c r="RV92" s="144"/>
      <c r="RW92" s="144"/>
      <c r="RX92" s="144"/>
      <c r="RY92" s="144"/>
      <c r="RZ92" s="144"/>
      <c r="SA92" s="144"/>
      <c r="SB92" s="144"/>
      <c r="SC92" s="144"/>
      <c r="SD92" s="144"/>
      <c r="SE92" s="144"/>
      <c r="SF92" s="144"/>
      <c r="SG92" s="144"/>
      <c r="SH92" s="144"/>
      <c r="SI92" s="144"/>
      <c r="SJ92" s="144"/>
      <c r="SK92" s="144"/>
      <c r="SL92" s="84"/>
      <c r="SM92" s="84"/>
      <c r="SN92" s="154"/>
      <c r="SO92" s="154"/>
      <c r="SP92" s="154"/>
      <c r="SQ92" s="154"/>
      <c r="SR92" s="154"/>
      <c r="SS92" s="154"/>
      <c r="ST92" s="155"/>
      <c r="SU92" s="154"/>
      <c r="SV92" s="154"/>
      <c r="SW92" s="155"/>
      <c r="SX92" s="155"/>
      <c r="SY92" s="155"/>
      <c r="SZ92" s="155"/>
      <c r="TA92" s="155"/>
      <c r="TB92" s="155"/>
      <c r="TC92" s="155"/>
      <c r="TD92" s="156"/>
      <c r="TE92" s="144"/>
      <c r="TF92" s="84"/>
      <c r="TG92" s="144"/>
      <c r="TH92" s="144"/>
      <c r="TI92" s="144"/>
      <c r="TJ92" s="144"/>
      <c r="TK92" s="157"/>
      <c r="TL92" s="157"/>
      <c r="TM92" s="157"/>
      <c r="TN92" s="157"/>
      <c r="TO92" s="157"/>
      <c r="TP92" s="157"/>
      <c r="TQ92" s="157"/>
      <c r="TR92" s="157"/>
      <c r="TS92" s="157"/>
      <c r="TT92" s="158"/>
      <c r="TU92" s="157"/>
      <c r="TV92" s="158"/>
      <c r="TW92" s="144"/>
      <c r="TX92" s="144"/>
      <c r="TY92" s="144"/>
      <c r="TZ92" s="84"/>
      <c r="UA92" s="144"/>
      <c r="UB92" s="144"/>
      <c r="UC92" s="144"/>
      <c r="UD92" s="144"/>
      <c r="UE92" s="157"/>
      <c r="UF92" s="157"/>
      <c r="UG92" s="157"/>
      <c r="UH92" s="157"/>
      <c r="UI92" s="157"/>
      <c r="UJ92" s="157"/>
      <c r="UK92" s="157"/>
      <c r="UL92" s="157"/>
      <c r="UM92" s="157"/>
      <c r="UN92" s="157"/>
      <c r="UO92" s="157"/>
      <c r="UP92" s="158"/>
      <c r="UQ92" s="157"/>
      <c r="UR92" s="158"/>
      <c r="US92" s="144"/>
      <c r="UT92" s="144"/>
      <c r="UU92" s="144"/>
      <c r="UV92" s="144"/>
      <c r="UW92" s="144"/>
      <c r="UX92" s="144"/>
      <c r="UY92" s="144"/>
      <c r="UZ92" s="144"/>
      <c r="VA92" s="157"/>
      <c r="VB92" s="157"/>
      <c r="VC92" s="157"/>
      <c r="VD92" s="157"/>
      <c r="VE92" s="157"/>
      <c r="VF92" s="157"/>
      <c r="VG92" s="157"/>
      <c r="VH92" s="157"/>
      <c r="VI92" s="157"/>
      <c r="VJ92" s="157"/>
      <c r="VK92" s="157"/>
      <c r="VL92" s="157"/>
      <c r="VM92" s="157"/>
      <c r="VN92" s="157"/>
      <c r="VO92" s="144"/>
      <c r="VP92" s="144"/>
      <c r="VQ92" s="84"/>
      <c r="VR92" s="84"/>
      <c r="VS92" s="144"/>
      <c r="VT92" s="53"/>
      <c r="VU92" s="53"/>
    </row>
    <row r="93" ht="15.75" hidden="1" spans="1:593">
      <c r="A93" s="53"/>
      <c r="B93" s="53"/>
      <c r="C93" s="327" t="s">
        <v>147</v>
      </c>
      <c r="D93" s="327"/>
      <c r="E93" s="327"/>
      <c r="F93" s="327"/>
      <c r="G93" s="161"/>
      <c r="H93" s="161"/>
      <c r="I93" s="161"/>
      <c r="J93" s="161"/>
      <c r="K93" s="179"/>
      <c r="L93" s="328"/>
      <c r="M93" s="162"/>
      <c r="N93" s="293"/>
      <c r="O93" s="293"/>
      <c r="P93" s="293"/>
      <c r="Q93" s="293"/>
      <c r="R93" s="293"/>
      <c r="S93" s="293"/>
      <c r="T93" s="293"/>
      <c r="U93" s="293"/>
      <c r="V93" s="293"/>
      <c r="W93" s="293"/>
      <c r="X93" s="293"/>
      <c r="Y93" s="293"/>
      <c r="Z93" s="293"/>
      <c r="AA93" s="293"/>
      <c r="AB93" s="293"/>
      <c r="AC93" s="293"/>
      <c r="AD93" s="293"/>
      <c r="AE93" s="293"/>
      <c r="AF93" s="293"/>
      <c r="AG93" s="293"/>
      <c r="AH93" s="293"/>
      <c r="AI93" s="53"/>
      <c r="AJ93" s="327" t="s">
        <v>147</v>
      </c>
      <c r="AK93" s="327"/>
      <c r="AL93" s="327"/>
      <c r="AM93" s="327"/>
      <c r="AN93" s="161"/>
      <c r="AO93" s="161"/>
      <c r="AP93" s="161"/>
      <c r="AQ93" s="161"/>
      <c r="AR93" s="179"/>
      <c r="AS93" s="328"/>
      <c r="AT93" s="162"/>
      <c r="AU93" s="293"/>
      <c r="AV93" s="293"/>
      <c r="AW93" s="293"/>
      <c r="AX93" s="293"/>
      <c r="AY93" s="293"/>
      <c r="AZ93" s="293"/>
      <c r="BA93" s="293"/>
      <c r="BB93" s="293"/>
      <c r="BC93" s="293"/>
      <c r="BD93" s="293"/>
      <c r="BE93" s="293"/>
      <c r="BF93" s="293"/>
      <c r="BG93" s="293"/>
      <c r="BH93" s="293"/>
      <c r="BI93" s="293"/>
      <c r="BJ93" s="293"/>
      <c r="BK93" s="293"/>
      <c r="BL93" s="293"/>
      <c r="BM93" s="293"/>
      <c r="BN93" s="293"/>
      <c r="BO93" s="293"/>
      <c r="BP93" s="53"/>
      <c r="BQ93" s="327" t="s">
        <v>147</v>
      </c>
      <c r="BR93" s="327" t="str">
        <f t="shared" ref="BR93:BT93" si="1098">BR60</f>
        <v>PH16</v>
      </c>
      <c r="BS93" s="327">
        <f t="shared" si="1098"/>
        <v>1</v>
      </c>
      <c r="BT93" s="327">
        <f t="shared" si="1098"/>
        <v>2</v>
      </c>
      <c r="BU93" s="161">
        <f t="shared" si="1019"/>
        <v>6193</v>
      </c>
      <c r="BV93" s="161">
        <f t="shared" si="1020"/>
        <v>4359</v>
      </c>
      <c r="BW93" s="161">
        <f t="shared" si="1021"/>
        <v>3252715</v>
      </c>
      <c r="BX93" s="161">
        <f t="shared" si="1022"/>
        <v>2164603.24</v>
      </c>
      <c r="BY93" s="179">
        <f t="shared" si="1023"/>
        <v>1088111.76</v>
      </c>
      <c r="BZ93" s="328">
        <f t="shared" si="1024"/>
        <v>0.334524162123026</v>
      </c>
      <c r="CA93" s="162">
        <f t="shared" si="1025"/>
        <v>746.206698784125</v>
      </c>
      <c r="CB93" s="293"/>
      <c r="CC93" s="293"/>
      <c r="CD93" s="293"/>
      <c r="CE93" s="293"/>
      <c r="CF93" s="293"/>
      <c r="CG93" s="293"/>
      <c r="CH93" s="293"/>
      <c r="CI93" s="293"/>
      <c r="CJ93" s="293"/>
      <c r="CK93" s="293"/>
      <c r="CL93" s="293"/>
      <c r="CM93" s="293"/>
      <c r="CN93" s="293"/>
      <c r="CO93" s="293"/>
      <c r="CP93" s="293"/>
      <c r="CQ93" s="293"/>
      <c r="CR93" s="293"/>
      <c r="CS93" s="293"/>
      <c r="CT93" s="293"/>
      <c r="CU93" s="293"/>
      <c r="CV93" s="293"/>
      <c r="CW93" s="53"/>
      <c r="CX93" s="327" t="s">
        <v>147</v>
      </c>
      <c r="CY93" s="327" t="str">
        <f t="shared" ref="CY93:DA93" si="1099">CY60</f>
        <v>PH16</v>
      </c>
      <c r="CZ93" s="327">
        <f t="shared" si="1099"/>
        <v>1</v>
      </c>
      <c r="DA93" s="327">
        <f t="shared" si="1099"/>
        <v>2</v>
      </c>
      <c r="DB93" s="161">
        <f t="shared" si="1027"/>
        <v>6568</v>
      </c>
      <c r="DC93" s="161">
        <f t="shared" si="1028"/>
        <v>4629</v>
      </c>
      <c r="DD93" s="161">
        <f t="shared" si="1029"/>
        <v>3406832</v>
      </c>
      <c r="DE93" s="161">
        <f t="shared" si="1030"/>
        <v>2557065.39</v>
      </c>
      <c r="DF93" s="179">
        <f t="shared" si="1031"/>
        <v>849766.61</v>
      </c>
      <c r="DG93" s="328">
        <f t="shared" si="1032"/>
        <v>0.249430148008472</v>
      </c>
      <c r="DH93" s="162">
        <f t="shared" si="1033"/>
        <v>735.97580470944</v>
      </c>
      <c r="DI93" s="293"/>
      <c r="DJ93" s="293"/>
      <c r="DK93" s="293"/>
      <c r="DL93" s="293"/>
      <c r="DM93" s="293"/>
      <c r="DN93" s="293"/>
      <c r="DO93" s="293"/>
      <c r="DP93" s="293"/>
      <c r="DQ93" s="293"/>
      <c r="DR93" s="293"/>
      <c r="DS93" s="293"/>
      <c r="DT93" s="293"/>
      <c r="DU93" s="293"/>
      <c r="DV93" s="293"/>
      <c r="DW93" s="293"/>
      <c r="DX93" s="293"/>
      <c r="DY93" s="293"/>
      <c r="DZ93" s="293"/>
      <c r="EA93" s="293"/>
      <c r="EB93" s="293"/>
      <c r="EC93" s="293"/>
      <c r="ED93" s="53"/>
      <c r="EE93" s="329" t="s">
        <v>147</v>
      </c>
      <c r="EF93" s="329">
        <f t="shared" ref="EF93:EH93" si="1100">EF60</f>
        <v>1</v>
      </c>
      <c r="EG93" s="329">
        <f t="shared" si="1100"/>
        <v>2</v>
      </c>
      <c r="EH93" s="329">
        <f t="shared" si="1100"/>
        <v>25</v>
      </c>
      <c r="EI93" s="330">
        <f t="shared" si="1035"/>
        <v>8873</v>
      </c>
      <c r="EJ93" s="330">
        <f t="shared" si="1036"/>
        <v>6605</v>
      </c>
      <c r="EK93" s="330">
        <f t="shared" si="1037"/>
        <v>5082913</v>
      </c>
      <c r="EL93" s="330">
        <f t="shared" si="1038"/>
        <v>3445889</v>
      </c>
      <c r="EM93" s="331">
        <f t="shared" si="1039"/>
        <v>1637024</v>
      </c>
      <c r="EN93" s="332">
        <f t="shared" si="1040"/>
        <v>0.322064139205216</v>
      </c>
      <c r="EO93" s="333">
        <f t="shared" si="1041"/>
        <v>769.555336866011</v>
      </c>
      <c r="EP93" s="53"/>
      <c r="EQ93" s="53"/>
      <c r="ER93" s="192"/>
      <c r="ES93" s="192"/>
      <c r="ET93" s="192"/>
      <c r="EU93" s="192"/>
      <c r="EV93" s="192"/>
      <c r="EW93" s="192"/>
      <c r="EX93" s="192"/>
      <c r="EY93" s="192"/>
      <c r="EZ93" s="192"/>
      <c r="FA93" s="192"/>
      <c r="FB93" s="192"/>
      <c r="FC93" s="192"/>
      <c r="FD93" s="192"/>
      <c r="FE93" s="192"/>
      <c r="FF93" s="192"/>
      <c r="FG93" s="192"/>
      <c r="FH93" s="192"/>
      <c r="FI93" s="192"/>
      <c r="FJ93" s="192"/>
      <c r="FK93" s="53"/>
      <c r="FL93" s="53"/>
      <c r="FM93" s="53"/>
      <c r="FN93" s="329" t="s">
        <v>147</v>
      </c>
      <c r="FO93" s="329">
        <f t="shared" ref="FO93:FQ93" si="1101">FO60</f>
        <v>1</v>
      </c>
      <c r="FP93" s="329">
        <f t="shared" si="1101"/>
        <v>2</v>
      </c>
      <c r="FQ93" s="329">
        <f t="shared" si="1101"/>
        <v>32</v>
      </c>
      <c r="FR93" s="330">
        <f t="shared" si="1043"/>
        <v>8562</v>
      </c>
      <c r="FS93" s="330">
        <f t="shared" si="1044"/>
        <v>6567</v>
      </c>
      <c r="FT93" s="330">
        <f t="shared" si="1045"/>
        <v>3708101</v>
      </c>
      <c r="FU93" s="330">
        <f t="shared" si="1046"/>
        <v>3711837</v>
      </c>
      <c r="FV93" s="331">
        <f t="shared" si="1047"/>
        <v>-3736</v>
      </c>
      <c r="FW93" s="332">
        <f t="shared" si="1048"/>
        <v>-0.00100752379722127</v>
      </c>
      <c r="FX93" s="333">
        <f t="shared" si="1049"/>
        <v>564.656768691945</v>
      </c>
      <c r="FY93" s="53"/>
      <c r="FZ93" s="192"/>
      <c r="GA93" s="192"/>
      <c r="GB93" s="192"/>
      <c r="GC93" s="192"/>
      <c r="GD93" s="192"/>
      <c r="GE93" s="192"/>
      <c r="GF93" s="192"/>
      <c r="GG93" s="192"/>
      <c r="GH93" s="192"/>
      <c r="GI93" s="192"/>
      <c r="GJ93" s="192"/>
      <c r="GK93" s="192"/>
      <c r="GL93" s="192"/>
      <c r="GM93" s="192"/>
      <c r="GN93" s="192"/>
      <c r="GO93" s="192"/>
      <c r="GP93" s="192"/>
      <c r="GQ93" s="192"/>
      <c r="GR93" s="192"/>
      <c r="GS93" s="192"/>
      <c r="GT93" s="53"/>
      <c r="GU93" s="53"/>
      <c r="GV93" s="329" t="s">
        <v>147</v>
      </c>
      <c r="GW93" s="329">
        <f t="shared" ref="GW93:GY93" si="1102">GW60</f>
        <v>1</v>
      </c>
      <c r="GX93" s="329">
        <f t="shared" si="1102"/>
        <v>2</v>
      </c>
      <c r="GY93" s="329">
        <f t="shared" si="1102"/>
        <v>21</v>
      </c>
      <c r="GZ93" s="330">
        <f t="shared" si="1051"/>
        <v>8844</v>
      </c>
      <c r="HA93" s="330">
        <f t="shared" si="1052"/>
        <v>7299</v>
      </c>
      <c r="HB93" s="330">
        <f t="shared" si="1053"/>
        <v>4409499</v>
      </c>
      <c r="HC93" s="330">
        <f t="shared" si="1054"/>
        <v>5091731</v>
      </c>
      <c r="HD93" s="331">
        <f t="shared" si="1055"/>
        <v>-682232</v>
      </c>
      <c r="HE93" s="332">
        <f t="shared" si="1056"/>
        <v>-0.154718710674387</v>
      </c>
      <c r="HF93" s="333">
        <f t="shared" si="1057"/>
        <v>604.123715577476</v>
      </c>
      <c r="HI93" s="192"/>
      <c r="HJ93" s="192"/>
      <c r="HK93" s="192"/>
      <c r="HL93" s="192"/>
      <c r="HM93" s="192"/>
      <c r="HN93" s="192"/>
      <c r="HO93" s="192"/>
      <c r="HP93" s="192"/>
      <c r="HQ93" s="192"/>
      <c r="HR93" s="192"/>
      <c r="HS93" s="192"/>
      <c r="HT93" s="192"/>
      <c r="HU93" s="192"/>
      <c r="HV93" s="192"/>
      <c r="HW93" s="192"/>
      <c r="HX93" s="192"/>
      <c r="HY93" s="192"/>
      <c r="HZ93" s="192"/>
      <c r="IA93" s="192"/>
      <c r="IB93" s="53"/>
      <c r="IC93" s="53"/>
      <c r="ID93" s="329" t="s">
        <v>147</v>
      </c>
      <c r="IE93" s="329">
        <f t="shared" si="1058"/>
        <v>3</v>
      </c>
      <c r="IF93" s="329">
        <v>0</v>
      </c>
      <c r="IG93" s="329">
        <f t="shared" si="1059"/>
        <v>28</v>
      </c>
      <c r="IH93" s="330">
        <f t="shared" si="1060"/>
        <v>10829</v>
      </c>
      <c r="II93" s="330">
        <f t="shared" si="1061"/>
        <v>8715</v>
      </c>
      <c r="IJ93" s="330">
        <f t="shared" si="1062"/>
        <v>4333479</v>
      </c>
      <c r="IK93" s="330">
        <f t="shared" si="1063"/>
        <v>3851045</v>
      </c>
      <c r="IL93" s="331">
        <f t="shared" si="1064"/>
        <v>482434</v>
      </c>
      <c r="IM93" s="332">
        <f t="shared" si="1065"/>
        <v>0.111327180770923</v>
      </c>
      <c r="IN93" s="333">
        <f t="shared" si="1066"/>
        <v>497.243717728055</v>
      </c>
      <c r="IP93" s="11"/>
      <c r="IQ93" s="192"/>
      <c r="IR93" s="192"/>
      <c r="IS93" s="192"/>
      <c r="IT93" s="192"/>
      <c r="IU93" s="192"/>
      <c r="IV93" s="192"/>
      <c r="IW93" s="192"/>
      <c r="IX93" s="192"/>
      <c r="IY93" s="192"/>
      <c r="IZ93" s="192"/>
      <c r="JA93" s="192"/>
      <c r="JB93" s="192"/>
      <c r="JC93" s="192"/>
      <c r="JD93" s="192"/>
      <c r="JE93" s="192"/>
      <c r="JF93" s="192"/>
      <c r="JG93" s="192"/>
      <c r="JH93" s="192"/>
      <c r="JI93" s="192"/>
      <c r="JJ93" s="53"/>
      <c r="JK93" s="53"/>
      <c r="JL93" s="329" t="s">
        <v>147</v>
      </c>
      <c r="JM93" s="329">
        <f t="shared" si="1067"/>
        <v>3</v>
      </c>
      <c r="JN93" s="329">
        <f t="shared" si="1068"/>
        <v>45</v>
      </c>
      <c r="JO93" s="329">
        <f t="shared" si="1069"/>
        <v>11873</v>
      </c>
      <c r="JP93" s="330">
        <f t="shared" si="1070"/>
        <v>9437</v>
      </c>
      <c r="JQ93" s="330">
        <f t="shared" si="1071"/>
        <v>9710166</v>
      </c>
      <c r="JR93" s="330">
        <f t="shared" si="1072"/>
        <v>8988626</v>
      </c>
      <c r="JS93" s="330">
        <f t="shared" si="1073"/>
        <v>721540</v>
      </c>
      <c r="JT93" s="334">
        <f t="shared" si="1074"/>
        <v>0.0743076894874918</v>
      </c>
      <c r="JU93" s="335">
        <f t="shared" si="1075"/>
        <v>1028.94627529935</v>
      </c>
      <c r="JX93" s="192"/>
      <c r="JY93" s="192"/>
      <c r="JZ93" s="192"/>
      <c r="KA93" s="192"/>
      <c r="KB93" s="192"/>
      <c r="KC93" s="192"/>
      <c r="KD93" s="192"/>
      <c r="KE93" s="192"/>
      <c r="KF93" s="192"/>
      <c r="KG93" s="192"/>
      <c r="KH93" s="192"/>
      <c r="KI93" s="192"/>
      <c r="KJ93" s="192"/>
      <c r="KK93" s="192"/>
      <c r="KL93" s="192"/>
      <c r="KM93" s="192"/>
      <c r="KN93" s="192"/>
      <c r="KO93" s="192"/>
      <c r="KP93" s="192"/>
      <c r="KQ93" s="192"/>
      <c r="KR93" s="53"/>
      <c r="KS93" s="53"/>
      <c r="KT93" s="329" t="s">
        <v>147</v>
      </c>
      <c r="KU93" s="329">
        <v>3</v>
      </c>
      <c r="KV93" s="329">
        <v>72</v>
      </c>
      <c r="KW93" s="329">
        <v>19907</v>
      </c>
      <c r="KX93" s="330">
        <v>15131</v>
      </c>
      <c r="KY93" s="330">
        <v>8028198</v>
      </c>
      <c r="KZ93" s="330">
        <v>7009509</v>
      </c>
      <c r="LA93" s="330">
        <v>1018689</v>
      </c>
      <c r="LB93" s="334">
        <v>0.126888873443331</v>
      </c>
      <c r="LC93" s="335">
        <v>530.579472605908</v>
      </c>
      <c r="LF93" s="11"/>
      <c r="LG93" s="192"/>
      <c r="LH93" s="192"/>
      <c r="LI93" s="192"/>
      <c r="LJ93" s="192"/>
      <c r="LK93" s="192"/>
      <c r="LL93" s="192"/>
      <c r="LM93" s="192"/>
      <c r="LN93" s="192"/>
      <c r="LO93" s="192"/>
      <c r="LP93" s="192"/>
      <c r="LQ93" s="192"/>
      <c r="LR93" s="192"/>
      <c r="LS93" s="192"/>
      <c r="LT93" s="192"/>
      <c r="LU93" s="192"/>
      <c r="LV93" s="192"/>
      <c r="LW93" s="192"/>
      <c r="LX93" s="192"/>
      <c r="LY93" s="192"/>
      <c r="LZ93" s="192"/>
      <c r="MA93" s="192"/>
      <c r="MB93" s="329" t="s">
        <v>147</v>
      </c>
      <c r="MC93" s="329">
        <f t="shared" si="1076"/>
        <v>3</v>
      </c>
      <c r="MD93" s="329">
        <f t="shared" si="1077"/>
        <v>118</v>
      </c>
      <c r="ME93" s="329">
        <f t="shared" si="1078"/>
        <v>20754</v>
      </c>
      <c r="MF93" s="330">
        <f t="shared" si="1079"/>
        <v>13991</v>
      </c>
      <c r="MG93" s="330">
        <f t="shared" si="1080"/>
        <v>4865634</v>
      </c>
      <c r="MH93" s="330">
        <f t="shared" si="1081"/>
        <v>4677601</v>
      </c>
      <c r="MI93" s="330">
        <f t="shared" si="1082"/>
        <v>188033</v>
      </c>
      <c r="MJ93" s="334">
        <f t="shared" si="1083"/>
        <v>0.0386451179846244</v>
      </c>
      <c r="MK93" s="335">
        <f t="shared" si="1084"/>
        <v>347.768851404474</v>
      </c>
      <c r="MO93" s="192"/>
      <c r="MP93" s="192"/>
      <c r="MQ93" s="192"/>
      <c r="MR93" s="192"/>
      <c r="MS93" s="192"/>
      <c r="MT93" s="192"/>
      <c r="MU93" s="192"/>
      <c r="MV93" s="192"/>
      <c r="MW93" s="192"/>
      <c r="MX93" s="192"/>
      <c r="MY93" s="192"/>
      <c r="MZ93" s="192"/>
      <c r="NA93" s="192"/>
      <c r="NB93" s="192"/>
      <c r="NC93" s="192"/>
      <c r="ND93" s="192"/>
      <c r="NE93" s="192"/>
      <c r="NF93" s="192"/>
      <c r="NG93" s="192"/>
      <c r="NH93" s="53"/>
      <c r="NI93" s="53"/>
      <c r="NJ93" s="329" t="s">
        <v>147</v>
      </c>
      <c r="NK93" s="329">
        <f t="shared" si="1085"/>
        <v>3</v>
      </c>
      <c r="NL93" s="329">
        <f t="shared" si="1086"/>
        <v>56</v>
      </c>
      <c r="NM93" s="329">
        <f t="shared" si="1087"/>
        <v>12453</v>
      </c>
      <c r="NN93" s="330">
        <f t="shared" si="1088"/>
        <v>8016</v>
      </c>
      <c r="NO93" s="330">
        <f t="shared" si="1089"/>
        <v>2691165</v>
      </c>
      <c r="NP93" s="330">
        <f t="shared" si="1090"/>
        <v>2445898</v>
      </c>
      <c r="NQ93" s="330">
        <f t="shared" si="1091"/>
        <v>245267</v>
      </c>
      <c r="NR93" s="334">
        <f t="shared" si="977"/>
        <v>0.0911378529372967</v>
      </c>
      <c r="NS93" s="335">
        <f t="shared" si="978"/>
        <v>335.724176646707</v>
      </c>
      <c r="NT93" s="53"/>
      <c r="NU93" s="53"/>
      <c r="NV93" s="53"/>
      <c r="NW93" s="53"/>
      <c r="NX93" s="53"/>
      <c r="NY93" s="53"/>
      <c r="NZ93" s="53"/>
      <c r="OA93" s="53"/>
      <c r="OB93" s="53"/>
      <c r="OC93" s="53"/>
      <c r="OD93" s="53"/>
      <c r="OE93" s="53"/>
      <c r="OF93" s="53"/>
      <c r="OG93" s="53"/>
      <c r="OH93" s="53"/>
      <c r="OI93" s="53"/>
      <c r="OJ93" s="53"/>
      <c r="OK93" s="53"/>
      <c r="OL93" s="53"/>
      <c r="OM93" s="53"/>
      <c r="ON93" s="53"/>
      <c r="OO93" s="53"/>
      <c r="OP93" s="53"/>
      <c r="OQ93" s="53"/>
      <c r="OR93" s="53"/>
      <c r="OS93" s="336" t="s">
        <v>147</v>
      </c>
      <c r="OT93" s="336">
        <f t="shared" si="979"/>
        <v>3</v>
      </c>
      <c r="OU93" s="336">
        <f t="shared" si="980"/>
        <v>35</v>
      </c>
      <c r="OV93" s="172">
        <f t="shared" si="981"/>
        <v>11993</v>
      </c>
      <c r="OW93" s="172">
        <f t="shared" si="982"/>
        <v>7682</v>
      </c>
      <c r="OX93" s="172">
        <f t="shared" si="983"/>
        <v>2342505</v>
      </c>
      <c r="OY93" s="172">
        <f t="shared" si="984"/>
        <v>2117449</v>
      </c>
      <c r="OZ93" s="171">
        <f t="shared" si="985"/>
        <v>225056</v>
      </c>
      <c r="PA93" s="337">
        <f t="shared" si="986"/>
        <v>0.096074928335265</v>
      </c>
      <c r="PB93" s="170">
        <f t="shared" si="987"/>
        <v>304.934261910961</v>
      </c>
      <c r="PC93" s="144"/>
      <c r="PD93" s="144"/>
      <c r="PE93" s="144"/>
      <c r="PF93" s="144"/>
      <c r="PG93" s="144"/>
      <c r="PH93" s="144"/>
      <c r="PI93" s="144"/>
      <c r="PJ93" s="144"/>
      <c r="PK93" s="144"/>
      <c r="PL93" s="144"/>
      <c r="PM93" s="144"/>
      <c r="PN93" s="144"/>
      <c r="PO93" s="144"/>
      <c r="PP93" s="144"/>
      <c r="PQ93" s="144"/>
      <c r="PR93" s="144"/>
      <c r="PS93" s="146"/>
      <c r="PT93" s="146"/>
      <c r="PU93" s="336" t="s">
        <v>147</v>
      </c>
      <c r="PV93" s="336">
        <f t="shared" si="988"/>
        <v>3</v>
      </c>
      <c r="PW93" s="336">
        <f t="shared" si="989"/>
        <v>60</v>
      </c>
      <c r="PX93" s="172">
        <f t="shared" si="990"/>
        <v>10535</v>
      </c>
      <c r="PY93" s="172">
        <f t="shared" si="991"/>
        <v>5683</v>
      </c>
      <c r="PZ93" s="172">
        <f t="shared" si="992"/>
        <v>2011418</v>
      </c>
      <c r="QA93" s="172">
        <f t="shared" si="993"/>
        <v>2169721</v>
      </c>
      <c r="QB93" s="171">
        <f t="shared" si="1092"/>
        <v>-158303</v>
      </c>
      <c r="QC93" s="337">
        <f t="shared" si="995"/>
        <v>-0.0787021892018467</v>
      </c>
      <c r="QD93" s="170">
        <f t="shared" si="996"/>
        <v>353.935949322541</v>
      </c>
      <c r="QE93" s="146"/>
      <c r="QF93" s="146"/>
      <c r="QG93" s="146"/>
      <c r="QH93" s="146"/>
      <c r="QI93" s="146"/>
      <c r="QJ93" s="146"/>
      <c r="QK93" s="146"/>
      <c r="QL93" s="146"/>
      <c r="QM93" s="146"/>
      <c r="QN93" s="146"/>
      <c r="QO93" s="146"/>
      <c r="QP93" s="146"/>
      <c r="QQ93" s="146"/>
      <c r="QR93" s="144"/>
      <c r="QS93" s="144"/>
      <c r="QT93" s="144"/>
      <c r="QU93" s="144"/>
      <c r="QV93" s="144"/>
      <c r="QW93" s="144"/>
      <c r="QX93" s="144"/>
      <c r="QY93" s="144"/>
      <c r="QZ93" s="144"/>
      <c r="RA93" s="144"/>
      <c r="RB93" s="144"/>
      <c r="RC93" s="144"/>
      <c r="RD93" s="144"/>
      <c r="RE93" s="144"/>
      <c r="RF93" s="144"/>
      <c r="RG93" s="144"/>
      <c r="RH93" s="144"/>
      <c r="RI93" s="144"/>
      <c r="RJ93" s="144"/>
      <c r="RK93" s="144"/>
      <c r="RL93" s="144"/>
      <c r="RM93" s="144"/>
      <c r="RN93" s="144"/>
      <c r="RO93" s="144"/>
      <c r="RP93" s="144"/>
      <c r="RQ93" s="144"/>
      <c r="RR93" s="144"/>
      <c r="RS93" s="144"/>
      <c r="RT93" s="144"/>
      <c r="RU93" s="144"/>
      <c r="RV93" s="144"/>
      <c r="RW93" s="144"/>
      <c r="RX93" s="144"/>
      <c r="RY93" s="144"/>
      <c r="RZ93" s="144"/>
      <c r="SA93" s="144"/>
      <c r="SB93" s="144"/>
      <c r="SC93" s="144"/>
      <c r="SD93" s="144"/>
      <c r="SE93" s="144"/>
      <c r="SF93" s="144"/>
      <c r="SG93" s="144"/>
      <c r="SH93" s="144"/>
      <c r="SI93" s="144"/>
      <c r="SJ93" s="144"/>
      <c r="SK93" s="144"/>
      <c r="SL93" s="84"/>
      <c r="SM93" s="84"/>
      <c r="SN93" s="154"/>
      <c r="SO93" s="154"/>
      <c r="SP93" s="154"/>
      <c r="SQ93" s="154"/>
      <c r="SR93" s="154"/>
      <c r="SS93" s="154"/>
      <c r="ST93" s="155"/>
      <c r="SU93" s="154"/>
      <c r="SV93" s="154"/>
      <c r="SW93" s="155"/>
      <c r="SX93" s="155"/>
      <c r="SY93" s="155"/>
      <c r="SZ93" s="155"/>
      <c r="TA93" s="155"/>
      <c r="TB93" s="155"/>
      <c r="TC93" s="155"/>
      <c r="TD93" s="156"/>
      <c r="TE93" s="144"/>
      <c r="TF93" s="84"/>
      <c r="TG93" s="144"/>
      <c r="TH93" s="144"/>
      <c r="TI93" s="144"/>
      <c r="TJ93" s="144"/>
      <c r="TK93" s="157"/>
      <c r="TL93" s="157"/>
      <c r="TM93" s="157"/>
      <c r="TN93" s="157"/>
      <c r="TO93" s="157"/>
      <c r="TP93" s="157"/>
      <c r="TQ93" s="157"/>
      <c r="TR93" s="157"/>
      <c r="TS93" s="157"/>
      <c r="TT93" s="158"/>
      <c r="TU93" s="157"/>
      <c r="TV93" s="158"/>
      <c r="TW93" s="144"/>
      <c r="TX93" s="144"/>
      <c r="TY93" s="144"/>
      <c r="TZ93" s="84"/>
      <c r="UA93" s="144"/>
      <c r="UB93" s="144"/>
      <c r="UC93" s="144"/>
      <c r="UD93" s="144"/>
      <c r="UE93" s="157"/>
      <c r="UF93" s="157"/>
      <c r="UG93" s="157"/>
      <c r="UH93" s="157"/>
      <c r="UI93" s="157"/>
      <c r="UJ93" s="157"/>
      <c r="UK93" s="157"/>
      <c r="UL93" s="157"/>
      <c r="UM93" s="157"/>
      <c r="UN93" s="157"/>
      <c r="UO93" s="157"/>
      <c r="UP93" s="158"/>
      <c r="UQ93" s="157"/>
      <c r="UR93" s="158"/>
      <c r="US93" s="144"/>
      <c r="UT93" s="144"/>
      <c r="UU93" s="144"/>
      <c r="UV93" s="144"/>
      <c r="UW93" s="144"/>
      <c r="UX93" s="144"/>
      <c r="UY93" s="144"/>
      <c r="UZ93" s="144"/>
      <c r="VA93" s="157"/>
      <c r="VB93" s="157"/>
      <c r="VC93" s="157"/>
      <c r="VD93" s="157"/>
      <c r="VE93" s="157"/>
      <c r="VF93" s="157"/>
      <c r="VG93" s="157"/>
      <c r="VH93" s="157"/>
      <c r="VI93" s="157"/>
      <c r="VJ93" s="157"/>
      <c r="VK93" s="157"/>
      <c r="VL93" s="157"/>
      <c r="VM93" s="157"/>
      <c r="VN93" s="157"/>
      <c r="VO93" s="144"/>
      <c r="VP93" s="144"/>
      <c r="VQ93" s="84"/>
      <c r="VR93" s="84"/>
      <c r="VS93" s="144"/>
      <c r="VT93" s="53"/>
      <c r="VU93" s="53"/>
    </row>
    <row r="94" ht="15.75" hidden="1" spans="1:593">
      <c r="A94" s="53"/>
      <c r="B94" s="53"/>
      <c r="C94" s="327" t="s">
        <v>151</v>
      </c>
      <c r="D94" s="327"/>
      <c r="E94" s="327"/>
      <c r="F94" s="327"/>
      <c r="G94" s="161"/>
      <c r="H94" s="161"/>
      <c r="I94" s="161"/>
      <c r="J94" s="161"/>
      <c r="K94" s="179"/>
      <c r="L94" s="328"/>
      <c r="M94" s="162"/>
      <c r="N94" s="293"/>
      <c r="O94" s="293"/>
      <c r="P94" s="293"/>
      <c r="Q94" s="293"/>
      <c r="R94" s="293"/>
      <c r="S94" s="293"/>
      <c r="T94" s="293"/>
      <c r="U94" s="293"/>
      <c r="V94" s="293"/>
      <c r="W94" s="293"/>
      <c r="X94" s="293"/>
      <c r="Y94" s="293"/>
      <c r="Z94" s="293"/>
      <c r="AA94" s="293"/>
      <c r="AB94" s="293"/>
      <c r="AC94" s="293"/>
      <c r="AD94" s="293"/>
      <c r="AE94" s="293"/>
      <c r="AF94" s="293"/>
      <c r="AG94" s="293"/>
      <c r="AH94" s="293"/>
      <c r="AI94" s="53"/>
      <c r="AJ94" s="327" t="s">
        <v>151</v>
      </c>
      <c r="AK94" s="327">
        <v>1</v>
      </c>
      <c r="AL94" s="327"/>
      <c r="AM94" s="327">
        <f>AM61</f>
        <v>0</v>
      </c>
      <c r="AN94" s="161">
        <f t="shared" ref="AN94:AQ94" si="1103">AZ14</f>
        <v>1130</v>
      </c>
      <c r="AO94" s="161">
        <f t="shared" si="1103"/>
        <v>478</v>
      </c>
      <c r="AP94" s="161">
        <f t="shared" si="1103"/>
        <v>571962</v>
      </c>
      <c r="AQ94" s="161">
        <f t="shared" si="1103"/>
        <v>453472.21</v>
      </c>
      <c r="AR94" s="179">
        <f>AP94-AQ94</f>
        <v>118489.79</v>
      </c>
      <c r="AS94" s="328">
        <f>AR94/AP94</f>
        <v>0.207163745143908</v>
      </c>
      <c r="AT94" s="162">
        <f>AP94/AO94</f>
        <v>1196.57322175732</v>
      </c>
      <c r="AU94" s="293"/>
      <c r="AV94" s="293"/>
      <c r="AW94" s="293"/>
      <c r="AX94" s="293"/>
      <c r="AY94" s="293"/>
      <c r="AZ94" s="293"/>
      <c r="BA94" s="293"/>
      <c r="BB94" s="293"/>
      <c r="BC94" s="293"/>
      <c r="BD94" s="293"/>
      <c r="BE94" s="293"/>
      <c r="BF94" s="293"/>
      <c r="BG94" s="293"/>
      <c r="BH94" s="293"/>
      <c r="BI94" s="293"/>
      <c r="BJ94" s="293"/>
      <c r="BK94" s="293"/>
      <c r="BL94" s="293"/>
      <c r="BM94" s="293"/>
      <c r="BN94" s="293"/>
      <c r="BO94" s="293"/>
      <c r="BP94" s="53"/>
      <c r="BQ94" s="327" t="s">
        <v>151</v>
      </c>
      <c r="BR94" s="327">
        <v>1</v>
      </c>
      <c r="BS94" s="327"/>
      <c r="BT94" s="327">
        <f>BT61</f>
        <v>0</v>
      </c>
      <c r="BU94" s="161">
        <f t="shared" si="1019"/>
        <v>0</v>
      </c>
      <c r="BV94" s="161">
        <f t="shared" si="1020"/>
        <v>0</v>
      </c>
      <c r="BW94" s="161">
        <f>CI14</f>
        <v>0</v>
      </c>
      <c r="BX94" s="161">
        <f>CJ14</f>
        <v>0</v>
      </c>
      <c r="BY94" s="179">
        <f t="shared" si="1023"/>
        <v>0</v>
      </c>
      <c r="BZ94" s="328" t="e">
        <f t="shared" si="1024"/>
        <v>#DIV/0!</v>
      </c>
      <c r="CA94" s="162" t="e">
        <f t="shared" si="1025"/>
        <v>#DIV/0!</v>
      </c>
      <c r="CB94" s="293"/>
      <c r="CC94" s="293"/>
      <c r="CD94" s="293"/>
      <c r="CE94" s="293"/>
      <c r="CF94" s="293"/>
      <c r="CG94" s="293"/>
      <c r="CH94" s="293"/>
      <c r="CI94" s="293"/>
      <c r="CJ94" s="293"/>
      <c r="CK94" s="293"/>
      <c r="CL94" s="293"/>
      <c r="CM94" s="293"/>
      <c r="CN94" s="293"/>
      <c r="CO94" s="293"/>
      <c r="CP94" s="293"/>
      <c r="CQ94" s="293"/>
      <c r="CR94" s="293"/>
      <c r="CS94" s="293"/>
      <c r="CT94" s="293"/>
      <c r="CU94" s="293"/>
      <c r="CV94" s="293"/>
      <c r="CW94" s="53"/>
      <c r="CX94" s="327" t="s">
        <v>151</v>
      </c>
      <c r="CY94" s="327">
        <v>1</v>
      </c>
      <c r="CZ94" s="327"/>
      <c r="DA94" s="327">
        <f>DA61</f>
        <v>0</v>
      </c>
      <c r="DB94" s="161">
        <f t="shared" si="1027"/>
        <v>0</v>
      </c>
      <c r="DC94" s="161">
        <f t="shared" si="1028"/>
        <v>0</v>
      </c>
      <c r="DD94" s="161">
        <f>DP14</f>
        <v>0</v>
      </c>
      <c r="DE94" s="161">
        <f>DQ14</f>
        <v>0</v>
      </c>
      <c r="DF94" s="179">
        <f t="shared" si="1031"/>
        <v>0</v>
      </c>
      <c r="DG94" s="328" t="e">
        <f t="shared" si="1032"/>
        <v>#DIV/0!</v>
      </c>
      <c r="DH94" s="162" t="e">
        <f t="shared" si="1033"/>
        <v>#DIV/0!</v>
      </c>
      <c r="DI94" s="293"/>
      <c r="DJ94" s="293"/>
      <c r="DK94" s="293"/>
      <c r="DL94" s="293"/>
      <c r="DM94" s="293"/>
      <c r="DN94" s="293"/>
      <c r="DO94" s="293"/>
      <c r="DP94" s="293"/>
      <c r="DQ94" s="293"/>
      <c r="DR94" s="293"/>
      <c r="DS94" s="293"/>
      <c r="DT94" s="293"/>
      <c r="DU94" s="293"/>
      <c r="DV94" s="293"/>
      <c r="DW94" s="293"/>
      <c r="DX94" s="293"/>
      <c r="DY94" s="293"/>
      <c r="DZ94" s="293"/>
      <c r="EA94" s="293"/>
      <c r="EB94" s="293"/>
      <c r="EC94" s="293"/>
      <c r="ED94" s="53"/>
      <c r="EE94" s="329" t="s">
        <v>151</v>
      </c>
      <c r="EF94" s="329">
        <v>1</v>
      </c>
      <c r="EG94" s="329"/>
      <c r="EH94" s="329">
        <f>EH61</f>
        <v>0</v>
      </c>
      <c r="EI94" s="330">
        <f t="shared" si="1035"/>
        <v>0</v>
      </c>
      <c r="EJ94" s="330">
        <f t="shared" si="1036"/>
        <v>0</v>
      </c>
      <c r="EK94" s="330">
        <f>EW14</f>
        <v>0</v>
      </c>
      <c r="EL94" s="330">
        <f>EX14</f>
        <v>0</v>
      </c>
      <c r="EM94" s="331">
        <f t="shared" si="1039"/>
        <v>0</v>
      </c>
      <c r="EN94" s="332" t="e">
        <f t="shared" si="1040"/>
        <v>#DIV/0!</v>
      </c>
      <c r="EO94" s="333" t="e">
        <f t="shared" si="1041"/>
        <v>#DIV/0!</v>
      </c>
      <c r="EP94" s="53"/>
      <c r="EQ94" s="53"/>
      <c r="ER94" s="192"/>
      <c r="ES94" s="192"/>
      <c r="ET94" s="192"/>
      <c r="EU94" s="192"/>
      <c r="EV94" s="192"/>
      <c r="EW94" s="192"/>
      <c r="EX94" s="192"/>
      <c r="EY94" s="192"/>
      <c r="EZ94" s="192"/>
      <c r="FA94" s="192"/>
      <c r="FB94" s="192"/>
      <c r="FC94" s="192"/>
      <c r="FD94" s="192"/>
      <c r="FE94" s="192"/>
      <c r="FF94" s="192"/>
      <c r="FG94" s="192"/>
      <c r="FH94" s="192"/>
      <c r="FI94" s="192"/>
      <c r="FJ94" s="192"/>
      <c r="FK94" s="53"/>
      <c r="FL94" s="53"/>
      <c r="FM94" s="53"/>
      <c r="FN94" s="329" t="s">
        <v>151</v>
      </c>
      <c r="FO94" s="329">
        <v>1</v>
      </c>
      <c r="FP94" s="329"/>
      <c r="FQ94" s="329">
        <f>FQ61</f>
        <v>0</v>
      </c>
      <c r="FR94" s="330">
        <f t="shared" si="1043"/>
        <v>0</v>
      </c>
      <c r="FS94" s="330">
        <f t="shared" si="1044"/>
        <v>0</v>
      </c>
      <c r="FT94" s="330">
        <f>GF14</f>
        <v>0</v>
      </c>
      <c r="FU94" s="330">
        <f>GG14</f>
        <v>0</v>
      </c>
      <c r="FV94" s="331">
        <f t="shared" si="1047"/>
        <v>0</v>
      </c>
      <c r="FW94" s="332" t="e">
        <f t="shared" si="1048"/>
        <v>#DIV/0!</v>
      </c>
      <c r="FX94" s="333" t="e">
        <f t="shared" si="1049"/>
        <v>#DIV/0!</v>
      </c>
      <c r="FY94" s="53"/>
      <c r="FZ94" s="192"/>
      <c r="GA94" s="192"/>
      <c r="GB94" s="192"/>
      <c r="GC94" s="192"/>
      <c r="GD94" s="192"/>
      <c r="GE94" s="192"/>
      <c r="GF94" s="192"/>
      <c r="GG94" s="192"/>
      <c r="GH94" s="192"/>
      <c r="GI94" s="192"/>
      <c r="GJ94" s="192"/>
      <c r="GK94" s="192"/>
      <c r="GL94" s="192"/>
      <c r="GM94" s="192"/>
      <c r="GN94" s="192"/>
      <c r="GO94" s="192"/>
      <c r="GP94" s="192"/>
      <c r="GQ94" s="192"/>
      <c r="GR94" s="192"/>
      <c r="GS94" s="192"/>
      <c r="GT94" s="53"/>
      <c r="GU94" s="53"/>
      <c r="GV94" s="329" t="s">
        <v>151</v>
      </c>
      <c r="GW94" s="329">
        <v>1</v>
      </c>
      <c r="GX94" s="329"/>
      <c r="GY94" s="329">
        <f>GY61</f>
        <v>0</v>
      </c>
      <c r="GZ94" s="330">
        <f t="shared" si="1051"/>
        <v>0</v>
      </c>
      <c r="HA94" s="330">
        <f t="shared" si="1052"/>
        <v>0</v>
      </c>
      <c r="HB94" s="330">
        <f>HN14</f>
        <v>0</v>
      </c>
      <c r="HC94" s="330">
        <f>HO14</f>
        <v>0</v>
      </c>
      <c r="HD94" s="331">
        <f t="shared" si="1055"/>
        <v>0</v>
      </c>
      <c r="HE94" s="332" t="e">
        <f t="shared" si="1056"/>
        <v>#DIV/0!</v>
      </c>
      <c r="HF94" s="333" t="e">
        <f t="shared" si="1057"/>
        <v>#DIV/0!</v>
      </c>
      <c r="HI94" s="192"/>
      <c r="HJ94" s="192"/>
      <c r="HK94" s="192"/>
      <c r="HL94" s="192"/>
      <c r="HM94" s="192"/>
      <c r="HN94" s="192"/>
      <c r="HO94" s="192"/>
      <c r="HP94" s="192"/>
      <c r="HQ94" s="192"/>
      <c r="HR94" s="192"/>
      <c r="HS94" s="192"/>
      <c r="HT94" s="192"/>
      <c r="HU94" s="192"/>
      <c r="HV94" s="192"/>
      <c r="HW94" s="192"/>
      <c r="HX94" s="192"/>
      <c r="HY94" s="192"/>
      <c r="HZ94" s="192"/>
      <c r="IA94" s="192"/>
      <c r="IB94" s="53"/>
      <c r="IC94" s="53"/>
      <c r="ID94" s="329" t="s">
        <v>151</v>
      </c>
      <c r="IE94" s="329">
        <v>1</v>
      </c>
      <c r="IF94" s="329">
        <v>0</v>
      </c>
      <c r="IG94" s="329">
        <f t="shared" si="1059"/>
        <v>0</v>
      </c>
      <c r="IH94" s="330">
        <f t="shared" si="1060"/>
        <v>0</v>
      </c>
      <c r="II94" s="330">
        <f t="shared" si="1061"/>
        <v>0</v>
      </c>
      <c r="IJ94" s="330">
        <f>IV14</f>
        <v>0</v>
      </c>
      <c r="IK94" s="330">
        <f>IW14</f>
        <v>0</v>
      </c>
      <c r="IL94" s="331">
        <f t="shared" si="1064"/>
        <v>0</v>
      </c>
      <c r="IM94" s="332" t="e">
        <f t="shared" si="1065"/>
        <v>#DIV/0!</v>
      </c>
      <c r="IN94" s="333" t="e">
        <f t="shared" si="1066"/>
        <v>#DIV/0!</v>
      </c>
      <c r="IP94" s="11"/>
      <c r="IQ94" s="192"/>
      <c r="IR94" s="192"/>
      <c r="IS94" s="192"/>
      <c r="IT94" s="192"/>
      <c r="IU94" s="192"/>
      <c r="IV94" s="192"/>
      <c r="IW94" s="192"/>
      <c r="IX94" s="192"/>
      <c r="IY94" s="192"/>
      <c r="IZ94" s="192"/>
      <c r="JA94" s="192"/>
      <c r="JB94" s="192"/>
      <c r="JC94" s="192"/>
      <c r="JD94" s="192"/>
      <c r="JE94" s="192"/>
      <c r="JF94" s="192"/>
      <c r="JG94" s="192"/>
      <c r="JH94" s="192"/>
      <c r="JI94" s="192"/>
      <c r="JJ94" s="53"/>
      <c r="JK94" s="53"/>
      <c r="JL94" s="329" t="s">
        <v>151</v>
      </c>
      <c r="JM94" s="329">
        <v>1</v>
      </c>
      <c r="JN94" s="329">
        <f t="shared" si="1068"/>
        <v>0</v>
      </c>
      <c r="JO94" s="329">
        <f t="shared" si="1069"/>
        <v>0</v>
      </c>
      <c r="JP94" s="330">
        <f t="shared" si="1070"/>
        <v>0</v>
      </c>
      <c r="JQ94" s="330">
        <f>KD14</f>
        <v>0</v>
      </c>
      <c r="JR94" s="330">
        <f>KE14</f>
        <v>0</v>
      </c>
      <c r="JS94" s="330">
        <f t="shared" si="1073"/>
        <v>0</v>
      </c>
      <c r="JT94" s="334" t="e">
        <f t="shared" si="1074"/>
        <v>#DIV/0!</v>
      </c>
      <c r="JU94" s="335" t="e">
        <f t="shared" si="1075"/>
        <v>#DIV/0!</v>
      </c>
      <c r="JX94" s="192"/>
      <c r="JY94" s="192"/>
      <c r="JZ94" s="192"/>
      <c r="KA94" s="192"/>
      <c r="KB94" s="192"/>
      <c r="KC94" s="192"/>
      <c r="KD94" s="192"/>
      <c r="KE94" s="192"/>
      <c r="KF94" s="192"/>
      <c r="KG94" s="192"/>
      <c r="KH94" s="192"/>
      <c r="KI94" s="192"/>
      <c r="KJ94" s="192"/>
      <c r="KK94" s="192"/>
      <c r="KL94" s="192"/>
      <c r="KM94" s="192"/>
      <c r="KN94" s="192"/>
      <c r="KO94" s="192"/>
      <c r="KP94" s="192"/>
      <c r="KQ94" s="192"/>
      <c r="KR94" s="53"/>
      <c r="KS94" s="53"/>
      <c r="KT94" s="329" t="s">
        <v>151</v>
      </c>
      <c r="KU94" s="329">
        <v>1</v>
      </c>
      <c r="KV94" s="329">
        <v>0</v>
      </c>
      <c r="KW94" s="329">
        <v>0</v>
      </c>
      <c r="KX94" s="330">
        <v>0</v>
      </c>
      <c r="KY94" s="330">
        <v>0</v>
      </c>
      <c r="KZ94" s="330">
        <v>0</v>
      </c>
      <c r="LA94" s="330">
        <v>0</v>
      </c>
      <c r="LB94" s="334" t="e">
        <v>#DIV/0!</v>
      </c>
      <c r="LC94" s="335" t="e">
        <v>#DIV/0!</v>
      </c>
      <c r="LF94" s="11"/>
      <c r="LG94" s="192"/>
      <c r="LH94" s="192"/>
      <c r="LI94" s="192"/>
      <c r="LJ94" s="192"/>
      <c r="LK94" s="192"/>
      <c r="LL94" s="192"/>
      <c r="LM94" s="192"/>
      <c r="LN94" s="192"/>
      <c r="LO94" s="192"/>
      <c r="LP94" s="192"/>
      <c r="LQ94" s="192"/>
      <c r="LR94" s="192"/>
      <c r="LS94" s="192"/>
      <c r="LT94" s="192"/>
      <c r="LU94" s="192"/>
      <c r="LV94" s="192"/>
      <c r="LW94" s="192"/>
      <c r="LX94" s="192"/>
      <c r="LY94" s="192"/>
      <c r="LZ94" s="192"/>
      <c r="MA94" s="192"/>
      <c r="MB94" s="329" t="s">
        <v>151</v>
      </c>
      <c r="MC94" s="329">
        <v>1</v>
      </c>
      <c r="MD94" s="329">
        <f t="shared" si="1077"/>
        <v>3</v>
      </c>
      <c r="ME94" s="329">
        <f t="shared" si="1078"/>
        <v>0</v>
      </c>
      <c r="MF94" s="330">
        <f t="shared" si="1079"/>
        <v>0</v>
      </c>
      <c r="MG94" s="330">
        <f>MT14</f>
        <v>0</v>
      </c>
      <c r="MH94" s="330">
        <f>MU14</f>
        <v>0</v>
      </c>
      <c r="MI94" s="330">
        <f t="shared" si="1082"/>
        <v>0</v>
      </c>
      <c r="MJ94" s="334" t="e">
        <f t="shared" si="1083"/>
        <v>#DIV/0!</v>
      </c>
      <c r="MK94" s="335" t="e">
        <f t="shared" si="1084"/>
        <v>#DIV/0!</v>
      </c>
      <c r="MO94" s="192"/>
      <c r="MP94" s="192"/>
      <c r="MQ94" s="192"/>
      <c r="MR94" s="192"/>
      <c r="MS94" s="192"/>
      <c r="MT94" s="192"/>
      <c r="MU94" s="192"/>
      <c r="MV94" s="192"/>
      <c r="MW94" s="192"/>
      <c r="MX94" s="192"/>
      <c r="MY94" s="192"/>
      <c r="MZ94" s="192"/>
      <c r="NA94" s="192"/>
      <c r="NB94" s="192"/>
      <c r="NC94" s="192"/>
      <c r="ND94" s="192"/>
      <c r="NE94" s="192"/>
      <c r="NF94" s="192"/>
      <c r="NG94" s="192"/>
      <c r="NH94" s="53"/>
      <c r="NI94" s="53"/>
      <c r="NJ94" s="329" t="s">
        <v>151</v>
      </c>
      <c r="NK94" s="329">
        <v>1</v>
      </c>
      <c r="NL94" s="329"/>
      <c r="NM94" s="329">
        <f t="shared" si="1087"/>
        <v>302</v>
      </c>
      <c r="NN94" s="330">
        <f t="shared" si="1088"/>
        <v>96</v>
      </c>
      <c r="NO94" s="330">
        <f>OB14</f>
        <v>76447</v>
      </c>
      <c r="NP94" s="330">
        <f>OC14</f>
        <v>41913</v>
      </c>
      <c r="NQ94" s="330">
        <f t="shared" si="1091"/>
        <v>34534</v>
      </c>
      <c r="NR94" s="334">
        <f t="shared" si="977"/>
        <v>0.451737805276858</v>
      </c>
      <c r="NS94" s="335">
        <f t="shared" si="978"/>
        <v>796.322916666667</v>
      </c>
      <c r="NT94" s="53"/>
      <c r="NU94" s="53"/>
      <c r="NV94" s="53"/>
      <c r="NW94" s="53"/>
      <c r="NX94" s="53"/>
      <c r="NY94" s="53"/>
      <c r="NZ94" s="53"/>
      <c r="OA94" s="53"/>
      <c r="OB94" s="53"/>
      <c r="OC94" s="53"/>
      <c r="OD94" s="53"/>
      <c r="OE94" s="53"/>
      <c r="OF94" s="53"/>
      <c r="OG94" s="53"/>
      <c r="OH94" s="53"/>
      <c r="OI94" s="53"/>
      <c r="OJ94" s="53"/>
      <c r="OK94" s="53"/>
      <c r="OL94" s="53"/>
      <c r="OM94" s="53"/>
      <c r="ON94" s="53"/>
      <c r="OO94" s="53"/>
      <c r="OP94" s="53"/>
      <c r="OQ94" s="53"/>
      <c r="OR94" s="53"/>
      <c r="OS94" s="336"/>
      <c r="OT94" s="336"/>
      <c r="OU94" s="336"/>
      <c r="OV94" s="172"/>
      <c r="OW94" s="172"/>
      <c r="OX94" s="172"/>
      <c r="OY94" s="172"/>
      <c r="OZ94" s="171"/>
      <c r="PA94" s="337"/>
      <c r="PB94" s="170"/>
      <c r="PC94" s="144"/>
      <c r="PD94" s="144"/>
      <c r="PE94" s="144"/>
      <c r="PF94" s="144"/>
      <c r="PG94" s="144"/>
      <c r="PH94" s="144"/>
      <c r="PI94" s="144"/>
      <c r="PJ94" s="144"/>
      <c r="PK94" s="144"/>
      <c r="PL94" s="144"/>
      <c r="PM94" s="144"/>
      <c r="PN94" s="144"/>
      <c r="PO94" s="144"/>
      <c r="PP94" s="144"/>
      <c r="PQ94" s="144"/>
      <c r="PR94" s="144"/>
      <c r="PS94" s="146"/>
      <c r="PT94" s="146"/>
      <c r="PU94" s="336"/>
      <c r="PV94" s="336"/>
      <c r="PW94" s="336"/>
      <c r="PX94" s="336"/>
      <c r="PY94" s="336"/>
      <c r="PZ94" s="336"/>
      <c r="QA94" s="336"/>
      <c r="QB94" s="336"/>
      <c r="QC94" s="336"/>
      <c r="QD94" s="336"/>
      <c r="QE94" s="146"/>
      <c r="QF94" s="146"/>
      <c r="QG94" s="146"/>
      <c r="QH94" s="146"/>
      <c r="QI94" s="146"/>
      <c r="QJ94" s="146"/>
      <c r="QK94" s="146"/>
      <c r="QL94" s="146"/>
      <c r="QM94" s="146"/>
      <c r="QN94" s="146"/>
      <c r="QO94" s="146"/>
      <c r="QP94" s="146"/>
      <c r="QQ94" s="146"/>
      <c r="QR94" s="144"/>
      <c r="QS94" s="144"/>
      <c r="QT94" s="144"/>
      <c r="QU94" s="144"/>
      <c r="QV94" s="144"/>
      <c r="QW94" s="144"/>
      <c r="QX94" s="144"/>
      <c r="QY94" s="144"/>
      <c r="QZ94" s="144"/>
      <c r="RA94" s="144"/>
      <c r="RB94" s="144"/>
      <c r="RC94" s="144"/>
      <c r="RD94" s="144"/>
      <c r="RE94" s="144"/>
      <c r="RF94" s="144"/>
      <c r="RG94" s="144"/>
      <c r="RH94" s="144"/>
      <c r="RI94" s="144"/>
      <c r="RJ94" s="144"/>
      <c r="RK94" s="144"/>
      <c r="RL94" s="144"/>
      <c r="RM94" s="144"/>
      <c r="RN94" s="144"/>
      <c r="RO94" s="144"/>
      <c r="RP94" s="144"/>
      <c r="RQ94" s="144"/>
      <c r="RR94" s="144"/>
      <c r="RS94" s="144"/>
      <c r="RT94" s="144"/>
      <c r="RU94" s="144"/>
      <c r="RV94" s="144"/>
      <c r="RW94" s="144"/>
      <c r="RX94" s="144"/>
      <c r="RY94" s="144"/>
      <c r="RZ94" s="144"/>
      <c r="SA94" s="144"/>
      <c r="SB94" s="144"/>
      <c r="SC94" s="144"/>
      <c r="SD94" s="144"/>
      <c r="SE94" s="144"/>
      <c r="SF94" s="144"/>
      <c r="SG94" s="144"/>
      <c r="SH94" s="144"/>
      <c r="SI94" s="144"/>
      <c r="SJ94" s="144"/>
      <c r="SK94" s="144"/>
      <c r="SL94" s="84"/>
      <c r="SM94" s="84"/>
      <c r="SN94" s="154"/>
      <c r="SO94" s="154"/>
      <c r="SP94" s="154"/>
      <c r="SQ94" s="154"/>
      <c r="SR94" s="154"/>
      <c r="SS94" s="154"/>
      <c r="ST94" s="155"/>
      <c r="SU94" s="154"/>
      <c r="SV94" s="154"/>
      <c r="SW94" s="155"/>
      <c r="SX94" s="155"/>
      <c r="SY94" s="155"/>
      <c r="SZ94" s="155"/>
      <c r="TA94" s="155"/>
      <c r="TB94" s="155"/>
      <c r="TC94" s="155"/>
      <c r="TD94" s="156"/>
      <c r="TE94" s="144"/>
      <c r="TF94" s="84"/>
      <c r="TG94" s="144"/>
      <c r="TH94" s="144"/>
      <c r="TI94" s="144"/>
      <c r="TJ94" s="144"/>
      <c r="TK94" s="157"/>
      <c r="TL94" s="157"/>
      <c r="TM94" s="157"/>
      <c r="TN94" s="157"/>
      <c r="TO94" s="157"/>
      <c r="TP94" s="157"/>
      <c r="TQ94" s="157"/>
      <c r="TR94" s="157"/>
      <c r="TS94" s="157"/>
      <c r="TT94" s="158"/>
      <c r="TU94" s="157"/>
      <c r="TV94" s="158"/>
      <c r="TW94" s="144"/>
      <c r="TX94" s="144"/>
      <c r="TY94" s="144"/>
      <c r="TZ94" s="84"/>
      <c r="UA94" s="144"/>
      <c r="UB94" s="144"/>
      <c r="UC94" s="144"/>
      <c r="UD94" s="144"/>
      <c r="UE94" s="157"/>
      <c r="UF94" s="157"/>
      <c r="UG94" s="157"/>
      <c r="UH94" s="157"/>
      <c r="UI94" s="157"/>
      <c r="UJ94" s="157"/>
      <c r="UK94" s="157"/>
      <c r="UL94" s="157"/>
      <c r="UM94" s="157"/>
      <c r="UN94" s="157"/>
      <c r="UO94" s="157"/>
      <c r="UP94" s="158"/>
      <c r="UQ94" s="157"/>
      <c r="UR94" s="158"/>
      <c r="US94" s="144"/>
      <c r="UT94" s="144"/>
      <c r="UU94" s="144"/>
      <c r="UV94" s="144"/>
      <c r="UW94" s="144"/>
      <c r="UX94" s="144"/>
      <c r="UY94" s="144"/>
      <c r="UZ94" s="144"/>
      <c r="VA94" s="157"/>
      <c r="VB94" s="157"/>
      <c r="VC94" s="157"/>
      <c r="VD94" s="157"/>
      <c r="VE94" s="157"/>
      <c r="VF94" s="157"/>
      <c r="VG94" s="157"/>
      <c r="VH94" s="157"/>
      <c r="VI94" s="157"/>
      <c r="VJ94" s="157"/>
      <c r="VK94" s="157"/>
      <c r="VL94" s="157"/>
      <c r="VM94" s="157"/>
      <c r="VN94" s="157"/>
      <c r="VO94" s="144"/>
      <c r="VP94" s="144"/>
      <c r="VQ94" s="84"/>
      <c r="VR94" s="84"/>
      <c r="VS94" s="144"/>
      <c r="VT94" s="53"/>
      <c r="VU94" s="53"/>
    </row>
    <row r="95" ht="15.75" hidden="1" spans="1:593">
      <c r="A95" s="53"/>
      <c r="B95" s="53"/>
      <c r="C95" s="327"/>
      <c r="D95" s="327"/>
      <c r="E95" s="161"/>
      <c r="F95" s="161"/>
      <c r="G95" s="161"/>
      <c r="H95" s="161"/>
      <c r="I95" s="161"/>
      <c r="J95" s="161"/>
      <c r="K95" s="179"/>
      <c r="L95" s="328"/>
      <c r="M95" s="162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93"/>
      <c r="AB95" s="293"/>
      <c r="AC95" s="293"/>
      <c r="AD95" s="293"/>
      <c r="AE95" s="293"/>
      <c r="AF95" s="293"/>
      <c r="AG95" s="293"/>
      <c r="AH95" s="293"/>
      <c r="AI95" s="53"/>
      <c r="AJ95" s="327" t="s">
        <v>226</v>
      </c>
      <c r="AK95" s="327"/>
      <c r="AL95" s="161"/>
      <c r="AM95" s="161"/>
      <c r="AN95" s="161"/>
      <c r="AO95" s="161"/>
      <c r="AP95" s="161"/>
      <c r="AQ95" s="161"/>
      <c r="AR95" s="179"/>
      <c r="AS95" s="328"/>
      <c r="AT95" s="162"/>
      <c r="AU95" s="293"/>
      <c r="AV95" s="293"/>
      <c r="AW95" s="293"/>
      <c r="AX95" s="293"/>
      <c r="AY95" s="293"/>
      <c r="AZ95" s="293"/>
      <c r="BA95" s="293"/>
      <c r="BB95" s="293"/>
      <c r="BC95" s="293"/>
      <c r="BD95" s="293"/>
      <c r="BE95" s="293"/>
      <c r="BF95" s="293"/>
      <c r="BG95" s="293"/>
      <c r="BH95" s="293"/>
      <c r="BI95" s="293"/>
      <c r="BJ95" s="293"/>
      <c r="BK95" s="293"/>
      <c r="BL95" s="293"/>
      <c r="BM95" s="293"/>
      <c r="BN95" s="293"/>
      <c r="BO95" s="293"/>
      <c r="BP95" s="53"/>
      <c r="BQ95" s="327" t="s">
        <v>226</v>
      </c>
      <c r="BR95" s="327"/>
      <c r="BS95" s="161"/>
      <c r="BT95" s="161"/>
      <c r="BU95" s="161"/>
      <c r="BV95" s="161"/>
      <c r="BW95" s="161"/>
      <c r="BX95" s="161"/>
      <c r="BY95" s="179"/>
      <c r="BZ95" s="328"/>
      <c r="CA95" s="162"/>
      <c r="CB95" s="293"/>
      <c r="CC95" s="293"/>
      <c r="CD95" s="293"/>
      <c r="CE95" s="293"/>
      <c r="CF95" s="293"/>
      <c r="CG95" s="293"/>
      <c r="CH95" s="293"/>
      <c r="CI95" s="293"/>
      <c r="CJ95" s="293"/>
      <c r="CK95" s="293"/>
      <c r="CL95" s="293"/>
      <c r="CM95" s="293"/>
      <c r="CN95" s="293"/>
      <c r="CO95" s="293"/>
      <c r="CP95" s="293"/>
      <c r="CQ95" s="293"/>
      <c r="CR95" s="293"/>
      <c r="CS95" s="293"/>
      <c r="CT95" s="293"/>
      <c r="CU95" s="293"/>
      <c r="CV95" s="293"/>
      <c r="CW95" s="53"/>
      <c r="CX95" s="327" t="s">
        <v>226</v>
      </c>
      <c r="CY95" s="327"/>
      <c r="CZ95" s="161"/>
      <c r="DA95" s="161"/>
      <c r="DB95" s="161"/>
      <c r="DC95" s="161"/>
      <c r="DD95" s="161"/>
      <c r="DE95" s="161"/>
      <c r="DF95" s="179"/>
      <c r="DG95" s="328"/>
      <c r="DH95" s="162"/>
      <c r="DI95" s="293"/>
      <c r="DJ95" s="293"/>
      <c r="DK95" s="293"/>
      <c r="DL95" s="293"/>
      <c r="DM95" s="293"/>
      <c r="DN95" s="293"/>
      <c r="DO95" s="293"/>
      <c r="DP95" s="293"/>
      <c r="DQ95" s="293"/>
      <c r="DR95" s="293"/>
      <c r="DS95" s="293"/>
      <c r="DT95" s="293"/>
      <c r="DU95" s="293"/>
      <c r="DV95" s="293"/>
      <c r="DW95" s="293"/>
      <c r="DX95" s="293"/>
      <c r="DY95" s="293"/>
      <c r="DZ95" s="293"/>
      <c r="EA95" s="293"/>
      <c r="EB95" s="293"/>
      <c r="EC95" s="293"/>
      <c r="ED95" s="53"/>
      <c r="EE95" s="329" t="s">
        <v>226</v>
      </c>
      <c r="EF95" s="329"/>
      <c r="EG95" s="330"/>
      <c r="EH95" s="330"/>
      <c r="EI95" s="330"/>
      <c r="EJ95" s="330"/>
      <c r="EK95" s="330"/>
      <c r="EL95" s="330"/>
      <c r="EM95" s="331"/>
      <c r="EN95" s="332"/>
      <c r="EO95" s="333"/>
      <c r="EP95" s="53"/>
      <c r="EQ95" s="53"/>
      <c r="ER95" s="192"/>
      <c r="ES95" s="192"/>
      <c r="ET95" s="192"/>
      <c r="EU95" s="192"/>
      <c r="EV95" s="192"/>
      <c r="EW95" s="192"/>
      <c r="EX95" s="192"/>
      <c r="EY95" s="192"/>
      <c r="EZ95" s="192"/>
      <c r="FA95" s="192"/>
      <c r="FB95" s="192"/>
      <c r="FC95" s="192"/>
      <c r="FD95" s="192"/>
      <c r="FE95" s="192"/>
      <c r="FF95" s="192"/>
      <c r="FG95" s="192"/>
      <c r="FH95" s="192"/>
      <c r="FI95" s="192"/>
      <c r="FJ95" s="192"/>
      <c r="FK95" s="53"/>
      <c r="FL95" s="53"/>
      <c r="FM95" s="53"/>
      <c r="FN95" s="329" t="s">
        <v>226</v>
      </c>
      <c r="FO95" s="329"/>
      <c r="FP95" s="329"/>
      <c r="FQ95" s="329"/>
      <c r="FR95" s="330"/>
      <c r="FS95" s="330"/>
      <c r="FT95" s="330"/>
      <c r="FU95" s="330"/>
      <c r="FV95" s="331"/>
      <c r="FW95" s="332"/>
      <c r="FX95" s="333"/>
      <c r="FY95" s="53"/>
      <c r="FZ95" s="192"/>
      <c r="GA95" s="192"/>
      <c r="GB95" s="192"/>
      <c r="GC95" s="192"/>
      <c r="GD95" s="192"/>
      <c r="GE95" s="192"/>
      <c r="GF95" s="192"/>
      <c r="GG95" s="192"/>
      <c r="GH95" s="192"/>
      <c r="GI95" s="192"/>
      <c r="GJ95" s="192"/>
      <c r="GK95" s="192"/>
      <c r="GL95" s="192"/>
      <c r="GM95" s="192"/>
      <c r="GN95" s="192"/>
      <c r="GO95" s="192"/>
      <c r="GP95" s="192"/>
      <c r="GQ95" s="192"/>
      <c r="GR95" s="192"/>
      <c r="GS95" s="192"/>
      <c r="GT95" s="53"/>
      <c r="GU95" s="53"/>
      <c r="GV95" s="329" t="s">
        <v>226</v>
      </c>
      <c r="GW95" s="329"/>
      <c r="GX95" s="329"/>
      <c r="GY95" s="329"/>
      <c r="GZ95" s="330"/>
      <c r="HA95" s="330"/>
      <c r="HB95" s="330"/>
      <c r="HC95" s="330"/>
      <c r="HD95" s="331"/>
      <c r="HE95" s="332"/>
      <c r="HF95" s="333"/>
      <c r="HI95" s="192"/>
      <c r="HJ95" s="192"/>
      <c r="HK95" s="192"/>
      <c r="HL95" s="192"/>
      <c r="HM95" s="192"/>
      <c r="HN95" s="192"/>
      <c r="HO95" s="192"/>
      <c r="HP95" s="192"/>
      <c r="HQ95" s="192"/>
      <c r="HR95" s="192"/>
      <c r="HS95" s="192"/>
      <c r="HT95" s="192"/>
      <c r="HU95" s="192"/>
      <c r="HV95" s="192"/>
      <c r="HW95" s="192"/>
      <c r="HX95" s="192"/>
      <c r="HY95" s="192"/>
      <c r="HZ95" s="192"/>
      <c r="IA95" s="192"/>
      <c r="IB95" s="53"/>
      <c r="IC95" s="53"/>
      <c r="ID95" s="329" t="s">
        <v>226</v>
      </c>
      <c r="IE95" s="329"/>
      <c r="IF95" s="329"/>
      <c r="IG95" s="329"/>
      <c r="IH95" s="330"/>
      <c r="II95" s="330"/>
      <c r="IJ95" s="330"/>
      <c r="IK95" s="330"/>
      <c r="IL95" s="331"/>
      <c r="IM95" s="332"/>
      <c r="IN95" s="333"/>
      <c r="IP95" s="11"/>
      <c r="IQ95" s="192"/>
      <c r="IR95" s="192"/>
      <c r="IS95" s="192"/>
      <c r="IT95" s="192"/>
      <c r="IU95" s="192"/>
      <c r="IV95" s="192"/>
      <c r="IW95" s="192"/>
      <c r="IX95" s="192"/>
      <c r="IY95" s="192"/>
      <c r="IZ95" s="192"/>
      <c r="JA95" s="192"/>
      <c r="JB95" s="192"/>
      <c r="JC95" s="192"/>
      <c r="JD95" s="192"/>
      <c r="JE95" s="192"/>
      <c r="JF95" s="192"/>
      <c r="JG95" s="192"/>
      <c r="JH95" s="192"/>
      <c r="JI95" s="192"/>
      <c r="JJ95" s="53"/>
      <c r="JK95" s="53"/>
      <c r="JL95" s="329" t="s">
        <v>226</v>
      </c>
      <c r="JM95" s="329"/>
      <c r="JN95" s="329"/>
      <c r="JO95" s="329"/>
      <c r="JP95" s="330"/>
      <c r="JQ95" s="330"/>
      <c r="JR95" s="330"/>
      <c r="JS95" s="330"/>
      <c r="JT95" s="331"/>
      <c r="JU95" s="335"/>
      <c r="JX95" s="192"/>
      <c r="JY95" s="192"/>
      <c r="JZ95" s="192"/>
      <c r="KA95" s="192"/>
      <c r="KB95" s="192"/>
      <c r="KC95" s="192"/>
      <c r="KD95" s="192"/>
      <c r="KE95" s="192"/>
      <c r="KF95" s="192"/>
      <c r="KG95" s="192"/>
      <c r="KH95" s="192"/>
      <c r="KI95" s="192"/>
      <c r="KJ95" s="192"/>
      <c r="KK95" s="192"/>
      <c r="KL95" s="192"/>
      <c r="KM95" s="192"/>
      <c r="KN95" s="192"/>
      <c r="KO95" s="192"/>
      <c r="KP95" s="192"/>
      <c r="KQ95" s="192"/>
      <c r="KR95" s="53"/>
      <c r="KS95" s="53"/>
      <c r="KT95" s="329" t="s">
        <v>226</v>
      </c>
      <c r="KU95" s="329"/>
      <c r="KV95" s="329"/>
      <c r="KW95" s="329"/>
      <c r="KX95" s="330"/>
      <c r="KY95" s="330"/>
      <c r="KZ95" s="330"/>
      <c r="LA95" s="330"/>
      <c r="LB95" s="334"/>
      <c r="LC95" s="335"/>
      <c r="LF95" s="11"/>
      <c r="LG95" s="192"/>
      <c r="LH95" s="192"/>
      <c r="LI95" s="192"/>
      <c r="LJ95" s="192"/>
      <c r="LK95" s="192"/>
      <c r="LL95" s="192"/>
      <c r="LM95" s="192"/>
      <c r="LN95" s="192"/>
      <c r="LO95" s="192"/>
      <c r="LP95" s="192"/>
      <c r="LQ95" s="192"/>
      <c r="LR95" s="192"/>
      <c r="LS95" s="192"/>
      <c r="LT95" s="192"/>
      <c r="LU95" s="192"/>
      <c r="LV95" s="192"/>
      <c r="LW95" s="192"/>
      <c r="LX95" s="192"/>
      <c r="LY95" s="192"/>
      <c r="LZ95" s="192"/>
      <c r="MA95" s="192"/>
      <c r="MB95" s="329" t="s">
        <v>226</v>
      </c>
      <c r="MC95" s="329"/>
      <c r="MD95" s="329"/>
      <c r="ME95" s="329"/>
      <c r="MF95" s="330"/>
      <c r="MG95" s="330"/>
      <c r="MH95" s="330"/>
      <c r="MI95" s="330"/>
      <c r="MJ95" s="334"/>
      <c r="MK95" s="335"/>
      <c r="MO95" s="192"/>
      <c r="MP95" s="192"/>
      <c r="MQ95" s="192"/>
      <c r="MR95" s="192"/>
      <c r="MS95" s="192"/>
      <c r="MT95" s="192"/>
      <c r="MU95" s="192"/>
      <c r="MV95" s="192"/>
      <c r="MW95" s="192"/>
      <c r="MX95" s="192"/>
      <c r="MY95" s="192"/>
      <c r="MZ95" s="192"/>
      <c r="NA95" s="192"/>
      <c r="NB95" s="192"/>
      <c r="NC95" s="192"/>
      <c r="ND95" s="192"/>
      <c r="NE95" s="192"/>
      <c r="NF95" s="192"/>
      <c r="NG95" s="192"/>
      <c r="NH95" s="53"/>
      <c r="NI95" s="53"/>
      <c r="NJ95" s="329" t="s">
        <v>226</v>
      </c>
      <c r="NK95" s="329"/>
      <c r="NL95" s="329"/>
      <c r="NM95" s="329"/>
      <c r="NN95" s="330"/>
      <c r="NO95" s="330"/>
      <c r="NP95" s="330"/>
      <c r="NQ95" s="330"/>
      <c r="NR95" s="334" t="e">
        <f t="shared" si="977"/>
        <v>#DIV/0!</v>
      </c>
      <c r="NS95" s="335" t="e">
        <f t="shared" si="978"/>
        <v>#DIV/0!</v>
      </c>
      <c r="NT95" s="53"/>
      <c r="NU95" s="53"/>
      <c r="NV95" s="53"/>
      <c r="NW95" s="53"/>
      <c r="NX95" s="53"/>
      <c r="NY95" s="53"/>
      <c r="NZ95" s="53"/>
      <c r="OA95" s="53"/>
      <c r="OB95" s="53"/>
      <c r="OC95" s="53"/>
      <c r="OD95" s="53"/>
      <c r="OE95" s="53"/>
      <c r="OF95" s="53"/>
      <c r="OG95" s="53"/>
      <c r="OH95" s="53"/>
      <c r="OI95" s="53"/>
      <c r="OJ95" s="53"/>
      <c r="OK95" s="53"/>
      <c r="OL95" s="53"/>
      <c r="OM95" s="53"/>
      <c r="ON95" s="53"/>
      <c r="OO95" s="53"/>
      <c r="OP95" s="53"/>
      <c r="OQ95" s="53"/>
      <c r="OR95" s="53"/>
      <c r="OS95" s="336"/>
      <c r="OT95" s="336"/>
      <c r="OU95" s="336"/>
      <c r="OV95" s="172"/>
      <c r="OW95" s="172"/>
      <c r="OX95" s="172"/>
      <c r="OY95" s="172"/>
      <c r="OZ95" s="171"/>
      <c r="PA95" s="337"/>
      <c r="PB95" s="170"/>
      <c r="PC95" s="144"/>
      <c r="PD95" s="144"/>
      <c r="PE95" s="144"/>
      <c r="PF95" s="144"/>
      <c r="PG95" s="144"/>
      <c r="PH95" s="144"/>
      <c r="PI95" s="144"/>
      <c r="PJ95" s="144"/>
      <c r="PK95" s="144"/>
      <c r="PL95" s="144"/>
      <c r="PM95" s="144"/>
      <c r="PN95" s="144"/>
      <c r="PO95" s="144"/>
      <c r="PP95" s="144"/>
      <c r="PQ95" s="144"/>
      <c r="PR95" s="144"/>
      <c r="PS95" s="146"/>
      <c r="PT95" s="146"/>
      <c r="PU95" s="336"/>
      <c r="PV95" s="336"/>
      <c r="PW95" s="336"/>
      <c r="PX95" s="336"/>
      <c r="PY95" s="336"/>
      <c r="PZ95" s="336"/>
      <c r="QA95" s="336"/>
      <c r="QB95" s="336"/>
      <c r="QC95" s="336"/>
      <c r="QD95" s="336"/>
      <c r="QE95" s="146"/>
      <c r="QF95" s="146"/>
      <c r="QG95" s="146"/>
      <c r="QH95" s="146"/>
      <c r="QI95" s="146"/>
      <c r="QJ95" s="146"/>
      <c r="QK95" s="146"/>
      <c r="QL95" s="146"/>
      <c r="QM95" s="146"/>
      <c r="QN95" s="146"/>
      <c r="QO95" s="146"/>
      <c r="QP95" s="146"/>
      <c r="QQ95" s="146"/>
      <c r="QR95" s="144"/>
      <c r="QS95" s="144"/>
      <c r="QT95" s="144"/>
      <c r="QU95" s="144"/>
      <c r="QV95" s="144"/>
      <c r="QW95" s="144"/>
      <c r="QX95" s="144"/>
      <c r="QY95" s="144"/>
      <c r="QZ95" s="144"/>
      <c r="RA95" s="144"/>
      <c r="RB95" s="144"/>
      <c r="RC95" s="144"/>
      <c r="RD95" s="144"/>
      <c r="RE95" s="144"/>
      <c r="RF95" s="144"/>
      <c r="RG95" s="144"/>
      <c r="RH95" s="144"/>
      <c r="RI95" s="144"/>
      <c r="RJ95" s="144"/>
      <c r="RK95" s="144"/>
      <c r="RL95" s="144"/>
      <c r="RM95" s="144"/>
      <c r="RN95" s="144"/>
      <c r="RO95" s="144"/>
      <c r="RP95" s="144"/>
      <c r="RQ95" s="144"/>
      <c r="RR95" s="144"/>
      <c r="RS95" s="144"/>
      <c r="RT95" s="144"/>
      <c r="RU95" s="144"/>
      <c r="RV95" s="144"/>
      <c r="RW95" s="144"/>
      <c r="RX95" s="144"/>
      <c r="RY95" s="144"/>
      <c r="RZ95" s="144"/>
      <c r="SA95" s="144"/>
      <c r="SB95" s="144"/>
      <c r="SC95" s="144"/>
      <c r="SD95" s="144"/>
      <c r="SE95" s="144"/>
      <c r="SF95" s="144"/>
      <c r="SG95" s="144"/>
      <c r="SH95" s="144"/>
      <c r="SI95" s="144"/>
      <c r="SJ95" s="144"/>
      <c r="SK95" s="144"/>
      <c r="SL95" s="84"/>
      <c r="SM95" s="84"/>
      <c r="SN95" s="154"/>
      <c r="SO95" s="154"/>
      <c r="SP95" s="154"/>
      <c r="SQ95" s="154"/>
      <c r="SR95" s="154"/>
      <c r="SS95" s="154"/>
      <c r="ST95" s="155"/>
      <c r="SU95" s="154"/>
      <c r="SV95" s="154"/>
      <c r="SW95" s="155"/>
      <c r="SX95" s="155"/>
      <c r="SY95" s="155"/>
      <c r="SZ95" s="155"/>
      <c r="TA95" s="155"/>
      <c r="TB95" s="155"/>
      <c r="TC95" s="155"/>
      <c r="TD95" s="156"/>
      <c r="TE95" s="144"/>
      <c r="TF95" s="84"/>
      <c r="TG95" s="144"/>
      <c r="TH95" s="144"/>
      <c r="TI95" s="144"/>
      <c r="TJ95" s="144"/>
      <c r="TK95" s="157"/>
      <c r="TL95" s="157"/>
      <c r="TM95" s="157"/>
      <c r="TN95" s="157"/>
      <c r="TO95" s="157"/>
      <c r="TP95" s="157"/>
      <c r="TQ95" s="157"/>
      <c r="TR95" s="157"/>
      <c r="TS95" s="157"/>
      <c r="TT95" s="158"/>
      <c r="TU95" s="157"/>
      <c r="TV95" s="158"/>
      <c r="TW95" s="144"/>
      <c r="TX95" s="144"/>
      <c r="TY95" s="144"/>
      <c r="TZ95" s="84"/>
      <c r="UA95" s="144"/>
      <c r="UB95" s="144"/>
      <c r="UC95" s="144"/>
      <c r="UD95" s="144"/>
      <c r="UE95" s="157"/>
      <c r="UF95" s="157"/>
      <c r="UG95" s="157"/>
      <c r="UH95" s="157"/>
      <c r="UI95" s="157"/>
      <c r="UJ95" s="157"/>
      <c r="UK95" s="157"/>
      <c r="UL95" s="157"/>
      <c r="UM95" s="157"/>
      <c r="UN95" s="157"/>
      <c r="UO95" s="157"/>
      <c r="UP95" s="158"/>
      <c r="UQ95" s="157"/>
      <c r="UR95" s="158"/>
      <c r="US95" s="144"/>
      <c r="UT95" s="144"/>
      <c r="UU95" s="144"/>
      <c r="UV95" s="144"/>
      <c r="UW95" s="144"/>
      <c r="UX95" s="144"/>
      <c r="UY95" s="144"/>
      <c r="UZ95" s="144"/>
      <c r="VA95" s="157"/>
      <c r="VB95" s="157"/>
      <c r="VC95" s="157"/>
      <c r="VD95" s="157"/>
      <c r="VE95" s="157"/>
      <c r="VF95" s="157"/>
      <c r="VG95" s="157"/>
      <c r="VH95" s="157"/>
      <c r="VI95" s="157"/>
      <c r="VJ95" s="157"/>
      <c r="VK95" s="157"/>
      <c r="VL95" s="157"/>
      <c r="VM95" s="157"/>
      <c r="VN95" s="157"/>
      <c r="VO95" s="144"/>
      <c r="VP95" s="144"/>
      <c r="VQ95" s="84"/>
      <c r="VR95" s="84"/>
      <c r="VS95" s="144"/>
      <c r="VT95" s="53"/>
      <c r="VU95" s="53"/>
    </row>
    <row r="96" ht="15.75" hidden="1" spans="1:593">
      <c r="A96" s="53"/>
      <c r="B96" s="53"/>
      <c r="C96" s="327" t="s">
        <v>150</v>
      </c>
      <c r="D96" s="327">
        <f t="shared" ref="D96:F96" si="1104">D63</f>
        <v>1</v>
      </c>
      <c r="E96" s="327">
        <f t="shared" si="1104"/>
        <v>0</v>
      </c>
      <c r="F96" s="327">
        <f t="shared" si="1104"/>
        <v>17</v>
      </c>
      <c r="G96" s="161">
        <f>S14</f>
        <v>2128</v>
      </c>
      <c r="H96" s="161">
        <f>T14</f>
        <v>991</v>
      </c>
      <c r="I96" s="161">
        <f>U14-I63</f>
        <v>579576</v>
      </c>
      <c r="J96" s="161">
        <f>V14-J63</f>
        <v>505787</v>
      </c>
      <c r="K96" s="179">
        <f>I96-J96</f>
        <v>73789</v>
      </c>
      <c r="L96" s="328">
        <f>K96/I96</f>
        <v>0.127315485803415</v>
      </c>
      <c r="M96" s="162">
        <f>I96/H96</f>
        <v>584.839556004036</v>
      </c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  <c r="AB96" s="293"/>
      <c r="AC96" s="293"/>
      <c r="AD96" s="293"/>
      <c r="AE96" s="293"/>
      <c r="AF96" s="293"/>
      <c r="AG96" s="293"/>
      <c r="AH96" s="293"/>
      <c r="AI96" s="53"/>
      <c r="AJ96" s="327"/>
      <c r="AK96" s="327"/>
      <c r="AL96" s="327"/>
      <c r="AM96" s="327"/>
      <c r="AN96" s="161"/>
      <c r="AO96" s="161"/>
      <c r="AP96" s="161"/>
      <c r="AQ96" s="161"/>
      <c r="AR96" s="179"/>
      <c r="AS96" s="328"/>
      <c r="AT96" s="162"/>
      <c r="AU96" s="293"/>
      <c r="AV96" s="293"/>
      <c r="AW96" s="293"/>
      <c r="AX96" s="293"/>
      <c r="AY96" s="293"/>
      <c r="AZ96" s="293"/>
      <c r="BA96" s="293"/>
      <c r="BB96" s="293"/>
      <c r="BC96" s="293"/>
      <c r="BD96" s="293"/>
      <c r="BE96" s="293"/>
      <c r="BF96" s="293"/>
      <c r="BG96" s="293"/>
      <c r="BH96" s="293"/>
      <c r="BI96" s="293"/>
      <c r="BJ96" s="293"/>
      <c r="BK96" s="293"/>
      <c r="BL96" s="293"/>
      <c r="BM96" s="293"/>
      <c r="BN96" s="293"/>
      <c r="BO96" s="293"/>
      <c r="BP96" s="53"/>
      <c r="BQ96" s="327"/>
      <c r="BR96" s="327"/>
      <c r="BS96" s="327"/>
      <c r="BT96" s="327"/>
      <c r="BU96" s="161"/>
      <c r="BV96" s="161"/>
      <c r="BW96" s="161"/>
      <c r="BX96" s="161"/>
      <c r="BY96" s="179"/>
      <c r="BZ96" s="328"/>
      <c r="CA96" s="162"/>
      <c r="CB96" s="293"/>
      <c r="CC96" s="293"/>
      <c r="CD96" s="293"/>
      <c r="CE96" s="293"/>
      <c r="CF96" s="293"/>
      <c r="CG96" s="293"/>
      <c r="CH96" s="293"/>
      <c r="CI96" s="293"/>
      <c r="CJ96" s="293"/>
      <c r="CK96" s="293"/>
      <c r="CL96" s="293"/>
      <c r="CM96" s="293"/>
      <c r="CN96" s="293"/>
      <c r="CO96" s="293"/>
      <c r="CP96" s="293"/>
      <c r="CQ96" s="293"/>
      <c r="CR96" s="293"/>
      <c r="CS96" s="293"/>
      <c r="CT96" s="293"/>
      <c r="CU96" s="293"/>
      <c r="CV96" s="293"/>
      <c r="CW96" s="53"/>
      <c r="CX96" s="327"/>
      <c r="CY96" s="327"/>
      <c r="CZ96" s="327"/>
      <c r="DA96" s="327"/>
      <c r="DB96" s="161"/>
      <c r="DC96" s="161"/>
      <c r="DD96" s="161"/>
      <c r="DE96" s="161"/>
      <c r="DF96" s="179"/>
      <c r="DG96" s="328"/>
      <c r="DH96" s="162"/>
      <c r="DI96" s="293"/>
      <c r="DJ96" s="293"/>
      <c r="DK96" s="293"/>
      <c r="DL96" s="293"/>
      <c r="DM96" s="293"/>
      <c r="DN96" s="293"/>
      <c r="DO96" s="293"/>
      <c r="DP96" s="293"/>
      <c r="DQ96" s="293"/>
      <c r="DR96" s="293"/>
      <c r="DS96" s="293"/>
      <c r="DT96" s="293"/>
      <c r="DU96" s="293"/>
      <c r="DV96" s="293"/>
      <c r="DW96" s="293"/>
      <c r="DX96" s="293"/>
      <c r="DY96" s="293"/>
      <c r="DZ96" s="293"/>
      <c r="EA96" s="293"/>
      <c r="EB96" s="293"/>
      <c r="EC96" s="293"/>
      <c r="ED96" s="53"/>
      <c r="EE96" s="329"/>
      <c r="EF96" s="329"/>
      <c r="EG96" s="330"/>
      <c r="EH96" s="330"/>
      <c r="EI96" s="330"/>
      <c r="EJ96" s="330"/>
      <c r="EK96" s="330"/>
      <c r="EL96" s="330"/>
      <c r="EM96" s="331"/>
      <c r="EN96" s="332"/>
      <c r="EO96" s="333"/>
      <c r="EP96" s="53"/>
      <c r="EQ96" s="53"/>
      <c r="ER96" s="192"/>
      <c r="ES96" s="192"/>
      <c r="ET96" s="192"/>
      <c r="EU96" s="192"/>
      <c r="EV96" s="192"/>
      <c r="EW96" s="192"/>
      <c r="EX96" s="192"/>
      <c r="EY96" s="192"/>
      <c r="EZ96" s="192"/>
      <c r="FA96" s="192"/>
      <c r="FB96" s="192"/>
      <c r="FC96" s="192"/>
      <c r="FD96" s="192"/>
      <c r="FE96" s="192"/>
      <c r="FF96" s="192"/>
      <c r="FG96" s="192"/>
      <c r="FH96" s="192"/>
      <c r="FI96" s="192"/>
      <c r="FJ96" s="192"/>
      <c r="FK96" s="53"/>
      <c r="FL96" s="53"/>
      <c r="FM96" s="53"/>
      <c r="FN96" s="329"/>
      <c r="FO96" s="329"/>
      <c r="FP96" s="329"/>
      <c r="FQ96" s="329"/>
      <c r="FR96" s="330"/>
      <c r="FS96" s="330"/>
      <c r="FT96" s="330"/>
      <c r="FU96" s="330"/>
      <c r="FV96" s="331"/>
      <c r="FW96" s="332"/>
      <c r="FX96" s="333"/>
      <c r="FY96" s="53"/>
      <c r="FZ96" s="192"/>
      <c r="GA96" s="192"/>
      <c r="GB96" s="192"/>
      <c r="GC96" s="192"/>
      <c r="GD96" s="192"/>
      <c r="GE96" s="192"/>
      <c r="GF96" s="192"/>
      <c r="GG96" s="192"/>
      <c r="GH96" s="192"/>
      <c r="GI96" s="192"/>
      <c r="GJ96" s="192"/>
      <c r="GK96" s="192"/>
      <c r="GL96" s="192"/>
      <c r="GM96" s="192"/>
      <c r="GN96" s="192"/>
      <c r="GO96" s="192"/>
      <c r="GP96" s="192"/>
      <c r="GQ96" s="192"/>
      <c r="GR96" s="192"/>
      <c r="GS96" s="192"/>
      <c r="GT96" s="53"/>
      <c r="GU96" s="53"/>
      <c r="GV96" s="329"/>
      <c r="GW96" s="329"/>
      <c r="GX96" s="329"/>
      <c r="GY96" s="329"/>
      <c r="GZ96" s="330"/>
      <c r="HA96" s="330"/>
      <c r="HB96" s="330"/>
      <c r="HC96" s="330"/>
      <c r="HD96" s="331"/>
      <c r="HE96" s="332"/>
      <c r="HF96" s="333"/>
      <c r="HI96" s="192"/>
      <c r="HJ96" s="192"/>
      <c r="HK96" s="192"/>
      <c r="HL96" s="192"/>
      <c r="HM96" s="192"/>
      <c r="HN96" s="192"/>
      <c r="HO96" s="192"/>
      <c r="HP96" s="192"/>
      <c r="HQ96" s="192"/>
      <c r="HR96" s="192"/>
      <c r="HS96" s="192"/>
      <c r="HT96" s="192"/>
      <c r="HU96" s="192"/>
      <c r="HV96" s="192"/>
      <c r="HW96" s="192"/>
      <c r="HX96" s="192"/>
      <c r="HY96" s="192"/>
      <c r="HZ96" s="192"/>
      <c r="IA96" s="192"/>
      <c r="IB96" s="53"/>
      <c r="IC96" s="53"/>
      <c r="ID96" s="329"/>
      <c r="IE96" s="329"/>
      <c r="IF96" s="329"/>
      <c r="IG96" s="329"/>
      <c r="IH96" s="330"/>
      <c r="II96" s="330"/>
      <c r="IJ96" s="330"/>
      <c r="IK96" s="330"/>
      <c r="IL96" s="331"/>
      <c r="IM96" s="332"/>
      <c r="IN96" s="333"/>
      <c r="IP96" s="11"/>
      <c r="IQ96" s="192"/>
      <c r="IR96" s="192"/>
      <c r="IS96" s="192"/>
      <c r="IT96" s="192"/>
      <c r="IU96" s="192"/>
      <c r="IV96" s="192"/>
      <c r="IW96" s="192"/>
      <c r="IX96" s="192"/>
      <c r="IY96" s="192"/>
      <c r="IZ96" s="192"/>
      <c r="JA96" s="192"/>
      <c r="JB96" s="192"/>
      <c r="JC96" s="192"/>
      <c r="JD96" s="192"/>
      <c r="JE96" s="192"/>
      <c r="JF96" s="192"/>
      <c r="JG96" s="192"/>
      <c r="JH96" s="192"/>
      <c r="JI96" s="192"/>
      <c r="JJ96" s="53"/>
      <c r="JK96" s="53"/>
      <c r="JL96" s="329"/>
      <c r="JM96" s="329"/>
      <c r="JN96" s="329"/>
      <c r="JO96" s="329"/>
      <c r="JP96" s="330"/>
      <c r="JQ96" s="330"/>
      <c r="JR96" s="330"/>
      <c r="JS96" s="330"/>
      <c r="JT96" s="331"/>
      <c r="JU96" s="335"/>
      <c r="JX96" s="192"/>
      <c r="JY96" s="192"/>
      <c r="JZ96" s="192"/>
      <c r="KA96" s="192"/>
      <c r="KB96" s="192"/>
      <c r="KC96" s="192"/>
      <c r="KD96" s="192"/>
      <c r="KE96" s="192"/>
      <c r="KF96" s="192"/>
      <c r="KG96" s="192"/>
      <c r="KH96" s="192"/>
      <c r="KI96" s="192"/>
      <c r="KJ96" s="192"/>
      <c r="KK96" s="192"/>
      <c r="KL96" s="192"/>
      <c r="KM96" s="192"/>
      <c r="KN96" s="192"/>
      <c r="KO96" s="192"/>
      <c r="KP96" s="192"/>
      <c r="KQ96" s="192"/>
      <c r="KR96" s="53"/>
      <c r="KS96" s="53"/>
      <c r="KT96" s="300"/>
      <c r="KU96" s="300"/>
      <c r="KV96" s="216"/>
      <c r="KW96" s="216"/>
      <c r="KX96" s="216"/>
      <c r="KY96" s="216"/>
      <c r="KZ96" s="216"/>
      <c r="LA96" s="340"/>
      <c r="LB96" s="340"/>
      <c r="LC96" s="340"/>
      <c r="LF96" s="11"/>
      <c r="LG96" s="192"/>
      <c r="LH96" s="192"/>
      <c r="LI96" s="192"/>
      <c r="LJ96" s="192"/>
      <c r="LK96" s="192"/>
      <c r="LL96" s="192"/>
      <c r="LM96" s="192"/>
      <c r="LN96" s="192"/>
      <c r="LO96" s="192"/>
      <c r="LP96" s="192"/>
      <c r="LQ96" s="192"/>
      <c r="LR96" s="192"/>
      <c r="LS96" s="192"/>
      <c r="LT96" s="192"/>
      <c r="LU96" s="192"/>
      <c r="LV96" s="192"/>
      <c r="LW96" s="192"/>
      <c r="LX96" s="192"/>
      <c r="LY96" s="192"/>
      <c r="LZ96" s="192"/>
      <c r="MA96" s="192"/>
      <c r="MB96" s="300"/>
      <c r="MC96" s="300"/>
      <c r="MD96" s="216"/>
      <c r="ME96" s="216"/>
      <c r="MF96" s="216"/>
      <c r="MG96" s="216"/>
      <c r="MH96" s="216"/>
      <c r="MI96" s="218"/>
      <c r="MJ96" s="339"/>
      <c r="MK96" s="214"/>
      <c r="MO96" s="192"/>
      <c r="MP96" s="192"/>
      <c r="MQ96" s="192"/>
      <c r="MR96" s="192"/>
      <c r="MS96" s="192"/>
      <c r="MT96" s="192"/>
      <c r="MU96" s="192"/>
      <c r="MV96" s="192"/>
      <c r="MW96" s="192"/>
      <c r="MX96" s="192"/>
      <c r="MY96" s="192"/>
      <c r="MZ96" s="192"/>
      <c r="NA96" s="192"/>
      <c r="NB96" s="192"/>
      <c r="NC96" s="192"/>
      <c r="ND96" s="192"/>
      <c r="NE96" s="192"/>
      <c r="NF96" s="192"/>
      <c r="NG96" s="192"/>
      <c r="NH96" s="53"/>
      <c r="NI96" s="53"/>
      <c r="NJ96" s="300"/>
      <c r="NK96" s="300"/>
      <c r="NL96" s="216"/>
      <c r="NM96" s="216"/>
      <c r="NN96" s="216"/>
      <c r="NO96" s="216"/>
      <c r="NP96" s="356"/>
      <c r="NQ96" s="356"/>
      <c r="NR96" s="356"/>
      <c r="NS96" s="356"/>
      <c r="NT96" s="53"/>
      <c r="NU96" s="53"/>
      <c r="NV96" s="53"/>
      <c r="NW96" s="53"/>
      <c r="NX96" s="53"/>
      <c r="NY96" s="53"/>
      <c r="NZ96" s="53"/>
      <c r="OA96" s="53"/>
      <c r="OB96" s="53"/>
      <c r="OC96" s="53"/>
      <c r="OD96" s="53"/>
      <c r="OE96" s="53"/>
      <c r="OF96" s="53"/>
      <c r="OG96" s="53"/>
      <c r="OH96" s="53"/>
      <c r="OI96" s="53"/>
      <c r="OJ96" s="53"/>
      <c r="OK96" s="53"/>
      <c r="OL96" s="53"/>
      <c r="OM96" s="53"/>
      <c r="ON96" s="53"/>
      <c r="OO96" s="53"/>
      <c r="OP96" s="53"/>
      <c r="OQ96" s="53"/>
      <c r="OR96" s="53"/>
      <c r="OS96" s="336"/>
      <c r="OT96" s="336"/>
      <c r="OU96" s="336"/>
      <c r="OV96" s="172"/>
      <c r="OW96" s="172"/>
      <c r="OX96" s="172"/>
      <c r="OY96" s="172"/>
      <c r="OZ96" s="171"/>
      <c r="PA96" s="337"/>
      <c r="PB96" s="170"/>
      <c r="PC96" s="144"/>
      <c r="PD96" s="144"/>
      <c r="PE96" s="144"/>
      <c r="PF96" s="144"/>
      <c r="PG96" s="144"/>
      <c r="PH96" s="144"/>
      <c r="PI96" s="144"/>
      <c r="PJ96" s="144"/>
      <c r="PK96" s="144"/>
      <c r="PL96" s="144"/>
      <c r="PM96" s="144"/>
      <c r="PN96" s="144"/>
      <c r="PO96" s="144"/>
      <c r="PP96" s="144"/>
      <c r="PQ96" s="144"/>
      <c r="PR96" s="144"/>
      <c r="PS96" s="146"/>
      <c r="PT96" s="146"/>
      <c r="PU96" s="336"/>
      <c r="PV96" s="336"/>
      <c r="PW96" s="336"/>
      <c r="PX96" s="336"/>
      <c r="PY96" s="336"/>
      <c r="PZ96" s="336"/>
      <c r="QA96" s="336"/>
      <c r="QB96" s="336"/>
      <c r="QC96" s="336"/>
      <c r="QD96" s="336"/>
      <c r="QE96" s="146"/>
      <c r="QF96" s="146"/>
      <c r="QG96" s="146"/>
      <c r="QH96" s="146"/>
      <c r="QI96" s="146"/>
      <c r="QJ96" s="146"/>
      <c r="QK96" s="146"/>
      <c r="QL96" s="146"/>
      <c r="QM96" s="146"/>
      <c r="QN96" s="146"/>
      <c r="QO96" s="146"/>
      <c r="QP96" s="146"/>
      <c r="QQ96" s="146"/>
      <c r="QR96" s="144"/>
      <c r="QS96" s="144"/>
      <c r="QT96" s="144"/>
      <c r="QU96" s="144"/>
      <c r="QV96" s="144"/>
      <c r="QW96" s="144"/>
      <c r="QX96" s="144"/>
      <c r="QY96" s="144"/>
      <c r="QZ96" s="144"/>
      <c r="RA96" s="144"/>
      <c r="RB96" s="144"/>
      <c r="RC96" s="144"/>
      <c r="RD96" s="144"/>
      <c r="RE96" s="144"/>
      <c r="RF96" s="144"/>
      <c r="RG96" s="144"/>
      <c r="RH96" s="144"/>
      <c r="RI96" s="144"/>
      <c r="RJ96" s="144"/>
      <c r="RK96" s="144"/>
      <c r="RL96" s="144"/>
      <c r="RM96" s="144"/>
      <c r="RN96" s="144"/>
      <c r="RO96" s="144"/>
      <c r="RP96" s="144"/>
      <c r="RQ96" s="144"/>
      <c r="RR96" s="144"/>
      <c r="RS96" s="144"/>
      <c r="RT96" s="144"/>
      <c r="RU96" s="144"/>
      <c r="RV96" s="144"/>
      <c r="RW96" s="144"/>
      <c r="RX96" s="144"/>
      <c r="RY96" s="144"/>
      <c r="RZ96" s="144"/>
      <c r="SA96" s="144"/>
      <c r="SB96" s="144"/>
      <c r="SC96" s="144"/>
      <c r="SD96" s="144"/>
      <c r="SE96" s="144"/>
      <c r="SF96" s="144"/>
      <c r="SG96" s="144"/>
      <c r="SH96" s="144"/>
      <c r="SI96" s="144"/>
      <c r="SJ96" s="144"/>
      <c r="SK96" s="144"/>
      <c r="SL96" s="84"/>
      <c r="SM96" s="84"/>
      <c r="SN96" s="154"/>
      <c r="SO96" s="154"/>
      <c r="SP96" s="154"/>
      <c r="SQ96" s="154"/>
      <c r="SR96" s="154"/>
      <c r="SS96" s="154"/>
      <c r="ST96" s="155"/>
      <c r="SU96" s="154"/>
      <c r="SV96" s="154"/>
      <c r="SW96" s="155"/>
      <c r="SX96" s="155"/>
      <c r="SY96" s="155"/>
      <c r="SZ96" s="155"/>
      <c r="TA96" s="155"/>
      <c r="TB96" s="155"/>
      <c r="TC96" s="155"/>
      <c r="TD96" s="156"/>
      <c r="TE96" s="144"/>
      <c r="TF96" s="84"/>
      <c r="TG96" s="144"/>
      <c r="TH96" s="144"/>
      <c r="TI96" s="144"/>
      <c r="TJ96" s="144"/>
      <c r="TK96" s="157"/>
      <c r="TL96" s="157"/>
      <c r="TM96" s="157"/>
      <c r="TN96" s="157"/>
      <c r="TO96" s="157"/>
      <c r="TP96" s="157"/>
      <c r="TQ96" s="157"/>
      <c r="TR96" s="157"/>
      <c r="TS96" s="157"/>
      <c r="TT96" s="158"/>
      <c r="TU96" s="157"/>
      <c r="TV96" s="158"/>
      <c r="TW96" s="144"/>
      <c r="TX96" s="144"/>
      <c r="TY96" s="144"/>
      <c r="TZ96" s="84"/>
      <c r="UA96" s="144"/>
      <c r="UB96" s="144"/>
      <c r="UC96" s="144"/>
      <c r="UD96" s="144"/>
      <c r="UE96" s="157"/>
      <c r="UF96" s="157"/>
      <c r="UG96" s="157"/>
      <c r="UH96" s="157"/>
      <c r="UI96" s="157"/>
      <c r="UJ96" s="157"/>
      <c r="UK96" s="157"/>
      <c r="UL96" s="157"/>
      <c r="UM96" s="157"/>
      <c r="UN96" s="157"/>
      <c r="UO96" s="157"/>
      <c r="UP96" s="158"/>
      <c r="UQ96" s="157"/>
      <c r="UR96" s="158"/>
      <c r="US96" s="144"/>
      <c r="UT96" s="144"/>
      <c r="UU96" s="144"/>
      <c r="UV96" s="144"/>
      <c r="UW96" s="144"/>
      <c r="UX96" s="144"/>
      <c r="UY96" s="144"/>
      <c r="UZ96" s="144"/>
      <c r="VA96" s="157"/>
      <c r="VB96" s="157"/>
      <c r="VC96" s="157"/>
      <c r="VD96" s="157"/>
      <c r="VE96" s="157"/>
      <c r="VF96" s="157"/>
      <c r="VG96" s="157"/>
      <c r="VH96" s="157"/>
      <c r="VI96" s="157"/>
      <c r="VJ96" s="157"/>
      <c r="VK96" s="157"/>
      <c r="VL96" s="157"/>
      <c r="VM96" s="157"/>
      <c r="VN96" s="157"/>
      <c r="VO96" s="144"/>
      <c r="VP96" s="144"/>
      <c r="VQ96" s="84"/>
      <c r="VR96" s="84"/>
      <c r="VS96" s="144"/>
      <c r="VT96" s="53"/>
      <c r="VU96" s="53"/>
    </row>
    <row r="97" ht="15.75" spans="1:1024 1025:16384">
      <c r="A97" s="53"/>
      <c r="B97" s="53"/>
      <c r="C97" s="236" t="s">
        <v>153</v>
      </c>
      <c r="D97" s="235">
        <f t="shared" ref="D97:K97" si="1105">D84+D86+D87+D90</f>
        <v>11</v>
      </c>
      <c r="E97" s="235">
        <f t="shared" si="1105"/>
        <v>9</v>
      </c>
      <c r="F97" s="235">
        <f t="shared" si="1105"/>
        <v>9</v>
      </c>
      <c r="G97" s="236">
        <f t="shared" si="1105"/>
        <v>72995</v>
      </c>
      <c r="H97" s="236">
        <f t="shared" si="1105"/>
        <v>59062</v>
      </c>
      <c r="I97" s="236">
        <f t="shared" si="1105"/>
        <v>39536702.4</v>
      </c>
      <c r="J97" s="236">
        <f t="shared" si="1105"/>
        <v>34468649.99</v>
      </c>
      <c r="K97" s="236">
        <f t="shared" si="1105"/>
        <v>5068052.41</v>
      </c>
      <c r="L97" s="240">
        <f>K97/I97</f>
        <v>0.128186017101922</v>
      </c>
      <c r="M97" s="236">
        <f>I97/G97</f>
        <v>541.635761353517</v>
      </c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G97" s="293"/>
      <c r="AH97" s="293"/>
      <c r="AI97" s="53"/>
      <c r="AJ97" s="236" t="s">
        <v>153</v>
      </c>
      <c r="AK97" s="235">
        <f t="shared" ref="AK97:AR97" si="1106">AK84+AK86+AK87+AK90</f>
        <v>8</v>
      </c>
      <c r="AL97" s="235">
        <f t="shared" si="1106"/>
        <v>10</v>
      </c>
      <c r="AM97" s="235">
        <f t="shared" si="1106"/>
        <v>10</v>
      </c>
      <c r="AN97" s="236">
        <f t="shared" si="1106"/>
        <v>81657</v>
      </c>
      <c r="AO97" s="236">
        <f t="shared" si="1106"/>
        <v>66109</v>
      </c>
      <c r="AP97" s="236">
        <f t="shared" si="1106"/>
        <v>44408683.46</v>
      </c>
      <c r="AQ97" s="236">
        <f t="shared" si="1106"/>
        <v>37815383.89</v>
      </c>
      <c r="AR97" s="236">
        <f t="shared" si="1106"/>
        <v>6593299.57</v>
      </c>
      <c r="AS97" s="240">
        <f>AR97/AP97</f>
        <v>0.148468701530833</v>
      </c>
      <c r="AT97" s="236">
        <f>AP97/AN97</f>
        <v>543.844170861041</v>
      </c>
      <c r="AU97" s="293"/>
      <c r="AV97" s="293"/>
      <c r="AW97" s="293"/>
      <c r="AX97" s="293"/>
      <c r="AY97" s="293"/>
      <c r="AZ97" s="293"/>
      <c r="BA97" s="293"/>
      <c r="BB97" s="293"/>
      <c r="BC97" s="293"/>
      <c r="BD97" s="293"/>
      <c r="BE97" s="293"/>
      <c r="BF97" s="293"/>
      <c r="BG97" s="293"/>
      <c r="BH97" s="293"/>
      <c r="BI97" s="293"/>
      <c r="BJ97" s="293"/>
      <c r="BK97" s="293"/>
      <c r="BL97" s="293"/>
      <c r="BM97" s="293"/>
      <c r="BN97" s="293"/>
      <c r="BO97" s="293"/>
      <c r="BP97" s="53"/>
      <c r="BQ97" s="236" t="s">
        <v>153</v>
      </c>
      <c r="BR97" s="235">
        <f t="shared" ref="BR97:BY97" si="1107">BR84+BR86+BR87+BR90</f>
        <v>7</v>
      </c>
      <c r="BS97" s="235">
        <f t="shared" si="1107"/>
        <v>9</v>
      </c>
      <c r="BT97" s="235">
        <f t="shared" si="1107"/>
        <v>300</v>
      </c>
      <c r="BU97" s="236">
        <f t="shared" si="1107"/>
        <v>76912</v>
      </c>
      <c r="BV97" s="236">
        <f t="shared" si="1107"/>
        <v>67416</v>
      </c>
      <c r="BW97" s="236">
        <f t="shared" si="1107"/>
        <v>47132528.21</v>
      </c>
      <c r="BX97" s="236">
        <f t="shared" si="1107"/>
        <v>39127548.04</v>
      </c>
      <c r="BY97" s="236">
        <f t="shared" si="1107"/>
        <v>8004980.17</v>
      </c>
      <c r="BZ97" s="240">
        <f>BY97/BW97</f>
        <v>0.169839821329627</v>
      </c>
      <c r="CA97" s="236">
        <f>BW97/BU97</f>
        <v>612.81111153006</v>
      </c>
      <c r="CB97" s="293"/>
      <c r="CC97" s="293"/>
      <c r="CD97" s="293"/>
      <c r="CE97" s="293"/>
      <c r="CF97" s="293"/>
      <c r="CG97" s="293"/>
      <c r="CH97" s="293"/>
      <c r="CI97" s="293"/>
      <c r="CJ97" s="293"/>
      <c r="CK97" s="293"/>
      <c r="CL97" s="293"/>
      <c r="CM97" s="293"/>
      <c r="CN97" s="293"/>
      <c r="CO97" s="293"/>
      <c r="CP97" s="293"/>
      <c r="CQ97" s="293"/>
      <c r="CR97" s="293"/>
      <c r="CS97" s="293"/>
      <c r="CT97" s="293"/>
      <c r="CU97" s="293"/>
      <c r="CV97" s="293"/>
      <c r="CW97" s="53"/>
      <c r="CX97" s="236" t="s">
        <v>153</v>
      </c>
      <c r="CY97" s="235">
        <f t="shared" ref="CY97:DE97" si="1108">SUM(CY84:CY93)</f>
        <v>0</v>
      </c>
      <c r="CZ97" s="235">
        <f t="shared" si="1108"/>
        <v>10</v>
      </c>
      <c r="DA97" s="235">
        <f t="shared" si="1108"/>
        <v>11</v>
      </c>
      <c r="DB97" s="236">
        <f t="shared" si="1108"/>
        <v>109171</v>
      </c>
      <c r="DC97" s="236">
        <f t="shared" si="1108"/>
        <v>93485</v>
      </c>
      <c r="DD97" s="236">
        <f t="shared" si="1108"/>
        <v>60287226.27</v>
      </c>
      <c r="DE97" s="236">
        <f t="shared" si="1108"/>
        <v>54418771.95</v>
      </c>
      <c r="DF97" s="236">
        <f>DD97-DE97</f>
        <v>5868454.32000001</v>
      </c>
      <c r="DG97" s="240">
        <f>DF97/DD97</f>
        <v>0.0973415876477345</v>
      </c>
      <c r="DH97" s="236">
        <f>DD97/DC97</f>
        <v>644.886626410654</v>
      </c>
      <c r="DI97" s="293"/>
      <c r="DJ97" s="293"/>
      <c r="DK97" s="293"/>
      <c r="DL97" s="293"/>
      <c r="DM97" s="293"/>
      <c r="DN97" s="293"/>
      <c r="DO97" s="293"/>
      <c r="DP97" s="293"/>
      <c r="DQ97" s="293"/>
      <c r="DR97" s="293"/>
      <c r="DS97" s="293"/>
      <c r="DT97" s="293"/>
      <c r="DU97" s="293"/>
      <c r="DV97" s="293"/>
      <c r="DW97" s="293"/>
      <c r="DX97" s="293"/>
      <c r="DY97" s="293"/>
      <c r="DZ97" s="293"/>
      <c r="EA97" s="293"/>
      <c r="EB97" s="293"/>
      <c r="EC97" s="293"/>
      <c r="ED97" s="53"/>
      <c r="EE97" s="341" t="s">
        <v>153</v>
      </c>
      <c r="EF97" s="342">
        <f t="shared" ref="EF97:EL97" si="1109">SUM(EF84:EF93)</f>
        <v>12</v>
      </c>
      <c r="EG97" s="342">
        <f t="shared" si="1109"/>
        <v>11</v>
      </c>
      <c r="EH97" s="342">
        <f t="shared" si="1109"/>
        <v>417</v>
      </c>
      <c r="EI97" s="343">
        <f t="shared" si="1109"/>
        <v>139415</v>
      </c>
      <c r="EJ97" s="343">
        <f t="shared" si="1109"/>
        <v>115510</v>
      </c>
      <c r="EK97" s="343">
        <f t="shared" si="1109"/>
        <v>70093824.92</v>
      </c>
      <c r="EL97" s="343">
        <f t="shared" si="1109"/>
        <v>62052431.46</v>
      </c>
      <c r="EM97" s="344">
        <f>EK97-EL97</f>
        <v>8041393.46000001</v>
      </c>
      <c r="EN97" s="345">
        <f>EM97/EK97</f>
        <v>0.114723279392698</v>
      </c>
      <c r="EO97" s="343">
        <f>EK97/EJ97</f>
        <v>606.820404467146</v>
      </c>
      <c r="EP97" s="53"/>
      <c r="EQ97" s="53"/>
      <c r="ER97" s="192"/>
      <c r="ES97" s="192"/>
      <c r="ET97" s="192"/>
      <c r="EU97" s="192"/>
      <c r="EV97" s="192"/>
      <c r="EW97" s="192"/>
      <c r="EX97" s="192"/>
      <c r="EY97" s="192"/>
      <c r="EZ97" s="192"/>
      <c r="FA97" s="192"/>
      <c r="FB97" s="192"/>
      <c r="FC97" s="192"/>
      <c r="FD97" s="192"/>
      <c r="FE97" s="192"/>
      <c r="FF97" s="192"/>
      <c r="FG97" s="192"/>
      <c r="FH97" s="192"/>
      <c r="FI97" s="192"/>
      <c r="FJ97" s="192"/>
      <c r="FK97" s="53"/>
      <c r="FL97" s="53"/>
      <c r="FM97" s="53"/>
      <c r="FN97" s="341" t="s">
        <v>153</v>
      </c>
      <c r="FO97" s="342">
        <f t="shared" ref="FO97:FU97" si="1110">SUM(FO84:FO93)</f>
        <v>12</v>
      </c>
      <c r="FP97" s="342">
        <f t="shared" si="1110"/>
        <v>14</v>
      </c>
      <c r="FQ97" s="342">
        <f t="shared" si="1110"/>
        <v>550</v>
      </c>
      <c r="FR97" s="343">
        <f t="shared" si="1110"/>
        <v>144394</v>
      </c>
      <c r="FS97" s="343">
        <f t="shared" si="1110"/>
        <v>119294</v>
      </c>
      <c r="FT97" s="343">
        <f t="shared" si="1110"/>
        <v>69071959.58</v>
      </c>
      <c r="FU97" s="343">
        <f t="shared" si="1110"/>
        <v>65156193.05</v>
      </c>
      <c r="FV97" s="344">
        <f>FT97-FU97</f>
        <v>3915766.53</v>
      </c>
      <c r="FW97" s="345">
        <f>FV97/FT97</f>
        <v>0.0566911168267162</v>
      </c>
      <c r="FX97" s="343">
        <f>FT97/FS97</f>
        <v>579.006149345315</v>
      </c>
      <c r="FY97" s="53"/>
      <c r="FZ97" s="192"/>
      <c r="GA97" s="192"/>
      <c r="GB97" s="192"/>
      <c r="GC97" s="192"/>
      <c r="GD97" s="192"/>
      <c r="GE97" s="192"/>
      <c r="GF97" s="192"/>
      <c r="GG97" s="192"/>
      <c r="GH97" s="192"/>
      <c r="GI97" s="192"/>
      <c r="GJ97" s="192"/>
      <c r="GK97" s="192"/>
      <c r="GL97" s="192"/>
      <c r="GM97" s="192"/>
      <c r="GN97" s="192"/>
      <c r="GO97" s="192"/>
      <c r="GP97" s="192"/>
      <c r="GQ97" s="192"/>
      <c r="GR97" s="192"/>
      <c r="GS97" s="192"/>
      <c r="GT97" s="53"/>
      <c r="GU97" s="53"/>
      <c r="GV97" s="343" t="s">
        <v>153</v>
      </c>
      <c r="GW97" s="343">
        <f t="shared" ref="GW97:HC97" si="1111">SUM(GW84:GW93)</f>
        <v>13</v>
      </c>
      <c r="GX97" s="343">
        <f t="shared" si="1111"/>
        <v>13</v>
      </c>
      <c r="GY97" s="343">
        <f t="shared" si="1111"/>
        <v>417</v>
      </c>
      <c r="GZ97" s="343">
        <f t="shared" si="1111"/>
        <v>158038</v>
      </c>
      <c r="HA97" s="343">
        <f t="shared" si="1111"/>
        <v>135757</v>
      </c>
      <c r="HB97" s="343">
        <f t="shared" si="1111"/>
        <v>73883841.47</v>
      </c>
      <c r="HC97" s="343">
        <f t="shared" si="1111"/>
        <v>68684549</v>
      </c>
      <c r="HD97" s="343">
        <f>HB97-HC97</f>
        <v>5199292.47</v>
      </c>
      <c r="HE97" s="343">
        <f>HD97/HB97</f>
        <v>0.070371171375965</v>
      </c>
      <c r="HF97" s="343">
        <f>HB97/HA97</f>
        <v>544.235961828856</v>
      </c>
      <c r="HI97" s="192"/>
      <c r="HJ97" s="192"/>
      <c r="HK97" s="192"/>
      <c r="HL97" s="192"/>
      <c r="HM97" s="192"/>
      <c r="HN97" s="192"/>
      <c r="HO97" s="192"/>
      <c r="HP97" s="192"/>
      <c r="HQ97" s="192"/>
      <c r="HR97" s="192"/>
      <c r="HS97" s="192"/>
      <c r="HT97" s="192"/>
      <c r="HU97" s="192"/>
      <c r="HV97" s="192"/>
      <c r="HW97" s="192"/>
      <c r="HX97" s="192"/>
      <c r="HY97" s="192"/>
      <c r="HZ97" s="192"/>
      <c r="IA97" s="192"/>
      <c r="IB97" s="53"/>
      <c r="IC97" s="53"/>
      <c r="ID97" s="343" t="s">
        <v>153</v>
      </c>
      <c r="IE97" s="343">
        <f t="shared" ref="IE97:IK97" si="1112">SUM(IE84:IE93)</f>
        <v>26</v>
      </c>
      <c r="IF97" s="343">
        <f t="shared" si="1112"/>
        <v>0</v>
      </c>
      <c r="IG97" s="343">
        <f t="shared" si="1112"/>
        <v>401</v>
      </c>
      <c r="IH97" s="343">
        <f t="shared" si="1112"/>
        <v>195779</v>
      </c>
      <c r="II97" s="343">
        <f t="shared" si="1112"/>
        <v>164249</v>
      </c>
      <c r="IJ97" s="343">
        <f t="shared" si="1112"/>
        <v>86852610.71</v>
      </c>
      <c r="IK97" s="343">
        <f t="shared" si="1112"/>
        <v>75975853.44</v>
      </c>
      <c r="IL97" s="343">
        <f>IJ97-IK97</f>
        <v>10876757.27</v>
      </c>
      <c r="IM97" s="343">
        <f>IL97/IJ97</f>
        <v>0.125232358372247</v>
      </c>
      <c r="IN97" s="343">
        <f>IJ97/II97</f>
        <v>528.786237420015</v>
      </c>
      <c r="IP97" s="11"/>
      <c r="IQ97" s="192"/>
      <c r="IR97" s="192"/>
      <c r="IS97" s="192"/>
      <c r="IT97" s="192"/>
      <c r="IU97" s="192"/>
      <c r="IV97" s="192"/>
      <c r="IW97" s="192"/>
      <c r="IX97" s="192"/>
      <c r="IY97" s="192"/>
      <c r="IZ97" s="192"/>
      <c r="JA97" s="192"/>
      <c r="JB97" s="192"/>
      <c r="JC97" s="192"/>
      <c r="JD97" s="192"/>
      <c r="JE97" s="192"/>
      <c r="JF97" s="192"/>
      <c r="JG97" s="192"/>
      <c r="JH97" s="192"/>
      <c r="JI97" s="192"/>
      <c r="JJ97" s="53"/>
      <c r="JK97" s="53"/>
      <c r="JL97" s="343" t="s">
        <v>153</v>
      </c>
      <c r="JM97" s="343">
        <f t="shared" ref="JM97:JR97" si="1113">SUM(JM84:JM93)</f>
        <v>31</v>
      </c>
      <c r="JN97" s="343">
        <f t="shared" si="1113"/>
        <v>109</v>
      </c>
      <c r="JO97" s="343">
        <f t="shared" si="1113"/>
        <v>162176</v>
      </c>
      <c r="JP97" s="343">
        <f t="shared" si="1113"/>
        <v>137145</v>
      </c>
      <c r="JQ97" s="343">
        <f t="shared" si="1113"/>
        <v>80275766.32</v>
      </c>
      <c r="JR97" s="343">
        <f t="shared" si="1113"/>
        <v>68814480</v>
      </c>
      <c r="JS97" s="343">
        <f>JQ97-JR97</f>
        <v>11461286.32</v>
      </c>
      <c r="JT97" s="346">
        <f>JS97/JQ97</f>
        <v>0.142773925997945</v>
      </c>
      <c r="JU97" s="343">
        <f>JQ97/JP97</f>
        <v>585.334983557549</v>
      </c>
      <c r="JX97" s="192"/>
      <c r="JY97" s="192"/>
      <c r="JZ97" s="192"/>
      <c r="KA97" s="192"/>
      <c r="KB97" s="192"/>
      <c r="KC97" s="192"/>
      <c r="KD97" s="192"/>
      <c r="KE97" s="192"/>
      <c r="KF97" s="192"/>
      <c r="KG97" s="192"/>
      <c r="KH97" s="192"/>
      <c r="KI97" s="192"/>
      <c r="KJ97" s="192"/>
      <c r="KK97" s="192"/>
      <c r="KL97" s="192"/>
      <c r="KM97" s="192"/>
      <c r="KN97" s="192"/>
      <c r="KO97" s="192"/>
      <c r="KP97" s="192"/>
      <c r="KQ97" s="192"/>
      <c r="KR97" s="53"/>
      <c r="KS97" s="53"/>
      <c r="KT97" s="343" t="s">
        <v>153</v>
      </c>
      <c r="KU97" s="343">
        <v>31</v>
      </c>
      <c r="KV97" s="343">
        <v>952</v>
      </c>
      <c r="KW97" s="343">
        <v>246617</v>
      </c>
      <c r="KX97" s="343">
        <v>202441</v>
      </c>
      <c r="KY97" s="343">
        <v>100241277.17</v>
      </c>
      <c r="KZ97" s="343">
        <v>88344846.52</v>
      </c>
      <c r="LA97" s="343">
        <v>11896430.65</v>
      </c>
      <c r="LB97" s="346">
        <v>0.118677963667849</v>
      </c>
      <c r="LC97" s="343">
        <v>495.162922382324</v>
      </c>
      <c r="LF97" s="11"/>
      <c r="LG97" s="192"/>
      <c r="LH97" s="192"/>
      <c r="LI97" s="192"/>
      <c r="LJ97" s="192"/>
      <c r="LK97" s="192"/>
      <c r="LL97" s="192"/>
      <c r="LM97" s="192"/>
      <c r="LN97" s="192"/>
      <c r="LO97" s="192"/>
      <c r="LP97" s="192"/>
      <c r="LQ97" s="192"/>
      <c r="LR97" s="192"/>
      <c r="LS97" s="192"/>
      <c r="LT97" s="192"/>
      <c r="LU97" s="192"/>
      <c r="LV97" s="192"/>
      <c r="LW97" s="192"/>
      <c r="LX97" s="192"/>
      <c r="LY97" s="192"/>
      <c r="LZ97" s="192"/>
      <c r="MA97" s="192"/>
      <c r="MB97" s="343" t="s">
        <v>153</v>
      </c>
      <c r="MC97" s="343">
        <f t="shared" ref="MC97:MH97" si="1114">SUM(MC84:MC93)</f>
        <v>32</v>
      </c>
      <c r="MD97" s="343">
        <f t="shared" si="1114"/>
        <v>1113</v>
      </c>
      <c r="ME97" s="343">
        <f t="shared" si="1114"/>
        <v>285017</v>
      </c>
      <c r="MF97" s="343">
        <f t="shared" si="1114"/>
        <v>217022</v>
      </c>
      <c r="MG97" s="343">
        <f t="shared" si="1114"/>
        <v>104321685.03</v>
      </c>
      <c r="MH97" s="343">
        <f t="shared" si="1114"/>
        <v>91714379</v>
      </c>
      <c r="MI97" s="343">
        <f>MG97-MH97</f>
        <v>12607306.03</v>
      </c>
      <c r="MJ97" s="346">
        <f>MI97/MG97</f>
        <v>0.120850291350015</v>
      </c>
      <c r="MK97" s="343">
        <f>MG97/MF97</f>
        <v>480.696358111159</v>
      </c>
      <c r="MO97" s="192"/>
      <c r="MP97" s="192"/>
      <c r="MQ97" s="192"/>
      <c r="MR97" s="192"/>
      <c r="MS97" s="192"/>
      <c r="MT97" s="192"/>
      <c r="MU97" s="192"/>
      <c r="MV97" s="192"/>
      <c r="MW97" s="192"/>
      <c r="MX97" s="192"/>
      <c r="MY97" s="192"/>
      <c r="MZ97" s="192"/>
      <c r="NA97" s="192"/>
      <c r="NB97" s="192"/>
      <c r="NC97" s="192"/>
      <c r="ND97" s="192"/>
      <c r="NE97" s="192"/>
      <c r="NF97" s="192"/>
      <c r="NG97" s="192"/>
      <c r="NH97" s="53"/>
      <c r="NI97" s="53"/>
      <c r="NJ97" s="343" t="s">
        <v>153</v>
      </c>
      <c r="NK97" s="343">
        <f t="shared" ref="NK97:NP97" si="1115">SUM(NK84:NK93)</f>
        <v>35</v>
      </c>
      <c r="NL97" s="343">
        <f t="shared" si="1115"/>
        <v>851</v>
      </c>
      <c r="NM97" s="343">
        <f t="shared" si="1115"/>
        <v>282504</v>
      </c>
      <c r="NN97" s="343">
        <f t="shared" si="1115"/>
        <v>209353</v>
      </c>
      <c r="NO97" s="343">
        <f t="shared" si="1115"/>
        <v>91057363</v>
      </c>
      <c r="NP97" s="343">
        <f t="shared" si="1115"/>
        <v>80031924</v>
      </c>
      <c r="NQ97" s="343">
        <f t="shared" ref="NQ97:NQ105" si="1116">NO97-NP97</f>
        <v>11025439</v>
      </c>
      <c r="NR97" s="346">
        <f t="shared" ref="NR97:NR105" si="1117">NQ97/NO97</f>
        <v>0.121082344543626</v>
      </c>
      <c r="NS97" s="343">
        <f t="shared" ref="NS97:NS105" si="1118">NO97/NN97</f>
        <v>434.946540054358</v>
      </c>
      <c r="NT97" s="53"/>
      <c r="NU97" s="53"/>
      <c r="NV97" s="53"/>
      <c r="NW97" s="53"/>
      <c r="NX97" s="53"/>
      <c r="NY97" s="53"/>
      <c r="NZ97" s="53"/>
      <c r="OA97" s="53"/>
      <c r="OB97" s="53"/>
      <c r="OC97" s="53"/>
      <c r="OD97" s="53"/>
      <c r="OE97" s="53"/>
      <c r="OF97" s="53"/>
      <c r="OG97" s="53"/>
      <c r="OH97" s="53"/>
      <c r="OI97" s="53"/>
      <c r="OJ97" s="53"/>
      <c r="OK97" s="53"/>
      <c r="OL97" s="53"/>
      <c r="OM97" s="53"/>
      <c r="ON97" s="53"/>
      <c r="OO97" s="53"/>
      <c r="OP97" s="53"/>
      <c r="OQ97" s="53"/>
      <c r="OR97" s="53"/>
      <c r="OS97" s="243" t="s">
        <v>153</v>
      </c>
      <c r="OT97" s="242">
        <f t="shared" ref="OT97:OY97" si="1119">SUM(OT84:OT93)</f>
        <v>31</v>
      </c>
      <c r="OU97" s="242">
        <f t="shared" si="1119"/>
        <v>1029</v>
      </c>
      <c r="OV97" s="243">
        <f t="shared" si="1119"/>
        <v>304840</v>
      </c>
      <c r="OW97" s="243">
        <f t="shared" si="1119"/>
        <v>214453</v>
      </c>
      <c r="OX97" s="243">
        <f t="shared" si="1119"/>
        <v>82327005.27</v>
      </c>
      <c r="OY97" s="243">
        <f t="shared" si="1119"/>
        <v>72141296</v>
      </c>
      <c r="OZ97" s="244">
        <f t="shared" ref="OZ97:OZ105" si="1120">OX97-OY97</f>
        <v>10185709.27</v>
      </c>
      <c r="PA97" s="247">
        <f t="shared" ref="PA97:PA105" si="1121">OZ97/OX97</f>
        <v>0.123722577258761</v>
      </c>
      <c r="PB97" s="243">
        <f t="shared" ref="PB97:PB105" si="1122">OX97/OW97</f>
        <v>383.892998792276</v>
      </c>
      <c r="PC97" s="144"/>
      <c r="PD97" s="144"/>
      <c r="PE97" s="144"/>
      <c r="PF97" s="144"/>
      <c r="PG97" s="144"/>
      <c r="PH97" s="144"/>
      <c r="PI97" s="144"/>
      <c r="PJ97" s="144"/>
      <c r="PK97" s="144"/>
      <c r="PL97" s="144"/>
      <c r="PM97" s="144"/>
      <c r="PN97" s="144"/>
      <c r="PO97" s="144"/>
      <c r="PP97" s="144"/>
      <c r="PQ97" s="144"/>
      <c r="PR97" s="144"/>
      <c r="PS97" s="146"/>
      <c r="PT97" s="146"/>
      <c r="PU97" s="243" t="s">
        <v>153</v>
      </c>
      <c r="PV97" s="242">
        <f t="shared" ref="PV97:QA97" si="1123">SUM(PV84:PV93)</f>
        <v>30</v>
      </c>
      <c r="PW97" s="242">
        <f t="shared" si="1123"/>
        <v>1223</v>
      </c>
      <c r="PX97" s="243">
        <f t="shared" si="1123"/>
        <v>245522</v>
      </c>
      <c r="PY97" s="243">
        <f t="shared" si="1123"/>
        <v>168603</v>
      </c>
      <c r="PZ97" s="243">
        <f t="shared" si="1123"/>
        <v>72891838.14</v>
      </c>
      <c r="QA97" s="243">
        <f t="shared" si="1123"/>
        <v>69011085</v>
      </c>
      <c r="QB97" s="244">
        <f t="shared" ref="QB97:QB105" si="1124">PZ97-QA97</f>
        <v>3880753.14</v>
      </c>
      <c r="QC97" s="247">
        <f t="shared" ref="QC97:QC105" si="1125">QB97/PZ97</f>
        <v>0.0532398858229699</v>
      </c>
      <c r="QD97" s="243">
        <f t="shared" ref="QD97:QD105" si="1126">PZ97/PY97</f>
        <v>432.328239355172</v>
      </c>
      <c r="QE97" s="146"/>
      <c r="QF97" s="146"/>
      <c r="QG97" s="146"/>
      <c r="QH97" s="146"/>
      <c r="QI97" s="146"/>
      <c r="QJ97" s="146"/>
      <c r="QK97" s="146"/>
      <c r="QL97" s="146"/>
      <c r="QM97" s="146"/>
      <c r="QN97" s="146"/>
      <c r="QO97" s="146"/>
      <c r="QP97" s="146"/>
      <c r="QQ97" s="146"/>
      <c r="QR97" s="144"/>
      <c r="QS97" s="144"/>
      <c r="QT97" s="144"/>
      <c r="QU97" s="144"/>
      <c r="QV97" s="144"/>
      <c r="QW97" s="144"/>
      <c r="QX97" s="144"/>
      <c r="QY97" s="144"/>
      <c r="QZ97" s="144"/>
      <c r="RA97" s="144"/>
      <c r="RB97" s="144"/>
      <c r="RC97" s="144"/>
      <c r="RD97" s="144"/>
      <c r="RE97" s="144"/>
      <c r="RF97" s="144"/>
      <c r="RG97" s="144"/>
      <c r="RH97" s="144"/>
      <c r="RI97" s="144"/>
      <c r="RJ97" s="144"/>
      <c r="RK97" s="144"/>
      <c r="RL97" s="144"/>
      <c r="RM97" s="144"/>
      <c r="RN97" s="144"/>
      <c r="RO97" s="144"/>
      <c r="RP97" s="144"/>
      <c r="RQ97" s="144"/>
      <c r="RR97" s="144"/>
      <c r="RS97" s="144"/>
      <c r="RT97" s="144"/>
      <c r="RU97" s="144"/>
      <c r="RV97" s="144"/>
      <c r="RW97" s="144"/>
      <c r="RX97" s="144"/>
      <c r="RY97" s="144"/>
      <c r="RZ97" s="144"/>
      <c r="SA97" s="144"/>
      <c r="SB97" s="144"/>
      <c r="SC97" s="144"/>
      <c r="SD97" s="144"/>
      <c r="SE97" s="144"/>
      <c r="SF97" s="144"/>
      <c r="SG97" s="144"/>
      <c r="SH97" s="144"/>
      <c r="SI97" s="144"/>
      <c r="SJ97" s="144"/>
      <c r="SK97" s="144"/>
      <c r="SL97" s="84"/>
      <c r="SM97" s="84"/>
      <c r="SN97" s="154"/>
      <c r="SO97" s="154"/>
      <c r="SP97" s="154"/>
      <c r="SQ97" s="154"/>
      <c r="SR97" s="154"/>
      <c r="SS97" s="154"/>
      <c r="ST97" s="155"/>
      <c r="SU97" s="154"/>
      <c r="SV97" s="154"/>
      <c r="SW97" s="155"/>
      <c r="SX97" s="155"/>
      <c r="SY97" s="155"/>
      <c r="SZ97" s="155"/>
      <c r="TA97" s="155"/>
      <c r="TB97" s="155"/>
      <c r="TC97" s="155"/>
      <c r="TD97" s="156"/>
      <c r="TE97" s="144"/>
      <c r="TF97" s="84"/>
      <c r="TG97" s="144"/>
      <c r="TH97" s="144"/>
      <c r="TI97" s="144"/>
      <c r="TJ97" s="144"/>
      <c r="TK97" s="157"/>
      <c r="TL97" s="157"/>
      <c r="TM97" s="157"/>
      <c r="TN97" s="157"/>
      <c r="TO97" s="157"/>
      <c r="TP97" s="157"/>
      <c r="TQ97" s="157"/>
      <c r="TR97" s="157"/>
      <c r="TS97" s="157"/>
      <c r="TT97" s="158"/>
      <c r="TU97" s="157"/>
      <c r="TV97" s="158"/>
      <c r="TW97" s="144"/>
      <c r="TX97" s="144"/>
      <c r="TY97" s="144"/>
      <c r="TZ97" s="84"/>
      <c r="UA97" s="144"/>
      <c r="UB97" s="144"/>
      <c r="UC97" s="144"/>
      <c r="UD97" s="144"/>
      <c r="UE97" s="157"/>
      <c r="UF97" s="157"/>
      <c r="UG97" s="157"/>
      <c r="UH97" s="157"/>
      <c r="UI97" s="157"/>
      <c r="UJ97" s="157"/>
      <c r="UK97" s="157"/>
      <c r="UL97" s="157"/>
      <c r="UM97" s="157"/>
      <c r="UN97" s="157"/>
      <c r="UO97" s="157"/>
      <c r="UP97" s="158"/>
      <c r="UQ97" s="157"/>
      <c r="UR97" s="158"/>
      <c r="US97" s="144"/>
      <c r="UT97" s="144"/>
      <c r="UU97" s="144"/>
      <c r="UV97" s="144"/>
      <c r="UW97" s="144"/>
      <c r="UX97" s="144"/>
      <c r="UY97" s="144"/>
      <c r="UZ97" s="144"/>
      <c r="VA97" s="157"/>
      <c r="VB97" s="157"/>
      <c r="VC97" s="157"/>
      <c r="VD97" s="157"/>
      <c r="VE97" s="157"/>
      <c r="VF97" s="157"/>
      <c r="VG97" s="157"/>
      <c r="VH97" s="157"/>
      <c r="VI97" s="157"/>
      <c r="VJ97" s="157"/>
      <c r="VK97" s="157"/>
      <c r="VL97" s="157"/>
      <c r="VM97" s="157"/>
      <c r="VN97" s="157"/>
      <c r="VO97" s="144"/>
      <c r="VP97" s="144"/>
      <c r="VQ97" s="84"/>
      <c r="VR97" s="84"/>
      <c r="VS97" s="144"/>
      <c r="VT97" s="53"/>
      <c r="VU97" s="53"/>
    </row>
    <row r="98" ht="15.75" spans="1:1024 1025:16384">
      <c r="A98" s="53"/>
      <c r="B98" s="53"/>
      <c r="C98" s="293"/>
      <c r="D98" s="293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93"/>
      <c r="AB98" s="293"/>
      <c r="AC98" s="293"/>
      <c r="AD98" s="293"/>
      <c r="AE98" s="293"/>
      <c r="AF98" s="293"/>
      <c r="AG98" s="293"/>
      <c r="AH98" s="293"/>
      <c r="AI98" s="293"/>
      <c r="AJ98" s="293"/>
      <c r="AK98" s="293"/>
      <c r="AL98" s="293"/>
      <c r="AM98" s="293"/>
      <c r="AN98" s="293"/>
      <c r="AO98" s="293"/>
      <c r="AP98" s="293"/>
      <c r="AQ98" s="293"/>
      <c r="AR98" s="293"/>
      <c r="AS98" s="293"/>
      <c r="AT98" s="293"/>
      <c r="AU98" s="293"/>
      <c r="AV98" s="293"/>
      <c r="AW98" s="293"/>
      <c r="AX98" s="293"/>
      <c r="AY98" s="293"/>
      <c r="AZ98" s="293"/>
      <c r="BA98" s="293"/>
      <c r="BB98" s="293"/>
      <c r="BC98" s="293"/>
      <c r="BD98" s="293"/>
      <c r="BE98" s="293"/>
      <c r="BF98" s="293"/>
      <c r="BG98" s="293"/>
      <c r="BH98" s="293"/>
      <c r="BI98" s="293"/>
      <c r="BJ98" s="293"/>
      <c r="BK98" s="293"/>
      <c r="BL98" s="293"/>
      <c r="BM98" s="293"/>
      <c r="BN98" s="293"/>
      <c r="BO98" s="293"/>
      <c r="BP98" s="293"/>
      <c r="BQ98" s="293"/>
      <c r="BR98" s="293"/>
      <c r="BS98" s="293"/>
      <c r="BT98" s="293"/>
      <c r="BU98" s="293"/>
      <c r="BV98" s="293"/>
      <c r="BW98" s="293"/>
      <c r="BX98" s="293"/>
      <c r="BY98" s="293"/>
      <c r="BZ98" s="293"/>
      <c r="CA98" s="293"/>
      <c r="CB98" s="293"/>
      <c r="CC98" s="293"/>
      <c r="CD98" s="293"/>
      <c r="CE98" s="293"/>
      <c r="CF98" s="293"/>
      <c r="CG98" s="293"/>
      <c r="CH98" s="293"/>
      <c r="CI98" s="293"/>
      <c r="CJ98" s="293"/>
      <c r="CK98" s="293"/>
      <c r="CL98" s="293"/>
      <c r="CM98" s="293"/>
      <c r="CN98" s="293"/>
      <c r="CO98" s="293"/>
      <c r="CP98" s="293"/>
      <c r="CQ98" s="293"/>
      <c r="CR98" s="293"/>
      <c r="CS98" s="293"/>
      <c r="CT98" s="293"/>
      <c r="CU98" s="293"/>
      <c r="CV98" s="293"/>
      <c r="CW98" s="293"/>
      <c r="CX98" s="293"/>
      <c r="CY98" s="293"/>
      <c r="CZ98" s="293"/>
      <c r="DA98" s="293"/>
      <c r="DB98" s="293"/>
      <c r="DC98" s="293"/>
      <c r="DD98" s="293"/>
      <c r="DE98" s="293"/>
      <c r="DF98" s="293"/>
      <c r="DG98" s="293"/>
      <c r="DH98" s="293"/>
      <c r="DI98" s="293"/>
      <c r="DJ98" s="293"/>
      <c r="DK98" s="293"/>
      <c r="DL98" s="293"/>
      <c r="DM98" s="293"/>
      <c r="DN98" s="293"/>
      <c r="DO98" s="293"/>
      <c r="DP98" s="293"/>
      <c r="DQ98" s="293"/>
      <c r="DR98" s="293"/>
      <c r="DS98" s="293"/>
      <c r="DT98" s="293"/>
      <c r="DU98" s="293"/>
      <c r="DV98" s="293"/>
      <c r="DW98" s="293"/>
      <c r="DX98" s="293"/>
      <c r="DY98" s="293"/>
      <c r="DZ98" s="293"/>
      <c r="EA98" s="293"/>
      <c r="EB98" s="293"/>
      <c r="EC98" s="293"/>
      <c r="ED98" s="293"/>
      <c r="EE98" s="293"/>
      <c r="EF98" s="293"/>
      <c r="EG98" s="293"/>
      <c r="EH98" s="293"/>
      <c r="EI98" s="293"/>
      <c r="EJ98" s="293"/>
      <c r="EK98" s="293"/>
      <c r="EL98" s="293"/>
      <c r="EM98" s="293"/>
      <c r="EN98" s="293"/>
      <c r="EO98" s="293"/>
      <c r="EP98" s="293"/>
      <c r="EQ98" s="293"/>
      <c r="ER98" s="293"/>
      <c r="ES98" s="293"/>
      <c r="ET98" s="293"/>
      <c r="EU98" s="293"/>
      <c r="EV98" s="293"/>
      <c r="EW98" s="293"/>
      <c r="EX98" s="293"/>
      <c r="EY98" s="293"/>
      <c r="EZ98" s="293"/>
      <c r="FA98" s="293"/>
      <c r="FB98" s="293"/>
      <c r="FC98" s="293"/>
      <c r="FD98" s="293"/>
      <c r="FE98" s="293"/>
      <c r="FF98" s="293"/>
      <c r="FG98" s="293"/>
      <c r="FH98" s="293"/>
      <c r="FI98" s="293"/>
      <c r="FJ98" s="293"/>
      <c r="FK98" s="293"/>
      <c r="FL98" s="293"/>
      <c r="FM98" s="293"/>
      <c r="FN98" s="293"/>
      <c r="FO98" s="293"/>
      <c r="FP98" s="293"/>
      <c r="FQ98" s="293"/>
      <c r="FR98" s="293"/>
      <c r="FS98" s="293"/>
      <c r="FT98" s="293"/>
      <c r="FU98" s="293"/>
      <c r="FV98" s="293"/>
      <c r="FW98" s="293"/>
      <c r="FX98" s="293"/>
      <c r="FY98" s="293"/>
      <c r="FZ98" s="293"/>
      <c r="GA98" s="293"/>
      <c r="GB98" s="293"/>
      <c r="GC98" s="293"/>
      <c r="GD98" s="293"/>
      <c r="GE98" s="293"/>
      <c r="GF98" s="293"/>
      <c r="GG98" s="293"/>
      <c r="GH98" s="293"/>
      <c r="GI98" s="293"/>
      <c r="GJ98" s="293"/>
      <c r="GK98" s="293"/>
      <c r="GL98" s="293"/>
      <c r="GM98" s="293"/>
      <c r="GN98" s="293"/>
      <c r="GO98" s="293"/>
      <c r="GP98" s="293"/>
      <c r="GQ98" s="293"/>
      <c r="GR98" s="293"/>
      <c r="GS98" s="293"/>
      <c r="GT98" s="293"/>
      <c r="GU98" s="293"/>
      <c r="GV98" s="293"/>
      <c r="GW98" s="293"/>
      <c r="GX98" s="293"/>
      <c r="GY98" s="293"/>
      <c r="GZ98" s="293"/>
      <c r="HA98" s="293"/>
      <c r="HB98" s="293"/>
      <c r="HC98" s="293"/>
      <c r="HD98" s="293"/>
      <c r="HE98" s="293"/>
      <c r="HF98" s="293"/>
      <c r="HG98" s="293"/>
      <c r="HH98" s="293"/>
      <c r="HI98" s="293"/>
      <c r="HJ98" s="293"/>
      <c r="HK98" s="293"/>
      <c r="HL98" s="293"/>
      <c r="HM98" s="293"/>
      <c r="HN98" s="293"/>
      <c r="HO98" s="293"/>
      <c r="HP98" s="293"/>
      <c r="HQ98" s="293"/>
      <c r="HR98" s="293"/>
      <c r="HS98" s="293"/>
      <c r="HT98" s="293"/>
      <c r="HU98" s="293"/>
      <c r="HV98" s="293"/>
      <c r="HW98" s="293"/>
      <c r="HX98" s="293"/>
      <c r="HY98" s="293"/>
      <c r="HZ98" s="293"/>
      <c r="IA98" s="293"/>
      <c r="IB98" s="293"/>
      <c r="IC98" s="293"/>
      <c r="ID98" s="293"/>
      <c r="IE98" s="293"/>
      <c r="IF98" s="293"/>
      <c r="IG98" s="293"/>
      <c r="IH98" s="293"/>
      <c r="II98" s="293"/>
      <c r="IJ98" s="293"/>
      <c r="IK98" s="293"/>
      <c r="IL98" s="293"/>
      <c r="IM98" s="293"/>
      <c r="IN98" s="293"/>
      <c r="IO98" s="293"/>
      <c r="IP98" s="293"/>
      <c r="IQ98" s="293"/>
      <c r="IR98" s="293"/>
      <c r="IS98" s="293"/>
      <c r="IT98" s="293"/>
      <c r="IU98" s="293"/>
      <c r="IV98" s="293"/>
      <c r="IW98" s="293"/>
      <c r="IX98" s="293"/>
      <c r="IY98" s="293"/>
      <c r="IZ98" s="293"/>
      <c r="JA98" s="293"/>
      <c r="JB98" s="293"/>
      <c r="JC98" s="293"/>
      <c r="JD98" s="293"/>
      <c r="JE98" s="293"/>
      <c r="JF98" s="293"/>
      <c r="JG98" s="293"/>
      <c r="JH98" s="293"/>
      <c r="JI98" s="293"/>
      <c r="JJ98" s="293"/>
      <c r="JK98" s="293"/>
      <c r="JL98" s="293"/>
      <c r="JM98" s="293"/>
      <c r="JN98" s="293"/>
      <c r="JO98" s="293"/>
      <c r="JP98" s="293"/>
      <c r="JQ98" s="293"/>
      <c r="JR98" s="293"/>
      <c r="JS98" s="293"/>
      <c r="JT98" s="293"/>
      <c r="JU98" s="293"/>
      <c r="JV98" s="293"/>
      <c r="JW98" s="293"/>
      <c r="JX98" s="293"/>
      <c r="JY98" s="293"/>
      <c r="JZ98" s="293"/>
      <c r="KA98" s="293"/>
      <c r="KB98" s="293"/>
      <c r="KC98" s="293"/>
      <c r="KD98" s="293"/>
      <c r="KE98" s="293"/>
      <c r="KF98" s="293"/>
      <c r="KG98" s="293"/>
      <c r="KH98" s="293"/>
      <c r="KI98" s="293"/>
      <c r="KJ98" s="293"/>
      <c r="KK98" s="293"/>
      <c r="KL98" s="293"/>
      <c r="KM98" s="293"/>
      <c r="KN98" s="293"/>
      <c r="KO98" s="293"/>
      <c r="KP98" s="293"/>
      <c r="KQ98" s="293"/>
      <c r="KR98" s="293"/>
      <c r="KS98" s="293"/>
      <c r="KT98" s="293"/>
      <c r="KU98" s="293"/>
      <c r="KV98" s="293"/>
      <c r="KW98" s="293"/>
      <c r="KX98" s="293"/>
      <c r="KY98" s="293"/>
      <c r="KZ98" s="293"/>
      <c r="LA98" s="293"/>
      <c r="LB98" s="293"/>
      <c r="LC98" s="293"/>
      <c r="LD98" s="293"/>
      <c r="LE98" s="293"/>
      <c r="LF98" s="293"/>
      <c r="LG98" s="293"/>
      <c r="LH98" s="293"/>
      <c r="LI98" s="293"/>
      <c r="LJ98" s="293"/>
      <c r="LK98" s="293"/>
      <c r="LL98" s="293"/>
      <c r="LM98" s="293"/>
      <c r="LN98" s="293"/>
      <c r="LO98" s="293"/>
      <c r="LP98" s="293"/>
      <c r="LQ98" s="293"/>
      <c r="LR98" s="293"/>
      <c r="LS98" s="293"/>
      <c r="LT98" s="293"/>
      <c r="LU98" s="293"/>
      <c r="LV98" s="293"/>
      <c r="LW98" s="293"/>
      <c r="LX98" s="293"/>
      <c r="LY98" s="293"/>
      <c r="LZ98" s="293"/>
      <c r="MA98" s="293"/>
      <c r="MB98" s="293"/>
      <c r="MC98" s="293"/>
      <c r="MD98" s="293"/>
      <c r="ME98" s="293"/>
      <c r="MF98" s="293"/>
      <c r="MG98" s="293"/>
      <c r="MH98" s="293"/>
      <c r="MI98" s="293"/>
      <c r="MJ98" s="293"/>
      <c r="MK98" s="293"/>
      <c r="ML98" s="293"/>
      <c r="MM98" s="293"/>
      <c r="MN98" s="293"/>
      <c r="MO98" s="293"/>
      <c r="MP98" s="293"/>
      <c r="MQ98" s="293"/>
      <c r="MR98" s="293"/>
      <c r="MS98" s="293"/>
      <c r="MT98" s="293"/>
      <c r="MU98" s="293"/>
      <c r="MV98" s="293"/>
      <c r="MW98" s="293"/>
      <c r="MX98" s="293"/>
      <c r="MY98" s="293"/>
      <c r="MZ98" s="293"/>
      <c r="NA98" s="293"/>
      <c r="NB98" s="293"/>
      <c r="NC98" s="293"/>
      <c r="ND98" s="293"/>
      <c r="NE98" s="293"/>
      <c r="NF98" s="293"/>
      <c r="NG98" s="293"/>
      <c r="NH98" s="293"/>
      <c r="NI98" s="293"/>
      <c r="NJ98" s="293"/>
      <c r="NK98" s="293"/>
      <c r="NL98" s="293"/>
      <c r="NM98" s="293"/>
      <c r="NN98" s="293"/>
      <c r="NO98" s="293"/>
      <c r="NP98" s="293"/>
      <c r="NQ98" s="293"/>
      <c r="NR98" s="293"/>
      <c r="NS98" s="293"/>
      <c r="NT98" s="293"/>
      <c r="NU98" s="293"/>
      <c r="NV98" s="293"/>
      <c r="NW98" s="293"/>
      <c r="NX98" s="293"/>
      <c r="NY98" s="293"/>
      <c r="NZ98" s="293"/>
      <c r="OA98" s="293"/>
      <c r="OB98" s="293"/>
      <c r="OC98" s="293"/>
      <c r="OD98" s="293"/>
      <c r="OE98" s="293"/>
      <c r="OF98" s="293"/>
      <c r="OG98" s="293"/>
      <c r="OH98" s="293"/>
      <c r="OI98" s="293"/>
      <c r="OJ98" s="293"/>
      <c r="OK98" s="293"/>
      <c r="OL98" s="293"/>
      <c r="OM98" s="293"/>
      <c r="ON98" s="293"/>
      <c r="OO98" s="293"/>
      <c r="OP98" s="293"/>
      <c r="OQ98" s="293"/>
      <c r="OR98" s="293"/>
      <c r="OS98" s="144"/>
      <c r="OT98" s="144"/>
      <c r="OU98" s="144"/>
      <c r="OV98" s="144"/>
      <c r="OW98" s="144"/>
      <c r="OX98" s="144"/>
      <c r="OY98" s="144"/>
      <c r="OZ98" s="144"/>
      <c r="PA98" s="144"/>
      <c r="PB98" s="144"/>
      <c r="PC98" s="144"/>
      <c r="PD98" s="144"/>
      <c r="PE98" s="144"/>
      <c r="PF98" s="144"/>
      <c r="PG98" s="144"/>
      <c r="PH98" s="144"/>
      <c r="PI98" s="144"/>
      <c r="PJ98" s="144"/>
      <c r="PK98" s="144"/>
      <c r="PL98" s="144"/>
      <c r="PM98" s="144"/>
      <c r="PN98" s="144"/>
      <c r="PO98" s="144"/>
      <c r="PP98" s="144"/>
      <c r="PQ98" s="144"/>
      <c r="PR98" s="144"/>
      <c r="PS98" s="144"/>
      <c r="PT98" s="144"/>
      <c r="PU98" s="144"/>
      <c r="PV98" s="144"/>
      <c r="PW98" s="144"/>
      <c r="PX98" s="144"/>
      <c r="PY98" s="144"/>
      <c r="PZ98" s="144"/>
      <c r="QA98" s="144"/>
      <c r="QB98" s="144"/>
      <c r="QC98" s="144"/>
      <c r="QD98" s="144"/>
      <c r="QE98" s="144"/>
      <c r="QF98" s="144"/>
      <c r="QG98" s="144"/>
      <c r="QH98" s="144"/>
      <c r="QI98" s="144"/>
      <c r="QJ98" s="144"/>
      <c r="QK98" s="144"/>
      <c r="QL98" s="144"/>
      <c r="QM98" s="144"/>
      <c r="QN98" s="144"/>
      <c r="QO98" s="144"/>
      <c r="QP98" s="144"/>
      <c r="QQ98" s="144"/>
      <c r="QR98" s="144"/>
      <c r="QS98" s="144"/>
      <c r="QT98" s="144"/>
      <c r="QU98" s="144"/>
      <c r="QV98" s="144"/>
      <c r="QW98" s="144"/>
      <c r="QX98" s="144"/>
      <c r="QY98" s="144"/>
      <c r="QZ98" s="144"/>
      <c r="RA98" s="144"/>
      <c r="RB98" s="144"/>
      <c r="RC98" s="144"/>
      <c r="RD98" s="144"/>
      <c r="RE98" s="144"/>
      <c r="RF98" s="144"/>
      <c r="RG98" s="144"/>
      <c r="RH98" s="144"/>
      <c r="RI98" s="144"/>
      <c r="RJ98" s="144"/>
      <c r="RK98" s="144"/>
      <c r="RL98" s="144"/>
      <c r="RM98" s="144"/>
      <c r="RN98" s="144"/>
      <c r="RO98" s="144"/>
      <c r="RP98" s="144"/>
      <c r="RQ98" s="144"/>
      <c r="RR98" s="144"/>
      <c r="RS98" s="144"/>
      <c r="RT98" s="144"/>
      <c r="RU98" s="144"/>
      <c r="RV98" s="144"/>
      <c r="RW98" s="144"/>
      <c r="RX98" s="144"/>
      <c r="RY98" s="144"/>
      <c r="RZ98" s="144"/>
      <c r="SA98" s="144"/>
      <c r="SB98" s="144"/>
      <c r="SC98" s="144"/>
      <c r="SD98" s="144"/>
      <c r="SE98" s="144"/>
      <c r="SF98" s="144"/>
      <c r="SG98" s="144"/>
      <c r="SH98" s="144"/>
      <c r="SI98" s="144"/>
      <c r="SJ98" s="144"/>
      <c r="SK98" s="144"/>
      <c r="SL98" s="144"/>
      <c r="SM98" s="144"/>
      <c r="SN98" s="144"/>
      <c r="SO98" s="144"/>
      <c r="SP98" s="144"/>
      <c r="SQ98" s="144"/>
      <c r="SR98" s="144"/>
      <c r="SS98" s="144"/>
      <c r="ST98" s="144"/>
      <c r="SU98" s="144"/>
      <c r="SV98" s="144"/>
      <c r="SW98" s="144"/>
      <c r="SX98" s="144"/>
      <c r="SY98" s="144"/>
      <c r="SZ98" s="144"/>
      <c r="TA98" s="144"/>
      <c r="TB98" s="144"/>
      <c r="TC98" s="144"/>
      <c r="TD98" s="144"/>
      <c r="TE98" s="144"/>
      <c r="TF98" s="144"/>
      <c r="TG98" s="144"/>
      <c r="TH98" s="144"/>
      <c r="TI98" s="144"/>
      <c r="TJ98" s="144"/>
      <c r="TK98" s="144"/>
      <c r="TL98" s="144"/>
      <c r="TM98" s="144"/>
      <c r="TN98" s="144"/>
      <c r="TO98" s="144"/>
      <c r="TP98" s="144"/>
      <c r="TQ98" s="144"/>
      <c r="TR98" s="144"/>
      <c r="TS98" s="144"/>
      <c r="TT98" s="144"/>
      <c r="TU98" s="144"/>
      <c r="TV98" s="144"/>
      <c r="TW98" s="144"/>
      <c r="TX98" s="144"/>
      <c r="TY98" s="144"/>
      <c r="TZ98" s="144"/>
      <c r="UA98" s="144"/>
      <c r="UB98" s="144"/>
      <c r="UC98" s="144"/>
      <c r="UD98" s="144"/>
      <c r="UE98" s="144"/>
      <c r="UF98" s="144"/>
      <c r="UG98" s="144"/>
      <c r="UH98" s="144"/>
      <c r="UI98" s="144"/>
      <c r="UJ98" s="144"/>
      <c r="UK98" s="144"/>
      <c r="UL98" s="144"/>
      <c r="UM98" s="144"/>
      <c r="UN98" s="144"/>
      <c r="UO98" s="144"/>
      <c r="UP98" s="144"/>
      <c r="UQ98" s="144"/>
      <c r="UR98" s="144"/>
      <c r="US98" s="144"/>
      <c r="UT98" s="144"/>
      <c r="UU98" s="144"/>
      <c r="UV98" s="144"/>
      <c r="UW98" s="144"/>
      <c r="UX98" s="144"/>
      <c r="UY98" s="144"/>
      <c r="UZ98" s="144"/>
      <c r="VA98" s="144"/>
      <c r="VB98" s="144"/>
      <c r="VC98" s="144"/>
      <c r="VD98" s="144"/>
      <c r="VE98" s="144"/>
      <c r="VF98" s="144"/>
      <c r="VG98" s="144"/>
      <c r="VH98" s="144"/>
      <c r="VI98" s="144"/>
      <c r="VJ98" s="144"/>
      <c r="VK98" s="144"/>
      <c r="VL98" s="144"/>
      <c r="VM98" s="144"/>
      <c r="VN98" s="144"/>
      <c r="VO98" s="144"/>
      <c r="VP98" s="144"/>
      <c r="VQ98" s="144"/>
      <c r="VR98" s="144"/>
      <c r="VS98" s="144"/>
      <c r="VT98" s="293"/>
      <c r="VU98" s="293"/>
      <c r="VV98" s="293"/>
      <c r="VW98" s="293"/>
      <c r="VX98" s="293"/>
      <c r="VY98" s="293"/>
      <c r="VZ98" s="293"/>
      <c r="WA98" s="293"/>
      <c r="WB98" s="293"/>
      <c r="WC98" s="293"/>
      <c r="WD98" s="293"/>
      <c r="WE98" s="293"/>
      <c r="WF98" s="293"/>
      <c r="WG98" s="293"/>
      <c r="WH98" s="293"/>
      <c r="WI98" s="293"/>
      <c r="WJ98" s="293"/>
      <c r="WK98" s="293"/>
      <c r="WL98" s="293"/>
      <c r="WM98" s="293"/>
      <c r="WN98" s="293"/>
      <c r="WO98" s="293"/>
      <c r="WP98" s="293"/>
      <c r="WQ98" s="293"/>
      <c r="WR98" s="293"/>
      <c r="WS98" s="293"/>
      <c r="WT98" s="293"/>
      <c r="WU98" s="293"/>
      <c r="WV98" s="293"/>
      <c r="WW98" s="293"/>
      <c r="WX98" s="293"/>
      <c r="WY98" s="293"/>
      <c r="WZ98" s="293"/>
      <c r="XA98" s="293"/>
      <c r="XB98" s="293"/>
      <c r="XC98" s="293"/>
      <c r="XD98" s="293"/>
      <c r="XE98" s="293"/>
      <c r="XF98" s="293"/>
      <c r="XG98" s="293"/>
      <c r="XH98" s="293"/>
      <c r="XI98" s="293"/>
      <c r="XJ98" s="293"/>
      <c r="XK98" s="293"/>
      <c r="XL98" s="293"/>
      <c r="XM98" s="293"/>
      <c r="XN98" s="293"/>
      <c r="XO98" s="293"/>
      <c r="XP98" s="293"/>
      <c r="XQ98" s="293"/>
      <c r="XR98" s="293"/>
      <c r="XS98" s="293"/>
      <c r="XT98" s="293"/>
      <c r="XU98" s="293"/>
      <c r="XV98" s="293"/>
      <c r="XW98" s="293"/>
      <c r="XX98" s="293"/>
      <c r="XY98" s="293"/>
      <c r="XZ98" s="293"/>
      <c r="YA98" s="293"/>
      <c r="YB98" s="293"/>
      <c r="YC98" s="293"/>
      <c r="YD98" s="293"/>
      <c r="YE98" s="293"/>
      <c r="YF98" s="293"/>
      <c r="YG98" s="293"/>
      <c r="YH98" s="293"/>
      <c r="YI98" s="293"/>
      <c r="YJ98" s="293"/>
      <c r="YK98" s="293"/>
      <c r="YL98" s="293"/>
      <c r="YM98" s="293"/>
      <c r="YN98" s="293"/>
      <c r="YO98" s="293"/>
      <c r="YP98" s="293"/>
      <c r="YQ98" s="293"/>
      <c r="YR98" s="293"/>
      <c r="YS98" s="293"/>
      <c r="YT98" s="293"/>
      <c r="YU98" s="293"/>
      <c r="YV98" s="293"/>
      <c r="YW98" s="293"/>
      <c r="YX98" s="293"/>
      <c r="YY98" s="293"/>
      <c r="YZ98" s="293"/>
      <c r="ZA98" s="293"/>
      <c r="ZB98" s="293"/>
      <c r="ZC98" s="293"/>
      <c r="ZD98" s="293"/>
      <c r="ZE98" s="293"/>
      <c r="ZF98" s="293"/>
      <c r="ZG98" s="293"/>
      <c r="ZH98" s="293"/>
      <c r="ZI98" s="293"/>
      <c r="ZJ98" s="293"/>
      <c r="ZK98" s="293"/>
      <c r="ZL98" s="293"/>
      <c r="ZM98" s="293"/>
      <c r="ZN98" s="293"/>
      <c r="ZO98" s="293"/>
      <c r="ZP98" s="293"/>
      <c r="ZQ98" s="293"/>
      <c r="ZR98" s="293"/>
      <c r="ZS98" s="293"/>
      <c r="ZT98" s="293"/>
      <c r="ZU98" s="293"/>
      <c r="ZV98" s="293"/>
      <c r="ZW98" s="293"/>
      <c r="ZX98" s="293"/>
      <c r="ZY98" s="293"/>
      <c r="ZZ98" s="293"/>
      <c r="AAA98" s="293"/>
      <c r="AAB98" s="293"/>
      <c r="AAC98" s="293"/>
      <c r="AAD98" s="293"/>
      <c r="AAE98" s="293"/>
      <c r="AAF98" s="293"/>
      <c r="AAG98" s="293"/>
      <c r="AAH98" s="293"/>
      <c r="AAI98" s="293"/>
      <c r="AAJ98" s="293"/>
      <c r="AAK98" s="293"/>
      <c r="AAL98" s="293"/>
      <c r="AAM98" s="293"/>
      <c r="AAN98" s="293"/>
      <c r="AAO98" s="293"/>
      <c r="AAP98" s="293"/>
      <c r="AAQ98" s="293"/>
      <c r="AAR98" s="293"/>
      <c r="AAS98" s="293"/>
      <c r="AAT98" s="293"/>
      <c r="AAU98" s="293"/>
      <c r="AAV98" s="293"/>
      <c r="AAW98" s="293"/>
      <c r="AAX98" s="293"/>
      <c r="AAY98" s="293"/>
      <c r="AAZ98" s="293"/>
      <c r="ABA98" s="293"/>
      <c r="ABB98" s="293"/>
      <c r="ABC98" s="293"/>
      <c r="ABD98" s="293"/>
      <c r="ABE98" s="293"/>
      <c r="ABF98" s="293"/>
      <c r="ABG98" s="293"/>
      <c r="ABH98" s="293"/>
      <c r="ABI98" s="293"/>
      <c r="ABJ98" s="293"/>
      <c r="ABK98" s="293"/>
      <c r="ABL98" s="293"/>
      <c r="ABM98" s="293"/>
      <c r="ABN98" s="293"/>
      <c r="ABO98" s="293"/>
      <c r="ABP98" s="293"/>
      <c r="ABQ98" s="293"/>
      <c r="ABR98" s="293"/>
      <c r="ABS98" s="293"/>
      <c r="ABT98" s="293"/>
      <c r="ABU98" s="293"/>
      <c r="ABV98" s="293"/>
      <c r="ABW98" s="293"/>
      <c r="ABX98" s="293"/>
      <c r="ABY98" s="293"/>
      <c r="ABZ98" s="293"/>
      <c r="ACA98" s="293"/>
      <c r="ACB98" s="293"/>
      <c r="ACC98" s="293"/>
      <c r="ACD98" s="293"/>
      <c r="ACE98" s="293"/>
      <c r="ACF98" s="293"/>
      <c r="ACG98" s="293"/>
      <c r="ACH98" s="293"/>
      <c r="ACI98" s="293"/>
      <c r="ACJ98" s="293"/>
      <c r="ACK98" s="293"/>
      <c r="ACL98" s="293"/>
      <c r="ACM98" s="293"/>
      <c r="ACN98" s="293"/>
      <c r="ACO98" s="293"/>
      <c r="ACP98" s="293"/>
      <c r="ACQ98" s="293"/>
      <c r="ACR98" s="293"/>
      <c r="ACS98" s="293"/>
      <c r="ACT98" s="293"/>
      <c r="ACU98" s="293"/>
      <c r="ACV98" s="293"/>
      <c r="ACW98" s="293"/>
      <c r="ACX98" s="293"/>
      <c r="ACY98" s="293"/>
      <c r="ACZ98" s="293"/>
      <c r="ADA98" s="293"/>
      <c r="ADB98" s="293"/>
      <c r="ADC98" s="293"/>
      <c r="ADD98" s="293"/>
      <c r="ADE98" s="293"/>
      <c r="ADF98" s="293"/>
      <c r="ADG98" s="293"/>
      <c r="ADH98" s="293"/>
      <c r="ADI98" s="293"/>
      <c r="ADJ98" s="293"/>
      <c r="ADK98" s="293"/>
      <c r="ADL98" s="293"/>
      <c r="ADM98" s="293"/>
      <c r="ADN98" s="293"/>
      <c r="ADO98" s="293"/>
      <c r="ADP98" s="293"/>
      <c r="ADQ98" s="293"/>
      <c r="ADR98" s="293"/>
      <c r="ADS98" s="293"/>
      <c r="ADT98" s="293"/>
      <c r="ADU98" s="293"/>
      <c r="ADV98" s="293"/>
      <c r="ADW98" s="293"/>
      <c r="ADX98" s="293"/>
      <c r="ADY98" s="293"/>
      <c r="ADZ98" s="293"/>
      <c r="AEA98" s="293"/>
      <c r="AEB98" s="293"/>
      <c r="AEC98" s="293"/>
      <c r="AED98" s="293"/>
      <c r="AEE98" s="293"/>
      <c r="AEF98" s="293"/>
      <c r="AEG98" s="293"/>
      <c r="AEH98" s="293"/>
      <c r="AEI98" s="293"/>
      <c r="AEJ98" s="293"/>
      <c r="AEK98" s="293"/>
      <c r="AEL98" s="293"/>
      <c r="AEM98" s="293"/>
      <c r="AEN98" s="293"/>
      <c r="AEO98" s="293"/>
      <c r="AEP98" s="293"/>
      <c r="AEQ98" s="293"/>
      <c r="AER98" s="293"/>
      <c r="AES98" s="293"/>
      <c r="AET98" s="293"/>
      <c r="AEU98" s="293"/>
      <c r="AEV98" s="293"/>
      <c r="AEW98" s="293"/>
      <c r="AEX98" s="293"/>
      <c r="AEY98" s="293"/>
      <c r="AEZ98" s="293"/>
      <c r="AFA98" s="293"/>
      <c r="AFB98" s="293"/>
      <c r="AFC98" s="293"/>
      <c r="AFD98" s="293"/>
      <c r="AFE98" s="293"/>
      <c r="AFF98" s="293"/>
      <c r="AFG98" s="293"/>
      <c r="AFH98" s="293"/>
      <c r="AFI98" s="293"/>
      <c r="AFJ98" s="293"/>
      <c r="AFK98" s="293"/>
      <c r="AFL98" s="293"/>
      <c r="AFM98" s="293"/>
      <c r="AFN98" s="293"/>
      <c r="AFO98" s="293"/>
      <c r="AFP98" s="293"/>
      <c r="AFQ98" s="293"/>
      <c r="AFR98" s="293"/>
      <c r="AFS98" s="293"/>
      <c r="AFT98" s="293"/>
      <c r="AFU98" s="293"/>
      <c r="AFV98" s="293"/>
      <c r="AFW98" s="293"/>
      <c r="AFX98" s="293"/>
      <c r="AFY98" s="293"/>
      <c r="AFZ98" s="293"/>
      <c r="AGA98" s="293"/>
      <c r="AGB98" s="293"/>
      <c r="AGC98" s="293"/>
      <c r="AGD98" s="293"/>
      <c r="AGE98" s="293"/>
      <c r="AGF98" s="293"/>
      <c r="AGG98" s="293"/>
      <c r="AGH98" s="293"/>
      <c r="AGI98" s="293"/>
      <c r="AGJ98" s="293"/>
      <c r="AGK98" s="293"/>
      <c r="AGL98" s="293"/>
      <c r="AGM98" s="293"/>
      <c r="AGN98" s="293"/>
      <c r="AGO98" s="293"/>
      <c r="AGP98" s="293"/>
      <c r="AGQ98" s="293"/>
      <c r="AGR98" s="293"/>
      <c r="AGS98" s="293"/>
      <c r="AGT98" s="293"/>
      <c r="AGU98" s="293"/>
      <c r="AGV98" s="293"/>
      <c r="AGW98" s="293"/>
      <c r="AGX98" s="293"/>
      <c r="AGY98" s="293"/>
      <c r="AGZ98" s="293"/>
      <c r="AHA98" s="293"/>
      <c r="AHB98" s="293"/>
      <c r="AHC98" s="293"/>
      <c r="AHD98" s="293"/>
      <c r="AHE98" s="293"/>
      <c r="AHF98" s="293"/>
      <c r="AHG98" s="293"/>
      <c r="AHH98" s="293"/>
      <c r="AHI98" s="293"/>
      <c r="AHJ98" s="293"/>
      <c r="AHK98" s="293"/>
      <c r="AHL98" s="293"/>
      <c r="AHM98" s="293"/>
      <c r="AHN98" s="293"/>
      <c r="AHO98" s="293"/>
      <c r="AHP98" s="293"/>
      <c r="AHQ98" s="293"/>
      <c r="AHR98" s="293"/>
      <c r="AHS98" s="293"/>
      <c r="AHT98" s="293"/>
      <c r="AHU98" s="293"/>
      <c r="AHV98" s="293"/>
      <c r="AHW98" s="293"/>
      <c r="AHX98" s="293"/>
      <c r="AHY98" s="293"/>
      <c r="AHZ98" s="293"/>
      <c r="AIA98" s="293"/>
      <c r="AIB98" s="293"/>
      <c r="AIC98" s="293"/>
      <c r="AID98" s="293"/>
      <c r="AIE98" s="293"/>
      <c r="AIF98" s="293"/>
      <c r="AIG98" s="293"/>
      <c r="AIH98" s="293"/>
      <c r="AII98" s="293"/>
      <c r="AIJ98" s="293"/>
      <c r="AIK98" s="293"/>
      <c r="AIL98" s="293"/>
      <c r="AIM98" s="293"/>
      <c r="AIN98" s="293"/>
      <c r="AIO98" s="293"/>
      <c r="AIP98" s="293"/>
      <c r="AIQ98" s="293"/>
      <c r="AIR98" s="293"/>
      <c r="AIS98" s="293"/>
      <c r="AIT98" s="293"/>
      <c r="AIU98" s="293"/>
      <c r="AIV98" s="293"/>
      <c r="AIW98" s="293"/>
      <c r="AIX98" s="293"/>
      <c r="AIY98" s="293"/>
      <c r="AIZ98" s="293"/>
      <c r="AJA98" s="293"/>
      <c r="AJB98" s="293"/>
      <c r="AJC98" s="293"/>
      <c r="AJD98" s="293"/>
      <c r="AJE98" s="293"/>
      <c r="AJF98" s="293"/>
      <c r="AJG98" s="293"/>
      <c r="AJH98" s="293"/>
      <c r="AJI98" s="293"/>
      <c r="AJJ98" s="293"/>
      <c r="AJK98" s="293"/>
      <c r="AJL98" s="293"/>
      <c r="AJM98" s="293"/>
      <c r="AJN98" s="293"/>
      <c r="AJO98" s="293"/>
      <c r="AJP98" s="293"/>
      <c r="AJQ98" s="293"/>
      <c r="AJR98" s="293"/>
      <c r="AJS98" s="293"/>
      <c r="AJT98" s="293"/>
      <c r="AJU98" s="293"/>
      <c r="AJV98" s="293"/>
      <c r="AJW98" s="293"/>
      <c r="AJX98" s="293"/>
      <c r="AJY98" s="293"/>
      <c r="AJZ98" s="293"/>
      <c r="AKA98" s="293"/>
      <c r="AKB98" s="293"/>
      <c r="AKC98" s="293"/>
      <c r="AKD98" s="293"/>
      <c r="AKE98" s="293"/>
      <c r="AKF98" s="293"/>
      <c r="AKG98" s="293"/>
      <c r="AKH98" s="293"/>
      <c r="AKI98" s="293"/>
      <c r="AKJ98" s="293"/>
      <c r="AKK98" s="293"/>
      <c r="AKL98" s="293"/>
      <c r="AKM98" s="293"/>
      <c r="AKN98" s="293"/>
      <c r="AKO98" s="293"/>
      <c r="AKP98" s="293"/>
      <c r="AKQ98" s="293"/>
      <c r="AKR98" s="293"/>
      <c r="AKS98" s="293"/>
      <c r="AKT98" s="293"/>
      <c r="AKU98" s="293"/>
      <c r="AKV98" s="293"/>
      <c r="AKW98" s="293"/>
      <c r="AKX98" s="293"/>
      <c r="AKY98" s="293"/>
      <c r="AKZ98" s="293"/>
      <c r="ALA98" s="293"/>
      <c r="ALB98" s="293"/>
      <c r="ALC98" s="293"/>
      <c r="ALD98" s="293"/>
      <c r="ALE98" s="293"/>
      <c r="ALF98" s="293"/>
      <c r="ALG98" s="293"/>
      <c r="ALH98" s="293"/>
      <c r="ALI98" s="293"/>
      <c r="ALJ98" s="293"/>
      <c r="ALK98" s="293"/>
      <c r="ALL98" s="293"/>
      <c r="ALM98" s="293"/>
      <c r="ALN98" s="293"/>
      <c r="ALO98" s="293"/>
      <c r="ALP98" s="293"/>
      <c r="ALQ98" s="293"/>
      <c r="ALR98" s="293"/>
      <c r="ALS98" s="293"/>
      <c r="ALT98" s="293"/>
      <c r="ALU98" s="293"/>
      <c r="ALV98" s="293"/>
      <c r="ALW98" s="293"/>
      <c r="ALX98" s="293"/>
      <c r="ALY98" s="293"/>
      <c r="ALZ98" s="293"/>
      <c r="AMA98" s="293"/>
      <c r="AMB98" s="293"/>
      <c r="AMC98" s="293"/>
      <c r="AMD98" s="293"/>
      <c r="AME98" s="293"/>
      <c r="AMF98" s="293"/>
      <c r="AMG98" s="293"/>
      <c r="AMH98" s="293"/>
      <c r="AMI98" s="293"/>
      <c r="AMJ98" s="293"/>
      <c r="AMK98" s="293"/>
      <c r="AML98" s="293"/>
      <c r="AMM98" s="293"/>
      <c r="AMN98" s="293"/>
      <c r="AMO98" s="293"/>
      <c r="AMP98" s="293"/>
      <c r="AMQ98" s="293"/>
      <c r="AMR98" s="293"/>
      <c r="AMS98" s="293"/>
      <c r="AMT98" s="293"/>
      <c r="AMU98" s="293"/>
      <c r="AMV98" s="293"/>
      <c r="AMW98" s="293"/>
      <c r="AMX98" s="293"/>
      <c r="AMY98" s="293"/>
      <c r="AMZ98" s="293"/>
      <c r="ANA98" s="293"/>
      <c r="ANB98" s="293"/>
      <c r="ANC98" s="293"/>
      <c r="AND98" s="293"/>
      <c r="ANE98" s="293"/>
      <c r="ANF98" s="293"/>
      <c r="ANG98" s="293"/>
      <c r="ANH98" s="293"/>
      <c r="ANI98" s="293"/>
      <c r="ANJ98" s="293"/>
      <c r="ANK98" s="293"/>
      <c r="ANL98" s="293"/>
      <c r="ANM98" s="293"/>
      <c r="ANN98" s="293"/>
      <c r="ANO98" s="293"/>
      <c r="ANP98" s="293"/>
      <c r="ANQ98" s="293"/>
      <c r="ANR98" s="293"/>
      <c r="ANS98" s="293"/>
      <c r="ANT98" s="293"/>
      <c r="ANU98" s="293"/>
      <c r="ANV98" s="293"/>
      <c r="ANW98" s="293"/>
      <c r="ANX98" s="293"/>
      <c r="ANY98" s="293"/>
      <c r="ANZ98" s="293"/>
      <c r="AOA98" s="293"/>
      <c r="AOB98" s="293"/>
      <c r="AOC98" s="293"/>
      <c r="AOD98" s="293"/>
      <c r="AOE98" s="293"/>
      <c r="AOF98" s="293"/>
      <c r="AOG98" s="293"/>
      <c r="AOH98" s="293"/>
      <c r="AOI98" s="293"/>
      <c r="AOJ98" s="293"/>
      <c r="AOK98" s="293"/>
      <c r="AOL98" s="293"/>
      <c r="AOM98" s="293"/>
      <c r="AON98" s="293"/>
      <c r="AOO98" s="293"/>
      <c r="AOP98" s="293"/>
      <c r="AOQ98" s="293"/>
      <c r="AOR98" s="293"/>
      <c r="AOS98" s="293"/>
      <c r="AOT98" s="293"/>
      <c r="AOU98" s="293"/>
      <c r="AOV98" s="293"/>
      <c r="AOW98" s="293"/>
      <c r="AOX98" s="293"/>
      <c r="AOY98" s="293"/>
      <c r="AOZ98" s="293"/>
      <c r="APA98" s="293"/>
      <c r="APB98" s="293"/>
      <c r="APC98" s="293"/>
      <c r="APD98" s="293"/>
      <c r="APE98" s="293"/>
      <c r="APF98" s="293"/>
      <c r="APG98" s="293"/>
      <c r="APH98" s="293"/>
      <c r="API98" s="293"/>
      <c r="APJ98" s="293"/>
      <c r="APK98" s="293"/>
      <c r="APL98" s="293"/>
      <c r="APM98" s="293"/>
      <c r="APN98" s="293"/>
      <c r="APO98" s="293"/>
      <c r="APP98" s="293"/>
      <c r="APQ98" s="293"/>
      <c r="APR98" s="293"/>
      <c r="APS98" s="293"/>
      <c r="APT98" s="293"/>
      <c r="APU98" s="293"/>
      <c r="APV98" s="293"/>
      <c r="APW98" s="293"/>
      <c r="APX98" s="293"/>
      <c r="APY98" s="293"/>
      <c r="APZ98" s="293"/>
      <c r="AQA98" s="293"/>
      <c r="AQB98" s="293"/>
      <c r="AQC98" s="293"/>
      <c r="AQD98" s="293"/>
      <c r="AQE98" s="293"/>
      <c r="AQF98" s="293"/>
      <c r="AQG98" s="293"/>
      <c r="AQH98" s="293"/>
      <c r="AQI98" s="293"/>
      <c r="AQJ98" s="293"/>
      <c r="AQK98" s="293"/>
      <c r="AQL98" s="293"/>
      <c r="AQM98" s="293"/>
      <c r="AQN98" s="293"/>
      <c r="AQO98" s="293"/>
      <c r="AQP98" s="293"/>
      <c r="AQQ98" s="293"/>
      <c r="AQR98" s="293"/>
      <c r="AQS98" s="293"/>
      <c r="AQT98" s="293"/>
      <c r="AQU98" s="293"/>
      <c r="AQV98" s="293"/>
      <c r="AQW98" s="293"/>
      <c r="AQX98" s="293"/>
      <c r="AQY98" s="293"/>
      <c r="AQZ98" s="293"/>
      <c r="ARA98" s="293"/>
      <c r="ARB98" s="293"/>
      <c r="ARC98" s="293"/>
      <c r="ARD98" s="293"/>
      <c r="ARE98" s="293"/>
      <c r="ARF98" s="293"/>
      <c r="ARG98" s="293"/>
      <c r="ARH98" s="293"/>
      <c r="ARI98" s="293"/>
      <c r="ARJ98" s="293"/>
      <c r="ARK98" s="293"/>
      <c r="ARL98" s="293"/>
      <c r="ARM98" s="293"/>
      <c r="ARN98" s="293"/>
      <c r="ARO98" s="293"/>
      <c r="ARP98" s="293"/>
      <c r="ARQ98" s="293"/>
      <c r="ARR98" s="293"/>
      <c r="ARS98" s="293"/>
      <c r="ART98" s="293"/>
      <c r="ARU98" s="293"/>
      <c r="ARV98" s="293"/>
      <c r="ARW98" s="293"/>
      <c r="ARX98" s="293"/>
      <c r="ARY98" s="293"/>
      <c r="ARZ98" s="293"/>
      <c r="ASA98" s="293"/>
      <c r="ASB98" s="293"/>
      <c r="ASC98" s="293"/>
      <c r="ASD98" s="293"/>
      <c r="ASE98" s="293"/>
      <c r="ASF98" s="293"/>
      <c r="ASG98" s="293"/>
      <c r="ASH98" s="293"/>
      <c r="ASI98" s="293"/>
      <c r="ASJ98" s="293"/>
      <c r="ASK98" s="293"/>
      <c r="ASL98" s="293"/>
      <c r="ASM98" s="293"/>
      <c r="ASN98" s="293"/>
      <c r="ASO98" s="293"/>
      <c r="ASP98" s="293"/>
      <c r="ASQ98" s="293"/>
      <c r="ASR98" s="293"/>
      <c r="ASS98" s="293"/>
      <c r="AST98" s="293"/>
      <c r="ASU98" s="293"/>
      <c r="ASV98" s="293"/>
      <c r="ASW98" s="293"/>
      <c r="ASX98" s="293"/>
      <c r="ASY98" s="293"/>
      <c r="ASZ98" s="293"/>
      <c r="ATA98" s="293"/>
      <c r="ATB98" s="293"/>
      <c r="ATC98" s="293"/>
      <c r="ATD98" s="293"/>
      <c r="ATE98" s="293"/>
      <c r="ATF98" s="293"/>
      <c r="ATG98" s="293"/>
      <c r="ATH98" s="293"/>
      <c r="ATI98" s="293"/>
      <c r="ATJ98" s="293"/>
      <c r="ATK98" s="293"/>
      <c r="ATL98" s="293"/>
      <c r="ATM98" s="293"/>
      <c r="ATN98" s="293"/>
      <c r="ATO98" s="293"/>
      <c r="ATP98" s="293"/>
      <c r="ATQ98" s="293"/>
      <c r="ATR98" s="293"/>
      <c r="ATS98" s="293"/>
      <c r="ATT98" s="293"/>
      <c r="ATU98" s="293"/>
      <c r="ATV98" s="293"/>
      <c r="ATW98" s="293"/>
      <c r="ATX98" s="293"/>
      <c r="ATY98" s="293"/>
      <c r="ATZ98" s="293"/>
      <c r="AUA98" s="293"/>
      <c r="AUB98" s="293"/>
      <c r="AUC98" s="293"/>
      <c r="AUD98" s="293"/>
      <c r="AUE98" s="293"/>
      <c r="AUF98" s="293"/>
      <c r="AUG98" s="293"/>
      <c r="AUH98" s="293"/>
      <c r="AUI98" s="293"/>
      <c r="AUJ98" s="293"/>
      <c r="AUK98" s="293"/>
      <c r="AUL98" s="293"/>
      <c r="AUM98" s="293"/>
      <c r="AUN98" s="293"/>
      <c r="AUO98" s="293"/>
      <c r="AUP98" s="293"/>
      <c r="AUQ98" s="293"/>
      <c r="AUR98" s="293"/>
      <c r="AUS98" s="293"/>
      <c r="AUT98" s="293"/>
      <c r="AUU98" s="293"/>
      <c r="AUV98" s="293"/>
      <c r="AUW98" s="293"/>
      <c r="AUX98" s="293"/>
      <c r="AUY98" s="293"/>
      <c r="AUZ98" s="293"/>
      <c r="AVA98" s="293"/>
      <c r="AVB98" s="293"/>
      <c r="AVC98" s="293"/>
      <c r="AVD98" s="293"/>
      <c r="AVE98" s="293"/>
      <c r="AVF98" s="293"/>
      <c r="AVG98" s="293"/>
      <c r="AVH98" s="293"/>
      <c r="AVI98" s="293"/>
      <c r="AVJ98" s="293"/>
      <c r="AVK98" s="293"/>
      <c r="AVL98" s="293"/>
      <c r="AVM98" s="293"/>
      <c r="AVN98" s="293"/>
      <c r="AVO98" s="293"/>
      <c r="AVP98" s="293"/>
      <c r="AVQ98" s="293"/>
      <c r="AVR98" s="293"/>
      <c r="AVS98" s="293"/>
      <c r="AVT98" s="293"/>
      <c r="AVU98" s="293"/>
      <c r="AVV98" s="293"/>
      <c r="AVW98" s="293"/>
      <c r="AVX98" s="293"/>
      <c r="AVY98" s="293"/>
      <c r="AVZ98" s="293"/>
      <c r="AWA98" s="293"/>
      <c r="AWB98" s="293"/>
      <c r="AWC98" s="293"/>
      <c r="AWD98" s="293"/>
      <c r="AWE98" s="293"/>
      <c r="AWF98" s="293"/>
      <c r="AWG98" s="293"/>
      <c r="AWH98" s="293"/>
      <c r="AWI98" s="293"/>
      <c r="AWJ98" s="293"/>
      <c r="AWK98" s="293"/>
      <c r="AWL98" s="293"/>
      <c r="AWM98" s="293"/>
      <c r="AWN98" s="293"/>
      <c r="AWO98" s="293"/>
      <c r="AWP98" s="293"/>
      <c r="AWQ98" s="293"/>
      <c r="AWR98" s="293"/>
      <c r="AWS98" s="293"/>
      <c r="AWT98" s="293"/>
      <c r="AWU98" s="293"/>
      <c r="AWV98" s="293"/>
      <c r="AWW98" s="293"/>
      <c r="AWX98" s="293"/>
      <c r="AWY98" s="293"/>
      <c r="AWZ98" s="293"/>
      <c r="AXA98" s="293"/>
      <c r="AXB98" s="293"/>
      <c r="AXC98" s="293"/>
      <c r="AXD98" s="293"/>
      <c r="AXE98" s="293"/>
      <c r="AXF98" s="293"/>
      <c r="AXG98" s="293"/>
      <c r="AXH98" s="293"/>
      <c r="AXI98" s="293"/>
      <c r="AXJ98" s="293"/>
      <c r="AXK98" s="293"/>
      <c r="AXL98" s="293"/>
      <c r="AXM98" s="293"/>
      <c r="AXN98" s="293"/>
      <c r="AXO98" s="293"/>
      <c r="AXP98" s="293"/>
      <c r="AXQ98" s="293"/>
      <c r="AXR98" s="293"/>
      <c r="AXS98" s="293"/>
      <c r="AXT98" s="293"/>
      <c r="AXU98" s="293"/>
      <c r="AXV98" s="293"/>
      <c r="AXW98" s="293"/>
      <c r="AXX98" s="293"/>
      <c r="AXY98" s="293"/>
      <c r="AXZ98" s="293"/>
      <c r="AYA98" s="293"/>
      <c r="AYB98" s="293"/>
      <c r="AYC98" s="293"/>
      <c r="AYD98" s="293"/>
      <c r="AYE98" s="293"/>
      <c r="AYF98" s="293"/>
      <c r="AYG98" s="293"/>
      <c r="AYH98" s="293"/>
      <c r="AYI98" s="293"/>
      <c r="AYJ98" s="293"/>
      <c r="AYK98" s="293"/>
      <c r="AYL98" s="293"/>
      <c r="AYM98" s="293"/>
      <c r="AYN98" s="293"/>
      <c r="AYO98" s="293"/>
      <c r="AYP98" s="293"/>
      <c r="AYQ98" s="293"/>
      <c r="AYR98" s="293"/>
      <c r="AYS98" s="293"/>
      <c r="AYT98" s="293"/>
      <c r="AYU98" s="293"/>
      <c r="AYV98" s="293"/>
      <c r="AYW98" s="293"/>
      <c r="AYX98" s="293"/>
      <c r="AYY98" s="293"/>
      <c r="AYZ98" s="293"/>
      <c r="AZA98" s="293"/>
      <c r="AZB98" s="293"/>
      <c r="AZC98" s="293"/>
      <c r="AZD98" s="293"/>
      <c r="AZE98" s="293"/>
      <c r="AZF98" s="293"/>
      <c r="AZG98" s="293"/>
      <c r="AZH98" s="293"/>
      <c r="AZI98" s="293"/>
      <c r="AZJ98" s="293"/>
      <c r="AZK98" s="293"/>
      <c r="AZL98" s="293"/>
      <c r="AZM98" s="293"/>
      <c r="AZN98" s="293"/>
      <c r="AZO98" s="293"/>
      <c r="AZP98" s="293"/>
      <c r="AZQ98" s="293"/>
      <c r="AZR98" s="293"/>
      <c r="AZS98" s="293"/>
      <c r="AZT98" s="293"/>
      <c r="AZU98" s="293"/>
      <c r="AZV98" s="293"/>
      <c r="AZW98" s="293"/>
      <c r="AZX98" s="293"/>
      <c r="AZY98" s="293"/>
      <c r="AZZ98" s="293"/>
      <c r="BAA98" s="293"/>
      <c r="BAB98" s="293"/>
      <c r="BAC98" s="293"/>
      <c r="BAD98" s="293"/>
      <c r="BAE98" s="293"/>
      <c r="BAF98" s="293"/>
      <c r="BAG98" s="293"/>
      <c r="BAH98" s="293"/>
      <c r="BAI98" s="293"/>
      <c r="BAJ98" s="293"/>
      <c r="BAK98" s="293"/>
      <c r="BAL98" s="293"/>
      <c r="BAM98" s="293"/>
      <c r="BAN98" s="293"/>
      <c r="BAO98" s="293"/>
      <c r="BAP98" s="293"/>
      <c r="BAQ98" s="293"/>
      <c r="BAR98" s="293"/>
      <c r="BAS98" s="293"/>
      <c r="BAT98" s="293"/>
      <c r="BAU98" s="293"/>
      <c r="BAV98" s="293"/>
      <c r="BAW98" s="293"/>
      <c r="BAX98" s="293"/>
      <c r="BAY98" s="293"/>
      <c r="BAZ98" s="293"/>
      <c r="BBA98" s="293"/>
      <c r="BBB98" s="293"/>
      <c r="BBC98" s="293"/>
      <c r="BBD98" s="293"/>
      <c r="BBE98" s="293"/>
      <c r="BBF98" s="293"/>
      <c r="BBG98" s="293"/>
      <c r="BBH98" s="293"/>
      <c r="BBI98" s="293"/>
      <c r="BBJ98" s="293"/>
      <c r="BBK98" s="293"/>
      <c r="BBL98" s="293"/>
      <c r="BBM98" s="293"/>
      <c r="BBN98" s="293"/>
      <c r="BBO98" s="293"/>
      <c r="BBP98" s="293"/>
      <c r="BBQ98" s="293"/>
      <c r="BBR98" s="293"/>
      <c r="BBS98" s="293"/>
      <c r="BBT98" s="293"/>
      <c r="BBU98" s="293"/>
      <c r="BBV98" s="293"/>
      <c r="BBW98" s="293"/>
      <c r="BBX98" s="293"/>
      <c r="BBY98" s="293"/>
      <c r="BBZ98" s="293"/>
      <c r="BCA98" s="293"/>
      <c r="BCB98" s="293"/>
      <c r="BCC98" s="293"/>
      <c r="BCD98" s="293"/>
      <c r="BCE98" s="293"/>
      <c r="BCF98" s="293"/>
      <c r="BCG98" s="293"/>
      <c r="BCH98" s="293"/>
      <c r="BCI98" s="293"/>
      <c r="BCJ98" s="293"/>
      <c r="BCK98" s="293"/>
      <c r="BCL98" s="293"/>
      <c r="BCM98" s="293"/>
      <c r="BCN98" s="293"/>
      <c r="BCO98" s="293"/>
      <c r="BCP98" s="293"/>
      <c r="BCQ98" s="293"/>
      <c r="BCR98" s="293"/>
      <c r="BCS98" s="293"/>
      <c r="BCT98" s="293"/>
      <c r="BCU98" s="293"/>
      <c r="BCV98" s="293"/>
      <c r="BCW98" s="293"/>
      <c r="BCX98" s="293"/>
      <c r="BCY98" s="293"/>
      <c r="BCZ98" s="293"/>
      <c r="BDA98" s="293"/>
      <c r="BDB98" s="293"/>
      <c r="BDC98" s="293"/>
      <c r="BDD98" s="293"/>
      <c r="BDE98" s="293"/>
      <c r="BDF98" s="293"/>
      <c r="BDG98" s="293"/>
      <c r="BDH98" s="293"/>
      <c r="BDI98" s="293"/>
      <c r="BDJ98" s="293"/>
      <c r="BDK98" s="293"/>
      <c r="BDL98" s="293"/>
      <c r="BDM98" s="293"/>
      <c r="BDN98" s="293"/>
      <c r="BDO98" s="293"/>
      <c r="BDP98" s="293"/>
      <c r="BDQ98" s="293"/>
      <c r="BDR98" s="293"/>
      <c r="BDS98" s="293"/>
      <c r="BDT98" s="293"/>
      <c r="BDU98" s="293"/>
      <c r="BDV98" s="293"/>
      <c r="BDW98" s="293"/>
      <c r="BDX98" s="293"/>
      <c r="BDY98" s="293"/>
      <c r="BDZ98" s="293"/>
      <c r="BEA98" s="293"/>
      <c r="BEB98" s="293"/>
      <c r="BEC98" s="293"/>
      <c r="BED98" s="293"/>
      <c r="BEE98" s="293"/>
      <c r="BEF98" s="293"/>
      <c r="BEG98" s="293"/>
      <c r="BEH98" s="293"/>
      <c r="BEI98" s="293"/>
      <c r="BEJ98" s="293"/>
      <c r="BEK98" s="293"/>
      <c r="BEL98" s="293"/>
      <c r="BEM98" s="293"/>
      <c r="BEN98" s="293"/>
      <c r="BEO98" s="293"/>
      <c r="BEP98" s="293"/>
      <c r="BEQ98" s="293"/>
      <c r="BER98" s="293"/>
      <c r="BES98" s="293"/>
      <c r="BET98" s="293"/>
      <c r="BEU98" s="293"/>
      <c r="BEV98" s="293"/>
      <c r="BEW98" s="293"/>
      <c r="BEX98" s="293"/>
      <c r="BEY98" s="293"/>
      <c r="BEZ98" s="293"/>
      <c r="BFA98" s="293"/>
      <c r="BFB98" s="293"/>
      <c r="BFC98" s="293"/>
      <c r="BFD98" s="293"/>
      <c r="BFE98" s="293"/>
      <c r="BFF98" s="293"/>
      <c r="BFG98" s="293"/>
      <c r="BFH98" s="293"/>
      <c r="BFI98" s="293"/>
      <c r="BFJ98" s="293"/>
      <c r="BFK98" s="293"/>
      <c r="BFL98" s="293"/>
      <c r="BFM98" s="293"/>
      <c r="BFN98" s="293"/>
      <c r="BFO98" s="293"/>
      <c r="BFP98" s="293"/>
      <c r="BFQ98" s="293"/>
      <c r="BFR98" s="293"/>
      <c r="BFS98" s="293"/>
      <c r="BFT98" s="293"/>
      <c r="BFU98" s="293"/>
      <c r="BFV98" s="293"/>
      <c r="BFW98" s="293"/>
      <c r="BFX98" s="293"/>
      <c r="BFY98" s="293"/>
      <c r="BFZ98" s="293"/>
      <c r="BGA98" s="293"/>
      <c r="BGB98" s="293"/>
      <c r="BGC98" s="293"/>
      <c r="BGD98" s="293"/>
      <c r="BGE98" s="293"/>
      <c r="BGF98" s="293"/>
      <c r="BGG98" s="293"/>
      <c r="BGH98" s="293"/>
      <c r="BGI98" s="293"/>
      <c r="BGJ98" s="293"/>
      <c r="BGK98" s="293"/>
      <c r="BGL98" s="293"/>
      <c r="BGM98" s="293"/>
      <c r="BGN98" s="293"/>
      <c r="BGO98" s="293"/>
      <c r="BGP98" s="293"/>
      <c r="BGQ98" s="293"/>
      <c r="BGR98" s="293"/>
      <c r="BGS98" s="293"/>
      <c r="BGT98" s="293"/>
      <c r="BGU98" s="293"/>
      <c r="BGV98" s="293"/>
      <c r="BGW98" s="293"/>
      <c r="BGX98" s="293"/>
      <c r="BGY98" s="293"/>
      <c r="BGZ98" s="293"/>
      <c r="BHA98" s="293"/>
      <c r="BHB98" s="293"/>
      <c r="BHC98" s="293"/>
      <c r="BHD98" s="293"/>
      <c r="BHE98" s="293"/>
      <c r="BHF98" s="293"/>
      <c r="BHG98" s="293"/>
      <c r="BHH98" s="293"/>
      <c r="BHI98" s="293"/>
      <c r="BHJ98" s="293"/>
      <c r="BHK98" s="293"/>
      <c r="BHL98" s="293"/>
      <c r="BHM98" s="293"/>
      <c r="BHN98" s="293"/>
      <c r="BHO98" s="293"/>
      <c r="BHP98" s="293"/>
      <c r="BHQ98" s="293"/>
      <c r="BHR98" s="293"/>
      <c r="BHS98" s="293"/>
      <c r="BHT98" s="293"/>
      <c r="BHU98" s="293"/>
      <c r="BHV98" s="293"/>
      <c r="BHW98" s="293"/>
      <c r="BHX98" s="293"/>
      <c r="BHY98" s="293"/>
      <c r="BHZ98" s="293"/>
      <c r="BIA98" s="293"/>
      <c r="BIB98" s="293"/>
      <c r="BIC98" s="293"/>
      <c r="BID98" s="293"/>
      <c r="BIE98" s="293"/>
      <c r="BIF98" s="293"/>
      <c r="BIG98" s="293"/>
      <c r="BIH98" s="293"/>
      <c r="BII98" s="293"/>
      <c r="BIJ98" s="293"/>
      <c r="BIK98" s="293"/>
      <c r="BIL98" s="293"/>
      <c r="BIM98" s="293"/>
      <c r="BIN98" s="293"/>
      <c r="BIO98" s="293"/>
      <c r="BIP98" s="293"/>
      <c r="BIQ98" s="293"/>
      <c r="BIR98" s="293"/>
      <c r="BIS98" s="293"/>
      <c r="BIT98" s="293"/>
      <c r="BIU98" s="293"/>
      <c r="BIV98" s="293"/>
      <c r="BIW98" s="293"/>
      <c r="BIX98" s="293"/>
      <c r="BIY98" s="293"/>
      <c r="BIZ98" s="293"/>
      <c r="BJA98" s="293"/>
      <c r="BJB98" s="293"/>
      <c r="BJC98" s="293"/>
      <c r="BJD98" s="293"/>
      <c r="BJE98" s="293"/>
      <c r="BJF98" s="293"/>
      <c r="BJG98" s="293"/>
      <c r="BJH98" s="293"/>
      <c r="BJI98" s="293"/>
      <c r="BJJ98" s="293"/>
      <c r="BJK98" s="293"/>
      <c r="BJL98" s="293"/>
      <c r="BJM98" s="293"/>
      <c r="BJN98" s="293"/>
      <c r="BJO98" s="293"/>
      <c r="BJP98" s="293"/>
      <c r="BJQ98" s="293"/>
      <c r="BJR98" s="293"/>
      <c r="BJS98" s="293"/>
      <c r="BJT98" s="293"/>
      <c r="BJU98" s="293"/>
      <c r="BJV98" s="293"/>
      <c r="BJW98" s="293"/>
      <c r="BJX98" s="293"/>
      <c r="BJY98" s="293"/>
      <c r="BJZ98" s="293"/>
      <c r="BKA98" s="293"/>
      <c r="BKB98" s="293"/>
      <c r="BKC98" s="293"/>
      <c r="BKD98" s="293"/>
      <c r="BKE98" s="293"/>
      <c r="BKF98" s="293"/>
      <c r="BKG98" s="293"/>
      <c r="BKH98" s="293"/>
      <c r="BKI98" s="293"/>
      <c r="BKJ98" s="293"/>
      <c r="BKK98" s="293"/>
      <c r="BKL98" s="293"/>
      <c r="BKM98" s="293"/>
      <c r="BKN98" s="293"/>
      <c r="BKO98" s="293"/>
      <c r="BKP98" s="293"/>
      <c r="BKQ98" s="293"/>
      <c r="BKR98" s="293"/>
      <c r="BKS98" s="293"/>
      <c r="BKT98" s="293"/>
      <c r="BKU98" s="293"/>
      <c r="BKV98" s="293"/>
      <c r="BKW98" s="293"/>
      <c r="BKX98" s="293"/>
      <c r="BKY98" s="293"/>
      <c r="BKZ98" s="293"/>
      <c r="BLA98" s="293"/>
      <c r="BLB98" s="293"/>
      <c r="BLC98" s="293"/>
      <c r="BLD98" s="293"/>
      <c r="BLE98" s="293"/>
      <c r="BLF98" s="293"/>
      <c r="BLG98" s="293"/>
      <c r="BLH98" s="293"/>
      <c r="BLI98" s="293"/>
      <c r="BLJ98" s="293"/>
      <c r="BLK98" s="293"/>
      <c r="BLL98" s="293"/>
      <c r="BLM98" s="293"/>
      <c r="BLN98" s="293"/>
      <c r="BLO98" s="293"/>
      <c r="BLP98" s="293"/>
      <c r="BLQ98" s="293"/>
      <c r="BLR98" s="293"/>
      <c r="BLS98" s="293"/>
      <c r="BLT98" s="293"/>
      <c r="BLU98" s="293"/>
      <c r="BLV98" s="293"/>
      <c r="BLW98" s="293"/>
      <c r="BLX98" s="293"/>
      <c r="BLY98" s="293"/>
      <c r="BLZ98" s="293"/>
      <c r="BMA98" s="293"/>
      <c r="BMB98" s="293"/>
      <c r="BMC98" s="293"/>
      <c r="BMD98" s="293"/>
      <c r="BME98" s="293"/>
      <c r="BMF98" s="293"/>
      <c r="BMG98" s="293"/>
      <c r="BMH98" s="293"/>
      <c r="BMI98" s="293"/>
      <c r="BMJ98" s="293"/>
      <c r="BMK98" s="293"/>
      <c r="BML98" s="293"/>
      <c r="BMM98" s="293"/>
      <c r="BMN98" s="293"/>
      <c r="BMO98" s="293"/>
      <c r="BMP98" s="293"/>
      <c r="BMQ98" s="293"/>
      <c r="BMR98" s="293"/>
      <c r="BMS98" s="293"/>
      <c r="BMT98" s="293"/>
      <c r="BMU98" s="293"/>
      <c r="BMV98" s="293"/>
      <c r="BMW98" s="293"/>
      <c r="BMX98" s="293"/>
      <c r="BMY98" s="293"/>
      <c r="BMZ98" s="293"/>
      <c r="BNA98" s="293"/>
      <c r="BNB98" s="293"/>
      <c r="BNC98" s="293"/>
      <c r="BND98" s="293"/>
      <c r="BNE98" s="293"/>
      <c r="BNF98" s="293"/>
      <c r="BNG98" s="293"/>
      <c r="BNH98" s="293"/>
      <c r="BNI98" s="293"/>
      <c r="BNJ98" s="293"/>
      <c r="BNK98" s="293"/>
      <c r="BNL98" s="293"/>
      <c r="BNM98" s="293"/>
      <c r="BNN98" s="293"/>
      <c r="BNO98" s="293"/>
      <c r="BNP98" s="293"/>
      <c r="BNQ98" s="293"/>
      <c r="BNR98" s="293"/>
      <c r="BNS98" s="293"/>
      <c r="BNT98" s="293"/>
      <c r="BNU98" s="293"/>
      <c r="BNV98" s="293"/>
      <c r="BNW98" s="293"/>
      <c r="BNX98" s="293"/>
      <c r="BNY98" s="293"/>
      <c r="BNZ98" s="293"/>
      <c r="BOA98" s="293"/>
      <c r="BOB98" s="293"/>
      <c r="BOC98" s="293"/>
      <c r="BOD98" s="293"/>
      <c r="BOE98" s="293"/>
      <c r="BOF98" s="293"/>
      <c r="BOG98" s="293"/>
      <c r="BOH98" s="293"/>
      <c r="BOI98" s="293"/>
      <c r="BOJ98" s="293"/>
      <c r="BOK98" s="293"/>
      <c r="BOL98" s="293"/>
      <c r="BOM98" s="293"/>
      <c r="BON98" s="293"/>
      <c r="BOO98" s="293"/>
      <c r="BOP98" s="293"/>
      <c r="BOQ98" s="293"/>
      <c r="BOR98" s="293"/>
      <c r="BOS98" s="293"/>
      <c r="BOT98" s="293"/>
      <c r="BOU98" s="293"/>
      <c r="BOV98" s="293"/>
      <c r="BOW98" s="293"/>
      <c r="BOX98" s="293"/>
      <c r="BOY98" s="293"/>
      <c r="BOZ98" s="293"/>
      <c r="BPA98" s="293"/>
      <c r="BPB98" s="293"/>
      <c r="BPC98" s="293"/>
      <c r="BPD98" s="293"/>
      <c r="BPE98" s="293"/>
      <c r="BPF98" s="293"/>
      <c r="BPG98" s="293"/>
      <c r="BPH98" s="293"/>
      <c r="BPI98" s="293"/>
      <c r="BPJ98" s="293"/>
      <c r="BPK98" s="293"/>
      <c r="BPL98" s="293"/>
      <c r="BPM98" s="293"/>
      <c r="BPN98" s="293"/>
      <c r="BPO98" s="293"/>
      <c r="BPP98" s="293"/>
      <c r="BPQ98" s="293"/>
      <c r="BPR98" s="293"/>
      <c r="BPS98" s="293"/>
      <c r="BPT98" s="293"/>
      <c r="BPU98" s="293"/>
      <c r="BPV98" s="293"/>
      <c r="BPW98" s="293"/>
      <c r="BPX98" s="293"/>
      <c r="BPY98" s="293"/>
      <c r="BPZ98" s="293"/>
      <c r="BQA98" s="293"/>
      <c r="BQB98" s="293"/>
      <c r="BQC98" s="293"/>
      <c r="BQD98" s="293"/>
      <c r="BQE98" s="293"/>
      <c r="BQF98" s="293"/>
      <c r="BQG98" s="293"/>
      <c r="BQH98" s="293"/>
      <c r="BQI98" s="293"/>
      <c r="BQJ98" s="293"/>
      <c r="BQK98" s="293"/>
      <c r="BQL98" s="293"/>
      <c r="BQM98" s="293"/>
      <c r="BQN98" s="293"/>
      <c r="BQO98" s="293"/>
      <c r="BQP98" s="293"/>
      <c r="BQQ98" s="293"/>
      <c r="BQR98" s="293"/>
      <c r="BQS98" s="293"/>
      <c r="BQT98" s="293"/>
      <c r="BQU98" s="293"/>
      <c r="BQV98" s="293"/>
      <c r="BQW98" s="293"/>
      <c r="BQX98" s="293"/>
      <c r="BQY98" s="293"/>
      <c r="BQZ98" s="293"/>
      <c r="BRA98" s="293"/>
      <c r="BRB98" s="293"/>
      <c r="BRC98" s="293"/>
      <c r="BRD98" s="293"/>
      <c r="BRE98" s="293"/>
      <c r="BRF98" s="293"/>
      <c r="BRG98" s="293"/>
      <c r="BRH98" s="293"/>
      <c r="BRI98" s="293"/>
      <c r="BRJ98" s="293"/>
      <c r="BRK98" s="293"/>
      <c r="BRL98" s="293"/>
      <c r="BRM98" s="293"/>
      <c r="BRN98" s="293"/>
      <c r="BRO98" s="293"/>
      <c r="BRP98" s="293"/>
      <c r="BRQ98" s="293"/>
      <c r="BRR98" s="293"/>
      <c r="BRS98" s="293"/>
      <c r="BRT98" s="293"/>
      <c r="BRU98" s="293"/>
      <c r="BRV98" s="293"/>
      <c r="BRW98" s="293"/>
      <c r="BRX98" s="293"/>
      <c r="BRY98" s="293"/>
      <c r="BRZ98" s="293"/>
      <c r="BSA98" s="293"/>
      <c r="BSB98" s="293"/>
      <c r="BSC98" s="293"/>
      <c r="BSD98" s="293"/>
      <c r="BSE98" s="293"/>
      <c r="BSF98" s="293"/>
      <c r="BSG98" s="293"/>
      <c r="BSH98" s="293"/>
      <c r="BSI98" s="293"/>
      <c r="BSJ98" s="293"/>
      <c r="BSK98" s="293"/>
      <c r="BSL98" s="293"/>
      <c r="BSM98" s="293"/>
      <c r="BSN98" s="293"/>
      <c r="BSO98" s="293"/>
      <c r="BSP98" s="293"/>
      <c r="BSQ98" s="293"/>
      <c r="BSR98" s="293"/>
      <c r="BSS98" s="293"/>
      <c r="BST98" s="293"/>
      <c r="BSU98" s="293"/>
      <c r="BSV98" s="293"/>
      <c r="BSW98" s="293"/>
      <c r="BSX98" s="293"/>
      <c r="BSY98" s="293"/>
      <c r="BSZ98" s="293"/>
      <c r="BTA98" s="293"/>
      <c r="BTB98" s="293"/>
      <c r="BTC98" s="293"/>
      <c r="BTD98" s="293"/>
      <c r="BTE98" s="293"/>
      <c r="BTF98" s="293"/>
      <c r="BTG98" s="293"/>
      <c r="BTH98" s="293"/>
      <c r="BTI98" s="293"/>
      <c r="BTJ98" s="293"/>
      <c r="BTK98" s="293"/>
      <c r="BTL98" s="293"/>
      <c r="BTM98" s="293"/>
      <c r="BTN98" s="293"/>
      <c r="BTO98" s="293"/>
      <c r="BTP98" s="293"/>
      <c r="BTQ98" s="293"/>
      <c r="BTR98" s="293"/>
      <c r="BTS98" s="293"/>
      <c r="BTT98" s="293"/>
      <c r="BTU98" s="293"/>
      <c r="BTV98" s="293"/>
      <c r="BTW98" s="293"/>
      <c r="BTX98" s="293"/>
      <c r="BTY98" s="293"/>
      <c r="BTZ98" s="293"/>
      <c r="BUA98" s="293"/>
      <c r="BUB98" s="293"/>
      <c r="BUC98" s="293"/>
      <c r="BUD98" s="293"/>
      <c r="BUE98" s="293"/>
      <c r="BUF98" s="293"/>
      <c r="BUG98" s="293"/>
      <c r="BUH98" s="293"/>
      <c r="BUI98" s="293"/>
      <c r="BUJ98" s="293"/>
      <c r="BUK98" s="293"/>
      <c r="BUL98" s="293"/>
      <c r="BUM98" s="293"/>
      <c r="BUN98" s="293"/>
      <c r="BUO98" s="293"/>
      <c r="BUP98" s="293"/>
      <c r="BUQ98" s="293"/>
      <c r="BUR98" s="293"/>
      <c r="BUS98" s="293"/>
      <c r="BUT98" s="293"/>
      <c r="BUU98" s="293"/>
      <c r="BUV98" s="293"/>
      <c r="BUW98" s="293"/>
      <c r="BUX98" s="293"/>
      <c r="BUY98" s="293"/>
      <c r="BUZ98" s="293"/>
      <c r="BVA98" s="293"/>
      <c r="BVB98" s="293"/>
      <c r="BVC98" s="293"/>
      <c r="BVD98" s="293"/>
      <c r="BVE98" s="293"/>
      <c r="BVF98" s="293"/>
      <c r="BVG98" s="293"/>
      <c r="BVH98" s="293"/>
      <c r="BVI98" s="293"/>
      <c r="BVJ98" s="293"/>
      <c r="BVK98" s="293"/>
      <c r="BVL98" s="293"/>
      <c r="BVM98" s="293"/>
      <c r="BVN98" s="293"/>
      <c r="BVO98" s="293"/>
      <c r="BVP98" s="293"/>
      <c r="BVQ98" s="293"/>
      <c r="BVR98" s="293"/>
      <c r="BVS98" s="293"/>
      <c r="BVT98" s="293"/>
      <c r="BVU98" s="293"/>
      <c r="BVV98" s="293"/>
      <c r="BVW98" s="293"/>
      <c r="BVX98" s="293"/>
      <c r="BVY98" s="293"/>
      <c r="BVZ98" s="293"/>
      <c r="BWA98" s="293"/>
      <c r="BWB98" s="293"/>
      <c r="BWC98" s="293"/>
      <c r="BWD98" s="293"/>
      <c r="BWE98" s="293"/>
      <c r="BWF98" s="293"/>
      <c r="BWG98" s="293"/>
      <c r="BWH98" s="293"/>
      <c r="BWI98" s="293"/>
      <c r="BWJ98" s="293"/>
      <c r="BWK98" s="293"/>
      <c r="BWL98" s="293"/>
      <c r="BWM98" s="293"/>
      <c r="BWN98" s="293"/>
      <c r="BWO98" s="293"/>
      <c r="BWP98" s="293"/>
      <c r="BWQ98" s="293"/>
      <c r="BWR98" s="293"/>
      <c r="BWS98" s="293"/>
      <c r="BWT98" s="293"/>
      <c r="BWU98" s="293"/>
      <c r="BWV98" s="293"/>
      <c r="BWW98" s="293"/>
      <c r="BWX98" s="293"/>
      <c r="BWY98" s="293"/>
      <c r="BWZ98" s="293"/>
      <c r="BXA98" s="293"/>
      <c r="BXB98" s="293"/>
      <c r="BXC98" s="293"/>
      <c r="BXD98" s="293"/>
      <c r="BXE98" s="293"/>
      <c r="BXF98" s="293"/>
      <c r="BXG98" s="293"/>
      <c r="BXH98" s="293"/>
      <c r="BXI98" s="293"/>
      <c r="BXJ98" s="293"/>
      <c r="BXK98" s="293"/>
      <c r="BXL98" s="293"/>
      <c r="BXM98" s="293"/>
      <c r="BXN98" s="293"/>
      <c r="BXO98" s="293"/>
      <c r="BXP98" s="293"/>
      <c r="BXQ98" s="293"/>
      <c r="BXR98" s="293"/>
      <c r="BXS98" s="293"/>
      <c r="BXT98" s="293"/>
      <c r="BXU98" s="293"/>
      <c r="BXV98" s="293"/>
      <c r="BXW98" s="293"/>
      <c r="BXX98" s="293"/>
      <c r="BXY98" s="293"/>
      <c r="BXZ98" s="293"/>
      <c r="BYA98" s="293"/>
      <c r="BYB98" s="293"/>
      <c r="BYC98" s="293"/>
      <c r="BYD98" s="293"/>
      <c r="BYE98" s="293"/>
      <c r="BYF98" s="293"/>
      <c r="BYG98" s="293"/>
      <c r="BYH98" s="293"/>
      <c r="BYI98" s="293"/>
      <c r="BYJ98" s="293"/>
      <c r="BYK98" s="293"/>
      <c r="BYL98" s="293"/>
      <c r="BYM98" s="293"/>
      <c r="BYN98" s="293"/>
      <c r="BYO98" s="293"/>
      <c r="BYP98" s="293"/>
      <c r="BYQ98" s="293"/>
      <c r="BYR98" s="293"/>
      <c r="BYS98" s="293"/>
      <c r="BYT98" s="293"/>
      <c r="BYU98" s="293"/>
      <c r="BYV98" s="293"/>
      <c r="BYW98" s="293"/>
      <c r="BYX98" s="293"/>
      <c r="BYY98" s="293"/>
      <c r="BYZ98" s="293"/>
      <c r="BZA98" s="293"/>
      <c r="BZB98" s="293"/>
      <c r="BZC98" s="293"/>
      <c r="BZD98" s="293"/>
      <c r="BZE98" s="293"/>
      <c r="BZF98" s="293"/>
      <c r="BZG98" s="293"/>
      <c r="BZH98" s="293"/>
      <c r="BZI98" s="293"/>
      <c r="BZJ98" s="293"/>
      <c r="BZK98" s="293"/>
      <c r="BZL98" s="293"/>
      <c r="BZM98" s="293"/>
      <c r="BZN98" s="293"/>
      <c r="BZO98" s="293"/>
      <c r="BZP98" s="293"/>
      <c r="BZQ98" s="293"/>
      <c r="BZR98" s="293"/>
      <c r="BZS98" s="293"/>
      <c r="BZT98" s="293"/>
      <c r="BZU98" s="293"/>
      <c r="BZV98" s="293"/>
      <c r="BZW98" s="293"/>
      <c r="BZX98" s="293"/>
      <c r="BZY98" s="293"/>
      <c r="BZZ98" s="293"/>
      <c r="CAA98" s="293"/>
      <c r="CAB98" s="293"/>
      <c r="CAC98" s="293"/>
      <c r="CAD98" s="293"/>
      <c r="CAE98" s="293"/>
      <c r="CAF98" s="293"/>
      <c r="CAG98" s="293"/>
      <c r="CAH98" s="293"/>
      <c r="CAI98" s="293"/>
      <c r="CAJ98" s="293"/>
      <c r="CAK98" s="293"/>
      <c r="CAL98" s="293"/>
      <c r="CAM98" s="293"/>
      <c r="CAN98" s="293"/>
      <c r="CAO98" s="293"/>
      <c r="CAP98" s="293"/>
      <c r="CAQ98" s="293"/>
      <c r="CAR98" s="293"/>
      <c r="CAS98" s="293"/>
      <c r="CAT98" s="293"/>
      <c r="CAU98" s="293"/>
      <c r="CAV98" s="293"/>
      <c r="CAW98" s="293"/>
      <c r="CAX98" s="293"/>
      <c r="CAY98" s="293"/>
      <c r="CAZ98" s="293"/>
      <c r="CBA98" s="293"/>
      <c r="CBB98" s="293"/>
      <c r="CBC98" s="293"/>
      <c r="CBD98" s="293"/>
      <c r="CBE98" s="293"/>
      <c r="CBF98" s="293"/>
      <c r="CBG98" s="293"/>
      <c r="CBH98" s="293"/>
      <c r="CBI98" s="293"/>
      <c r="CBJ98" s="293"/>
      <c r="CBK98" s="293"/>
      <c r="CBL98" s="293"/>
      <c r="CBM98" s="293"/>
      <c r="CBN98" s="293"/>
      <c r="CBO98" s="293"/>
      <c r="CBP98" s="293"/>
      <c r="CBQ98" s="293"/>
      <c r="CBR98" s="293"/>
      <c r="CBS98" s="293"/>
      <c r="CBT98" s="293"/>
      <c r="CBU98" s="293"/>
      <c r="CBV98" s="293"/>
      <c r="CBW98" s="293"/>
      <c r="CBX98" s="293"/>
      <c r="CBY98" s="293"/>
      <c r="CBZ98" s="293"/>
      <c r="CCA98" s="293"/>
      <c r="CCB98" s="293"/>
      <c r="CCC98" s="293"/>
      <c r="CCD98" s="293"/>
      <c r="CCE98" s="293"/>
      <c r="CCF98" s="293"/>
      <c r="CCG98" s="293"/>
      <c r="CCH98" s="293"/>
      <c r="CCI98" s="293"/>
      <c r="CCJ98" s="293"/>
      <c r="CCK98" s="293"/>
      <c r="CCL98" s="293"/>
      <c r="CCM98" s="293"/>
      <c r="CCN98" s="293"/>
      <c r="CCO98" s="293"/>
      <c r="CCP98" s="293"/>
      <c r="CCQ98" s="293"/>
      <c r="CCR98" s="293"/>
      <c r="CCS98" s="293"/>
      <c r="CCT98" s="293"/>
      <c r="CCU98" s="293"/>
      <c r="CCV98" s="293"/>
      <c r="CCW98" s="293"/>
      <c r="CCX98" s="293"/>
      <c r="CCY98" s="293"/>
      <c r="CCZ98" s="293"/>
      <c r="CDA98" s="293"/>
      <c r="CDB98" s="293"/>
      <c r="CDC98" s="293"/>
      <c r="CDD98" s="293"/>
      <c r="CDE98" s="293"/>
      <c r="CDF98" s="293"/>
      <c r="CDG98" s="293"/>
      <c r="CDH98" s="293"/>
      <c r="CDI98" s="293"/>
      <c r="CDJ98" s="293"/>
      <c r="CDK98" s="293"/>
      <c r="CDL98" s="293"/>
      <c r="CDM98" s="293"/>
      <c r="CDN98" s="293"/>
      <c r="CDO98" s="293"/>
      <c r="CDP98" s="293"/>
      <c r="CDQ98" s="293"/>
      <c r="CDR98" s="293"/>
      <c r="CDS98" s="293"/>
      <c r="CDT98" s="293"/>
      <c r="CDU98" s="293"/>
      <c r="CDV98" s="293"/>
      <c r="CDW98" s="293"/>
      <c r="CDX98" s="293"/>
      <c r="CDY98" s="293"/>
      <c r="CDZ98" s="293"/>
      <c r="CEA98" s="293"/>
      <c r="CEB98" s="293"/>
      <c r="CEC98" s="293"/>
      <c r="CED98" s="293"/>
      <c r="CEE98" s="293"/>
      <c r="CEF98" s="293"/>
      <c r="CEG98" s="293"/>
      <c r="CEH98" s="293"/>
      <c r="CEI98" s="293"/>
      <c r="CEJ98" s="293"/>
      <c r="CEK98" s="293"/>
      <c r="CEL98" s="293"/>
      <c r="CEM98" s="293"/>
      <c r="CEN98" s="293"/>
      <c r="CEO98" s="293"/>
      <c r="CEP98" s="293"/>
      <c r="CEQ98" s="293"/>
      <c r="CER98" s="293"/>
      <c r="CES98" s="293"/>
      <c r="CET98" s="293"/>
      <c r="CEU98" s="293"/>
      <c r="CEV98" s="293"/>
      <c r="CEW98" s="293"/>
      <c r="CEX98" s="293"/>
      <c r="CEY98" s="293"/>
      <c r="CEZ98" s="293"/>
      <c r="CFA98" s="293"/>
      <c r="CFB98" s="293"/>
      <c r="CFC98" s="293"/>
      <c r="CFD98" s="293"/>
      <c r="CFE98" s="293"/>
      <c r="CFF98" s="293"/>
      <c r="CFG98" s="293"/>
      <c r="CFH98" s="293"/>
      <c r="CFI98" s="293"/>
      <c r="CFJ98" s="293"/>
      <c r="CFK98" s="293"/>
      <c r="CFL98" s="293"/>
      <c r="CFM98" s="293"/>
      <c r="CFN98" s="293"/>
      <c r="CFO98" s="293"/>
      <c r="CFP98" s="293"/>
      <c r="CFQ98" s="293"/>
      <c r="CFR98" s="293"/>
      <c r="CFS98" s="293"/>
      <c r="CFT98" s="293"/>
      <c r="CFU98" s="293"/>
      <c r="CFV98" s="293"/>
      <c r="CFW98" s="293"/>
      <c r="CFX98" s="293"/>
      <c r="CFY98" s="293"/>
      <c r="CFZ98" s="293"/>
      <c r="CGA98" s="293"/>
      <c r="CGB98" s="293"/>
      <c r="CGC98" s="293"/>
      <c r="CGD98" s="293"/>
      <c r="CGE98" s="293"/>
      <c r="CGF98" s="293"/>
      <c r="CGG98" s="293"/>
      <c r="CGH98" s="293"/>
      <c r="CGI98" s="293"/>
      <c r="CGJ98" s="293"/>
      <c r="CGK98" s="293"/>
      <c r="CGL98" s="293"/>
      <c r="CGM98" s="293"/>
      <c r="CGN98" s="293"/>
      <c r="CGO98" s="293"/>
      <c r="CGP98" s="293"/>
      <c r="CGQ98" s="293"/>
      <c r="CGR98" s="293"/>
      <c r="CGS98" s="293"/>
      <c r="CGT98" s="293"/>
      <c r="CGU98" s="293"/>
      <c r="CGV98" s="293"/>
      <c r="CGW98" s="293"/>
      <c r="CGX98" s="293"/>
      <c r="CGY98" s="293"/>
      <c r="CGZ98" s="293"/>
      <c r="CHA98" s="293"/>
      <c r="CHB98" s="293"/>
      <c r="CHC98" s="293"/>
      <c r="CHD98" s="293"/>
      <c r="CHE98" s="293"/>
      <c r="CHF98" s="293"/>
      <c r="CHG98" s="293"/>
      <c r="CHH98" s="293"/>
      <c r="CHI98" s="293"/>
      <c r="CHJ98" s="293"/>
      <c r="CHK98" s="293"/>
      <c r="CHL98" s="293"/>
      <c r="CHM98" s="293"/>
      <c r="CHN98" s="293"/>
      <c r="CHO98" s="293"/>
      <c r="CHP98" s="293"/>
      <c r="CHQ98" s="293"/>
      <c r="CHR98" s="293"/>
      <c r="CHS98" s="293"/>
      <c r="CHT98" s="293"/>
      <c r="CHU98" s="293"/>
      <c r="CHV98" s="293"/>
      <c r="CHW98" s="293"/>
      <c r="CHX98" s="293"/>
      <c r="CHY98" s="293"/>
      <c r="CHZ98" s="293"/>
      <c r="CIA98" s="293"/>
      <c r="CIB98" s="293"/>
      <c r="CIC98" s="293"/>
      <c r="CID98" s="293"/>
      <c r="CIE98" s="293"/>
      <c r="CIF98" s="293"/>
      <c r="CIG98" s="293"/>
      <c r="CIH98" s="293"/>
      <c r="CII98" s="293"/>
      <c r="CIJ98" s="293"/>
      <c r="CIK98" s="293"/>
      <c r="CIL98" s="293"/>
      <c r="CIM98" s="293"/>
      <c r="CIN98" s="293"/>
      <c r="CIO98" s="293"/>
      <c r="CIP98" s="293"/>
      <c r="CIQ98" s="293"/>
      <c r="CIR98" s="293"/>
      <c r="CIS98" s="293"/>
      <c r="CIT98" s="293"/>
      <c r="CIU98" s="293"/>
      <c r="CIV98" s="293"/>
      <c r="CIW98" s="293"/>
      <c r="CIX98" s="293"/>
      <c r="CIY98" s="293"/>
      <c r="CIZ98" s="293"/>
      <c r="CJA98" s="293"/>
      <c r="CJB98" s="293"/>
      <c r="CJC98" s="293"/>
      <c r="CJD98" s="293"/>
      <c r="CJE98" s="293"/>
      <c r="CJF98" s="293"/>
      <c r="CJG98" s="293"/>
      <c r="CJH98" s="293"/>
      <c r="CJI98" s="293"/>
      <c r="CJJ98" s="293"/>
      <c r="CJK98" s="293"/>
      <c r="CJL98" s="293"/>
      <c r="CJM98" s="293"/>
      <c r="CJN98" s="293"/>
      <c r="CJO98" s="293"/>
      <c r="CJP98" s="293"/>
      <c r="CJQ98" s="293"/>
      <c r="CJR98" s="293"/>
      <c r="CJS98" s="293"/>
      <c r="CJT98" s="293"/>
      <c r="CJU98" s="293"/>
      <c r="CJV98" s="293"/>
      <c r="CJW98" s="293"/>
      <c r="CJX98" s="293"/>
      <c r="CJY98" s="293"/>
      <c r="CJZ98" s="293"/>
      <c r="CKA98" s="293"/>
      <c r="CKB98" s="293"/>
      <c r="CKC98" s="293"/>
      <c r="CKD98" s="293"/>
      <c r="CKE98" s="293"/>
      <c r="CKF98" s="293"/>
      <c r="CKG98" s="293"/>
      <c r="CKH98" s="293"/>
      <c r="CKI98" s="293"/>
      <c r="CKJ98" s="293"/>
      <c r="CKK98" s="293"/>
      <c r="CKL98" s="293"/>
      <c r="CKM98" s="293"/>
      <c r="CKN98" s="293"/>
      <c r="CKO98" s="293"/>
      <c r="CKP98" s="293"/>
      <c r="CKQ98" s="293"/>
      <c r="CKR98" s="293"/>
      <c r="CKS98" s="293"/>
      <c r="CKT98" s="293"/>
      <c r="CKU98" s="293"/>
      <c r="CKV98" s="293"/>
      <c r="CKW98" s="293"/>
      <c r="CKX98" s="293"/>
      <c r="CKY98" s="293"/>
      <c r="CKZ98" s="293"/>
      <c r="CLA98" s="293"/>
      <c r="CLB98" s="293"/>
      <c r="CLC98" s="293"/>
      <c r="CLD98" s="293"/>
      <c r="CLE98" s="293"/>
      <c r="CLF98" s="293"/>
      <c r="CLG98" s="293"/>
      <c r="CLH98" s="293"/>
      <c r="CLI98" s="293"/>
      <c r="CLJ98" s="293"/>
      <c r="CLK98" s="293"/>
      <c r="CLL98" s="293"/>
      <c r="CLM98" s="293"/>
      <c r="CLN98" s="293"/>
      <c r="CLO98" s="293"/>
      <c r="CLP98" s="293"/>
      <c r="CLQ98" s="293"/>
      <c r="CLR98" s="293"/>
      <c r="CLS98" s="293"/>
      <c r="CLT98" s="293"/>
      <c r="CLU98" s="293"/>
      <c r="CLV98" s="293"/>
      <c r="CLW98" s="293"/>
      <c r="CLX98" s="293"/>
      <c r="CLY98" s="293"/>
      <c r="CLZ98" s="293"/>
      <c r="CMA98" s="293"/>
      <c r="CMB98" s="293"/>
      <c r="CMC98" s="293"/>
      <c r="CMD98" s="293"/>
      <c r="CME98" s="293"/>
      <c r="CMF98" s="293"/>
      <c r="CMG98" s="293"/>
      <c r="CMH98" s="293"/>
      <c r="CMI98" s="293"/>
      <c r="CMJ98" s="293"/>
      <c r="CMK98" s="293"/>
      <c r="CML98" s="293"/>
      <c r="CMM98" s="293"/>
      <c r="CMN98" s="293"/>
      <c r="CMO98" s="293"/>
      <c r="CMP98" s="293"/>
      <c r="CMQ98" s="293"/>
      <c r="CMR98" s="293"/>
      <c r="CMS98" s="293"/>
      <c r="CMT98" s="293"/>
      <c r="CMU98" s="293"/>
      <c r="CMV98" s="293"/>
      <c r="CMW98" s="293"/>
      <c r="CMX98" s="293"/>
      <c r="CMY98" s="293"/>
      <c r="CMZ98" s="293"/>
      <c r="CNA98" s="293"/>
      <c r="CNB98" s="293"/>
      <c r="CNC98" s="293"/>
      <c r="CND98" s="293"/>
      <c r="CNE98" s="293"/>
      <c r="CNF98" s="293"/>
      <c r="CNG98" s="293"/>
      <c r="CNH98" s="293"/>
      <c r="CNI98" s="293"/>
      <c r="CNJ98" s="293"/>
      <c r="CNK98" s="293"/>
      <c r="CNL98" s="293"/>
      <c r="CNM98" s="293"/>
      <c r="CNN98" s="293"/>
      <c r="CNO98" s="293"/>
      <c r="CNP98" s="293"/>
      <c r="CNQ98" s="293"/>
      <c r="CNR98" s="293"/>
      <c r="CNS98" s="293"/>
      <c r="CNT98" s="293"/>
      <c r="CNU98" s="293"/>
      <c r="CNV98" s="293"/>
      <c r="CNW98" s="293"/>
      <c r="CNX98" s="293"/>
      <c r="CNY98" s="293"/>
      <c r="CNZ98" s="293"/>
      <c r="COA98" s="293"/>
      <c r="COB98" s="293"/>
      <c r="COC98" s="293"/>
      <c r="COD98" s="293"/>
      <c r="COE98" s="293"/>
      <c r="COF98" s="293"/>
      <c r="COG98" s="293"/>
      <c r="COH98" s="293"/>
      <c r="COI98" s="293"/>
      <c r="COJ98" s="293"/>
      <c r="COK98" s="293"/>
      <c r="COL98" s="293"/>
      <c r="COM98" s="293"/>
      <c r="CON98" s="293"/>
      <c r="COO98" s="293"/>
      <c r="COP98" s="293"/>
      <c r="COQ98" s="293"/>
      <c r="COR98" s="293"/>
      <c r="COS98" s="293"/>
      <c r="COT98" s="293"/>
      <c r="COU98" s="293"/>
      <c r="COV98" s="293"/>
      <c r="COW98" s="293"/>
      <c r="COX98" s="293"/>
      <c r="COY98" s="293"/>
      <c r="COZ98" s="293"/>
      <c r="CPA98" s="293"/>
      <c r="CPB98" s="293"/>
      <c r="CPC98" s="293"/>
      <c r="CPD98" s="293"/>
      <c r="CPE98" s="293"/>
      <c r="CPF98" s="293"/>
      <c r="CPG98" s="293"/>
      <c r="CPH98" s="293"/>
      <c r="CPI98" s="293"/>
      <c r="CPJ98" s="293"/>
      <c r="CPK98" s="293"/>
      <c r="CPL98" s="293"/>
      <c r="CPM98" s="293"/>
      <c r="CPN98" s="293"/>
      <c r="CPO98" s="293"/>
      <c r="CPP98" s="293"/>
      <c r="CPQ98" s="293"/>
      <c r="CPR98" s="293"/>
      <c r="CPS98" s="293"/>
      <c r="CPT98" s="293"/>
      <c r="CPU98" s="293"/>
      <c r="CPV98" s="293"/>
      <c r="CPW98" s="293"/>
      <c r="CPX98" s="293"/>
      <c r="CPY98" s="293"/>
      <c r="CPZ98" s="293"/>
      <c r="CQA98" s="293"/>
      <c r="CQB98" s="293"/>
      <c r="CQC98" s="293"/>
      <c r="CQD98" s="293"/>
      <c r="CQE98" s="293"/>
      <c r="CQF98" s="293"/>
      <c r="CQG98" s="293"/>
      <c r="CQH98" s="293"/>
      <c r="CQI98" s="293"/>
      <c r="CQJ98" s="293"/>
      <c r="CQK98" s="293"/>
      <c r="CQL98" s="293"/>
      <c r="CQM98" s="293"/>
      <c r="CQN98" s="293"/>
      <c r="CQO98" s="293"/>
      <c r="CQP98" s="293"/>
      <c r="CQQ98" s="293"/>
      <c r="CQR98" s="293"/>
      <c r="CQS98" s="293"/>
      <c r="CQT98" s="293"/>
      <c r="CQU98" s="293"/>
      <c r="CQV98" s="293"/>
      <c r="CQW98" s="293"/>
      <c r="CQX98" s="293"/>
      <c r="CQY98" s="293"/>
      <c r="CQZ98" s="293"/>
      <c r="CRA98" s="293"/>
      <c r="CRB98" s="293"/>
      <c r="CRC98" s="293"/>
      <c r="CRD98" s="293"/>
      <c r="CRE98" s="293"/>
      <c r="CRF98" s="293"/>
      <c r="CRG98" s="293"/>
      <c r="CRH98" s="293"/>
      <c r="CRI98" s="293"/>
      <c r="CRJ98" s="293"/>
      <c r="CRK98" s="293"/>
      <c r="CRL98" s="293"/>
      <c r="CRM98" s="293"/>
      <c r="CRN98" s="293"/>
      <c r="CRO98" s="293"/>
      <c r="CRP98" s="293"/>
      <c r="CRQ98" s="293"/>
      <c r="CRR98" s="293"/>
      <c r="CRS98" s="293"/>
      <c r="CRT98" s="293"/>
      <c r="CRU98" s="293"/>
      <c r="CRV98" s="293"/>
      <c r="CRW98" s="293"/>
      <c r="CRX98" s="293"/>
      <c r="CRY98" s="293"/>
      <c r="CRZ98" s="293"/>
      <c r="CSA98" s="293"/>
      <c r="CSB98" s="293"/>
      <c r="CSC98" s="293"/>
      <c r="CSD98" s="293"/>
      <c r="CSE98" s="293"/>
      <c r="CSF98" s="293"/>
      <c r="CSG98" s="293"/>
      <c r="CSH98" s="293"/>
      <c r="CSI98" s="293"/>
      <c r="CSJ98" s="293"/>
      <c r="CSK98" s="293"/>
      <c r="CSL98" s="293"/>
      <c r="CSM98" s="293"/>
      <c r="CSN98" s="293"/>
      <c r="CSO98" s="293"/>
      <c r="CSP98" s="293"/>
      <c r="CSQ98" s="293"/>
      <c r="CSR98" s="293"/>
      <c r="CSS98" s="293"/>
      <c r="CST98" s="293"/>
      <c r="CSU98" s="293"/>
      <c r="CSV98" s="293"/>
      <c r="CSW98" s="293"/>
      <c r="CSX98" s="293"/>
      <c r="CSY98" s="293"/>
      <c r="CSZ98" s="293"/>
      <c r="CTA98" s="293"/>
      <c r="CTB98" s="293"/>
      <c r="CTC98" s="293"/>
      <c r="CTD98" s="293"/>
      <c r="CTE98" s="293"/>
      <c r="CTF98" s="293"/>
      <c r="CTG98" s="293"/>
      <c r="CTH98" s="293"/>
      <c r="CTI98" s="293"/>
      <c r="CTJ98" s="293"/>
      <c r="CTK98" s="293"/>
      <c r="CTL98" s="293"/>
      <c r="CTM98" s="293"/>
      <c r="CTN98" s="293"/>
      <c r="CTO98" s="293"/>
      <c r="CTP98" s="293"/>
      <c r="CTQ98" s="293"/>
      <c r="CTR98" s="293"/>
      <c r="CTS98" s="293"/>
      <c r="CTT98" s="293"/>
      <c r="CTU98" s="293"/>
      <c r="CTV98" s="293"/>
      <c r="CTW98" s="293"/>
      <c r="CTX98" s="293"/>
      <c r="CTY98" s="293"/>
      <c r="CTZ98" s="293"/>
      <c r="CUA98" s="293"/>
      <c r="CUB98" s="293"/>
      <c r="CUC98" s="293"/>
      <c r="CUD98" s="293"/>
      <c r="CUE98" s="293"/>
      <c r="CUF98" s="293"/>
      <c r="CUG98" s="293"/>
      <c r="CUH98" s="293"/>
      <c r="CUI98" s="293"/>
      <c r="CUJ98" s="293"/>
      <c r="CUK98" s="293"/>
      <c r="CUL98" s="293"/>
      <c r="CUM98" s="293"/>
      <c r="CUN98" s="293"/>
      <c r="CUO98" s="293"/>
      <c r="CUP98" s="293"/>
      <c r="CUQ98" s="293"/>
      <c r="CUR98" s="293"/>
      <c r="CUS98" s="293"/>
      <c r="CUT98" s="293"/>
      <c r="CUU98" s="293"/>
      <c r="CUV98" s="293"/>
      <c r="CUW98" s="293"/>
      <c r="CUX98" s="293"/>
      <c r="CUY98" s="293"/>
      <c r="CUZ98" s="293"/>
      <c r="CVA98" s="293"/>
      <c r="CVB98" s="293"/>
      <c r="CVC98" s="293"/>
      <c r="CVD98" s="293"/>
      <c r="CVE98" s="293"/>
      <c r="CVF98" s="293"/>
      <c r="CVG98" s="293"/>
      <c r="CVH98" s="293"/>
      <c r="CVI98" s="293"/>
      <c r="CVJ98" s="293"/>
      <c r="CVK98" s="293"/>
      <c r="CVL98" s="293"/>
      <c r="CVM98" s="293"/>
      <c r="CVN98" s="293"/>
      <c r="CVO98" s="293"/>
      <c r="CVP98" s="293"/>
      <c r="CVQ98" s="293"/>
      <c r="CVR98" s="293"/>
      <c r="CVS98" s="293"/>
      <c r="CVT98" s="293"/>
      <c r="CVU98" s="293"/>
      <c r="CVV98" s="293"/>
      <c r="CVW98" s="293"/>
      <c r="CVX98" s="293"/>
      <c r="CVY98" s="293"/>
      <c r="CVZ98" s="293"/>
      <c r="CWA98" s="293"/>
      <c r="CWB98" s="293"/>
      <c r="CWC98" s="293"/>
      <c r="CWD98" s="293"/>
      <c r="CWE98" s="293"/>
      <c r="CWF98" s="293"/>
      <c r="CWG98" s="293"/>
      <c r="CWH98" s="293"/>
      <c r="CWI98" s="293"/>
      <c r="CWJ98" s="293"/>
      <c r="CWK98" s="293"/>
      <c r="CWL98" s="293"/>
      <c r="CWM98" s="293"/>
      <c r="CWN98" s="293"/>
      <c r="CWO98" s="293"/>
      <c r="CWP98" s="293"/>
      <c r="CWQ98" s="293"/>
      <c r="CWR98" s="293"/>
      <c r="CWS98" s="293"/>
      <c r="CWT98" s="293"/>
      <c r="CWU98" s="293"/>
      <c r="CWV98" s="293"/>
      <c r="CWW98" s="293"/>
      <c r="CWX98" s="293"/>
      <c r="CWY98" s="293"/>
      <c r="CWZ98" s="293"/>
      <c r="CXA98" s="293"/>
      <c r="CXB98" s="293"/>
      <c r="CXC98" s="293"/>
      <c r="CXD98" s="293"/>
      <c r="CXE98" s="293"/>
      <c r="CXF98" s="293"/>
      <c r="CXG98" s="293"/>
      <c r="CXH98" s="293"/>
      <c r="CXI98" s="293"/>
      <c r="CXJ98" s="293"/>
      <c r="CXK98" s="293"/>
      <c r="CXL98" s="293"/>
      <c r="CXM98" s="293"/>
      <c r="CXN98" s="293"/>
      <c r="CXO98" s="293"/>
      <c r="CXP98" s="293"/>
      <c r="CXQ98" s="293"/>
      <c r="CXR98" s="293"/>
      <c r="CXS98" s="293"/>
      <c r="CXT98" s="293"/>
      <c r="CXU98" s="293"/>
      <c r="CXV98" s="293"/>
      <c r="CXW98" s="293"/>
      <c r="CXX98" s="293"/>
      <c r="CXY98" s="293"/>
      <c r="CXZ98" s="293"/>
      <c r="CYA98" s="293"/>
      <c r="CYB98" s="293"/>
      <c r="CYC98" s="293"/>
      <c r="CYD98" s="293"/>
      <c r="CYE98" s="293"/>
      <c r="CYF98" s="293"/>
      <c r="CYG98" s="293"/>
      <c r="CYH98" s="293"/>
      <c r="CYI98" s="293"/>
      <c r="CYJ98" s="293"/>
      <c r="CYK98" s="293"/>
      <c r="CYL98" s="293"/>
      <c r="CYM98" s="293"/>
      <c r="CYN98" s="293"/>
      <c r="CYO98" s="293"/>
      <c r="CYP98" s="293"/>
      <c r="CYQ98" s="293"/>
      <c r="CYR98" s="293"/>
      <c r="CYS98" s="293"/>
      <c r="CYT98" s="293"/>
      <c r="CYU98" s="293"/>
      <c r="CYV98" s="293"/>
      <c r="CYW98" s="293"/>
      <c r="CYX98" s="293"/>
      <c r="CYY98" s="293"/>
      <c r="CYZ98" s="293"/>
      <c r="CZA98" s="293"/>
      <c r="CZB98" s="293"/>
      <c r="CZC98" s="293"/>
      <c r="CZD98" s="293"/>
      <c r="CZE98" s="293"/>
      <c r="CZF98" s="293"/>
      <c r="CZG98" s="293"/>
      <c r="CZH98" s="293"/>
      <c r="CZI98" s="293"/>
      <c r="CZJ98" s="293"/>
      <c r="CZK98" s="293"/>
      <c r="CZL98" s="293"/>
      <c r="CZM98" s="293"/>
      <c r="CZN98" s="293"/>
      <c r="CZO98" s="293"/>
      <c r="CZP98" s="293"/>
      <c r="CZQ98" s="293"/>
      <c r="CZR98" s="293"/>
      <c r="CZS98" s="293"/>
      <c r="CZT98" s="293"/>
      <c r="CZU98" s="293"/>
      <c r="CZV98" s="293"/>
      <c r="CZW98" s="293"/>
      <c r="CZX98" s="293"/>
      <c r="CZY98" s="293"/>
      <c r="CZZ98" s="293"/>
      <c r="DAA98" s="293"/>
      <c r="DAB98" s="293"/>
      <c r="DAC98" s="293"/>
      <c r="DAD98" s="293"/>
      <c r="DAE98" s="293"/>
      <c r="DAF98" s="293"/>
      <c r="DAG98" s="293"/>
      <c r="DAH98" s="293"/>
      <c r="DAI98" s="293"/>
      <c r="DAJ98" s="293"/>
      <c r="DAK98" s="293"/>
      <c r="DAL98" s="293"/>
      <c r="DAM98" s="293"/>
      <c r="DAN98" s="293"/>
      <c r="DAO98" s="293"/>
      <c r="DAP98" s="293"/>
      <c r="DAQ98" s="293"/>
      <c r="DAR98" s="293"/>
      <c r="DAS98" s="293"/>
      <c r="DAT98" s="293"/>
      <c r="DAU98" s="293"/>
      <c r="DAV98" s="293"/>
      <c r="DAW98" s="293"/>
      <c r="DAX98" s="293"/>
      <c r="DAY98" s="293"/>
      <c r="DAZ98" s="293"/>
      <c r="DBA98" s="293"/>
      <c r="DBB98" s="293"/>
      <c r="DBC98" s="293"/>
      <c r="DBD98" s="293"/>
      <c r="DBE98" s="293"/>
      <c r="DBF98" s="293"/>
      <c r="DBG98" s="293"/>
      <c r="DBH98" s="293"/>
      <c r="DBI98" s="293"/>
      <c r="DBJ98" s="293"/>
      <c r="DBK98" s="293"/>
      <c r="DBL98" s="293"/>
      <c r="DBM98" s="293"/>
      <c r="DBN98" s="293"/>
      <c r="DBO98" s="293"/>
      <c r="DBP98" s="293"/>
      <c r="DBQ98" s="293"/>
      <c r="DBR98" s="293"/>
      <c r="DBS98" s="293"/>
      <c r="DBT98" s="293"/>
      <c r="DBU98" s="293"/>
      <c r="DBV98" s="293"/>
      <c r="DBW98" s="293"/>
      <c r="DBX98" s="293"/>
      <c r="DBY98" s="293"/>
      <c r="DBZ98" s="293"/>
      <c r="DCA98" s="293"/>
      <c r="DCB98" s="293"/>
      <c r="DCC98" s="293"/>
      <c r="DCD98" s="293"/>
      <c r="DCE98" s="293"/>
      <c r="DCF98" s="293"/>
      <c r="DCG98" s="293"/>
      <c r="DCH98" s="293"/>
      <c r="DCI98" s="293"/>
      <c r="DCJ98" s="293"/>
      <c r="DCK98" s="293"/>
      <c r="DCL98" s="293"/>
      <c r="DCM98" s="293"/>
      <c r="DCN98" s="293"/>
      <c r="DCO98" s="293"/>
      <c r="DCP98" s="293"/>
      <c r="DCQ98" s="293"/>
      <c r="DCR98" s="293"/>
      <c r="DCS98" s="293"/>
      <c r="DCT98" s="293"/>
      <c r="DCU98" s="293"/>
      <c r="DCV98" s="293"/>
      <c r="DCW98" s="293"/>
      <c r="DCX98" s="293"/>
      <c r="DCY98" s="293"/>
      <c r="DCZ98" s="293"/>
      <c r="DDA98" s="293"/>
      <c r="DDB98" s="293"/>
      <c r="DDC98" s="293"/>
      <c r="DDD98" s="293"/>
      <c r="DDE98" s="293"/>
      <c r="DDF98" s="293"/>
      <c r="DDG98" s="293"/>
      <c r="DDH98" s="293"/>
      <c r="DDI98" s="293"/>
      <c r="DDJ98" s="293"/>
      <c r="DDK98" s="293"/>
      <c r="DDL98" s="293"/>
      <c r="DDM98" s="293"/>
      <c r="DDN98" s="293"/>
      <c r="DDO98" s="293"/>
      <c r="DDP98" s="293"/>
      <c r="DDQ98" s="293"/>
      <c r="DDR98" s="293"/>
      <c r="DDS98" s="293"/>
      <c r="DDT98" s="293"/>
      <c r="DDU98" s="293"/>
      <c r="DDV98" s="293"/>
      <c r="DDW98" s="293"/>
      <c r="DDX98" s="293"/>
      <c r="DDY98" s="293"/>
      <c r="DDZ98" s="293"/>
      <c r="DEA98" s="293"/>
      <c r="DEB98" s="293"/>
      <c r="DEC98" s="293"/>
      <c r="DED98" s="293"/>
      <c r="DEE98" s="293"/>
      <c r="DEF98" s="293"/>
      <c r="DEG98" s="293"/>
      <c r="DEH98" s="293"/>
      <c r="DEI98" s="293"/>
      <c r="DEJ98" s="293"/>
      <c r="DEK98" s="293"/>
      <c r="DEL98" s="293"/>
      <c r="DEM98" s="293"/>
      <c r="DEN98" s="293"/>
      <c r="DEO98" s="293"/>
      <c r="DEP98" s="293"/>
      <c r="DEQ98" s="293"/>
      <c r="DER98" s="293"/>
      <c r="DES98" s="293"/>
      <c r="DET98" s="293"/>
      <c r="DEU98" s="293"/>
      <c r="DEV98" s="293"/>
      <c r="DEW98" s="293"/>
      <c r="DEX98" s="293"/>
      <c r="DEY98" s="293"/>
      <c r="DEZ98" s="293"/>
      <c r="DFA98" s="293"/>
      <c r="DFB98" s="293"/>
      <c r="DFC98" s="293"/>
      <c r="DFD98" s="293"/>
      <c r="DFE98" s="293"/>
      <c r="DFF98" s="293"/>
      <c r="DFG98" s="293"/>
      <c r="DFH98" s="293"/>
      <c r="DFI98" s="293"/>
      <c r="DFJ98" s="293"/>
      <c r="DFK98" s="293"/>
      <c r="DFL98" s="293"/>
      <c r="DFM98" s="293"/>
      <c r="DFN98" s="293"/>
      <c r="DFO98" s="293"/>
      <c r="DFP98" s="293"/>
      <c r="DFQ98" s="293"/>
      <c r="DFR98" s="293"/>
      <c r="DFS98" s="293"/>
      <c r="DFT98" s="293"/>
      <c r="DFU98" s="293"/>
      <c r="DFV98" s="293"/>
      <c r="DFW98" s="293"/>
      <c r="DFX98" s="293"/>
      <c r="DFY98" s="293"/>
      <c r="DFZ98" s="293"/>
      <c r="DGA98" s="293"/>
      <c r="DGB98" s="293"/>
      <c r="DGC98" s="293"/>
      <c r="DGD98" s="293"/>
      <c r="DGE98" s="293"/>
      <c r="DGF98" s="293"/>
      <c r="DGG98" s="293"/>
      <c r="DGH98" s="293"/>
      <c r="DGI98" s="293"/>
      <c r="DGJ98" s="293"/>
      <c r="DGK98" s="293"/>
      <c r="DGL98" s="293"/>
      <c r="DGM98" s="293"/>
      <c r="DGN98" s="293"/>
      <c r="DGO98" s="293"/>
      <c r="DGP98" s="293"/>
      <c r="DGQ98" s="293"/>
      <c r="DGR98" s="293"/>
      <c r="DGS98" s="293"/>
      <c r="DGT98" s="293"/>
      <c r="DGU98" s="293"/>
      <c r="DGV98" s="293"/>
      <c r="DGW98" s="293"/>
      <c r="DGX98" s="293"/>
      <c r="DGY98" s="293"/>
      <c r="DGZ98" s="293"/>
      <c r="DHA98" s="293"/>
      <c r="DHB98" s="293"/>
      <c r="DHC98" s="293"/>
      <c r="DHD98" s="293"/>
      <c r="DHE98" s="293"/>
      <c r="DHF98" s="293"/>
      <c r="DHG98" s="293"/>
      <c r="DHH98" s="293"/>
      <c r="DHI98" s="293"/>
      <c r="DHJ98" s="293"/>
      <c r="DHK98" s="293"/>
      <c r="DHL98" s="293"/>
      <c r="DHM98" s="293"/>
      <c r="DHN98" s="293"/>
      <c r="DHO98" s="293"/>
      <c r="DHP98" s="293"/>
      <c r="DHQ98" s="293"/>
      <c r="DHR98" s="293"/>
      <c r="DHS98" s="293"/>
      <c r="DHT98" s="293"/>
      <c r="DHU98" s="293"/>
      <c r="DHV98" s="293"/>
      <c r="DHW98" s="293"/>
      <c r="DHX98" s="293"/>
      <c r="DHY98" s="293"/>
      <c r="DHZ98" s="293"/>
      <c r="DIA98" s="293"/>
      <c r="DIB98" s="293"/>
      <c r="DIC98" s="293"/>
      <c r="DID98" s="293"/>
      <c r="DIE98" s="293"/>
      <c r="DIF98" s="293"/>
      <c r="DIG98" s="293"/>
      <c r="DIH98" s="293"/>
      <c r="DII98" s="293"/>
      <c r="DIJ98" s="293"/>
      <c r="DIK98" s="293"/>
      <c r="DIL98" s="293"/>
      <c r="DIM98" s="293"/>
      <c r="DIN98" s="293"/>
      <c r="DIO98" s="293"/>
      <c r="DIP98" s="293"/>
      <c r="DIQ98" s="293"/>
      <c r="DIR98" s="293"/>
      <c r="DIS98" s="293"/>
      <c r="DIT98" s="293"/>
      <c r="DIU98" s="293"/>
      <c r="DIV98" s="293"/>
      <c r="DIW98" s="293"/>
      <c r="DIX98" s="293"/>
      <c r="DIY98" s="293"/>
      <c r="DIZ98" s="293"/>
      <c r="DJA98" s="293"/>
      <c r="DJB98" s="293"/>
      <c r="DJC98" s="293"/>
      <c r="DJD98" s="293"/>
      <c r="DJE98" s="293"/>
      <c r="DJF98" s="293"/>
      <c r="DJG98" s="293"/>
      <c r="DJH98" s="293"/>
      <c r="DJI98" s="293"/>
      <c r="DJJ98" s="293"/>
      <c r="DJK98" s="293"/>
      <c r="DJL98" s="293"/>
      <c r="DJM98" s="293"/>
      <c r="DJN98" s="293"/>
      <c r="DJO98" s="293"/>
      <c r="DJP98" s="293"/>
      <c r="DJQ98" s="293"/>
      <c r="DJR98" s="293"/>
      <c r="DJS98" s="293"/>
      <c r="DJT98" s="293"/>
      <c r="DJU98" s="293"/>
      <c r="DJV98" s="293"/>
      <c r="DJW98" s="293"/>
      <c r="DJX98" s="293"/>
      <c r="DJY98" s="293"/>
      <c r="DJZ98" s="293"/>
      <c r="DKA98" s="293"/>
      <c r="DKB98" s="293"/>
      <c r="DKC98" s="293"/>
      <c r="DKD98" s="293"/>
      <c r="DKE98" s="293"/>
      <c r="DKF98" s="293"/>
      <c r="DKG98" s="293"/>
      <c r="DKH98" s="293"/>
      <c r="DKI98" s="293"/>
      <c r="DKJ98" s="293"/>
      <c r="DKK98" s="293"/>
      <c r="DKL98" s="293"/>
      <c r="DKM98" s="293"/>
      <c r="DKN98" s="293"/>
      <c r="DKO98" s="293"/>
      <c r="DKP98" s="293"/>
      <c r="DKQ98" s="293"/>
      <c r="DKR98" s="293"/>
      <c r="DKS98" s="293"/>
      <c r="DKT98" s="293"/>
      <c r="DKU98" s="293"/>
      <c r="DKV98" s="293"/>
      <c r="DKW98" s="293"/>
      <c r="DKX98" s="293"/>
      <c r="DKY98" s="293"/>
      <c r="DKZ98" s="293"/>
      <c r="DLA98" s="293"/>
      <c r="DLB98" s="293"/>
      <c r="DLC98" s="293"/>
      <c r="DLD98" s="293"/>
      <c r="DLE98" s="293"/>
      <c r="DLF98" s="293"/>
      <c r="DLG98" s="293"/>
      <c r="DLH98" s="293"/>
      <c r="DLI98" s="293"/>
      <c r="DLJ98" s="293"/>
      <c r="DLK98" s="293"/>
      <c r="DLL98" s="293"/>
      <c r="DLM98" s="293"/>
      <c r="DLN98" s="293"/>
      <c r="DLO98" s="293"/>
      <c r="DLP98" s="293"/>
      <c r="DLQ98" s="293"/>
      <c r="DLR98" s="293"/>
      <c r="DLS98" s="293"/>
      <c r="DLT98" s="293"/>
      <c r="DLU98" s="293"/>
      <c r="DLV98" s="293"/>
      <c r="DLW98" s="293"/>
      <c r="DLX98" s="293"/>
      <c r="DLY98" s="293"/>
      <c r="DLZ98" s="293"/>
      <c r="DMA98" s="293"/>
      <c r="DMB98" s="293"/>
      <c r="DMC98" s="293"/>
      <c r="DMD98" s="293"/>
      <c r="DME98" s="293"/>
      <c r="DMF98" s="293"/>
      <c r="DMG98" s="293"/>
      <c r="DMH98" s="293"/>
      <c r="DMI98" s="293"/>
      <c r="DMJ98" s="293"/>
      <c r="DMK98" s="293"/>
      <c r="DML98" s="293"/>
      <c r="DMM98" s="293"/>
      <c r="DMN98" s="293"/>
      <c r="DMO98" s="293"/>
      <c r="DMP98" s="293"/>
      <c r="DMQ98" s="293"/>
      <c r="DMR98" s="293"/>
      <c r="DMS98" s="293"/>
      <c r="DMT98" s="293"/>
      <c r="DMU98" s="293"/>
      <c r="DMV98" s="293"/>
      <c r="DMW98" s="293"/>
      <c r="DMX98" s="293"/>
      <c r="DMY98" s="293"/>
      <c r="DMZ98" s="293"/>
      <c r="DNA98" s="293"/>
      <c r="DNB98" s="293"/>
      <c r="DNC98" s="293"/>
      <c r="DND98" s="293"/>
      <c r="DNE98" s="293"/>
      <c r="DNF98" s="293"/>
      <c r="DNG98" s="293"/>
      <c r="DNH98" s="293"/>
      <c r="DNI98" s="293"/>
      <c r="DNJ98" s="293"/>
      <c r="DNK98" s="293"/>
      <c r="DNL98" s="293"/>
      <c r="DNM98" s="293"/>
      <c r="DNN98" s="293"/>
      <c r="DNO98" s="293"/>
      <c r="DNP98" s="293"/>
      <c r="DNQ98" s="293"/>
      <c r="DNR98" s="293"/>
      <c r="DNS98" s="293"/>
      <c r="DNT98" s="293"/>
      <c r="DNU98" s="293"/>
      <c r="DNV98" s="293"/>
      <c r="DNW98" s="293"/>
      <c r="DNX98" s="293"/>
      <c r="DNY98" s="293"/>
      <c r="DNZ98" s="293"/>
      <c r="DOA98" s="293"/>
      <c r="DOB98" s="293"/>
      <c r="DOC98" s="293"/>
      <c r="DOD98" s="293"/>
      <c r="DOE98" s="293"/>
      <c r="DOF98" s="293"/>
      <c r="DOG98" s="293"/>
      <c r="DOH98" s="293"/>
      <c r="DOI98" s="293"/>
      <c r="DOJ98" s="293"/>
      <c r="DOK98" s="293"/>
      <c r="DOL98" s="293"/>
      <c r="DOM98" s="293"/>
      <c r="DON98" s="293"/>
      <c r="DOO98" s="293"/>
      <c r="DOP98" s="293"/>
      <c r="DOQ98" s="293"/>
      <c r="DOR98" s="293"/>
      <c r="DOS98" s="293"/>
      <c r="DOT98" s="293"/>
      <c r="DOU98" s="293"/>
      <c r="DOV98" s="293"/>
      <c r="DOW98" s="293"/>
      <c r="DOX98" s="293"/>
      <c r="DOY98" s="293"/>
      <c r="DOZ98" s="293"/>
      <c r="DPA98" s="293"/>
      <c r="DPB98" s="293"/>
      <c r="DPC98" s="293"/>
      <c r="DPD98" s="293"/>
      <c r="DPE98" s="293"/>
      <c r="DPF98" s="293"/>
      <c r="DPG98" s="293"/>
      <c r="DPH98" s="293"/>
      <c r="DPI98" s="293"/>
      <c r="DPJ98" s="293"/>
      <c r="DPK98" s="293"/>
      <c r="DPL98" s="293"/>
      <c r="DPM98" s="293"/>
      <c r="DPN98" s="293"/>
      <c r="DPO98" s="293"/>
      <c r="DPP98" s="293"/>
      <c r="DPQ98" s="293"/>
      <c r="DPR98" s="293"/>
      <c r="DPS98" s="293"/>
      <c r="DPT98" s="293"/>
      <c r="DPU98" s="293"/>
      <c r="DPV98" s="293"/>
      <c r="DPW98" s="293"/>
      <c r="DPX98" s="293"/>
      <c r="DPY98" s="293"/>
      <c r="DPZ98" s="293"/>
      <c r="DQA98" s="293"/>
      <c r="DQB98" s="293"/>
      <c r="DQC98" s="293"/>
      <c r="DQD98" s="293"/>
      <c r="DQE98" s="293"/>
      <c r="DQF98" s="293"/>
      <c r="DQG98" s="293"/>
      <c r="DQH98" s="293"/>
      <c r="DQI98" s="293"/>
      <c r="DQJ98" s="293"/>
      <c r="DQK98" s="293"/>
      <c r="DQL98" s="293"/>
      <c r="DQM98" s="293"/>
      <c r="DQN98" s="293"/>
      <c r="DQO98" s="293"/>
      <c r="DQP98" s="293"/>
      <c r="DQQ98" s="293"/>
      <c r="DQR98" s="293"/>
      <c r="DQS98" s="293"/>
      <c r="DQT98" s="293"/>
      <c r="DQU98" s="293"/>
      <c r="DQV98" s="293"/>
      <c r="DQW98" s="293"/>
      <c r="DQX98" s="293"/>
      <c r="DQY98" s="293"/>
      <c r="DQZ98" s="293"/>
      <c r="DRA98" s="293"/>
      <c r="DRB98" s="293"/>
      <c r="DRC98" s="293"/>
      <c r="DRD98" s="293"/>
      <c r="DRE98" s="293"/>
      <c r="DRF98" s="293"/>
      <c r="DRG98" s="293"/>
      <c r="DRH98" s="293"/>
      <c r="DRI98" s="293"/>
      <c r="DRJ98" s="293"/>
      <c r="DRK98" s="293"/>
      <c r="DRL98" s="293"/>
      <c r="DRM98" s="293"/>
      <c r="DRN98" s="293"/>
      <c r="DRO98" s="293"/>
      <c r="DRP98" s="293"/>
      <c r="DRQ98" s="293"/>
      <c r="DRR98" s="293"/>
      <c r="DRS98" s="293"/>
      <c r="DRT98" s="293"/>
      <c r="DRU98" s="293"/>
      <c r="DRV98" s="293"/>
      <c r="DRW98" s="293"/>
      <c r="DRX98" s="293"/>
      <c r="DRY98" s="293"/>
      <c r="DRZ98" s="293"/>
      <c r="DSA98" s="293"/>
      <c r="DSB98" s="293"/>
      <c r="DSC98" s="293"/>
      <c r="DSD98" s="293"/>
      <c r="DSE98" s="293"/>
      <c r="DSF98" s="293"/>
      <c r="DSG98" s="293"/>
      <c r="DSH98" s="293"/>
      <c r="DSI98" s="293"/>
      <c r="DSJ98" s="293"/>
      <c r="DSK98" s="293"/>
      <c r="DSL98" s="293"/>
      <c r="DSM98" s="293"/>
      <c r="DSN98" s="293"/>
      <c r="DSO98" s="293"/>
      <c r="DSP98" s="293"/>
      <c r="DSQ98" s="293"/>
      <c r="DSR98" s="293"/>
      <c r="DSS98" s="293"/>
      <c r="DST98" s="293"/>
      <c r="DSU98" s="293"/>
      <c r="DSV98" s="293"/>
      <c r="DSW98" s="293"/>
      <c r="DSX98" s="293"/>
      <c r="DSY98" s="293"/>
      <c r="DSZ98" s="293"/>
      <c r="DTA98" s="293"/>
      <c r="DTB98" s="293"/>
      <c r="DTC98" s="293"/>
      <c r="DTD98" s="293"/>
      <c r="DTE98" s="293"/>
      <c r="DTF98" s="293"/>
      <c r="DTG98" s="293"/>
      <c r="DTH98" s="293"/>
      <c r="DTI98" s="293"/>
      <c r="DTJ98" s="293"/>
      <c r="DTK98" s="293"/>
      <c r="DTL98" s="293"/>
      <c r="DTM98" s="293"/>
      <c r="DTN98" s="293"/>
      <c r="DTO98" s="293"/>
      <c r="DTP98" s="293"/>
      <c r="DTQ98" s="293"/>
      <c r="DTR98" s="293"/>
      <c r="DTS98" s="293"/>
      <c r="DTT98" s="293"/>
      <c r="DTU98" s="293"/>
      <c r="DTV98" s="293"/>
      <c r="DTW98" s="293"/>
      <c r="DTX98" s="293"/>
      <c r="DTY98" s="293"/>
      <c r="DTZ98" s="293"/>
      <c r="DUA98" s="293"/>
      <c r="DUB98" s="293"/>
      <c r="DUC98" s="293"/>
      <c r="DUD98" s="293"/>
      <c r="DUE98" s="293"/>
      <c r="DUF98" s="293"/>
      <c r="DUG98" s="293"/>
      <c r="DUH98" s="293"/>
      <c r="DUI98" s="293"/>
      <c r="DUJ98" s="293"/>
      <c r="DUK98" s="293"/>
      <c r="DUL98" s="293"/>
      <c r="DUM98" s="293"/>
      <c r="DUN98" s="293"/>
      <c r="DUO98" s="293"/>
      <c r="DUP98" s="293"/>
      <c r="DUQ98" s="293"/>
      <c r="DUR98" s="293"/>
      <c r="DUS98" s="293"/>
      <c r="DUT98" s="293"/>
      <c r="DUU98" s="293"/>
      <c r="DUV98" s="293"/>
      <c r="DUW98" s="293"/>
      <c r="DUX98" s="293"/>
      <c r="DUY98" s="293"/>
      <c r="DUZ98" s="293"/>
      <c r="DVA98" s="293"/>
      <c r="DVB98" s="293"/>
      <c r="DVC98" s="293"/>
      <c r="DVD98" s="293"/>
      <c r="DVE98" s="293"/>
      <c r="DVF98" s="293"/>
      <c r="DVG98" s="293"/>
      <c r="DVH98" s="293"/>
      <c r="DVI98" s="293"/>
      <c r="DVJ98" s="293"/>
      <c r="DVK98" s="293"/>
      <c r="DVL98" s="293"/>
      <c r="DVM98" s="293"/>
      <c r="DVN98" s="293"/>
      <c r="DVO98" s="293"/>
      <c r="DVP98" s="293"/>
      <c r="DVQ98" s="293"/>
      <c r="DVR98" s="293"/>
      <c r="DVS98" s="293"/>
      <c r="DVT98" s="293"/>
      <c r="DVU98" s="293"/>
      <c r="DVV98" s="293"/>
      <c r="DVW98" s="293"/>
      <c r="DVX98" s="293"/>
      <c r="DVY98" s="293"/>
      <c r="DVZ98" s="293"/>
      <c r="DWA98" s="293"/>
      <c r="DWB98" s="293"/>
      <c r="DWC98" s="293"/>
      <c r="DWD98" s="293"/>
      <c r="DWE98" s="293"/>
      <c r="DWF98" s="293"/>
      <c r="DWG98" s="293"/>
      <c r="DWH98" s="293"/>
      <c r="DWI98" s="293"/>
      <c r="DWJ98" s="293"/>
      <c r="DWK98" s="293"/>
      <c r="DWL98" s="293"/>
      <c r="DWM98" s="293"/>
      <c r="DWN98" s="293"/>
      <c r="DWO98" s="293"/>
      <c r="DWP98" s="293"/>
      <c r="DWQ98" s="293"/>
      <c r="DWR98" s="293"/>
      <c r="DWS98" s="293"/>
      <c r="DWT98" s="293"/>
      <c r="DWU98" s="293"/>
      <c r="DWV98" s="293"/>
      <c r="DWW98" s="293"/>
      <c r="DWX98" s="293"/>
      <c r="DWY98" s="293"/>
      <c r="DWZ98" s="293"/>
      <c r="DXA98" s="293"/>
      <c r="DXB98" s="293"/>
      <c r="DXC98" s="293"/>
      <c r="DXD98" s="293"/>
      <c r="DXE98" s="293"/>
      <c r="DXF98" s="293"/>
      <c r="DXG98" s="293"/>
      <c r="DXH98" s="293"/>
      <c r="DXI98" s="293"/>
      <c r="DXJ98" s="293"/>
      <c r="DXK98" s="293"/>
      <c r="DXL98" s="293"/>
      <c r="DXM98" s="293"/>
      <c r="DXN98" s="293"/>
      <c r="DXO98" s="293"/>
      <c r="DXP98" s="293"/>
      <c r="DXQ98" s="293"/>
      <c r="DXR98" s="293"/>
      <c r="DXS98" s="293"/>
      <c r="DXT98" s="293"/>
      <c r="DXU98" s="293"/>
      <c r="DXV98" s="293"/>
      <c r="DXW98" s="293"/>
      <c r="DXX98" s="293"/>
      <c r="DXY98" s="293"/>
      <c r="DXZ98" s="293"/>
      <c r="DYA98" s="293"/>
      <c r="DYB98" s="293"/>
      <c r="DYC98" s="293"/>
      <c r="DYD98" s="293"/>
      <c r="DYE98" s="293"/>
      <c r="DYF98" s="293"/>
      <c r="DYG98" s="293"/>
      <c r="DYH98" s="293"/>
      <c r="DYI98" s="293"/>
      <c r="DYJ98" s="293"/>
      <c r="DYK98" s="293"/>
      <c r="DYL98" s="293"/>
      <c r="DYM98" s="293"/>
      <c r="DYN98" s="293"/>
      <c r="DYO98" s="293"/>
      <c r="DYP98" s="293"/>
      <c r="DYQ98" s="293"/>
      <c r="DYR98" s="293"/>
      <c r="DYS98" s="293"/>
      <c r="DYT98" s="293"/>
      <c r="DYU98" s="293"/>
      <c r="DYV98" s="293"/>
      <c r="DYW98" s="293"/>
      <c r="DYX98" s="293"/>
      <c r="DYY98" s="293"/>
      <c r="DYZ98" s="293"/>
      <c r="DZA98" s="293"/>
      <c r="DZB98" s="293"/>
      <c r="DZC98" s="293"/>
      <c r="DZD98" s="293"/>
      <c r="DZE98" s="293"/>
      <c r="DZF98" s="293"/>
      <c r="DZG98" s="293"/>
      <c r="DZH98" s="293"/>
      <c r="DZI98" s="293"/>
      <c r="DZJ98" s="293"/>
      <c r="DZK98" s="293"/>
      <c r="DZL98" s="293"/>
      <c r="DZM98" s="293"/>
      <c r="DZN98" s="293"/>
      <c r="DZO98" s="293"/>
      <c r="DZP98" s="293"/>
      <c r="DZQ98" s="293"/>
      <c r="DZR98" s="293"/>
      <c r="DZS98" s="293"/>
      <c r="DZT98" s="293"/>
      <c r="DZU98" s="293"/>
      <c r="DZV98" s="293"/>
      <c r="DZW98" s="293"/>
      <c r="DZX98" s="293"/>
      <c r="DZY98" s="293"/>
      <c r="DZZ98" s="293"/>
      <c r="EAA98" s="293"/>
      <c r="EAB98" s="293"/>
      <c r="EAC98" s="293"/>
      <c r="EAD98" s="293"/>
      <c r="EAE98" s="293"/>
      <c r="EAF98" s="293"/>
      <c r="EAG98" s="293"/>
      <c r="EAH98" s="293"/>
      <c r="EAI98" s="293"/>
      <c r="EAJ98" s="293"/>
      <c r="EAK98" s="293"/>
      <c r="EAL98" s="293"/>
      <c r="EAM98" s="293"/>
      <c r="EAN98" s="293"/>
      <c r="EAO98" s="293"/>
      <c r="EAP98" s="293"/>
      <c r="EAQ98" s="293"/>
      <c r="EAR98" s="293"/>
      <c r="EAS98" s="293"/>
      <c r="EAT98" s="293"/>
      <c r="EAU98" s="293"/>
      <c r="EAV98" s="293"/>
      <c r="EAW98" s="293"/>
      <c r="EAX98" s="293"/>
      <c r="EAY98" s="293"/>
      <c r="EAZ98" s="293"/>
      <c r="EBA98" s="293"/>
      <c r="EBB98" s="293"/>
      <c r="EBC98" s="293"/>
      <c r="EBD98" s="293"/>
      <c r="EBE98" s="293"/>
      <c r="EBF98" s="293"/>
      <c r="EBG98" s="293"/>
      <c r="EBH98" s="293"/>
      <c r="EBI98" s="293"/>
      <c r="EBJ98" s="293"/>
      <c r="EBK98" s="293"/>
      <c r="EBL98" s="293"/>
      <c r="EBM98" s="293"/>
      <c r="EBN98" s="293"/>
      <c r="EBO98" s="293"/>
      <c r="EBP98" s="293"/>
      <c r="EBQ98" s="293"/>
      <c r="EBR98" s="293"/>
      <c r="EBS98" s="293"/>
      <c r="EBT98" s="293"/>
      <c r="EBU98" s="293"/>
      <c r="EBV98" s="293"/>
      <c r="EBW98" s="293"/>
      <c r="EBX98" s="293"/>
      <c r="EBY98" s="293"/>
      <c r="EBZ98" s="293"/>
      <c r="ECA98" s="293"/>
      <c r="ECB98" s="293"/>
      <c r="ECC98" s="293"/>
      <c r="ECD98" s="293"/>
      <c r="ECE98" s="293"/>
      <c r="ECF98" s="293"/>
      <c r="ECG98" s="293"/>
      <c r="ECH98" s="293"/>
      <c r="ECI98" s="293"/>
      <c r="ECJ98" s="293"/>
      <c r="ECK98" s="293"/>
      <c r="ECL98" s="293"/>
      <c r="ECM98" s="293"/>
      <c r="ECN98" s="293"/>
      <c r="ECO98" s="293"/>
      <c r="ECP98" s="293"/>
      <c r="ECQ98" s="293"/>
      <c r="ECR98" s="293"/>
      <c r="ECS98" s="293"/>
      <c r="ECT98" s="293"/>
      <c r="ECU98" s="293"/>
      <c r="ECV98" s="293"/>
      <c r="ECW98" s="293"/>
      <c r="ECX98" s="293"/>
      <c r="ECY98" s="293"/>
      <c r="ECZ98" s="293"/>
      <c r="EDA98" s="293"/>
      <c r="EDB98" s="293"/>
      <c r="EDC98" s="293"/>
      <c r="EDD98" s="293"/>
      <c r="EDE98" s="293"/>
      <c r="EDF98" s="293"/>
      <c r="EDG98" s="293"/>
      <c r="EDH98" s="293"/>
      <c r="EDI98" s="293"/>
      <c r="EDJ98" s="293"/>
      <c r="EDK98" s="293"/>
      <c r="EDL98" s="293"/>
      <c r="EDM98" s="293"/>
      <c r="EDN98" s="293"/>
      <c r="EDO98" s="293"/>
      <c r="EDP98" s="293"/>
      <c r="EDQ98" s="293"/>
      <c r="EDR98" s="293"/>
      <c r="EDS98" s="293"/>
      <c r="EDT98" s="293"/>
      <c r="EDU98" s="293"/>
      <c r="EDV98" s="293"/>
      <c r="EDW98" s="293"/>
      <c r="EDX98" s="293"/>
      <c r="EDY98" s="293"/>
      <c r="EDZ98" s="293"/>
      <c r="EEA98" s="293"/>
      <c r="EEB98" s="293"/>
      <c r="EEC98" s="293"/>
      <c r="EED98" s="293"/>
      <c r="EEE98" s="293"/>
      <c r="EEF98" s="293"/>
      <c r="EEG98" s="293"/>
      <c r="EEH98" s="293"/>
      <c r="EEI98" s="293"/>
      <c r="EEJ98" s="293"/>
      <c r="EEK98" s="293"/>
      <c r="EEL98" s="293"/>
      <c r="EEM98" s="293"/>
      <c r="EEN98" s="293"/>
      <c r="EEO98" s="293"/>
      <c r="EEP98" s="293"/>
      <c r="EEQ98" s="293"/>
      <c r="EER98" s="293"/>
      <c r="EES98" s="293"/>
      <c r="EET98" s="293"/>
      <c r="EEU98" s="293"/>
      <c r="EEV98" s="293"/>
      <c r="EEW98" s="293"/>
      <c r="EEX98" s="293"/>
      <c r="EEY98" s="293"/>
      <c r="EEZ98" s="293"/>
      <c r="EFA98" s="293"/>
      <c r="EFB98" s="293"/>
      <c r="EFC98" s="293"/>
      <c r="EFD98" s="293"/>
      <c r="EFE98" s="293"/>
      <c r="EFF98" s="293"/>
      <c r="EFG98" s="293"/>
      <c r="EFH98" s="293"/>
      <c r="EFI98" s="293"/>
      <c r="EFJ98" s="293"/>
      <c r="EFK98" s="293"/>
      <c r="EFL98" s="293"/>
      <c r="EFM98" s="293"/>
      <c r="EFN98" s="293"/>
      <c r="EFO98" s="293"/>
      <c r="EFP98" s="293"/>
      <c r="EFQ98" s="293"/>
      <c r="EFR98" s="293"/>
      <c r="EFS98" s="293"/>
      <c r="EFT98" s="293"/>
      <c r="EFU98" s="293"/>
      <c r="EFV98" s="293"/>
      <c r="EFW98" s="293"/>
      <c r="EFX98" s="293"/>
      <c r="EFY98" s="293"/>
      <c r="EFZ98" s="293"/>
      <c r="EGA98" s="293"/>
      <c r="EGB98" s="293"/>
      <c r="EGC98" s="293"/>
      <c r="EGD98" s="293"/>
      <c r="EGE98" s="293"/>
      <c r="EGF98" s="293"/>
      <c r="EGG98" s="293"/>
      <c r="EGH98" s="293"/>
      <c r="EGI98" s="293"/>
      <c r="EGJ98" s="293"/>
      <c r="EGK98" s="293"/>
      <c r="EGL98" s="293"/>
      <c r="EGM98" s="293"/>
      <c r="EGN98" s="293"/>
      <c r="EGO98" s="293"/>
      <c r="EGP98" s="293"/>
      <c r="EGQ98" s="293"/>
      <c r="EGR98" s="293"/>
      <c r="EGS98" s="293"/>
      <c r="EGT98" s="293"/>
      <c r="EGU98" s="293"/>
      <c r="EGV98" s="293"/>
      <c r="EGW98" s="293"/>
      <c r="EGX98" s="293"/>
      <c r="EGY98" s="293"/>
      <c r="EGZ98" s="293"/>
      <c r="EHA98" s="293"/>
      <c r="EHB98" s="293"/>
      <c r="EHC98" s="293"/>
      <c r="EHD98" s="293"/>
      <c r="EHE98" s="293"/>
      <c r="EHF98" s="293"/>
      <c r="EHG98" s="293"/>
      <c r="EHH98" s="293"/>
      <c r="EHI98" s="293"/>
      <c r="EHJ98" s="293"/>
      <c r="EHK98" s="293"/>
      <c r="EHL98" s="293"/>
      <c r="EHM98" s="293"/>
      <c r="EHN98" s="293"/>
      <c r="EHO98" s="293"/>
      <c r="EHP98" s="293"/>
      <c r="EHQ98" s="293"/>
      <c r="EHR98" s="293"/>
      <c r="EHS98" s="293"/>
      <c r="EHT98" s="293"/>
      <c r="EHU98" s="293"/>
      <c r="EHV98" s="293"/>
      <c r="EHW98" s="293"/>
      <c r="EHX98" s="293"/>
      <c r="EHY98" s="293"/>
      <c r="EHZ98" s="293"/>
      <c r="EIA98" s="293"/>
      <c r="EIB98" s="293"/>
      <c r="EIC98" s="293"/>
      <c r="EID98" s="293"/>
      <c r="EIE98" s="293"/>
      <c r="EIF98" s="293"/>
      <c r="EIG98" s="293"/>
      <c r="EIH98" s="293"/>
      <c r="EII98" s="293"/>
      <c r="EIJ98" s="293"/>
      <c r="EIK98" s="293"/>
      <c r="EIL98" s="293"/>
      <c r="EIM98" s="293"/>
      <c r="EIN98" s="293"/>
      <c r="EIO98" s="293"/>
      <c r="EIP98" s="293"/>
      <c r="EIQ98" s="293"/>
      <c r="EIR98" s="293"/>
      <c r="EIS98" s="293"/>
      <c r="EIT98" s="293"/>
      <c r="EIU98" s="293"/>
      <c r="EIV98" s="293"/>
      <c r="EIW98" s="293"/>
      <c r="EIX98" s="293"/>
      <c r="EIY98" s="293"/>
      <c r="EIZ98" s="293"/>
      <c r="EJA98" s="293"/>
      <c r="EJB98" s="293"/>
      <c r="EJC98" s="293"/>
      <c r="EJD98" s="293"/>
      <c r="EJE98" s="293"/>
      <c r="EJF98" s="293"/>
      <c r="EJG98" s="293"/>
      <c r="EJH98" s="293"/>
      <c r="EJI98" s="293"/>
      <c r="EJJ98" s="293"/>
      <c r="EJK98" s="293"/>
      <c r="EJL98" s="293"/>
      <c r="EJM98" s="293"/>
      <c r="EJN98" s="293"/>
      <c r="EJO98" s="293"/>
      <c r="EJP98" s="293"/>
      <c r="EJQ98" s="293"/>
      <c r="EJR98" s="293"/>
      <c r="EJS98" s="293"/>
      <c r="EJT98" s="293"/>
      <c r="EJU98" s="293"/>
      <c r="EJV98" s="293"/>
      <c r="EJW98" s="293"/>
      <c r="EJX98" s="293"/>
      <c r="EJY98" s="293"/>
      <c r="EJZ98" s="293"/>
      <c r="EKA98" s="293"/>
      <c r="EKB98" s="293"/>
      <c r="EKC98" s="293"/>
      <c r="EKD98" s="293"/>
      <c r="EKE98" s="293"/>
      <c r="EKF98" s="293"/>
      <c r="EKG98" s="293"/>
      <c r="EKH98" s="293"/>
      <c r="EKI98" s="293"/>
      <c r="EKJ98" s="293"/>
      <c r="EKK98" s="293"/>
      <c r="EKL98" s="293"/>
      <c r="EKM98" s="293"/>
      <c r="EKN98" s="293"/>
      <c r="EKO98" s="293"/>
      <c r="EKP98" s="293"/>
      <c r="EKQ98" s="293"/>
      <c r="EKR98" s="293"/>
      <c r="EKS98" s="293"/>
      <c r="EKT98" s="293"/>
      <c r="EKU98" s="293"/>
      <c r="EKV98" s="293"/>
      <c r="EKW98" s="293"/>
      <c r="EKX98" s="293"/>
      <c r="EKY98" s="293"/>
      <c r="EKZ98" s="293"/>
      <c r="ELA98" s="293"/>
      <c r="ELB98" s="293"/>
      <c r="ELC98" s="293"/>
      <c r="ELD98" s="293"/>
      <c r="ELE98" s="293"/>
      <c r="ELF98" s="293"/>
      <c r="ELG98" s="293"/>
      <c r="ELH98" s="293"/>
      <c r="ELI98" s="293"/>
      <c r="ELJ98" s="293"/>
      <c r="ELK98" s="293"/>
      <c r="ELL98" s="293"/>
      <c r="ELM98" s="293"/>
      <c r="ELN98" s="293"/>
      <c r="ELO98" s="293"/>
      <c r="ELP98" s="293"/>
      <c r="ELQ98" s="293"/>
      <c r="ELR98" s="293"/>
      <c r="ELS98" s="293"/>
      <c r="ELT98" s="293"/>
      <c r="ELU98" s="293"/>
      <c r="ELV98" s="293"/>
      <c r="ELW98" s="293"/>
      <c r="ELX98" s="293"/>
      <c r="ELY98" s="293"/>
      <c r="ELZ98" s="293"/>
      <c r="EMA98" s="293"/>
      <c r="EMB98" s="293"/>
      <c r="EMC98" s="293"/>
      <c r="EMD98" s="293"/>
      <c r="EME98" s="293"/>
      <c r="EMF98" s="293"/>
      <c r="EMG98" s="293"/>
      <c r="EMH98" s="293"/>
      <c r="EMI98" s="293"/>
      <c r="EMJ98" s="293"/>
      <c r="EMK98" s="293"/>
      <c r="EML98" s="293"/>
      <c r="EMM98" s="293"/>
      <c r="EMN98" s="293"/>
      <c r="EMO98" s="293"/>
      <c r="EMP98" s="293"/>
      <c r="EMQ98" s="293"/>
      <c r="EMR98" s="293"/>
      <c r="EMS98" s="293"/>
      <c r="EMT98" s="293"/>
      <c r="EMU98" s="293"/>
      <c r="EMV98" s="293"/>
      <c r="EMW98" s="293"/>
      <c r="EMX98" s="293"/>
      <c r="EMY98" s="293"/>
      <c r="EMZ98" s="293"/>
      <c r="ENA98" s="293"/>
      <c r="ENB98" s="293"/>
      <c r="ENC98" s="293"/>
      <c r="END98" s="293"/>
      <c r="ENE98" s="293"/>
      <c r="ENF98" s="293"/>
      <c r="ENG98" s="293"/>
      <c r="ENH98" s="293"/>
      <c r="ENI98" s="293"/>
      <c r="ENJ98" s="293"/>
      <c r="ENK98" s="293"/>
      <c r="ENL98" s="293"/>
      <c r="ENM98" s="293"/>
      <c r="ENN98" s="293"/>
      <c r="ENO98" s="293"/>
      <c r="ENP98" s="293"/>
      <c r="ENQ98" s="293"/>
      <c r="ENR98" s="293"/>
      <c r="ENS98" s="293"/>
      <c r="ENT98" s="293"/>
      <c r="ENU98" s="293"/>
      <c r="ENV98" s="293"/>
      <c r="ENW98" s="293"/>
      <c r="ENX98" s="293"/>
      <c r="ENY98" s="293"/>
      <c r="ENZ98" s="293"/>
      <c r="EOA98" s="293"/>
      <c r="EOB98" s="293"/>
      <c r="EOC98" s="293"/>
      <c r="EOD98" s="293"/>
      <c r="EOE98" s="293"/>
      <c r="EOF98" s="293"/>
      <c r="EOG98" s="293"/>
      <c r="EOH98" s="293"/>
      <c r="EOI98" s="293"/>
      <c r="EOJ98" s="293"/>
      <c r="EOK98" s="293"/>
      <c r="EOL98" s="293"/>
      <c r="EOM98" s="293"/>
      <c r="EON98" s="293"/>
      <c r="EOO98" s="293"/>
      <c r="EOP98" s="293"/>
      <c r="EOQ98" s="293"/>
      <c r="EOR98" s="293"/>
      <c r="EOS98" s="293"/>
      <c r="EOT98" s="293"/>
      <c r="EOU98" s="293"/>
      <c r="EOV98" s="293"/>
      <c r="EOW98" s="293"/>
      <c r="EOX98" s="293"/>
      <c r="EOY98" s="293"/>
      <c r="EOZ98" s="293"/>
      <c r="EPA98" s="293"/>
      <c r="EPB98" s="293"/>
      <c r="EPC98" s="293"/>
      <c r="EPD98" s="293"/>
      <c r="EPE98" s="293"/>
      <c r="EPF98" s="293"/>
      <c r="EPG98" s="293"/>
      <c r="EPH98" s="293"/>
      <c r="EPI98" s="293"/>
      <c r="EPJ98" s="293"/>
      <c r="EPK98" s="293"/>
      <c r="EPL98" s="293"/>
      <c r="EPM98" s="293"/>
      <c r="EPN98" s="293"/>
      <c r="EPO98" s="293"/>
      <c r="EPP98" s="293"/>
      <c r="EPQ98" s="293"/>
      <c r="EPR98" s="293"/>
      <c r="EPS98" s="293"/>
      <c r="EPT98" s="293"/>
      <c r="EPU98" s="293"/>
      <c r="EPV98" s="293"/>
      <c r="EPW98" s="293"/>
      <c r="EPX98" s="293"/>
      <c r="EPY98" s="293"/>
      <c r="EPZ98" s="293"/>
      <c r="EQA98" s="293"/>
      <c r="EQB98" s="293"/>
      <c r="EQC98" s="293"/>
      <c r="EQD98" s="293"/>
      <c r="EQE98" s="293"/>
      <c r="EQF98" s="293"/>
      <c r="EQG98" s="293"/>
      <c r="EQH98" s="293"/>
      <c r="EQI98" s="293"/>
      <c r="EQJ98" s="293"/>
      <c r="EQK98" s="293"/>
      <c r="EQL98" s="293"/>
      <c r="EQM98" s="293"/>
      <c r="EQN98" s="293"/>
      <c r="EQO98" s="293"/>
      <c r="EQP98" s="293"/>
      <c r="EQQ98" s="293"/>
      <c r="EQR98" s="293"/>
      <c r="EQS98" s="293"/>
      <c r="EQT98" s="293"/>
      <c r="EQU98" s="293"/>
      <c r="EQV98" s="293"/>
      <c r="EQW98" s="293"/>
      <c r="EQX98" s="293"/>
      <c r="EQY98" s="293"/>
      <c r="EQZ98" s="293"/>
      <c r="ERA98" s="293"/>
      <c r="ERB98" s="293"/>
      <c r="ERC98" s="293"/>
      <c r="ERD98" s="293"/>
      <c r="ERE98" s="293"/>
      <c r="ERF98" s="293"/>
      <c r="ERG98" s="293"/>
      <c r="ERH98" s="293"/>
      <c r="ERI98" s="293"/>
      <c r="ERJ98" s="293"/>
      <c r="ERK98" s="293"/>
      <c r="ERL98" s="293"/>
      <c r="ERM98" s="293"/>
      <c r="ERN98" s="293"/>
      <c r="ERO98" s="293"/>
      <c r="ERP98" s="293"/>
      <c r="ERQ98" s="293"/>
      <c r="ERR98" s="293"/>
      <c r="ERS98" s="293"/>
      <c r="ERT98" s="293"/>
      <c r="ERU98" s="293"/>
      <c r="ERV98" s="293"/>
      <c r="ERW98" s="293"/>
      <c r="ERX98" s="293"/>
      <c r="ERY98" s="293"/>
      <c r="ERZ98" s="293"/>
      <c r="ESA98" s="293"/>
      <c r="ESB98" s="293"/>
      <c r="ESC98" s="293"/>
      <c r="ESD98" s="293"/>
      <c r="ESE98" s="293"/>
      <c r="ESF98" s="293"/>
      <c r="ESG98" s="293"/>
      <c r="ESH98" s="293"/>
      <c r="ESI98" s="293"/>
      <c r="ESJ98" s="293"/>
      <c r="ESK98" s="293"/>
      <c r="ESL98" s="293"/>
      <c r="ESM98" s="293"/>
      <c r="ESN98" s="293"/>
      <c r="ESO98" s="293"/>
      <c r="ESP98" s="293"/>
      <c r="ESQ98" s="293"/>
      <c r="ESR98" s="293"/>
      <c r="ESS98" s="293"/>
      <c r="EST98" s="293"/>
      <c r="ESU98" s="293"/>
      <c r="ESV98" s="293"/>
      <c r="ESW98" s="293"/>
      <c r="ESX98" s="293"/>
      <c r="ESY98" s="293"/>
      <c r="ESZ98" s="293"/>
      <c r="ETA98" s="293"/>
      <c r="ETB98" s="293"/>
      <c r="ETC98" s="293"/>
      <c r="ETD98" s="293"/>
      <c r="ETE98" s="293"/>
      <c r="ETF98" s="293"/>
      <c r="ETG98" s="293"/>
      <c r="ETH98" s="293"/>
      <c r="ETI98" s="293"/>
      <c r="ETJ98" s="293"/>
      <c r="ETK98" s="293"/>
      <c r="ETL98" s="293"/>
      <c r="ETM98" s="293"/>
      <c r="ETN98" s="293"/>
      <c r="ETO98" s="293"/>
      <c r="ETP98" s="293"/>
      <c r="ETQ98" s="293"/>
      <c r="ETR98" s="293"/>
      <c r="ETS98" s="293"/>
      <c r="ETT98" s="293"/>
      <c r="ETU98" s="293"/>
      <c r="ETV98" s="293"/>
      <c r="ETW98" s="293"/>
      <c r="ETX98" s="293"/>
      <c r="ETY98" s="293"/>
      <c r="ETZ98" s="293"/>
      <c r="EUA98" s="293"/>
      <c r="EUB98" s="293"/>
      <c r="EUC98" s="293"/>
      <c r="EUD98" s="293"/>
      <c r="EUE98" s="293"/>
      <c r="EUF98" s="293"/>
      <c r="EUG98" s="293"/>
      <c r="EUH98" s="293"/>
      <c r="EUI98" s="293"/>
      <c r="EUJ98" s="293"/>
      <c r="EUK98" s="293"/>
      <c r="EUL98" s="293"/>
      <c r="EUM98" s="293"/>
      <c r="EUN98" s="293"/>
      <c r="EUO98" s="293"/>
      <c r="EUP98" s="293"/>
      <c r="EUQ98" s="293"/>
      <c r="EUR98" s="293"/>
      <c r="EUS98" s="293"/>
      <c r="EUT98" s="293"/>
      <c r="EUU98" s="293"/>
      <c r="EUV98" s="293"/>
      <c r="EUW98" s="293"/>
      <c r="EUX98" s="293"/>
      <c r="EUY98" s="293"/>
      <c r="EUZ98" s="293"/>
      <c r="EVA98" s="293"/>
      <c r="EVB98" s="293"/>
      <c r="EVC98" s="293"/>
      <c r="EVD98" s="293"/>
      <c r="EVE98" s="293"/>
      <c r="EVF98" s="293"/>
      <c r="EVG98" s="293"/>
      <c r="EVH98" s="293"/>
      <c r="EVI98" s="293"/>
      <c r="EVJ98" s="293"/>
      <c r="EVK98" s="293"/>
      <c r="EVL98" s="293"/>
      <c r="EVM98" s="293"/>
      <c r="EVN98" s="293"/>
      <c r="EVO98" s="293"/>
      <c r="EVP98" s="293"/>
      <c r="EVQ98" s="293"/>
      <c r="EVR98" s="293"/>
      <c r="EVS98" s="293"/>
      <c r="EVT98" s="293"/>
      <c r="EVU98" s="293"/>
      <c r="EVV98" s="293"/>
      <c r="EVW98" s="293"/>
      <c r="EVX98" s="293"/>
      <c r="EVY98" s="293"/>
      <c r="EVZ98" s="293"/>
      <c r="EWA98" s="293"/>
      <c r="EWB98" s="293"/>
      <c r="EWC98" s="293"/>
      <c r="EWD98" s="293"/>
      <c r="EWE98" s="293"/>
      <c r="EWF98" s="293"/>
      <c r="EWG98" s="293"/>
      <c r="EWH98" s="293"/>
      <c r="EWI98" s="293"/>
      <c r="EWJ98" s="293"/>
      <c r="EWK98" s="293"/>
      <c r="EWL98" s="293"/>
      <c r="EWM98" s="293"/>
      <c r="EWN98" s="293"/>
      <c r="EWO98" s="293"/>
      <c r="EWP98" s="293"/>
      <c r="EWQ98" s="293"/>
      <c r="EWR98" s="293"/>
      <c r="EWS98" s="293"/>
      <c r="EWT98" s="293"/>
      <c r="EWU98" s="293"/>
      <c r="EWV98" s="293"/>
      <c r="EWW98" s="293"/>
      <c r="EWX98" s="293"/>
      <c r="EWY98" s="293"/>
      <c r="EWZ98" s="293"/>
      <c r="EXA98" s="293"/>
      <c r="EXB98" s="293"/>
      <c r="EXC98" s="293"/>
      <c r="EXD98" s="293"/>
      <c r="EXE98" s="293"/>
      <c r="EXF98" s="293"/>
      <c r="EXG98" s="293"/>
      <c r="EXH98" s="293"/>
      <c r="EXI98" s="293"/>
      <c r="EXJ98" s="293"/>
      <c r="EXK98" s="293"/>
      <c r="EXL98" s="293"/>
      <c r="EXM98" s="293"/>
      <c r="EXN98" s="293"/>
      <c r="EXO98" s="293"/>
      <c r="EXP98" s="293"/>
      <c r="EXQ98" s="293"/>
      <c r="EXR98" s="293"/>
      <c r="EXS98" s="293"/>
      <c r="EXT98" s="293"/>
      <c r="EXU98" s="293"/>
      <c r="EXV98" s="293"/>
      <c r="EXW98" s="293"/>
      <c r="EXX98" s="293"/>
      <c r="EXY98" s="293"/>
      <c r="EXZ98" s="293"/>
      <c r="EYA98" s="293"/>
      <c r="EYB98" s="293"/>
      <c r="EYC98" s="293"/>
      <c r="EYD98" s="293"/>
      <c r="EYE98" s="293"/>
      <c r="EYF98" s="293"/>
      <c r="EYG98" s="293"/>
      <c r="EYH98" s="293"/>
      <c r="EYI98" s="293"/>
      <c r="EYJ98" s="293"/>
      <c r="EYK98" s="293"/>
      <c r="EYL98" s="293"/>
      <c r="EYM98" s="293"/>
      <c r="EYN98" s="293"/>
      <c r="EYO98" s="293"/>
      <c r="EYP98" s="293"/>
      <c r="EYQ98" s="293"/>
      <c r="EYR98" s="293"/>
      <c r="EYS98" s="293"/>
      <c r="EYT98" s="293"/>
      <c r="EYU98" s="293"/>
      <c r="EYV98" s="293"/>
      <c r="EYW98" s="293"/>
      <c r="EYX98" s="293"/>
      <c r="EYY98" s="293"/>
      <c r="EYZ98" s="293"/>
      <c r="EZA98" s="293"/>
      <c r="EZB98" s="293"/>
      <c r="EZC98" s="293"/>
      <c r="EZD98" s="293"/>
      <c r="EZE98" s="293"/>
      <c r="EZF98" s="293"/>
      <c r="EZG98" s="293"/>
      <c r="EZH98" s="293"/>
      <c r="EZI98" s="293"/>
      <c r="EZJ98" s="293"/>
      <c r="EZK98" s="293"/>
      <c r="EZL98" s="293"/>
      <c r="EZM98" s="293"/>
      <c r="EZN98" s="293"/>
      <c r="EZO98" s="293"/>
      <c r="EZP98" s="293"/>
      <c r="EZQ98" s="293"/>
      <c r="EZR98" s="293"/>
      <c r="EZS98" s="293"/>
      <c r="EZT98" s="293"/>
      <c r="EZU98" s="293"/>
      <c r="EZV98" s="293"/>
      <c r="EZW98" s="293"/>
      <c r="EZX98" s="293"/>
      <c r="EZY98" s="293"/>
      <c r="EZZ98" s="293"/>
      <c r="FAA98" s="293"/>
      <c r="FAB98" s="293"/>
      <c r="FAC98" s="293"/>
      <c r="FAD98" s="293"/>
      <c r="FAE98" s="293"/>
      <c r="FAF98" s="293"/>
      <c r="FAG98" s="293"/>
      <c r="FAH98" s="293"/>
      <c r="FAI98" s="293"/>
      <c r="FAJ98" s="293"/>
      <c r="FAK98" s="293"/>
      <c r="FAL98" s="293"/>
      <c r="FAM98" s="293"/>
      <c r="FAN98" s="293"/>
      <c r="FAO98" s="293"/>
      <c r="FAP98" s="293"/>
      <c r="FAQ98" s="293"/>
      <c r="FAR98" s="293"/>
      <c r="FAS98" s="293"/>
      <c r="FAT98" s="293"/>
      <c r="FAU98" s="293"/>
      <c r="FAV98" s="293"/>
      <c r="FAW98" s="293"/>
      <c r="FAX98" s="293"/>
      <c r="FAY98" s="293"/>
      <c r="FAZ98" s="293"/>
      <c r="FBA98" s="293"/>
      <c r="FBB98" s="293"/>
      <c r="FBC98" s="293"/>
      <c r="FBD98" s="293"/>
      <c r="FBE98" s="293"/>
      <c r="FBF98" s="293"/>
      <c r="FBG98" s="293"/>
      <c r="FBH98" s="293"/>
      <c r="FBI98" s="293"/>
      <c r="FBJ98" s="293"/>
      <c r="FBK98" s="293"/>
      <c r="FBL98" s="293"/>
      <c r="FBM98" s="293"/>
      <c r="FBN98" s="293"/>
      <c r="FBO98" s="293"/>
      <c r="FBP98" s="293"/>
      <c r="FBQ98" s="293"/>
      <c r="FBR98" s="293"/>
      <c r="FBS98" s="293"/>
      <c r="FBT98" s="293"/>
      <c r="FBU98" s="293"/>
      <c r="FBV98" s="293"/>
      <c r="FBW98" s="293"/>
      <c r="FBX98" s="293"/>
      <c r="FBY98" s="293"/>
      <c r="FBZ98" s="293"/>
      <c r="FCA98" s="293"/>
      <c r="FCB98" s="293"/>
      <c r="FCC98" s="293"/>
      <c r="FCD98" s="293"/>
      <c r="FCE98" s="293"/>
      <c r="FCF98" s="293"/>
      <c r="FCG98" s="293"/>
      <c r="FCH98" s="293"/>
      <c r="FCI98" s="293"/>
      <c r="FCJ98" s="293"/>
      <c r="FCK98" s="293"/>
      <c r="FCL98" s="293"/>
      <c r="FCM98" s="293"/>
      <c r="FCN98" s="293"/>
      <c r="FCO98" s="293"/>
      <c r="FCP98" s="293"/>
      <c r="FCQ98" s="293"/>
      <c r="FCR98" s="293"/>
      <c r="FCS98" s="293"/>
      <c r="FCT98" s="293"/>
      <c r="FCU98" s="293"/>
      <c r="FCV98" s="293"/>
      <c r="FCW98" s="293"/>
      <c r="FCX98" s="293"/>
      <c r="FCY98" s="293"/>
      <c r="FCZ98" s="293"/>
      <c r="FDA98" s="293"/>
      <c r="FDB98" s="293"/>
      <c r="FDC98" s="293"/>
      <c r="FDD98" s="293"/>
      <c r="FDE98" s="293"/>
      <c r="FDF98" s="293"/>
      <c r="FDG98" s="293"/>
      <c r="FDH98" s="293"/>
      <c r="FDI98" s="293"/>
      <c r="FDJ98" s="293"/>
      <c r="FDK98" s="293"/>
      <c r="FDL98" s="293"/>
      <c r="FDM98" s="293"/>
      <c r="FDN98" s="293"/>
      <c r="FDO98" s="293"/>
      <c r="FDP98" s="293"/>
      <c r="FDQ98" s="293"/>
      <c r="FDR98" s="293"/>
      <c r="FDS98" s="293"/>
      <c r="FDT98" s="293"/>
      <c r="FDU98" s="293"/>
      <c r="FDV98" s="293"/>
      <c r="FDW98" s="293"/>
      <c r="FDX98" s="293"/>
      <c r="FDY98" s="293"/>
      <c r="FDZ98" s="293"/>
      <c r="FEA98" s="293"/>
      <c r="FEB98" s="293"/>
      <c r="FEC98" s="293"/>
      <c r="FED98" s="293"/>
      <c r="FEE98" s="293"/>
      <c r="FEF98" s="293"/>
      <c r="FEG98" s="293"/>
      <c r="FEH98" s="293"/>
      <c r="FEI98" s="293"/>
      <c r="FEJ98" s="293"/>
      <c r="FEK98" s="293"/>
      <c r="FEL98" s="293"/>
      <c r="FEM98" s="293"/>
      <c r="FEN98" s="293"/>
      <c r="FEO98" s="293"/>
      <c r="FEP98" s="293"/>
      <c r="FEQ98" s="293"/>
      <c r="FER98" s="293"/>
      <c r="FES98" s="293"/>
      <c r="FET98" s="293"/>
      <c r="FEU98" s="293"/>
      <c r="FEV98" s="293"/>
      <c r="FEW98" s="293"/>
      <c r="FEX98" s="293"/>
      <c r="FEY98" s="293"/>
      <c r="FEZ98" s="293"/>
      <c r="FFA98" s="293"/>
      <c r="FFB98" s="293"/>
      <c r="FFC98" s="293"/>
      <c r="FFD98" s="293"/>
      <c r="FFE98" s="293"/>
      <c r="FFF98" s="293"/>
      <c r="FFG98" s="293"/>
      <c r="FFH98" s="293"/>
      <c r="FFI98" s="293"/>
      <c r="FFJ98" s="293"/>
      <c r="FFK98" s="293"/>
      <c r="FFL98" s="293"/>
      <c r="FFM98" s="293"/>
      <c r="FFN98" s="293"/>
      <c r="FFO98" s="293"/>
      <c r="FFP98" s="293"/>
      <c r="FFQ98" s="293"/>
      <c r="FFR98" s="293"/>
      <c r="FFS98" s="293"/>
      <c r="FFT98" s="293"/>
      <c r="FFU98" s="293"/>
      <c r="FFV98" s="293"/>
      <c r="FFW98" s="293"/>
      <c r="FFX98" s="293"/>
      <c r="FFY98" s="293"/>
      <c r="FFZ98" s="293"/>
      <c r="FGA98" s="293"/>
      <c r="FGB98" s="293"/>
      <c r="FGC98" s="293"/>
      <c r="FGD98" s="293"/>
      <c r="FGE98" s="293"/>
      <c r="FGF98" s="293"/>
      <c r="FGG98" s="293"/>
      <c r="FGH98" s="293"/>
      <c r="FGI98" s="293"/>
      <c r="FGJ98" s="293"/>
      <c r="FGK98" s="293"/>
      <c r="FGL98" s="293"/>
      <c r="FGM98" s="293"/>
      <c r="FGN98" s="293"/>
      <c r="FGO98" s="293"/>
      <c r="FGP98" s="293"/>
      <c r="FGQ98" s="293"/>
      <c r="FGR98" s="293"/>
      <c r="FGS98" s="293"/>
      <c r="FGT98" s="293"/>
      <c r="FGU98" s="293"/>
      <c r="FGV98" s="293"/>
      <c r="FGW98" s="293"/>
      <c r="FGX98" s="293"/>
      <c r="FGY98" s="293"/>
      <c r="FGZ98" s="293"/>
      <c r="FHA98" s="293"/>
      <c r="FHB98" s="293"/>
      <c r="FHC98" s="293"/>
      <c r="FHD98" s="293"/>
      <c r="FHE98" s="293"/>
      <c r="FHF98" s="293"/>
      <c r="FHG98" s="293"/>
      <c r="FHH98" s="293"/>
      <c r="FHI98" s="293"/>
      <c r="FHJ98" s="293"/>
      <c r="FHK98" s="293"/>
      <c r="FHL98" s="293"/>
      <c r="FHM98" s="293"/>
      <c r="FHN98" s="293"/>
      <c r="FHO98" s="293"/>
      <c r="FHP98" s="293"/>
      <c r="FHQ98" s="293"/>
      <c r="FHR98" s="293"/>
      <c r="FHS98" s="293"/>
      <c r="FHT98" s="293"/>
      <c r="FHU98" s="293"/>
      <c r="FHV98" s="293"/>
      <c r="FHW98" s="293"/>
      <c r="FHX98" s="293"/>
      <c r="FHY98" s="293"/>
      <c r="FHZ98" s="293"/>
      <c r="FIA98" s="293"/>
      <c r="FIB98" s="293"/>
      <c r="FIC98" s="293"/>
      <c r="FID98" s="293"/>
      <c r="FIE98" s="293"/>
      <c r="FIF98" s="293"/>
      <c r="FIG98" s="293"/>
      <c r="FIH98" s="293"/>
      <c r="FII98" s="293"/>
      <c r="FIJ98" s="293"/>
      <c r="FIK98" s="293"/>
      <c r="FIL98" s="293"/>
      <c r="FIM98" s="293"/>
      <c r="FIN98" s="293"/>
      <c r="FIO98" s="293"/>
      <c r="FIP98" s="293"/>
      <c r="FIQ98" s="293"/>
      <c r="FIR98" s="293"/>
      <c r="FIS98" s="293"/>
      <c r="FIT98" s="293"/>
      <c r="FIU98" s="293"/>
      <c r="FIV98" s="293"/>
      <c r="FIW98" s="293"/>
      <c r="FIX98" s="293"/>
      <c r="FIY98" s="293"/>
      <c r="FIZ98" s="293"/>
      <c r="FJA98" s="293"/>
      <c r="FJB98" s="293"/>
      <c r="FJC98" s="293"/>
      <c r="FJD98" s="293"/>
      <c r="FJE98" s="293"/>
      <c r="FJF98" s="293"/>
      <c r="FJG98" s="293"/>
      <c r="FJH98" s="293"/>
      <c r="FJI98" s="293"/>
      <c r="FJJ98" s="293"/>
      <c r="FJK98" s="293"/>
      <c r="FJL98" s="293"/>
      <c r="FJM98" s="293"/>
      <c r="FJN98" s="293"/>
      <c r="FJO98" s="293"/>
      <c r="FJP98" s="293"/>
      <c r="FJQ98" s="293"/>
      <c r="FJR98" s="293"/>
      <c r="FJS98" s="293"/>
      <c r="FJT98" s="293"/>
      <c r="FJU98" s="293"/>
      <c r="FJV98" s="293"/>
      <c r="FJW98" s="293"/>
      <c r="FJX98" s="293"/>
      <c r="FJY98" s="293"/>
      <c r="FJZ98" s="293"/>
      <c r="FKA98" s="293"/>
      <c r="FKB98" s="293"/>
      <c r="FKC98" s="293"/>
      <c r="FKD98" s="293"/>
      <c r="FKE98" s="293"/>
      <c r="FKF98" s="293"/>
      <c r="FKG98" s="293"/>
      <c r="FKH98" s="293"/>
      <c r="FKI98" s="293"/>
      <c r="FKJ98" s="293"/>
      <c r="FKK98" s="293"/>
      <c r="FKL98" s="293"/>
      <c r="FKM98" s="293"/>
      <c r="FKN98" s="293"/>
      <c r="FKO98" s="293"/>
      <c r="FKP98" s="293"/>
      <c r="FKQ98" s="293"/>
      <c r="FKR98" s="293"/>
      <c r="FKS98" s="293"/>
      <c r="FKT98" s="293"/>
      <c r="FKU98" s="293"/>
      <c r="FKV98" s="293"/>
      <c r="FKW98" s="293"/>
      <c r="FKX98" s="293"/>
      <c r="FKY98" s="293"/>
      <c r="FKZ98" s="293"/>
      <c r="FLA98" s="293"/>
      <c r="FLB98" s="293"/>
      <c r="FLC98" s="293"/>
      <c r="FLD98" s="293"/>
      <c r="FLE98" s="293"/>
      <c r="FLF98" s="293"/>
      <c r="FLG98" s="293"/>
      <c r="FLH98" s="293"/>
      <c r="FLI98" s="293"/>
      <c r="FLJ98" s="293"/>
      <c r="FLK98" s="293"/>
      <c r="FLL98" s="293"/>
      <c r="FLM98" s="293"/>
      <c r="FLN98" s="293"/>
      <c r="FLO98" s="293"/>
      <c r="FLP98" s="293"/>
      <c r="FLQ98" s="293"/>
      <c r="FLR98" s="293"/>
      <c r="FLS98" s="293"/>
      <c r="FLT98" s="293"/>
      <c r="FLU98" s="293"/>
      <c r="FLV98" s="293"/>
      <c r="FLW98" s="293"/>
      <c r="FLX98" s="293"/>
      <c r="FLY98" s="293"/>
      <c r="FLZ98" s="293"/>
      <c r="FMA98" s="293"/>
      <c r="FMB98" s="293"/>
      <c r="FMC98" s="293"/>
      <c r="FMD98" s="293"/>
      <c r="FME98" s="293"/>
      <c r="FMF98" s="293"/>
      <c r="FMG98" s="293"/>
      <c r="FMH98" s="293"/>
      <c r="FMI98" s="293"/>
      <c r="FMJ98" s="293"/>
      <c r="FMK98" s="293"/>
      <c r="FML98" s="293"/>
      <c r="FMM98" s="293"/>
      <c r="FMN98" s="293"/>
      <c r="FMO98" s="293"/>
      <c r="FMP98" s="293"/>
      <c r="FMQ98" s="293"/>
      <c r="FMR98" s="293"/>
      <c r="FMS98" s="293"/>
      <c r="FMT98" s="293"/>
      <c r="FMU98" s="293"/>
      <c r="FMV98" s="293"/>
      <c r="FMW98" s="293"/>
      <c r="FMX98" s="293"/>
      <c r="FMY98" s="293"/>
      <c r="FMZ98" s="293"/>
      <c r="FNA98" s="293"/>
      <c r="FNB98" s="293"/>
      <c r="FNC98" s="293"/>
      <c r="FND98" s="293"/>
      <c r="FNE98" s="293"/>
      <c r="FNF98" s="293"/>
      <c r="FNG98" s="293"/>
      <c r="FNH98" s="293"/>
      <c r="FNI98" s="293"/>
      <c r="FNJ98" s="293"/>
      <c r="FNK98" s="293"/>
      <c r="FNL98" s="293"/>
      <c r="FNM98" s="293"/>
      <c r="FNN98" s="293"/>
      <c r="FNO98" s="293"/>
      <c r="FNP98" s="293"/>
      <c r="FNQ98" s="293"/>
      <c r="FNR98" s="293"/>
      <c r="FNS98" s="293"/>
      <c r="FNT98" s="293"/>
      <c r="FNU98" s="293"/>
      <c r="FNV98" s="293"/>
      <c r="FNW98" s="293"/>
      <c r="FNX98" s="293"/>
      <c r="FNY98" s="293"/>
      <c r="FNZ98" s="293"/>
      <c r="FOA98" s="293"/>
      <c r="FOB98" s="293"/>
      <c r="FOC98" s="293"/>
      <c r="FOD98" s="293"/>
      <c r="FOE98" s="293"/>
      <c r="FOF98" s="293"/>
      <c r="FOG98" s="293"/>
      <c r="FOH98" s="293"/>
      <c r="FOI98" s="293"/>
      <c r="FOJ98" s="293"/>
      <c r="FOK98" s="293"/>
      <c r="FOL98" s="293"/>
      <c r="FOM98" s="293"/>
      <c r="FON98" s="293"/>
      <c r="FOO98" s="293"/>
      <c r="FOP98" s="293"/>
      <c r="FOQ98" s="293"/>
      <c r="FOR98" s="293"/>
      <c r="FOS98" s="293"/>
      <c r="FOT98" s="293"/>
      <c r="FOU98" s="293"/>
      <c r="FOV98" s="293"/>
      <c r="FOW98" s="293"/>
      <c r="FOX98" s="293"/>
      <c r="FOY98" s="293"/>
      <c r="FOZ98" s="293"/>
      <c r="FPA98" s="293"/>
      <c r="FPB98" s="293"/>
      <c r="FPC98" s="293"/>
      <c r="FPD98" s="293"/>
      <c r="FPE98" s="293"/>
      <c r="FPF98" s="293"/>
      <c r="FPG98" s="293"/>
      <c r="FPH98" s="293"/>
      <c r="FPI98" s="293"/>
      <c r="FPJ98" s="293"/>
      <c r="FPK98" s="293"/>
      <c r="FPL98" s="293"/>
      <c r="FPM98" s="293"/>
      <c r="FPN98" s="293"/>
      <c r="FPO98" s="293"/>
      <c r="FPP98" s="293"/>
      <c r="FPQ98" s="293"/>
      <c r="FPR98" s="293"/>
      <c r="FPS98" s="293"/>
      <c r="FPT98" s="293"/>
      <c r="FPU98" s="293"/>
      <c r="FPV98" s="293"/>
      <c r="FPW98" s="293"/>
      <c r="FPX98" s="293"/>
      <c r="FPY98" s="293"/>
      <c r="FPZ98" s="293"/>
      <c r="FQA98" s="293"/>
      <c r="FQB98" s="293"/>
      <c r="FQC98" s="293"/>
      <c r="FQD98" s="293"/>
      <c r="FQE98" s="293"/>
      <c r="FQF98" s="293"/>
      <c r="FQG98" s="293"/>
      <c r="FQH98" s="293"/>
      <c r="FQI98" s="293"/>
      <c r="FQJ98" s="293"/>
      <c r="FQK98" s="293"/>
      <c r="FQL98" s="293"/>
      <c r="FQM98" s="293"/>
      <c r="FQN98" s="293"/>
      <c r="FQO98" s="293"/>
      <c r="FQP98" s="293"/>
      <c r="FQQ98" s="293"/>
      <c r="FQR98" s="293"/>
      <c r="FQS98" s="293"/>
      <c r="FQT98" s="293"/>
      <c r="FQU98" s="293"/>
      <c r="FQV98" s="293"/>
      <c r="FQW98" s="293"/>
      <c r="FQX98" s="293"/>
      <c r="FQY98" s="293"/>
      <c r="FQZ98" s="293"/>
      <c r="FRA98" s="293"/>
      <c r="FRB98" s="293"/>
      <c r="FRC98" s="293"/>
      <c r="FRD98" s="293"/>
      <c r="FRE98" s="293"/>
      <c r="FRF98" s="293"/>
      <c r="FRG98" s="293"/>
      <c r="FRH98" s="293"/>
      <c r="FRI98" s="293"/>
      <c r="FRJ98" s="293"/>
      <c r="FRK98" s="293"/>
      <c r="FRL98" s="293"/>
      <c r="FRM98" s="293"/>
      <c r="FRN98" s="293"/>
      <c r="FRO98" s="293"/>
      <c r="FRP98" s="293"/>
      <c r="FRQ98" s="293"/>
      <c r="FRR98" s="293"/>
      <c r="FRS98" s="293"/>
      <c r="FRT98" s="293"/>
      <c r="FRU98" s="293"/>
      <c r="FRV98" s="293"/>
      <c r="FRW98" s="293"/>
      <c r="FRX98" s="293"/>
      <c r="FRY98" s="293"/>
      <c r="FRZ98" s="293"/>
      <c r="FSA98" s="293"/>
      <c r="FSB98" s="293"/>
      <c r="FSC98" s="293"/>
      <c r="FSD98" s="293"/>
      <c r="FSE98" s="293"/>
      <c r="FSF98" s="293"/>
      <c r="FSG98" s="293"/>
      <c r="FSH98" s="293"/>
      <c r="FSI98" s="293"/>
      <c r="FSJ98" s="293"/>
      <c r="FSK98" s="293"/>
      <c r="FSL98" s="293"/>
      <c r="FSM98" s="293"/>
      <c r="FSN98" s="293"/>
      <c r="FSO98" s="293"/>
      <c r="FSP98" s="293"/>
      <c r="FSQ98" s="293"/>
      <c r="FSR98" s="293"/>
      <c r="FSS98" s="293"/>
      <c r="FST98" s="293"/>
      <c r="FSU98" s="293"/>
      <c r="FSV98" s="293"/>
      <c r="FSW98" s="293"/>
      <c r="FSX98" s="293"/>
      <c r="FSY98" s="293"/>
      <c r="FSZ98" s="293"/>
      <c r="FTA98" s="293"/>
      <c r="FTB98" s="293"/>
      <c r="FTC98" s="293"/>
      <c r="FTD98" s="293"/>
      <c r="FTE98" s="293"/>
      <c r="FTF98" s="293"/>
      <c r="FTG98" s="293"/>
      <c r="FTH98" s="293"/>
      <c r="FTI98" s="293"/>
      <c r="FTJ98" s="293"/>
      <c r="FTK98" s="293"/>
      <c r="FTL98" s="293"/>
      <c r="FTM98" s="293"/>
      <c r="FTN98" s="293"/>
      <c r="FTO98" s="293"/>
      <c r="FTP98" s="293"/>
      <c r="FTQ98" s="293"/>
      <c r="FTR98" s="293"/>
      <c r="FTS98" s="293"/>
      <c r="FTT98" s="293"/>
      <c r="FTU98" s="293"/>
      <c r="FTV98" s="293"/>
      <c r="FTW98" s="293"/>
      <c r="FTX98" s="293"/>
      <c r="FTY98" s="293"/>
      <c r="FTZ98" s="293"/>
      <c r="FUA98" s="293"/>
      <c r="FUB98" s="293"/>
      <c r="FUC98" s="293"/>
      <c r="FUD98" s="293"/>
      <c r="FUE98" s="293"/>
      <c r="FUF98" s="293"/>
      <c r="FUG98" s="293"/>
      <c r="FUH98" s="293"/>
      <c r="FUI98" s="293"/>
      <c r="FUJ98" s="293"/>
      <c r="FUK98" s="293"/>
      <c r="FUL98" s="293"/>
      <c r="FUM98" s="293"/>
      <c r="FUN98" s="293"/>
      <c r="FUO98" s="293"/>
      <c r="FUP98" s="293"/>
      <c r="FUQ98" s="293"/>
      <c r="FUR98" s="293"/>
      <c r="FUS98" s="293"/>
      <c r="FUT98" s="293"/>
      <c r="FUU98" s="293"/>
      <c r="FUV98" s="293"/>
      <c r="FUW98" s="293"/>
      <c r="FUX98" s="293"/>
      <c r="FUY98" s="293"/>
      <c r="FUZ98" s="293"/>
      <c r="FVA98" s="293"/>
      <c r="FVB98" s="293"/>
      <c r="FVC98" s="293"/>
      <c r="FVD98" s="293"/>
      <c r="FVE98" s="293"/>
      <c r="FVF98" s="293"/>
      <c r="FVG98" s="293"/>
      <c r="FVH98" s="293"/>
      <c r="FVI98" s="293"/>
      <c r="FVJ98" s="293"/>
      <c r="FVK98" s="293"/>
      <c r="FVL98" s="293"/>
      <c r="FVM98" s="293"/>
      <c r="FVN98" s="293"/>
      <c r="FVO98" s="293"/>
      <c r="FVP98" s="293"/>
      <c r="FVQ98" s="293"/>
      <c r="FVR98" s="293"/>
      <c r="FVS98" s="293"/>
      <c r="FVT98" s="293"/>
      <c r="FVU98" s="293"/>
      <c r="FVV98" s="293"/>
      <c r="FVW98" s="293"/>
      <c r="FVX98" s="293"/>
      <c r="FVY98" s="293"/>
      <c r="FVZ98" s="293"/>
      <c r="FWA98" s="293"/>
      <c r="FWB98" s="293"/>
      <c r="FWC98" s="293"/>
      <c r="FWD98" s="293"/>
      <c r="FWE98" s="293"/>
      <c r="FWF98" s="293"/>
      <c r="FWG98" s="293"/>
      <c r="FWH98" s="293"/>
      <c r="FWI98" s="293"/>
      <c r="FWJ98" s="293"/>
      <c r="FWK98" s="293"/>
      <c r="FWL98" s="293"/>
      <c r="FWM98" s="293"/>
      <c r="FWN98" s="293"/>
      <c r="FWO98" s="293"/>
      <c r="FWP98" s="293"/>
      <c r="FWQ98" s="293"/>
      <c r="FWR98" s="293"/>
      <c r="FWS98" s="293"/>
      <c r="FWT98" s="293"/>
      <c r="FWU98" s="293"/>
      <c r="FWV98" s="293"/>
      <c r="FWW98" s="293"/>
      <c r="FWX98" s="293"/>
      <c r="FWY98" s="293"/>
      <c r="FWZ98" s="293"/>
      <c r="FXA98" s="293"/>
      <c r="FXB98" s="293"/>
      <c r="FXC98" s="293"/>
      <c r="FXD98" s="293"/>
      <c r="FXE98" s="293"/>
      <c r="FXF98" s="293"/>
      <c r="FXG98" s="293"/>
      <c r="FXH98" s="293"/>
      <c r="FXI98" s="293"/>
      <c r="FXJ98" s="293"/>
      <c r="FXK98" s="293"/>
      <c r="FXL98" s="293"/>
      <c r="FXM98" s="293"/>
      <c r="FXN98" s="293"/>
      <c r="FXO98" s="293"/>
      <c r="FXP98" s="293"/>
      <c r="FXQ98" s="293"/>
      <c r="FXR98" s="293"/>
      <c r="FXS98" s="293"/>
      <c r="FXT98" s="293"/>
      <c r="FXU98" s="293"/>
      <c r="FXV98" s="293"/>
      <c r="FXW98" s="293"/>
      <c r="FXX98" s="293"/>
      <c r="FXY98" s="293"/>
      <c r="FXZ98" s="293"/>
      <c r="FYA98" s="293"/>
      <c r="FYB98" s="293"/>
      <c r="FYC98" s="293"/>
      <c r="FYD98" s="293"/>
      <c r="FYE98" s="293"/>
      <c r="FYF98" s="293"/>
      <c r="FYG98" s="293"/>
      <c r="FYH98" s="293"/>
      <c r="FYI98" s="293"/>
      <c r="FYJ98" s="293"/>
      <c r="FYK98" s="293"/>
      <c r="FYL98" s="293"/>
      <c r="FYM98" s="293"/>
      <c r="FYN98" s="293"/>
      <c r="FYO98" s="293"/>
      <c r="FYP98" s="293"/>
      <c r="FYQ98" s="293"/>
      <c r="FYR98" s="293"/>
      <c r="FYS98" s="293"/>
      <c r="FYT98" s="293"/>
      <c r="FYU98" s="293"/>
      <c r="FYV98" s="293"/>
      <c r="FYW98" s="293"/>
      <c r="FYX98" s="293"/>
      <c r="FYY98" s="293"/>
      <c r="FYZ98" s="293"/>
      <c r="FZA98" s="293"/>
      <c r="FZB98" s="293"/>
      <c r="FZC98" s="293"/>
      <c r="FZD98" s="293"/>
      <c r="FZE98" s="293"/>
      <c r="FZF98" s="293"/>
      <c r="FZG98" s="293"/>
      <c r="FZH98" s="293"/>
      <c r="FZI98" s="293"/>
      <c r="FZJ98" s="293"/>
      <c r="FZK98" s="293"/>
      <c r="FZL98" s="293"/>
      <c r="FZM98" s="293"/>
      <c r="FZN98" s="293"/>
      <c r="FZO98" s="293"/>
      <c r="FZP98" s="293"/>
      <c r="FZQ98" s="293"/>
      <c r="FZR98" s="293"/>
      <c r="FZS98" s="293"/>
      <c r="FZT98" s="293"/>
      <c r="FZU98" s="293"/>
      <c r="FZV98" s="293"/>
      <c r="FZW98" s="293"/>
      <c r="FZX98" s="293"/>
      <c r="FZY98" s="293"/>
      <c r="FZZ98" s="293"/>
      <c r="GAA98" s="293"/>
      <c r="GAB98" s="293"/>
      <c r="GAC98" s="293"/>
      <c r="GAD98" s="293"/>
      <c r="GAE98" s="293"/>
      <c r="GAF98" s="293"/>
      <c r="GAG98" s="293"/>
      <c r="GAH98" s="293"/>
      <c r="GAI98" s="293"/>
      <c r="GAJ98" s="293"/>
      <c r="GAK98" s="293"/>
      <c r="GAL98" s="293"/>
      <c r="GAM98" s="293"/>
      <c r="GAN98" s="293"/>
      <c r="GAO98" s="293"/>
      <c r="GAP98" s="293"/>
      <c r="GAQ98" s="293"/>
      <c r="GAR98" s="293"/>
      <c r="GAS98" s="293"/>
      <c r="GAT98" s="293"/>
      <c r="GAU98" s="293"/>
      <c r="GAV98" s="293"/>
      <c r="GAW98" s="293"/>
      <c r="GAX98" s="293"/>
      <c r="GAY98" s="293"/>
      <c r="GAZ98" s="293"/>
      <c r="GBA98" s="293"/>
      <c r="GBB98" s="293"/>
      <c r="GBC98" s="293"/>
      <c r="GBD98" s="293"/>
      <c r="GBE98" s="293"/>
      <c r="GBF98" s="293"/>
      <c r="GBG98" s="293"/>
      <c r="GBH98" s="293"/>
      <c r="GBI98" s="293"/>
      <c r="GBJ98" s="293"/>
      <c r="GBK98" s="293"/>
      <c r="GBL98" s="293"/>
      <c r="GBM98" s="293"/>
      <c r="GBN98" s="293"/>
      <c r="GBO98" s="293"/>
      <c r="GBP98" s="293"/>
      <c r="GBQ98" s="293"/>
      <c r="GBR98" s="293"/>
      <c r="GBS98" s="293"/>
      <c r="GBT98" s="293"/>
      <c r="GBU98" s="293"/>
      <c r="GBV98" s="293"/>
      <c r="GBW98" s="293"/>
      <c r="GBX98" s="293"/>
      <c r="GBY98" s="293"/>
      <c r="GBZ98" s="293"/>
      <c r="GCA98" s="293"/>
      <c r="GCB98" s="293"/>
      <c r="GCC98" s="293"/>
      <c r="GCD98" s="293"/>
      <c r="GCE98" s="293"/>
      <c r="GCF98" s="293"/>
      <c r="GCG98" s="293"/>
      <c r="GCH98" s="293"/>
      <c r="GCI98" s="293"/>
      <c r="GCJ98" s="293"/>
      <c r="GCK98" s="293"/>
      <c r="GCL98" s="293"/>
      <c r="GCM98" s="293"/>
      <c r="GCN98" s="293"/>
      <c r="GCO98" s="293"/>
      <c r="GCP98" s="293"/>
      <c r="GCQ98" s="293"/>
      <c r="GCR98" s="293"/>
      <c r="GCS98" s="293"/>
      <c r="GCT98" s="293"/>
      <c r="GCU98" s="293"/>
      <c r="GCV98" s="293"/>
      <c r="GCW98" s="293"/>
      <c r="GCX98" s="293"/>
      <c r="GCY98" s="293"/>
      <c r="GCZ98" s="293"/>
      <c r="GDA98" s="293"/>
      <c r="GDB98" s="293"/>
      <c r="GDC98" s="293"/>
      <c r="GDD98" s="293"/>
      <c r="GDE98" s="293"/>
      <c r="GDF98" s="293"/>
      <c r="GDG98" s="293"/>
      <c r="GDH98" s="293"/>
      <c r="GDI98" s="293"/>
      <c r="GDJ98" s="293"/>
      <c r="GDK98" s="293"/>
      <c r="GDL98" s="293"/>
      <c r="GDM98" s="293"/>
      <c r="GDN98" s="293"/>
      <c r="GDO98" s="293"/>
      <c r="GDP98" s="293"/>
      <c r="GDQ98" s="293"/>
      <c r="GDR98" s="293"/>
      <c r="GDS98" s="293"/>
      <c r="GDT98" s="293"/>
      <c r="GDU98" s="293"/>
      <c r="GDV98" s="293"/>
      <c r="GDW98" s="293"/>
      <c r="GDX98" s="293"/>
      <c r="GDY98" s="293"/>
      <c r="GDZ98" s="293"/>
      <c r="GEA98" s="293"/>
      <c r="GEB98" s="293"/>
      <c r="GEC98" s="293"/>
      <c r="GED98" s="293"/>
      <c r="GEE98" s="293"/>
      <c r="GEF98" s="293"/>
      <c r="GEG98" s="293"/>
      <c r="GEH98" s="293"/>
      <c r="GEI98" s="293"/>
      <c r="GEJ98" s="293"/>
      <c r="GEK98" s="293"/>
      <c r="GEL98" s="293"/>
      <c r="GEM98" s="293"/>
      <c r="GEN98" s="293"/>
      <c r="GEO98" s="293"/>
      <c r="GEP98" s="293"/>
      <c r="GEQ98" s="293"/>
      <c r="GER98" s="293"/>
      <c r="GES98" s="293"/>
      <c r="GET98" s="293"/>
      <c r="GEU98" s="293"/>
      <c r="GEV98" s="293"/>
      <c r="GEW98" s="293"/>
      <c r="GEX98" s="293"/>
      <c r="GEY98" s="293"/>
      <c r="GEZ98" s="293"/>
      <c r="GFA98" s="293"/>
      <c r="GFB98" s="293"/>
      <c r="GFC98" s="293"/>
      <c r="GFD98" s="293"/>
      <c r="GFE98" s="293"/>
      <c r="GFF98" s="293"/>
      <c r="GFG98" s="293"/>
      <c r="GFH98" s="293"/>
      <c r="GFI98" s="293"/>
      <c r="GFJ98" s="293"/>
      <c r="GFK98" s="293"/>
      <c r="GFL98" s="293"/>
      <c r="GFM98" s="293"/>
      <c r="GFN98" s="293"/>
      <c r="GFO98" s="293"/>
      <c r="GFP98" s="293"/>
      <c r="GFQ98" s="293"/>
      <c r="GFR98" s="293"/>
      <c r="GFS98" s="293"/>
      <c r="GFT98" s="293"/>
      <c r="GFU98" s="293"/>
      <c r="GFV98" s="293"/>
      <c r="GFW98" s="293"/>
      <c r="GFX98" s="293"/>
      <c r="GFY98" s="293"/>
      <c r="GFZ98" s="293"/>
      <c r="GGA98" s="293"/>
      <c r="GGB98" s="293"/>
      <c r="GGC98" s="293"/>
      <c r="GGD98" s="293"/>
      <c r="GGE98" s="293"/>
      <c r="GGF98" s="293"/>
      <c r="GGG98" s="293"/>
      <c r="GGH98" s="293"/>
      <c r="GGI98" s="293"/>
      <c r="GGJ98" s="293"/>
      <c r="GGK98" s="293"/>
      <c r="GGL98" s="293"/>
      <c r="GGM98" s="293"/>
      <c r="GGN98" s="293"/>
      <c r="GGO98" s="293"/>
      <c r="GGP98" s="293"/>
      <c r="GGQ98" s="293"/>
      <c r="GGR98" s="293"/>
      <c r="GGS98" s="293"/>
      <c r="GGT98" s="293"/>
      <c r="GGU98" s="293"/>
      <c r="GGV98" s="293"/>
      <c r="GGW98" s="293"/>
      <c r="GGX98" s="293"/>
      <c r="GGY98" s="293"/>
      <c r="GGZ98" s="293"/>
      <c r="GHA98" s="293"/>
      <c r="GHB98" s="293"/>
      <c r="GHC98" s="293"/>
      <c r="GHD98" s="293"/>
      <c r="GHE98" s="293"/>
      <c r="GHF98" s="293"/>
      <c r="GHG98" s="293"/>
      <c r="GHH98" s="293"/>
      <c r="GHI98" s="293"/>
      <c r="GHJ98" s="293"/>
      <c r="GHK98" s="293"/>
      <c r="GHL98" s="293"/>
      <c r="GHM98" s="293"/>
      <c r="GHN98" s="293"/>
      <c r="GHO98" s="293"/>
      <c r="GHP98" s="293"/>
      <c r="GHQ98" s="293"/>
      <c r="GHR98" s="293"/>
      <c r="GHS98" s="293"/>
      <c r="GHT98" s="293"/>
      <c r="GHU98" s="293"/>
      <c r="GHV98" s="293"/>
      <c r="GHW98" s="293"/>
      <c r="GHX98" s="293"/>
      <c r="GHY98" s="293"/>
      <c r="GHZ98" s="293"/>
      <c r="GIA98" s="293"/>
      <c r="GIB98" s="293"/>
      <c r="GIC98" s="293"/>
      <c r="GID98" s="293"/>
      <c r="GIE98" s="293"/>
      <c r="GIF98" s="293"/>
      <c r="GIG98" s="293"/>
      <c r="GIH98" s="293"/>
      <c r="GII98" s="293"/>
      <c r="GIJ98" s="293"/>
      <c r="GIK98" s="293"/>
      <c r="GIL98" s="293"/>
      <c r="GIM98" s="293"/>
      <c r="GIN98" s="293"/>
      <c r="GIO98" s="293"/>
      <c r="GIP98" s="293"/>
      <c r="GIQ98" s="293"/>
      <c r="GIR98" s="293"/>
      <c r="GIS98" s="293"/>
      <c r="GIT98" s="293"/>
      <c r="GIU98" s="293"/>
      <c r="GIV98" s="293"/>
      <c r="GIW98" s="293"/>
      <c r="GIX98" s="293"/>
      <c r="GIY98" s="293"/>
      <c r="GIZ98" s="293"/>
      <c r="GJA98" s="293"/>
      <c r="GJB98" s="293"/>
      <c r="GJC98" s="293"/>
      <c r="GJD98" s="293"/>
      <c r="GJE98" s="293"/>
      <c r="GJF98" s="293"/>
      <c r="GJG98" s="293"/>
      <c r="GJH98" s="293"/>
      <c r="GJI98" s="293"/>
      <c r="GJJ98" s="293"/>
      <c r="GJK98" s="293"/>
      <c r="GJL98" s="293"/>
      <c r="GJM98" s="293"/>
      <c r="GJN98" s="293"/>
      <c r="GJO98" s="293"/>
      <c r="GJP98" s="293"/>
      <c r="GJQ98" s="293"/>
      <c r="GJR98" s="293"/>
      <c r="GJS98" s="293"/>
      <c r="GJT98" s="293"/>
      <c r="GJU98" s="293"/>
      <c r="GJV98" s="293"/>
      <c r="GJW98" s="293"/>
      <c r="GJX98" s="293"/>
      <c r="GJY98" s="293"/>
      <c r="GJZ98" s="293"/>
      <c r="GKA98" s="293"/>
      <c r="GKB98" s="293"/>
      <c r="GKC98" s="293"/>
      <c r="GKD98" s="293"/>
      <c r="GKE98" s="293"/>
      <c r="GKF98" s="293"/>
      <c r="GKG98" s="293"/>
      <c r="GKH98" s="293"/>
      <c r="GKI98" s="293"/>
      <c r="GKJ98" s="293"/>
      <c r="GKK98" s="293"/>
      <c r="GKL98" s="293"/>
      <c r="GKM98" s="293"/>
      <c r="GKN98" s="293"/>
      <c r="GKO98" s="293"/>
      <c r="GKP98" s="293"/>
      <c r="GKQ98" s="293"/>
      <c r="GKR98" s="293"/>
      <c r="GKS98" s="293"/>
      <c r="GKT98" s="293"/>
      <c r="GKU98" s="293"/>
      <c r="GKV98" s="293"/>
      <c r="GKW98" s="293"/>
      <c r="GKX98" s="293"/>
      <c r="GKY98" s="293"/>
      <c r="GKZ98" s="293"/>
      <c r="GLA98" s="293"/>
      <c r="GLB98" s="293"/>
      <c r="GLC98" s="293"/>
      <c r="GLD98" s="293"/>
      <c r="GLE98" s="293"/>
      <c r="GLF98" s="293"/>
      <c r="GLG98" s="293"/>
      <c r="GLH98" s="293"/>
      <c r="GLI98" s="293"/>
      <c r="GLJ98" s="293"/>
      <c r="GLK98" s="293"/>
      <c r="GLL98" s="293"/>
      <c r="GLM98" s="293"/>
      <c r="GLN98" s="293"/>
      <c r="GLO98" s="293"/>
      <c r="GLP98" s="293"/>
      <c r="GLQ98" s="293"/>
      <c r="GLR98" s="293"/>
      <c r="GLS98" s="293"/>
      <c r="GLT98" s="293"/>
      <c r="GLU98" s="293"/>
      <c r="GLV98" s="293"/>
      <c r="GLW98" s="293"/>
      <c r="GLX98" s="293"/>
      <c r="GLY98" s="293"/>
      <c r="GLZ98" s="293"/>
      <c r="GMA98" s="293"/>
      <c r="GMB98" s="293"/>
      <c r="GMC98" s="293"/>
      <c r="GMD98" s="293"/>
      <c r="GME98" s="293"/>
      <c r="GMF98" s="293"/>
      <c r="GMG98" s="293"/>
      <c r="GMH98" s="293"/>
      <c r="GMI98" s="293"/>
      <c r="GMJ98" s="293"/>
      <c r="GMK98" s="293"/>
      <c r="GML98" s="293"/>
      <c r="GMM98" s="293"/>
      <c r="GMN98" s="293"/>
      <c r="GMO98" s="293"/>
      <c r="GMP98" s="293"/>
      <c r="GMQ98" s="293"/>
      <c r="GMR98" s="293"/>
      <c r="GMS98" s="293"/>
      <c r="GMT98" s="293"/>
      <c r="GMU98" s="293"/>
      <c r="GMV98" s="293"/>
      <c r="GMW98" s="293"/>
      <c r="GMX98" s="293"/>
      <c r="GMY98" s="293"/>
      <c r="GMZ98" s="293"/>
      <c r="GNA98" s="293"/>
      <c r="GNB98" s="293"/>
      <c r="GNC98" s="293"/>
      <c r="GND98" s="293"/>
      <c r="GNE98" s="293"/>
      <c r="GNF98" s="293"/>
      <c r="GNG98" s="293"/>
      <c r="GNH98" s="293"/>
      <c r="GNI98" s="293"/>
      <c r="GNJ98" s="293"/>
      <c r="GNK98" s="293"/>
      <c r="GNL98" s="293"/>
      <c r="GNM98" s="293"/>
      <c r="GNN98" s="293"/>
      <c r="GNO98" s="293"/>
      <c r="GNP98" s="293"/>
      <c r="GNQ98" s="293"/>
      <c r="GNR98" s="293"/>
      <c r="GNS98" s="293"/>
      <c r="GNT98" s="293"/>
      <c r="GNU98" s="293"/>
      <c r="GNV98" s="293"/>
      <c r="GNW98" s="293"/>
      <c r="GNX98" s="293"/>
      <c r="GNY98" s="293"/>
      <c r="GNZ98" s="293"/>
      <c r="GOA98" s="293"/>
      <c r="GOB98" s="293"/>
      <c r="GOC98" s="293"/>
      <c r="GOD98" s="293"/>
      <c r="GOE98" s="293"/>
      <c r="GOF98" s="293"/>
      <c r="GOG98" s="293"/>
      <c r="GOH98" s="293"/>
      <c r="GOI98" s="293"/>
      <c r="GOJ98" s="293"/>
      <c r="GOK98" s="293"/>
      <c r="GOL98" s="293"/>
      <c r="GOM98" s="293"/>
      <c r="GON98" s="293"/>
      <c r="GOO98" s="293"/>
      <c r="GOP98" s="293"/>
      <c r="GOQ98" s="293"/>
      <c r="GOR98" s="293"/>
      <c r="GOS98" s="293"/>
      <c r="GOT98" s="293"/>
      <c r="GOU98" s="293"/>
      <c r="GOV98" s="293"/>
      <c r="GOW98" s="293"/>
      <c r="GOX98" s="293"/>
      <c r="GOY98" s="293"/>
      <c r="GOZ98" s="293"/>
      <c r="GPA98" s="293"/>
      <c r="GPB98" s="293"/>
      <c r="GPC98" s="293"/>
      <c r="GPD98" s="293"/>
      <c r="GPE98" s="293"/>
      <c r="GPF98" s="293"/>
      <c r="GPG98" s="293"/>
      <c r="GPH98" s="293"/>
      <c r="GPI98" s="293"/>
      <c r="GPJ98" s="293"/>
      <c r="GPK98" s="293"/>
      <c r="GPL98" s="293"/>
      <c r="GPM98" s="293"/>
      <c r="GPN98" s="293"/>
      <c r="GPO98" s="293"/>
      <c r="GPP98" s="293"/>
      <c r="GPQ98" s="293"/>
      <c r="GPR98" s="293"/>
      <c r="GPS98" s="293"/>
      <c r="GPT98" s="293"/>
      <c r="GPU98" s="293"/>
      <c r="GPV98" s="293"/>
      <c r="GPW98" s="293"/>
      <c r="GPX98" s="293"/>
      <c r="GPY98" s="293"/>
      <c r="GPZ98" s="293"/>
      <c r="GQA98" s="293"/>
      <c r="GQB98" s="293"/>
      <c r="GQC98" s="293"/>
      <c r="GQD98" s="293"/>
      <c r="GQE98" s="293"/>
      <c r="GQF98" s="293"/>
      <c r="GQG98" s="293"/>
      <c r="GQH98" s="293"/>
      <c r="GQI98" s="293"/>
      <c r="GQJ98" s="293"/>
      <c r="GQK98" s="293"/>
      <c r="GQL98" s="293"/>
      <c r="GQM98" s="293"/>
      <c r="GQN98" s="293"/>
      <c r="GQO98" s="293"/>
      <c r="GQP98" s="293"/>
      <c r="GQQ98" s="293"/>
      <c r="GQR98" s="293"/>
      <c r="GQS98" s="293"/>
      <c r="GQT98" s="293"/>
      <c r="GQU98" s="293"/>
      <c r="GQV98" s="293"/>
      <c r="GQW98" s="293"/>
      <c r="GQX98" s="293"/>
      <c r="GQY98" s="293"/>
      <c r="GQZ98" s="293"/>
      <c r="GRA98" s="293"/>
      <c r="GRB98" s="293"/>
      <c r="GRC98" s="293"/>
      <c r="GRD98" s="293"/>
      <c r="GRE98" s="293"/>
      <c r="GRF98" s="293"/>
      <c r="GRG98" s="293"/>
      <c r="GRH98" s="293"/>
      <c r="GRI98" s="293"/>
      <c r="GRJ98" s="293"/>
      <c r="GRK98" s="293"/>
      <c r="GRL98" s="293"/>
      <c r="GRM98" s="293"/>
      <c r="GRN98" s="293"/>
      <c r="GRO98" s="293"/>
      <c r="GRP98" s="293"/>
      <c r="GRQ98" s="293"/>
      <c r="GRR98" s="293"/>
      <c r="GRS98" s="293"/>
      <c r="GRT98" s="293"/>
      <c r="GRU98" s="293"/>
      <c r="GRV98" s="293"/>
      <c r="GRW98" s="293"/>
      <c r="GRX98" s="293"/>
      <c r="GRY98" s="293"/>
      <c r="GRZ98" s="293"/>
      <c r="GSA98" s="293"/>
      <c r="GSB98" s="293"/>
      <c r="GSC98" s="293"/>
      <c r="GSD98" s="293"/>
      <c r="GSE98" s="293"/>
      <c r="GSF98" s="293"/>
      <c r="GSG98" s="293"/>
      <c r="GSH98" s="293"/>
      <c r="GSI98" s="293"/>
      <c r="GSJ98" s="293"/>
      <c r="GSK98" s="293"/>
      <c r="GSL98" s="293"/>
      <c r="GSM98" s="293"/>
      <c r="GSN98" s="293"/>
      <c r="GSO98" s="293"/>
      <c r="GSP98" s="293"/>
      <c r="GSQ98" s="293"/>
      <c r="GSR98" s="293"/>
      <c r="GSS98" s="293"/>
      <c r="GST98" s="293"/>
      <c r="GSU98" s="293"/>
      <c r="GSV98" s="293"/>
      <c r="GSW98" s="293"/>
      <c r="GSX98" s="293"/>
      <c r="GSY98" s="293"/>
      <c r="GSZ98" s="293"/>
      <c r="GTA98" s="293"/>
      <c r="GTB98" s="293"/>
      <c r="GTC98" s="293"/>
      <c r="GTD98" s="293"/>
      <c r="GTE98" s="293"/>
      <c r="GTF98" s="293"/>
      <c r="GTG98" s="293"/>
      <c r="GTH98" s="293"/>
      <c r="GTI98" s="293"/>
      <c r="GTJ98" s="293"/>
      <c r="GTK98" s="293"/>
      <c r="GTL98" s="293"/>
      <c r="GTM98" s="293"/>
      <c r="GTN98" s="293"/>
      <c r="GTO98" s="293"/>
      <c r="GTP98" s="293"/>
      <c r="GTQ98" s="293"/>
      <c r="GTR98" s="293"/>
      <c r="GTS98" s="293"/>
      <c r="GTT98" s="293"/>
      <c r="GTU98" s="293"/>
      <c r="GTV98" s="293"/>
      <c r="GTW98" s="293"/>
      <c r="GTX98" s="293"/>
      <c r="GTY98" s="293"/>
      <c r="GTZ98" s="293"/>
      <c r="GUA98" s="293"/>
      <c r="GUB98" s="293"/>
      <c r="GUC98" s="293"/>
      <c r="GUD98" s="293"/>
      <c r="GUE98" s="293"/>
      <c r="GUF98" s="293"/>
      <c r="GUG98" s="293"/>
      <c r="GUH98" s="293"/>
      <c r="GUI98" s="293"/>
      <c r="GUJ98" s="293"/>
      <c r="GUK98" s="293"/>
      <c r="GUL98" s="293"/>
      <c r="GUM98" s="293"/>
      <c r="GUN98" s="293"/>
      <c r="GUO98" s="293"/>
      <c r="GUP98" s="293"/>
      <c r="GUQ98" s="293"/>
      <c r="GUR98" s="293"/>
      <c r="GUS98" s="293"/>
      <c r="GUT98" s="293"/>
      <c r="GUU98" s="293"/>
      <c r="GUV98" s="293"/>
      <c r="GUW98" s="293"/>
      <c r="GUX98" s="293"/>
      <c r="GUY98" s="293"/>
      <c r="GUZ98" s="293"/>
      <c r="GVA98" s="293"/>
      <c r="GVB98" s="293"/>
      <c r="GVC98" s="293"/>
      <c r="GVD98" s="293"/>
      <c r="GVE98" s="293"/>
      <c r="GVF98" s="293"/>
      <c r="GVG98" s="293"/>
      <c r="GVH98" s="293"/>
      <c r="GVI98" s="293"/>
      <c r="GVJ98" s="293"/>
      <c r="GVK98" s="293"/>
      <c r="GVL98" s="293"/>
      <c r="GVM98" s="293"/>
      <c r="GVN98" s="293"/>
      <c r="GVO98" s="293"/>
      <c r="GVP98" s="293"/>
      <c r="GVQ98" s="293"/>
      <c r="GVR98" s="293"/>
      <c r="GVS98" s="293"/>
      <c r="GVT98" s="293"/>
      <c r="GVU98" s="293"/>
      <c r="GVV98" s="293"/>
      <c r="GVW98" s="293"/>
      <c r="GVX98" s="293"/>
      <c r="GVY98" s="293"/>
      <c r="GVZ98" s="293"/>
      <c r="GWA98" s="293"/>
      <c r="GWB98" s="293"/>
      <c r="GWC98" s="293"/>
      <c r="GWD98" s="293"/>
      <c r="GWE98" s="293"/>
      <c r="GWF98" s="293"/>
      <c r="GWG98" s="293"/>
      <c r="GWH98" s="293"/>
      <c r="GWI98" s="293"/>
      <c r="GWJ98" s="293"/>
      <c r="GWK98" s="293"/>
      <c r="GWL98" s="293"/>
      <c r="GWM98" s="293"/>
      <c r="GWN98" s="293"/>
      <c r="GWO98" s="293"/>
      <c r="GWP98" s="293"/>
      <c r="GWQ98" s="293"/>
      <c r="GWR98" s="293"/>
      <c r="GWS98" s="293"/>
      <c r="GWT98" s="293"/>
      <c r="GWU98" s="293"/>
      <c r="GWV98" s="293"/>
      <c r="GWW98" s="293"/>
      <c r="GWX98" s="293"/>
      <c r="GWY98" s="293"/>
      <c r="GWZ98" s="293"/>
      <c r="GXA98" s="293"/>
      <c r="GXB98" s="293"/>
      <c r="GXC98" s="293"/>
      <c r="GXD98" s="293"/>
      <c r="GXE98" s="293"/>
      <c r="GXF98" s="293"/>
      <c r="GXG98" s="293"/>
      <c r="GXH98" s="293"/>
      <c r="GXI98" s="293"/>
      <c r="GXJ98" s="293"/>
      <c r="GXK98" s="293"/>
      <c r="GXL98" s="293"/>
      <c r="GXM98" s="293"/>
      <c r="GXN98" s="293"/>
      <c r="GXO98" s="293"/>
      <c r="GXP98" s="293"/>
      <c r="GXQ98" s="293"/>
      <c r="GXR98" s="293"/>
      <c r="GXS98" s="293"/>
      <c r="GXT98" s="293"/>
      <c r="GXU98" s="293"/>
      <c r="GXV98" s="293"/>
      <c r="GXW98" s="293"/>
      <c r="GXX98" s="293"/>
      <c r="GXY98" s="293"/>
      <c r="GXZ98" s="293"/>
      <c r="GYA98" s="293"/>
      <c r="GYB98" s="293"/>
      <c r="GYC98" s="293"/>
      <c r="GYD98" s="293"/>
      <c r="GYE98" s="293"/>
      <c r="GYF98" s="293"/>
      <c r="GYG98" s="293"/>
      <c r="GYH98" s="293"/>
      <c r="GYI98" s="293"/>
      <c r="GYJ98" s="293"/>
      <c r="GYK98" s="293"/>
      <c r="GYL98" s="293"/>
      <c r="GYM98" s="293"/>
      <c r="GYN98" s="293"/>
      <c r="GYO98" s="293"/>
      <c r="GYP98" s="293"/>
      <c r="GYQ98" s="293"/>
      <c r="GYR98" s="293"/>
      <c r="GYS98" s="293"/>
      <c r="GYT98" s="293"/>
      <c r="GYU98" s="293"/>
      <c r="GYV98" s="293"/>
      <c r="GYW98" s="293"/>
      <c r="GYX98" s="293"/>
      <c r="GYY98" s="293"/>
      <c r="GYZ98" s="293"/>
      <c r="GZA98" s="293"/>
      <c r="GZB98" s="293"/>
      <c r="GZC98" s="293"/>
      <c r="GZD98" s="293"/>
      <c r="GZE98" s="293"/>
      <c r="GZF98" s="293"/>
      <c r="GZG98" s="293"/>
      <c r="GZH98" s="293"/>
      <c r="GZI98" s="293"/>
      <c r="GZJ98" s="293"/>
      <c r="GZK98" s="293"/>
      <c r="GZL98" s="293"/>
      <c r="GZM98" s="293"/>
      <c r="GZN98" s="293"/>
      <c r="GZO98" s="293"/>
      <c r="GZP98" s="293"/>
      <c r="GZQ98" s="293"/>
      <c r="GZR98" s="293"/>
      <c r="GZS98" s="293"/>
      <c r="GZT98" s="293"/>
      <c r="GZU98" s="293"/>
      <c r="GZV98" s="293"/>
      <c r="GZW98" s="293"/>
      <c r="GZX98" s="293"/>
      <c r="GZY98" s="293"/>
      <c r="GZZ98" s="293"/>
      <c r="HAA98" s="293"/>
      <c r="HAB98" s="293"/>
      <c r="HAC98" s="293"/>
      <c r="HAD98" s="293"/>
      <c r="HAE98" s="293"/>
      <c r="HAF98" s="293"/>
      <c r="HAG98" s="293"/>
      <c r="HAH98" s="293"/>
      <c r="HAI98" s="293"/>
      <c r="HAJ98" s="293"/>
      <c r="HAK98" s="293"/>
      <c r="HAL98" s="293"/>
      <c r="HAM98" s="293"/>
      <c r="HAN98" s="293"/>
      <c r="HAO98" s="293"/>
      <c r="HAP98" s="293"/>
      <c r="HAQ98" s="293"/>
      <c r="HAR98" s="293"/>
      <c r="HAS98" s="293"/>
      <c r="HAT98" s="293"/>
      <c r="HAU98" s="293"/>
      <c r="HAV98" s="293"/>
      <c r="HAW98" s="293"/>
      <c r="HAX98" s="293"/>
      <c r="HAY98" s="293"/>
      <c r="HAZ98" s="293"/>
      <c r="HBA98" s="293"/>
      <c r="HBB98" s="293"/>
      <c r="HBC98" s="293"/>
      <c r="HBD98" s="293"/>
      <c r="HBE98" s="293"/>
      <c r="HBF98" s="293"/>
      <c r="HBG98" s="293"/>
      <c r="HBH98" s="293"/>
      <c r="HBI98" s="293"/>
      <c r="HBJ98" s="293"/>
      <c r="HBK98" s="293"/>
      <c r="HBL98" s="293"/>
      <c r="HBM98" s="293"/>
      <c r="HBN98" s="293"/>
      <c r="HBO98" s="293"/>
      <c r="HBP98" s="293"/>
      <c r="HBQ98" s="293"/>
      <c r="HBR98" s="293"/>
      <c r="HBS98" s="293"/>
      <c r="HBT98" s="293"/>
      <c r="HBU98" s="293"/>
      <c r="HBV98" s="293"/>
      <c r="HBW98" s="293"/>
      <c r="HBX98" s="293"/>
      <c r="HBY98" s="293"/>
      <c r="HBZ98" s="293"/>
      <c r="HCA98" s="293"/>
      <c r="HCB98" s="293"/>
      <c r="HCC98" s="293"/>
      <c r="HCD98" s="293"/>
      <c r="HCE98" s="293"/>
      <c r="HCF98" s="293"/>
      <c r="HCG98" s="293"/>
      <c r="HCH98" s="293"/>
      <c r="HCI98" s="293"/>
      <c r="HCJ98" s="293"/>
      <c r="HCK98" s="293"/>
      <c r="HCL98" s="293"/>
      <c r="HCM98" s="293"/>
      <c r="HCN98" s="293"/>
      <c r="HCO98" s="293"/>
      <c r="HCP98" s="293"/>
      <c r="HCQ98" s="293"/>
      <c r="HCR98" s="293"/>
      <c r="HCS98" s="293"/>
      <c r="HCT98" s="293"/>
      <c r="HCU98" s="293"/>
      <c r="HCV98" s="293"/>
      <c r="HCW98" s="293"/>
      <c r="HCX98" s="293"/>
      <c r="HCY98" s="293"/>
      <c r="HCZ98" s="293"/>
      <c r="HDA98" s="293"/>
      <c r="HDB98" s="293"/>
      <c r="HDC98" s="293"/>
      <c r="HDD98" s="293"/>
      <c r="HDE98" s="293"/>
      <c r="HDF98" s="293"/>
      <c r="HDG98" s="293"/>
      <c r="HDH98" s="293"/>
      <c r="HDI98" s="293"/>
      <c r="HDJ98" s="293"/>
      <c r="HDK98" s="293"/>
      <c r="HDL98" s="293"/>
      <c r="HDM98" s="293"/>
      <c r="HDN98" s="293"/>
      <c r="HDO98" s="293"/>
      <c r="HDP98" s="293"/>
      <c r="HDQ98" s="293"/>
      <c r="HDR98" s="293"/>
      <c r="HDS98" s="293"/>
      <c r="HDT98" s="293"/>
      <c r="HDU98" s="293"/>
      <c r="HDV98" s="293"/>
      <c r="HDW98" s="293"/>
      <c r="HDX98" s="293"/>
      <c r="HDY98" s="293"/>
      <c r="HDZ98" s="293"/>
      <c r="HEA98" s="293"/>
      <c r="HEB98" s="293"/>
      <c r="HEC98" s="293"/>
      <c r="HED98" s="293"/>
      <c r="HEE98" s="293"/>
      <c r="HEF98" s="293"/>
      <c r="HEG98" s="293"/>
      <c r="HEH98" s="293"/>
      <c r="HEI98" s="293"/>
      <c r="HEJ98" s="293"/>
      <c r="HEK98" s="293"/>
      <c r="HEL98" s="293"/>
      <c r="HEM98" s="293"/>
      <c r="HEN98" s="293"/>
      <c r="HEO98" s="293"/>
      <c r="HEP98" s="293"/>
      <c r="HEQ98" s="293"/>
      <c r="HER98" s="293"/>
      <c r="HES98" s="293"/>
      <c r="HET98" s="293"/>
      <c r="HEU98" s="293"/>
      <c r="HEV98" s="293"/>
      <c r="HEW98" s="293"/>
      <c r="HEX98" s="293"/>
      <c r="HEY98" s="293"/>
      <c r="HEZ98" s="293"/>
      <c r="HFA98" s="293"/>
      <c r="HFB98" s="293"/>
      <c r="HFC98" s="293"/>
      <c r="HFD98" s="293"/>
      <c r="HFE98" s="293"/>
      <c r="HFF98" s="293"/>
      <c r="HFG98" s="293"/>
      <c r="HFH98" s="293"/>
      <c r="HFI98" s="293"/>
      <c r="HFJ98" s="293"/>
      <c r="HFK98" s="293"/>
      <c r="HFL98" s="293"/>
      <c r="HFM98" s="293"/>
      <c r="HFN98" s="293"/>
      <c r="HFO98" s="293"/>
      <c r="HFP98" s="293"/>
      <c r="HFQ98" s="293"/>
      <c r="HFR98" s="293"/>
      <c r="HFS98" s="293"/>
      <c r="HFT98" s="293"/>
      <c r="HFU98" s="293"/>
      <c r="HFV98" s="293"/>
      <c r="HFW98" s="293"/>
      <c r="HFX98" s="293"/>
      <c r="HFY98" s="293"/>
      <c r="HFZ98" s="293"/>
      <c r="HGA98" s="293"/>
      <c r="HGB98" s="293"/>
      <c r="HGC98" s="293"/>
      <c r="HGD98" s="293"/>
      <c r="HGE98" s="293"/>
      <c r="HGF98" s="293"/>
      <c r="HGG98" s="293"/>
      <c r="HGH98" s="293"/>
      <c r="HGI98" s="293"/>
      <c r="HGJ98" s="293"/>
      <c r="HGK98" s="293"/>
      <c r="HGL98" s="293"/>
      <c r="HGM98" s="293"/>
      <c r="HGN98" s="293"/>
      <c r="HGO98" s="293"/>
      <c r="HGP98" s="293"/>
      <c r="HGQ98" s="293"/>
      <c r="HGR98" s="293"/>
      <c r="HGS98" s="293"/>
      <c r="HGT98" s="293"/>
      <c r="HGU98" s="293"/>
      <c r="HGV98" s="293"/>
      <c r="HGW98" s="293"/>
      <c r="HGX98" s="293"/>
      <c r="HGY98" s="293"/>
      <c r="HGZ98" s="293"/>
      <c r="HHA98" s="293"/>
      <c r="HHB98" s="293"/>
      <c r="HHC98" s="293"/>
      <c r="HHD98" s="293"/>
      <c r="HHE98" s="293"/>
      <c r="HHF98" s="293"/>
      <c r="HHG98" s="293"/>
      <c r="HHH98" s="293"/>
      <c r="HHI98" s="293"/>
      <c r="HHJ98" s="293"/>
      <c r="HHK98" s="293"/>
      <c r="HHL98" s="293"/>
      <c r="HHM98" s="293"/>
      <c r="HHN98" s="293"/>
      <c r="HHO98" s="293"/>
      <c r="HHP98" s="293"/>
      <c r="HHQ98" s="293"/>
      <c r="HHR98" s="293"/>
      <c r="HHS98" s="293"/>
      <c r="HHT98" s="293"/>
      <c r="HHU98" s="293"/>
      <c r="HHV98" s="293"/>
      <c r="HHW98" s="293"/>
      <c r="HHX98" s="293"/>
      <c r="HHY98" s="293"/>
      <c r="HHZ98" s="293"/>
      <c r="HIA98" s="293"/>
      <c r="HIB98" s="293"/>
      <c r="HIC98" s="293"/>
      <c r="HID98" s="293"/>
      <c r="HIE98" s="293"/>
      <c r="HIF98" s="293"/>
      <c r="HIG98" s="293"/>
      <c r="HIH98" s="293"/>
      <c r="HII98" s="293"/>
      <c r="HIJ98" s="293"/>
      <c r="HIK98" s="293"/>
      <c r="HIL98" s="293"/>
      <c r="HIM98" s="293"/>
      <c r="HIN98" s="293"/>
      <c r="HIO98" s="293"/>
      <c r="HIP98" s="293"/>
      <c r="HIQ98" s="293"/>
      <c r="HIR98" s="293"/>
      <c r="HIS98" s="293"/>
      <c r="HIT98" s="293"/>
      <c r="HIU98" s="293"/>
      <c r="HIV98" s="293"/>
      <c r="HIW98" s="293"/>
      <c r="HIX98" s="293"/>
      <c r="HIY98" s="293"/>
      <c r="HIZ98" s="293"/>
      <c r="HJA98" s="293"/>
      <c r="HJB98" s="293"/>
      <c r="HJC98" s="293"/>
      <c r="HJD98" s="293"/>
      <c r="HJE98" s="293"/>
      <c r="HJF98" s="293"/>
      <c r="HJG98" s="293"/>
      <c r="HJH98" s="293"/>
      <c r="HJI98" s="293"/>
      <c r="HJJ98" s="293"/>
      <c r="HJK98" s="293"/>
      <c r="HJL98" s="293"/>
      <c r="HJM98" s="293"/>
      <c r="HJN98" s="293"/>
      <c r="HJO98" s="293"/>
      <c r="HJP98" s="293"/>
      <c r="HJQ98" s="293"/>
      <c r="HJR98" s="293"/>
      <c r="HJS98" s="293"/>
      <c r="HJT98" s="293"/>
      <c r="HJU98" s="293"/>
      <c r="HJV98" s="293"/>
      <c r="HJW98" s="293"/>
      <c r="HJX98" s="293"/>
      <c r="HJY98" s="293"/>
      <c r="HJZ98" s="293"/>
      <c r="HKA98" s="293"/>
      <c r="HKB98" s="293"/>
      <c r="HKC98" s="293"/>
      <c r="HKD98" s="293"/>
      <c r="HKE98" s="293"/>
      <c r="HKF98" s="293"/>
      <c r="HKG98" s="293"/>
      <c r="HKH98" s="293"/>
      <c r="HKI98" s="293"/>
      <c r="HKJ98" s="293"/>
      <c r="HKK98" s="293"/>
      <c r="HKL98" s="293"/>
      <c r="HKM98" s="293"/>
      <c r="HKN98" s="293"/>
      <c r="HKO98" s="293"/>
      <c r="HKP98" s="293"/>
      <c r="HKQ98" s="293"/>
      <c r="HKR98" s="293"/>
      <c r="HKS98" s="293"/>
      <c r="HKT98" s="293"/>
      <c r="HKU98" s="293"/>
      <c r="HKV98" s="293"/>
      <c r="HKW98" s="293"/>
      <c r="HKX98" s="293"/>
      <c r="HKY98" s="293"/>
      <c r="HKZ98" s="293"/>
      <c r="HLA98" s="293"/>
      <c r="HLB98" s="293"/>
      <c r="HLC98" s="293"/>
      <c r="HLD98" s="293"/>
      <c r="HLE98" s="293"/>
      <c r="HLF98" s="293"/>
      <c r="HLG98" s="293"/>
      <c r="HLH98" s="293"/>
      <c r="HLI98" s="293"/>
      <c r="HLJ98" s="293"/>
      <c r="HLK98" s="293"/>
      <c r="HLL98" s="293"/>
      <c r="HLM98" s="293"/>
      <c r="HLN98" s="293"/>
      <c r="HLO98" s="293"/>
      <c r="HLP98" s="293"/>
      <c r="HLQ98" s="293"/>
      <c r="HLR98" s="293"/>
      <c r="HLS98" s="293"/>
      <c r="HLT98" s="293"/>
      <c r="HLU98" s="293"/>
      <c r="HLV98" s="293"/>
      <c r="HLW98" s="293"/>
      <c r="HLX98" s="293"/>
      <c r="HLY98" s="293"/>
      <c r="HLZ98" s="293"/>
      <c r="HMA98" s="293"/>
      <c r="HMB98" s="293"/>
      <c r="HMC98" s="293"/>
      <c r="HMD98" s="293"/>
      <c r="HME98" s="293"/>
      <c r="HMF98" s="293"/>
      <c r="HMG98" s="293"/>
      <c r="HMH98" s="293"/>
      <c r="HMI98" s="293"/>
      <c r="HMJ98" s="293"/>
      <c r="HMK98" s="293"/>
      <c r="HML98" s="293"/>
      <c r="HMM98" s="293"/>
      <c r="HMN98" s="293"/>
      <c r="HMO98" s="293"/>
      <c r="HMP98" s="293"/>
      <c r="HMQ98" s="293"/>
      <c r="HMR98" s="293"/>
      <c r="HMS98" s="293"/>
      <c r="HMT98" s="293"/>
      <c r="HMU98" s="293"/>
      <c r="HMV98" s="293"/>
      <c r="HMW98" s="293"/>
      <c r="HMX98" s="293"/>
      <c r="HMY98" s="293"/>
      <c r="HMZ98" s="293"/>
      <c r="HNA98" s="293"/>
      <c r="HNB98" s="293"/>
      <c r="HNC98" s="293"/>
      <c r="HND98" s="293"/>
      <c r="HNE98" s="293"/>
      <c r="HNF98" s="293"/>
      <c r="HNG98" s="293"/>
      <c r="HNH98" s="293"/>
      <c r="HNI98" s="293"/>
      <c r="HNJ98" s="293"/>
      <c r="HNK98" s="293"/>
      <c r="HNL98" s="293"/>
      <c r="HNM98" s="293"/>
      <c r="HNN98" s="293"/>
      <c r="HNO98" s="293"/>
      <c r="HNP98" s="293"/>
      <c r="HNQ98" s="293"/>
      <c r="HNR98" s="293"/>
      <c r="HNS98" s="293"/>
      <c r="HNT98" s="293"/>
      <c r="HNU98" s="293"/>
      <c r="HNV98" s="293"/>
      <c r="HNW98" s="293"/>
      <c r="HNX98" s="293"/>
      <c r="HNY98" s="293"/>
      <c r="HNZ98" s="293"/>
      <c r="HOA98" s="293"/>
      <c r="HOB98" s="293"/>
      <c r="HOC98" s="293"/>
      <c r="HOD98" s="293"/>
      <c r="HOE98" s="293"/>
      <c r="HOF98" s="293"/>
      <c r="HOG98" s="293"/>
      <c r="HOH98" s="293"/>
      <c r="HOI98" s="293"/>
      <c r="HOJ98" s="293"/>
      <c r="HOK98" s="293"/>
      <c r="HOL98" s="293"/>
      <c r="HOM98" s="293"/>
      <c r="HON98" s="293"/>
      <c r="HOO98" s="293"/>
      <c r="HOP98" s="293"/>
      <c r="HOQ98" s="293"/>
      <c r="HOR98" s="293"/>
      <c r="HOS98" s="293"/>
      <c r="HOT98" s="293"/>
      <c r="HOU98" s="293"/>
      <c r="HOV98" s="293"/>
      <c r="HOW98" s="293"/>
      <c r="HOX98" s="293"/>
      <c r="HOY98" s="293"/>
      <c r="HOZ98" s="293"/>
      <c r="HPA98" s="293"/>
      <c r="HPB98" s="293"/>
      <c r="HPC98" s="293"/>
      <c r="HPD98" s="293"/>
      <c r="HPE98" s="293"/>
      <c r="HPF98" s="293"/>
      <c r="HPG98" s="293"/>
      <c r="HPH98" s="293"/>
      <c r="HPI98" s="293"/>
      <c r="HPJ98" s="293"/>
      <c r="HPK98" s="293"/>
      <c r="HPL98" s="293"/>
      <c r="HPM98" s="293"/>
      <c r="HPN98" s="293"/>
      <c r="HPO98" s="293"/>
      <c r="HPP98" s="293"/>
      <c r="HPQ98" s="293"/>
      <c r="HPR98" s="293"/>
      <c r="HPS98" s="293"/>
      <c r="HPT98" s="293"/>
      <c r="HPU98" s="293"/>
      <c r="HPV98" s="293"/>
      <c r="HPW98" s="293"/>
      <c r="HPX98" s="293"/>
      <c r="HPY98" s="293"/>
      <c r="HPZ98" s="293"/>
      <c r="HQA98" s="293"/>
      <c r="HQB98" s="293"/>
      <c r="HQC98" s="293"/>
      <c r="HQD98" s="293"/>
      <c r="HQE98" s="293"/>
      <c r="HQF98" s="293"/>
      <c r="HQG98" s="293"/>
      <c r="HQH98" s="293"/>
      <c r="HQI98" s="293"/>
      <c r="HQJ98" s="293"/>
      <c r="HQK98" s="293"/>
      <c r="HQL98" s="293"/>
      <c r="HQM98" s="293"/>
      <c r="HQN98" s="293"/>
      <c r="HQO98" s="293"/>
      <c r="HQP98" s="293"/>
      <c r="HQQ98" s="293"/>
      <c r="HQR98" s="293"/>
      <c r="HQS98" s="293"/>
      <c r="HQT98" s="293"/>
      <c r="HQU98" s="293"/>
      <c r="HQV98" s="293"/>
      <c r="HQW98" s="293"/>
      <c r="HQX98" s="293"/>
      <c r="HQY98" s="293"/>
      <c r="HQZ98" s="293"/>
      <c r="HRA98" s="293"/>
      <c r="HRB98" s="293"/>
      <c r="HRC98" s="293"/>
      <c r="HRD98" s="293"/>
      <c r="HRE98" s="293"/>
      <c r="HRF98" s="293"/>
      <c r="HRG98" s="293"/>
      <c r="HRH98" s="293"/>
      <c r="HRI98" s="293"/>
      <c r="HRJ98" s="293"/>
      <c r="HRK98" s="293"/>
      <c r="HRL98" s="293"/>
      <c r="HRM98" s="293"/>
      <c r="HRN98" s="293"/>
      <c r="HRO98" s="293"/>
      <c r="HRP98" s="293"/>
      <c r="HRQ98" s="293"/>
      <c r="HRR98" s="293"/>
      <c r="HRS98" s="293"/>
      <c r="HRT98" s="293"/>
      <c r="HRU98" s="293"/>
      <c r="HRV98" s="293"/>
      <c r="HRW98" s="293"/>
      <c r="HRX98" s="293"/>
      <c r="HRY98" s="293"/>
      <c r="HRZ98" s="293"/>
      <c r="HSA98" s="293"/>
      <c r="HSB98" s="293"/>
      <c r="HSC98" s="293"/>
      <c r="HSD98" s="293"/>
      <c r="HSE98" s="293"/>
      <c r="HSF98" s="293"/>
      <c r="HSG98" s="293"/>
      <c r="HSH98" s="293"/>
      <c r="HSI98" s="293"/>
      <c r="HSJ98" s="293"/>
      <c r="HSK98" s="293"/>
      <c r="HSL98" s="293"/>
      <c r="HSM98" s="293"/>
      <c r="HSN98" s="293"/>
      <c r="HSO98" s="293"/>
      <c r="HSP98" s="293"/>
      <c r="HSQ98" s="293"/>
      <c r="HSR98" s="293"/>
      <c r="HSS98" s="293"/>
      <c r="HST98" s="293"/>
      <c r="HSU98" s="293"/>
      <c r="HSV98" s="293"/>
      <c r="HSW98" s="293"/>
      <c r="HSX98" s="293"/>
      <c r="HSY98" s="293"/>
      <c r="HSZ98" s="293"/>
      <c r="HTA98" s="293"/>
      <c r="HTB98" s="293"/>
      <c r="HTC98" s="293"/>
      <c r="HTD98" s="293"/>
      <c r="HTE98" s="293"/>
      <c r="HTF98" s="293"/>
      <c r="HTG98" s="293"/>
      <c r="HTH98" s="293"/>
      <c r="HTI98" s="293"/>
      <c r="HTJ98" s="293"/>
      <c r="HTK98" s="293"/>
      <c r="HTL98" s="293"/>
      <c r="HTM98" s="293"/>
      <c r="HTN98" s="293"/>
      <c r="HTO98" s="293"/>
      <c r="HTP98" s="293"/>
      <c r="HTQ98" s="293"/>
      <c r="HTR98" s="293"/>
      <c r="HTS98" s="293"/>
      <c r="HTT98" s="293"/>
      <c r="HTU98" s="293"/>
      <c r="HTV98" s="293"/>
      <c r="HTW98" s="293"/>
      <c r="HTX98" s="293"/>
      <c r="HTY98" s="293"/>
      <c r="HTZ98" s="293"/>
      <c r="HUA98" s="293"/>
      <c r="HUB98" s="293"/>
      <c r="HUC98" s="293"/>
      <c r="HUD98" s="293"/>
      <c r="HUE98" s="293"/>
      <c r="HUF98" s="293"/>
      <c r="HUG98" s="293"/>
      <c r="HUH98" s="293"/>
      <c r="HUI98" s="293"/>
      <c r="HUJ98" s="293"/>
      <c r="HUK98" s="293"/>
      <c r="HUL98" s="293"/>
      <c r="HUM98" s="293"/>
      <c r="HUN98" s="293"/>
      <c r="HUO98" s="293"/>
      <c r="HUP98" s="293"/>
      <c r="HUQ98" s="293"/>
      <c r="HUR98" s="293"/>
      <c r="HUS98" s="293"/>
      <c r="HUT98" s="293"/>
      <c r="HUU98" s="293"/>
      <c r="HUV98" s="293"/>
      <c r="HUW98" s="293"/>
      <c r="HUX98" s="293"/>
      <c r="HUY98" s="293"/>
      <c r="HUZ98" s="293"/>
      <c r="HVA98" s="293"/>
      <c r="HVB98" s="293"/>
      <c r="HVC98" s="293"/>
      <c r="HVD98" s="293"/>
      <c r="HVE98" s="293"/>
      <c r="HVF98" s="293"/>
      <c r="HVG98" s="293"/>
      <c r="HVH98" s="293"/>
      <c r="HVI98" s="293"/>
      <c r="HVJ98" s="293"/>
      <c r="HVK98" s="293"/>
      <c r="HVL98" s="293"/>
      <c r="HVM98" s="293"/>
      <c r="HVN98" s="293"/>
      <c r="HVO98" s="293"/>
      <c r="HVP98" s="293"/>
      <c r="HVQ98" s="293"/>
      <c r="HVR98" s="293"/>
      <c r="HVS98" s="293"/>
      <c r="HVT98" s="293"/>
      <c r="HVU98" s="293"/>
      <c r="HVV98" s="293"/>
      <c r="HVW98" s="293"/>
      <c r="HVX98" s="293"/>
      <c r="HVY98" s="293"/>
      <c r="HVZ98" s="293"/>
      <c r="HWA98" s="293"/>
      <c r="HWB98" s="293"/>
      <c r="HWC98" s="293"/>
      <c r="HWD98" s="293"/>
      <c r="HWE98" s="293"/>
      <c r="HWF98" s="293"/>
      <c r="HWG98" s="293"/>
      <c r="HWH98" s="293"/>
      <c r="HWI98" s="293"/>
      <c r="HWJ98" s="293"/>
      <c r="HWK98" s="293"/>
      <c r="HWL98" s="293"/>
      <c r="HWM98" s="293"/>
      <c r="HWN98" s="293"/>
      <c r="HWO98" s="293"/>
      <c r="HWP98" s="293"/>
      <c r="HWQ98" s="293"/>
      <c r="HWR98" s="293"/>
      <c r="HWS98" s="293"/>
      <c r="HWT98" s="293"/>
      <c r="HWU98" s="293"/>
      <c r="HWV98" s="293"/>
      <c r="HWW98" s="293"/>
      <c r="HWX98" s="293"/>
      <c r="HWY98" s="293"/>
      <c r="HWZ98" s="293"/>
      <c r="HXA98" s="293"/>
      <c r="HXB98" s="293"/>
      <c r="HXC98" s="293"/>
      <c r="HXD98" s="293"/>
      <c r="HXE98" s="293"/>
      <c r="HXF98" s="293"/>
      <c r="HXG98" s="293"/>
      <c r="HXH98" s="293"/>
      <c r="HXI98" s="293"/>
      <c r="HXJ98" s="293"/>
      <c r="HXK98" s="293"/>
      <c r="HXL98" s="293"/>
      <c r="HXM98" s="293"/>
      <c r="HXN98" s="293"/>
      <c r="HXO98" s="293"/>
      <c r="HXP98" s="293"/>
      <c r="HXQ98" s="293"/>
      <c r="HXR98" s="293"/>
      <c r="HXS98" s="293"/>
      <c r="HXT98" s="293"/>
      <c r="HXU98" s="293"/>
      <c r="HXV98" s="293"/>
      <c r="HXW98" s="293"/>
      <c r="HXX98" s="293"/>
      <c r="HXY98" s="293"/>
      <c r="HXZ98" s="293"/>
      <c r="HYA98" s="293"/>
      <c r="HYB98" s="293"/>
      <c r="HYC98" s="293"/>
      <c r="HYD98" s="293"/>
      <c r="HYE98" s="293"/>
      <c r="HYF98" s="293"/>
      <c r="HYG98" s="293"/>
      <c r="HYH98" s="293"/>
      <c r="HYI98" s="293"/>
      <c r="HYJ98" s="293"/>
      <c r="HYK98" s="293"/>
      <c r="HYL98" s="293"/>
      <c r="HYM98" s="293"/>
      <c r="HYN98" s="293"/>
      <c r="HYO98" s="293"/>
      <c r="HYP98" s="293"/>
      <c r="HYQ98" s="293"/>
      <c r="HYR98" s="293"/>
      <c r="HYS98" s="293"/>
      <c r="HYT98" s="293"/>
      <c r="HYU98" s="293"/>
      <c r="HYV98" s="293"/>
      <c r="HYW98" s="293"/>
      <c r="HYX98" s="293"/>
      <c r="HYY98" s="293"/>
      <c r="HYZ98" s="293"/>
      <c r="HZA98" s="293"/>
      <c r="HZB98" s="293"/>
      <c r="HZC98" s="293"/>
      <c r="HZD98" s="293"/>
      <c r="HZE98" s="293"/>
      <c r="HZF98" s="293"/>
      <c r="HZG98" s="293"/>
      <c r="HZH98" s="293"/>
      <c r="HZI98" s="293"/>
      <c r="HZJ98" s="293"/>
      <c r="HZK98" s="293"/>
      <c r="HZL98" s="293"/>
      <c r="HZM98" s="293"/>
      <c r="HZN98" s="293"/>
      <c r="HZO98" s="293"/>
      <c r="HZP98" s="293"/>
      <c r="HZQ98" s="293"/>
      <c r="HZR98" s="293"/>
      <c r="HZS98" s="293"/>
      <c r="HZT98" s="293"/>
      <c r="HZU98" s="293"/>
      <c r="HZV98" s="293"/>
      <c r="HZW98" s="293"/>
      <c r="HZX98" s="293"/>
      <c r="HZY98" s="293"/>
      <c r="HZZ98" s="293"/>
      <c r="IAA98" s="293"/>
      <c r="IAB98" s="293"/>
      <c r="IAC98" s="293"/>
      <c r="IAD98" s="293"/>
      <c r="IAE98" s="293"/>
      <c r="IAF98" s="293"/>
      <c r="IAG98" s="293"/>
      <c r="IAH98" s="293"/>
      <c r="IAI98" s="293"/>
      <c r="IAJ98" s="293"/>
      <c r="IAK98" s="293"/>
      <c r="IAL98" s="293"/>
      <c r="IAM98" s="293"/>
      <c r="IAN98" s="293"/>
      <c r="IAO98" s="293"/>
      <c r="IAP98" s="293"/>
      <c r="IAQ98" s="293"/>
      <c r="IAR98" s="293"/>
      <c r="IAS98" s="293"/>
      <c r="IAT98" s="293"/>
      <c r="IAU98" s="293"/>
      <c r="IAV98" s="293"/>
      <c r="IAW98" s="293"/>
      <c r="IAX98" s="293"/>
      <c r="IAY98" s="293"/>
      <c r="IAZ98" s="293"/>
      <c r="IBA98" s="293"/>
      <c r="IBB98" s="293"/>
      <c r="IBC98" s="293"/>
      <c r="IBD98" s="293"/>
      <c r="IBE98" s="293"/>
      <c r="IBF98" s="293"/>
      <c r="IBG98" s="293"/>
      <c r="IBH98" s="293"/>
      <c r="IBI98" s="293"/>
      <c r="IBJ98" s="293"/>
      <c r="IBK98" s="293"/>
      <c r="IBL98" s="293"/>
      <c r="IBM98" s="293"/>
      <c r="IBN98" s="293"/>
      <c r="IBO98" s="293"/>
      <c r="IBP98" s="293"/>
      <c r="IBQ98" s="293"/>
      <c r="IBR98" s="293"/>
      <c r="IBS98" s="293"/>
      <c r="IBT98" s="293"/>
      <c r="IBU98" s="293"/>
      <c r="IBV98" s="293"/>
      <c r="IBW98" s="293"/>
      <c r="IBX98" s="293"/>
      <c r="IBY98" s="293"/>
      <c r="IBZ98" s="293"/>
      <c r="ICA98" s="293"/>
      <c r="ICB98" s="293"/>
      <c r="ICC98" s="293"/>
      <c r="ICD98" s="293"/>
      <c r="ICE98" s="293"/>
      <c r="ICF98" s="293"/>
      <c r="ICG98" s="293"/>
      <c r="ICH98" s="293"/>
      <c r="ICI98" s="293"/>
      <c r="ICJ98" s="293"/>
      <c r="ICK98" s="293"/>
      <c r="ICL98" s="293"/>
      <c r="ICM98" s="293"/>
      <c r="ICN98" s="293"/>
      <c r="ICO98" s="293"/>
      <c r="ICP98" s="293"/>
      <c r="ICQ98" s="293"/>
      <c r="ICR98" s="293"/>
      <c r="ICS98" s="293"/>
      <c r="ICT98" s="293"/>
      <c r="ICU98" s="293"/>
      <c r="ICV98" s="293"/>
      <c r="ICW98" s="293"/>
      <c r="ICX98" s="293"/>
      <c r="ICY98" s="293"/>
      <c r="ICZ98" s="293"/>
      <c r="IDA98" s="293"/>
      <c r="IDB98" s="293"/>
      <c r="IDC98" s="293"/>
      <c r="IDD98" s="293"/>
      <c r="IDE98" s="293"/>
      <c r="IDF98" s="293"/>
      <c r="IDG98" s="293"/>
      <c r="IDH98" s="293"/>
      <c r="IDI98" s="293"/>
      <c r="IDJ98" s="293"/>
      <c r="IDK98" s="293"/>
      <c r="IDL98" s="293"/>
      <c r="IDM98" s="293"/>
      <c r="IDN98" s="293"/>
      <c r="IDO98" s="293"/>
      <c r="IDP98" s="293"/>
      <c r="IDQ98" s="293"/>
      <c r="IDR98" s="293"/>
      <c r="IDS98" s="293"/>
      <c r="IDT98" s="293"/>
      <c r="IDU98" s="293"/>
      <c r="IDV98" s="293"/>
      <c r="IDW98" s="293"/>
      <c r="IDX98" s="293"/>
      <c r="IDY98" s="293"/>
      <c r="IDZ98" s="293"/>
      <c r="IEA98" s="293"/>
      <c r="IEB98" s="293"/>
      <c r="IEC98" s="293"/>
      <c r="IED98" s="293"/>
      <c r="IEE98" s="293"/>
      <c r="IEF98" s="293"/>
      <c r="IEG98" s="293"/>
      <c r="IEH98" s="293"/>
      <c r="IEI98" s="293"/>
      <c r="IEJ98" s="293"/>
      <c r="IEK98" s="293"/>
      <c r="IEL98" s="293"/>
      <c r="IEM98" s="293"/>
      <c r="IEN98" s="293"/>
      <c r="IEO98" s="293"/>
      <c r="IEP98" s="293"/>
      <c r="IEQ98" s="293"/>
      <c r="IER98" s="293"/>
      <c r="IES98" s="293"/>
      <c r="IET98" s="293"/>
      <c r="IEU98" s="293"/>
      <c r="IEV98" s="293"/>
      <c r="IEW98" s="293"/>
      <c r="IEX98" s="293"/>
      <c r="IEY98" s="293"/>
      <c r="IEZ98" s="293"/>
      <c r="IFA98" s="293"/>
      <c r="IFB98" s="293"/>
      <c r="IFC98" s="293"/>
      <c r="IFD98" s="293"/>
      <c r="IFE98" s="293"/>
      <c r="IFF98" s="293"/>
      <c r="IFG98" s="293"/>
      <c r="IFH98" s="293"/>
      <c r="IFI98" s="293"/>
      <c r="IFJ98" s="293"/>
      <c r="IFK98" s="293"/>
      <c r="IFL98" s="293"/>
      <c r="IFM98" s="293"/>
      <c r="IFN98" s="293"/>
      <c r="IFO98" s="293"/>
      <c r="IFP98" s="293"/>
      <c r="IFQ98" s="293"/>
      <c r="IFR98" s="293"/>
      <c r="IFS98" s="293"/>
      <c r="IFT98" s="293"/>
      <c r="IFU98" s="293"/>
      <c r="IFV98" s="293"/>
      <c r="IFW98" s="293"/>
      <c r="IFX98" s="293"/>
      <c r="IFY98" s="293"/>
      <c r="IFZ98" s="293"/>
      <c r="IGA98" s="293"/>
      <c r="IGB98" s="293"/>
      <c r="IGC98" s="293"/>
      <c r="IGD98" s="293"/>
      <c r="IGE98" s="293"/>
      <c r="IGF98" s="293"/>
      <c r="IGG98" s="293"/>
      <c r="IGH98" s="293"/>
      <c r="IGI98" s="293"/>
      <c r="IGJ98" s="293"/>
      <c r="IGK98" s="293"/>
      <c r="IGL98" s="293"/>
      <c r="IGM98" s="293"/>
      <c r="IGN98" s="293"/>
      <c r="IGO98" s="293"/>
      <c r="IGP98" s="293"/>
      <c r="IGQ98" s="293"/>
      <c r="IGR98" s="293"/>
      <c r="IGS98" s="293"/>
      <c r="IGT98" s="293"/>
      <c r="IGU98" s="293"/>
      <c r="IGV98" s="293"/>
      <c r="IGW98" s="293"/>
      <c r="IGX98" s="293"/>
      <c r="IGY98" s="293"/>
      <c r="IGZ98" s="293"/>
      <c r="IHA98" s="293"/>
      <c r="IHB98" s="293"/>
      <c r="IHC98" s="293"/>
      <c r="IHD98" s="293"/>
      <c r="IHE98" s="293"/>
      <c r="IHF98" s="293"/>
      <c r="IHG98" s="293"/>
      <c r="IHH98" s="293"/>
      <c r="IHI98" s="293"/>
      <c r="IHJ98" s="293"/>
      <c r="IHK98" s="293"/>
      <c r="IHL98" s="293"/>
      <c r="IHM98" s="293"/>
      <c r="IHN98" s="293"/>
      <c r="IHO98" s="293"/>
      <c r="IHP98" s="293"/>
      <c r="IHQ98" s="293"/>
      <c r="IHR98" s="293"/>
      <c r="IHS98" s="293"/>
      <c r="IHT98" s="293"/>
      <c r="IHU98" s="293"/>
      <c r="IHV98" s="293"/>
      <c r="IHW98" s="293"/>
      <c r="IHX98" s="293"/>
      <c r="IHY98" s="293"/>
      <c r="IHZ98" s="293"/>
      <c r="IIA98" s="293"/>
      <c r="IIB98" s="293"/>
      <c r="IIC98" s="293"/>
      <c r="IID98" s="293"/>
      <c r="IIE98" s="293"/>
      <c r="IIF98" s="293"/>
      <c r="IIG98" s="293"/>
      <c r="IIH98" s="293"/>
      <c r="III98" s="293"/>
      <c r="IIJ98" s="293"/>
      <c r="IIK98" s="293"/>
      <c r="IIL98" s="293"/>
      <c r="IIM98" s="293"/>
      <c r="IIN98" s="293"/>
      <c r="IIO98" s="293"/>
      <c r="IIP98" s="293"/>
      <c r="IIQ98" s="293"/>
      <c r="IIR98" s="293"/>
      <c r="IIS98" s="293"/>
      <c r="IIT98" s="293"/>
      <c r="IIU98" s="293"/>
      <c r="IIV98" s="293"/>
      <c r="IIW98" s="293"/>
      <c r="IIX98" s="293"/>
      <c r="IIY98" s="293"/>
      <c r="IIZ98" s="293"/>
      <c r="IJA98" s="293"/>
      <c r="IJB98" s="293"/>
      <c r="IJC98" s="293"/>
      <c r="IJD98" s="293"/>
      <c r="IJE98" s="293"/>
      <c r="IJF98" s="293"/>
      <c r="IJG98" s="293"/>
      <c r="IJH98" s="293"/>
      <c r="IJI98" s="293"/>
      <c r="IJJ98" s="293"/>
      <c r="IJK98" s="293"/>
      <c r="IJL98" s="293"/>
      <c r="IJM98" s="293"/>
      <c r="IJN98" s="293"/>
      <c r="IJO98" s="293"/>
      <c r="IJP98" s="293"/>
      <c r="IJQ98" s="293"/>
      <c r="IJR98" s="293"/>
      <c r="IJS98" s="293"/>
      <c r="IJT98" s="293"/>
      <c r="IJU98" s="293"/>
      <c r="IJV98" s="293"/>
      <c r="IJW98" s="293"/>
      <c r="IJX98" s="293"/>
      <c r="IJY98" s="293"/>
      <c r="IJZ98" s="293"/>
      <c r="IKA98" s="293"/>
      <c r="IKB98" s="293"/>
      <c r="IKC98" s="293"/>
      <c r="IKD98" s="293"/>
      <c r="IKE98" s="293"/>
      <c r="IKF98" s="293"/>
      <c r="IKG98" s="293"/>
      <c r="IKH98" s="293"/>
      <c r="IKI98" s="293"/>
      <c r="IKJ98" s="293"/>
      <c r="IKK98" s="293"/>
      <c r="IKL98" s="293"/>
      <c r="IKM98" s="293"/>
      <c r="IKN98" s="293"/>
      <c r="IKO98" s="293"/>
      <c r="IKP98" s="293"/>
      <c r="IKQ98" s="293"/>
      <c r="IKR98" s="293"/>
      <c r="IKS98" s="293"/>
      <c r="IKT98" s="293"/>
      <c r="IKU98" s="293"/>
      <c r="IKV98" s="293"/>
      <c r="IKW98" s="293"/>
      <c r="IKX98" s="293"/>
      <c r="IKY98" s="293"/>
      <c r="IKZ98" s="293"/>
      <c r="ILA98" s="293"/>
      <c r="ILB98" s="293"/>
      <c r="ILC98" s="293"/>
      <c r="ILD98" s="293"/>
      <c r="ILE98" s="293"/>
      <c r="ILF98" s="293"/>
      <c r="ILG98" s="293"/>
      <c r="ILH98" s="293"/>
      <c r="ILI98" s="293"/>
      <c r="ILJ98" s="293"/>
      <c r="ILK98" s="293"/>
      <c r="ILL98" s="293"/>
      <c r="ILM98" s="293"/>
      <c r="ILN98" s="293"/>
      <c r="ILO98" s="293"/>
      <c r="ILP98" s="293"/>
      <c r="ILQ98" s="293"/>
      <c r="ILR98" s="293"/>
      <c r="ILS98" s="293"/>
      <c r="ILT98" s="293"/>
      <c r="ILU98" s="293"/>
      <c r="ILV98" s="293"/>
      <c r="ILW98" s="293"/>
      <c r="ILX98" s="293"/>
      <c r="ILY98" s="293"/>
      <c r="ILZ98" s="293"/>
      <c r="IMA98" s="293"/>
      <c r="IMB98" s="293"/>
      <c r="IMC98" s="293"/>
      <c r="IMD98" s="293"/>
      <c r="IME98" s="293"/>
      <c r="IMF98" s="293"/>
      <c r="IMG98" s="293"/>
      <c r="IMH98" s="293"/>
      <c r="IMI98" s="293"/>
      <c r="IMJ98" s="293"/>
      <c r="IMK98" s="293"/>
      <c r="IML98" s="293"/>
      <c r="IMM98" s="293"/>
      <c r="IMN98" s="293"/>
      <c r="IMO98" s="293"/>
      <c r="IMP98" s="293"/>
      <c r="IMQ98" s="293"/>
      <c r="IMR98" s="293"/>
      <c r="IMS98" s="293"/>
      <c r="IMT98" s="293"/>
      <c r="IMU98" s="293"/>
      <c r="IMV98" s="293"/>
      <c r="IMW98" s="293"/>
      <c r="IMX98" s="293"/>
      <c r="IMY98" s="293"/>
      <c r="IMZ98" s="293"/>
      <c r="INA98" s="293"/>
      <c r="INB98" s="293"/>
      <c r="INC98" s="293"/>
      <c r="IND98" s="293"/>
      <c r="INE98" s="293"/>
      <c r="INF98" s="293"/>
      <c r="ING98" s="293"/>
      <c r="INH98" s="293"/>
      <c r="INI98" s="293"/>
      <c r="INJ98" s="293"/>
      <c r="INK98" s="293"/>
      <c r="INL98" s="293"/>
      <c r="INM98" s="293"/>
      <c r="INN98" s="293"/>
      <c r="INO98" s="293"/>
      <c r="INP98" s="293"/>
      <c r="INQ98" s="293"/>
      <c r="INR98" s="293"/>
      <c r="INS98" s="293"/>
      <c r="INT98" s="293"/>
      <c r="INU98" s="293"/>
      <c r="INV98" s="293"/>
      <c r="INW98" s="293"/>
      <c r="INX98" s="293"/>
      <c r="INY98" s="293"/>
      <c r="INZ98" s="293"/>
      <c r="IOA98" s="293"/>
      <c r="IOB98" s="293"/>
      <c r="IOC98" s="293"/>
      <c r="IOD98" s="293"/>
      <c r="IOE98" s="293"/>
      <c r="IOF98" s="293"/>
      <c r="IOG98" s="293"/>
      <c r="IOH98" s="293"/>
      <c r="IOI98" s="293"/>
      <c r="IOJ98" s="293"/>
      <c r="IOK98" s="293"/>
      <c r="IOL98" s="293"/>
      <c r="IOM98" s="293"/>
      <c r="ION98" s="293"/>
      <c r="IOO98" s="293"/>
      <c r="IOP98" s="293"/>
      <c r="IOQ98" s="293"/>
      <c r="IOR98" s="293"/>
      <c r="IOS98" s="293"/>
      <c r="IOT98" s="293"/>
      <c r="IOU98" s="293"/>
      <c r="IOV98" s="293"/>
      <c r="IOW98" s="293"/>
      <c r="IOX98" s="293"/>
      <c r="IOY98" s="293"/>
      <c r="IOZ98" s="293"/>
      <c r="IPA98" s="293"/>
      <c r="IPB98" s="293"/>
      <c r="IPC98" s="293"/>
      <c r="IPD98" s="293"/>
      <c r="IPE98" s="293"/>
      <c r="IPF98" s="293"/>
      <c r="IPG98" s="293"/>
      <c r="IPH98" s="293"/>
      <c r="IPI98" s="293"/>
      <c r="IPJ98" s="293"/>
      <c r="IPK98" s="293"/>
      <c r="IPL98" s="293"/>
      <c r="IPM98" s="293"/>
      <c r="IPN98" s="293"/>
      <c r="IPO98" s="293"/>
      <c r="IPP98" s="293"/>
      <c r="IPQ98" s="293"/>
      <c r="IPR98" s="293"/>
      <c r="IPS98" s="293"/>
      <c r="IPT98" s="293"/>
      <c r="IPU98" s="293"/>
      <c r="IPV98" s="293"/>
      <c r="IPW98" s="293"/>
      <c r="IPX98" s="293"/>
      <c r="IPY98" s="293"/>
      <c r="IPZ98" s="293"/>
      <c r="IQA98" s="293"/>
      <c r="IQB98" s="293"/>
      <c r="IQC98" s="293"/>
      <c r="IQD98" s="293"/>
      <c r="IQE98" s="293"/>
      <c r="IQF98" s="293"/>
      <c r="IQG98" s="293"/>
      <c r="IQH98" s="293"/>
      <c r="IQI98" s="293"/>
      <c r="IQJ98" s="293"/>
      <c r="IQK98" s="293"/>
      <c r="IQL98" s="293"/>
      <c r="IQM98" s="293"/>
      <c r="IQN98" s="293"/>
      <c r="IQO98" s="293"/>
      <c r="IQP98" s="293"/>
      <c r="IQQ98" s="293"/>
      <c r="IQR98" s="293"/>
      <c r="IQS98" s="293"/>
      <c r="IQT98" s="293"/>
      <c r="IQU98" s="293"/>
      <c r="IQV98" s="293"/>
      <c r="IQW98" s="293"/>
      <c r="IQX98" s="293"/>
      <c r="IQY98" s="293"/>
      <c r="IQZ98" s="293"/>
      <c r="IRA98" s="293"/>
      <c r="IRB98" s="293"/>
      <c r="IRC98" s="293"/>
      <c r="IRD98" s="293"/>
      <c r="IRE98" s="293"/>
      <c r="IRF98" s="293"/>
      <c r="IRG98" s="293"/>
      <c r="IRH98" s="293"/>
      <c r="IRI98" s="293"/>
      <c r="IRJ98" s="293"/>
      <c r="IRK98" s="293"/>
      <c r="IRL98" s="293"/>
      <c r="IRM98" s="293"/>
      <c r="IRN98" s="293"/>
      <c r="IRO98" s="293"/>
      <c r="IRP98" s="293"/>
      <c r="IRQ98" s="293"/>
      <c r="IRR98" s="293"/>
      <c r="IRS98" s="293"/>
      <c r="IRT98" s="293"/>
      <c r="IRU98" s="293"/>
      <c r="IRV98" s="293"/>
      <c r="IRW98" s="293"/>
      <c r="IRX98" s="293"/>
      <c r="IRY98" s="293"/>
      <c r="IRZ98" s="293"/>
      <c r="ISA98" s="293"/>
      <c r="ISB98" s="293"/>
      <c r="ISC98" s="293"/>
      <c r="ISD98" s="293"/>
      <c r="ISE98" s="293"/>
      <c r="ISF98" s="293"/>
      <c r="ISG98" s="293"/>
      <c r="ISH98" s="293"/>
      <c r="ISI98" s="293"/>
      <c r="ISJ98" s="293"/>
      <c r="ISK98" s="293"/>
      <c r="ISL98" s="293"/>
      <c r="ISM98" s="293"/>
      <c r="ISN98" s="293"/>
      <c r="ISO98" s="293"/>
      <c r="ISP98" s="293"/>
      <c r="ISQ98" s="293"/>
      <c r="ISR98" s="293"/>
      <c r="ISS98" s="293"/>
      <c r="IST98" s="293"/>
      <c r="ISU98" s="293"/>
      <c r="ISV98" s="293"/>
      <c r="ISW98" s="293"/>
      <c r="ISX98" s="293"/>
      <c r="ISY98" s="293"/>
      <c r="ISZ98" s="293"/>
      <c r="ITA98" s="293"/>
      <c r="ITB98" s="293"/>
      <c r="ITC98" s="293"/>
      <c r="ITD98" s="293"/>
      <c r="ITE98" s="293"/>
      <c r="ITF98" s="293"/>
      <c r="ITG98" s="293"/>
      <c r="ITH98" s="293"/>
      <c r="ITI98" s="293"/>
      <c r="ITJ98" s="293"/>
      <c r="ITK98" s="293"/>
      <c r="ITL98" s="293"/>
      <c r="ITM98" s="293"/>
      <c r="ITN98" s="293"/>
      <c r="ITO98" s="293"/>
      <c r="ITP98" s="293"/>
      <c r="ITQ98" s="293"/>
      <c r="ITR98" s="293"/>
      <c r="ITS98" s="293"/>
      <c r="ITT98" s="293"/>
      <c r="ITU98" s="293"/>
      <c r="ITV98" s="293"/>
      <c r="ITW98" s="293"/>
      <c r="ITX98" s="293"/>
      <c r="ITY98" s="293"/>
      <c r="ITZ98" s="293"/>
      <c r="IUA98" s="293"/>
      <c r="IUB98" s="293"/>
      <c r="IUC98" s="293"/>
      <c r="IUD98" s="293"/>
      <c r="IUE98" s="293"/>
      <c r="IUF98" s="293"/>
      <c r="IUG98" s="293"/>
      <c r="IUH98" s="293"/>
      <c r="IUI98" s="293"/>
      <c r="IUJ98" s="293"/>
      <c r="IUK98" s="293"/>
      <c r="IUL98" s="293"/>
      <c r="IUM98" s="293"/>
      <c r="IUN98" s="293"/>
      <c r="IUO98" s="293"/>
      <c r="IUP98" s="293"/>
      <c r="IUQ98" s="293"/>
      <c r="IUR98" s="293"/>
      <c r="IUS98" s="293"/>
      <c r="IUT98" s="293"/>
      <c r="IUU98" s="293"/>
      <c r="IUV98" s="293"/>
      <c r="IUW98" s="293"/>
      <c r="IUX98" s="293"/>
      <c r="IUY98" s="293"/>
      <c r="IUZ98" s="293"/>
      <c r="IVA98" s="293"/>
      <c r="IVB98" s="293"/>
      <c r="IVC98" s="293"/>
      <c r="IVD98" s="293"/>
      <c r="IVE98" s="293"/>
      <c r="IVF98" s="293"/>
      <c r="IVG98" s="293"/>
      <c r="IVH98" s="293"/>
      <c r="IVI98" s="293"/>
      <c r="IVJ98" s="293"/>
      <c r="IVK98" s="293"/>
      <c r="IVL98" s="293"/>
      <c r="IVM98" s="293"/>
      <c r="IVN98" s="293"/>
      <c r="IVO98" s="293"/>
      <c r="IVP98" s="293"/>
      <c r="IVQ98" s="293"/>
      <c r="IVR98" s="293"/>
      <c r="IVS98" s="293"/>
      <c r="IVT98" s="293"/>
      <c r="IVU98" s="293"/>
      <c r="IVV98" s="293"/>
      <c r="IVW98" s="293"/>
      <c r="IVX98" s="293"/>
      <c r="IVY98" s="293"/>
      <c r="IVZ98" s="293"/>
      <c r="IWA98" s="293"/>
      <c r="IWB98" s="293"/>
      <c r="IWC98" s="293"/>
      <c r="IWD98" s="293"/>
      <c r="IWE98" s="293"/>
      <c r="IWF98" s="293"/>
      <c r="IWG98" s="293"/>
      <c r="IWH98" s="293"/>
      <c r="IWI98" s="293"/>
      <c r="IWJ98" s="293"/>
      <c r="IWK98" s="293"/>
      <c r="IWL98" s="293"/>
      <c r="IWM98" s="293"/>
      <c r="IWN98" s="293"/>
      <c r="IWO98" s="293"/>
      <c r="IWP98" s="293"/>
      <c r="IWQ98" s="293"/>
      <c r="IWR98" s="293"/>
      <c r="IWS98" s="293"/>
      <c r="IWT98" s="293"/>
      <c r="IWU98" s="293"/>
      <c r="IWV98" s="293"/>
      <c r="IWW98" s="293"/>
      <c r="IWX98" s="293"/>
      <c r="IWY98" s="293"/>
      <c r="IWZ98" s="293"/>
      <c r="IXA98" s="293"/>
      <c r="IXB98" s="293"/>
      <c r="IXC98" s="293"/>
      <c r="IXD98" s="293"/>
      <c r="IXE98" s="293"/>
      <c r="IXF98" s="293"/>
      <c r="IXG98" s="293"/>
      <c r="IXH98" s="293"/>
      <c r="IXI98" s="293"/>
      <c r="IXJ98" s="293"/>
      <c r="IXK98" s="293"/>
      <c r="IXL98" s="293"/>
      <c r="IXM98" s="293"/>
      <c r="IXN98" s="293"/>
      <c r="IXO98" s="293"/>
      <c r="IXP98" s="293"/>
      <c r="IXQ98" s="293"/>
      <c r="IXR98" s="293"/>
      <c r="IXS98" s="293"/>
      <c r="IXT98" s="293"/>
      <c r="IXU98" s="293"/>
      <c r="IXV98" s="293"/>
      <c r="IXW98" s="293"/>
      <c r="IXX98" s="293"/>
      <c r="IXY98" s="293"/>
      <c r="IXZ98" s="293"/>
      <c r="IYA98" s="293"/>
      <c r="IYB98" s="293"/>
      <c r="IYC98" s="293"/>
      <c r="IYD98" s="293"/>
      <c r="IYE98" s="293"/>
      <c r="IYF98" s="293"/>
      <c r="IYG98" s="293"/>
      <c r="IYH98" s="293"/>
      <c r="IYI98" s="293"/>
      <c r="IYJ98" s="293"/>
      <c r="IYK98" s="293"/>
      <c r="IYL98" s="293"/>
      <c r="IYM98" s="293"/>
      <c r="IYN98" s="293"/>
      <c r="IYO98" s="293"/>
      <c r="IYP98" s="293"/>
      <c r="IYQ98" s="293"/>
      <c r="IYR98" s="293"/>
      <c r="IYS98" s="293"/>
      <c r="IYT98" s="293"/>
      <c r="IYU98" s="293"/>
      <c r="IYV98" s="293"/>
      <c r="IYW98" s="293"/>
      <c r="IYX98" s="293"/>
      <c r="IYY98" s="293"/>
      <c r="IYZ98" s="293"/>
      <c r="IZA98" s="293"/>
      <c r="IZB98" s="293"/>
      <c r="IZC98" s="293"/>
      <c r="IZD98" s="293"/>
      <c r="IZE98" s="293"/>
      <c r="IZF98" s="293"/>
      <c r="IZG98" s="293"/>
      <c r="IZH98" s="293"/>
      <c r="IZI98" s="293"/>
      <c r="IZJ98" s="293"/>
      <c r="IZK98" s="293"/>
      <c r="IZL98" s="293"/>
      <c r="IZM98" s="293"/>
      <c r="IZN98" s="293"/>
      <c r="IZO98" s="293"/>
      <c r="IZP98" s="293"/>
      <c r="IZQ98" s="293"/>
      <c r="IZR98" s="293"/>
      <c r="IZS98" s="293"/>
      <c r="IZT98" s="293"/>
      <c r="IZU98" s="293"/>
      <c r="IZV98" s="293"/>
      <c r="IZW98" s="293"/>
      <c r="IZX98" s="293"/>
      <c r="IZY98" s="293"/>
      <c r="IZZ98" s="293"/>
      <c r="JAA98" s="293"/>
      <c r="JAB98" s="293"/>
      <c r="JAC98" s="293"/>
      <c r="JAD98" s="293"/>
      <c r="JAE98" s="293"/>
      <c r="JAF98" s="293"/>
      <c r="JAG98" s="293"/>
      <c r="JAH98" s="293"/>
      <c r="JAI98" s="293"/>
      <c r="JAJ98" s="293"/>
      <c r="JAK98" s="293"/>
      <c r="JAL98" s="293"/>
      <c r="JAM98" s="293"/>
      <c r="JAN98" s="293"/>
      <c r="JAO98" s="293"/>
      <c r="JAP98" s="293"/>
      <c r="JAQ98" s="293"/>
      <c r="JAR98" s="293"/>
      <c r="JAS98" s="293"/>
      <c r="JAT98" s="293"/>
      <c r="JAU98" s="293"/>
      <c r="JAV98" s="293"/>
      <c r="JAW98" s="293"/>
      <c r="JAX98" s="293"/>
      <c r="JAY98" s="293"/>
      <c r="JAZ98" s="293"/>
      <c r="JBA98" s="293"/>
      <c r="JBB98" s="293"/>
      <c r="JBC98" s="293"/>
      <c r="JBD98" s="293"/>
      <c r="JBE98" s="293"/>
      <c r="JBF98" s="293"/>
      <c r="JBG98" s="293"/>
      <c r="JBH98" s="293"/>
      <c r="JBI98" s="293"/>
      <c r="JBJ98" s="293"/>
      <c r="JBK98" s="293"/>
      <c r="JBL98" s="293"/>
      <c r="JBM98" s="293"/>
      <c r="JBN98" s="293"/>
      <c r="JBO98" s="293"/>
      <c r="JBP98" s="293"/>
      <c r="JBQ98" s="293"/>
      <c r="JBR98" s="293"/>
      <c r="JBS98" s="293"/>
      <c r="JBT98" s="293"/>
      <c r="JBU98" s="293"/>
      <c r="JBV98" s="293"/>
      <c r="JBW98" s="293"/>
      <c r="JBX98" s="293"/>
      <c r="JBY98" s="293"/>
      <c r="JBZ98" s="293"/>
      <c r="JCA98" s="293"/>
      <c r="JCB98" s="293"/>
      <c r="JCC98" s="293"/>
      <c r="JCD98" s="293"/>
      <c r="JCE98" s="293"/>
      <c r="JCF98" s="293"/>
      <c r="JCG98" s="293"/>
      <c r="JCH98" s="293"/>
      <c r="JCI98" s="293"/>
      <c r="JCJ98" s="293"/>
      <c r="JCK98" s="293"/>
      <c r="JCL98" s="293"/>
      <c r="JCM98" s="293"/>
      <c r="JCN98" s="293"/>
      <c r="JCO98" s="293"/>
      <c r="JCP98" s="293"/>
      <c r="JCQ98" s="293"/>
      <c r="JCR98" s="293"/>
      <c r="JCS98" s="293"/>
      <c r="JCT98" s="293"/>
      <c r="JCU98" s="293"/>
      <c r="JCV98" s="293"/>
      <c r="JCW98" s="293"/>
      <c r="JCX98" s="293"/>
      <c r="JCY98" s="293"/>
      <c r="JCZ98" s="293"/>
      <c r="JDA98" s="293"/>
      <c r="JDB98" s="293"/>
      <c r="JDC98" s="293"/>
      <c r="JDD98" s="293"/>
      <c r="JDE98" s="293"/>
      <c r="JDF98" s="293"/>
      <c r="JDG98" s="293"/>
      <c r="JDH98" s="293"/>
      <c r="JDI98" s="293"/>
      <c r="JDJ98" s="293"/>
      <c r="JDK98" s="293"/>
      <c r="JDL98" s="293"/>
      <c r="JDM98" s="293"/>
      <c r="JDN98" s="293"/>
      <c r="JDO98" s="293"/>
      <c r="JDP98" s="293"/>
      <c r="JDQ98" s="293"/>
      <c r="JDR98" s="293"/>
      <c r="JDS98" s="293"/>
      <c r="JDT98" s="293"/>
      <c r="JDU98" s="293"/>
      <c r="JDV98" s="293"/>
      <c r="JDW98" s="293"/>
      <c r="JDX98" s="293"/>
      <c r="JDY98" s="293"/>
      <c r="JDZ98" s="293"/>
      <c r="JEA98" s="293"/>
      <c r="JEB98" s="293"/>
      <c r="JEC98" s="293"/>
      <c r="JED98" s="293"/>
      <c r="JEE98" s="293"/>
      <c r="JEF98" s="293"/>
      <c r="JEG98" s="293"/>
      <c r="JEH98" s="293"/>
      <c r="JEI98" s="293"/>
      <c r="JEJ98" s="293"/>
      <c r="JEK98" s="293"/>
      <c r="JEL98" s="293"/>
      <c r="JEM98" s="293"/>
      <c r="JEN98" s="293"/>
      <c r="JEO98" s="293"/>
      <c r="JEP98" s="293"/>
      <c r="JEQ98" s="293"/>
      <c r="JER98" s="293"/>
      <c r="JES98" s="293"/>
      <c r="JET98" s="293"/>
      <c r="JEU98" s="293"/>
      <c r="JEV98" s="293"/>
      <c r="JEW98" s="293"/>
      <c r="JEX98" s="293"/>
      <c r="JEY98" s="293"/>
      <c r="JEZ98" s="293"/>
      <c r="JFA98" s="293"/>
      <c r="JFB98" s="293"/>
      <c r="JFC98" s="293"/>
      <c r="JFD98" s="293"/>
      <c r="JFE98" s="293"/>
      <c r="JFF98" s="293"/>
      <c r="JFG98" s="293"/>
      <c r="JFH98" s="293"/>
      <c r="JFI98" s="293"/>
      <c r="JFJ98" s="293"/>
      <c r="JFK98" s="293"/>
      <c r="JFL98" s="293"/>
      <c r="JFM98" s="293"/>
      <c r="JFN98" s="293"/>
      <c r="JFO98" s="293"/>
      <c r="JFP98" s="293"/>
      <c r="JFQ98" s="293"/>
      <c r="JFR98" s="293"/>
      <c r="JFS98" s="293"/>
      <c r="JFT98" s="293"/>
      <c r="JFU98" s="293"/>
      <c r="JFV98" s="293"/>
      <c r="JFW98" s="293"/>
      <c r="JFX98" s="293"/>
      <c r="JFY98" s="293"/>
      <c r="JFZ98" s="293"/>
      <c r="JGA98" s="293"/>
      <c r="JGB98" s="293"/>
      <c r="JGC98" s="293"/>
      <c r="JGD98" s="293"/>
      <c r="JGE98" s="293"/>
      <c r="JGF98" s="293"/>
      <c r="JGG98" s="293"/>
      <c r="JGH98" s="293"/>
      <c r="JGI98" s="293"/>
      <c r="JGJ98" s="293"/>
      <c r="JGK98" s="293"/>
      <c r="JGL98" s="293"/>
      <c r="JGM98" s="293"/>
      <c r="JGN98" s="293"/>
      <c r="JGO98" s="293"/>
      <c r="JGP98" s="293"/>
      <c r="JGQ98" s="293"/>
      <c r="JGR98" s="293"/>
      <c r="JGS98" s="293"/>
      <c r="JGT98" s="293"/>
      <c r="JGU98" s="293"/>
      <c r="JGV98" s="293"/>
      <c r="JGW98" s="293"/>
      <c r="JGX98" s="293"/>
      <c r="JGY98" s="293"/>
      <c r="JGZ98" s="293"/>
      <c r="JHA98" s="293"/>
      <c r="JHB98" s="293"/>
      <c r="JHC98" s="293"/>
      <c r="JHD98" s="293"/>
      <c r="JHE98" s="293"/>
      <c r="JHF98" s="293"/>
      <c r="JHG98" s="293"/>
      <c r="JHH98" s="293"/>
      <c r="JHI98" s="293"/>
      <c r="JHJ98" s="293"/>
      <c r="JHK98" s="293"/>
      <c r="JHL98" s="293"/>
      <c r="JHM98" s="293"/>
      <c r="JHN98" s="293"/>
      <c r="JHO98" s="293"/>
      <c r="JHP98" s="293"/>
      <c r="JHQ98" s="293"/>
      <c r="JHR98" s="293"/>
      <c r="JHS98" s="293"/>
      <c r="JHT98" s="293"/>
      <c r="JHU98" s="293"/>
      <c r="JHV98" s="293"/>
      <c r="JHW98" s="293"/>
      <c r="JHX98" s="293"/>
      <c r="JHY98" s="293"/>
      <c r="JHZ98" s="293"/>
      <c r="JIA98" s="293"/>
      <c r="JIB98" s="293"/>
      <c r="JIC98" s="293"/>
      <c r="JID98" s="293"/>
      <c r="JIE98" s="293"/>
      <c r="JIF98" s="293"/>
      <c r="JIG98" s="293"/>
      <c r="JIH98" s="293"/>
      <c r="JII98" s="293"/>
      <c r="JIJ98" s="293"/>
      <c r="JIK98" s="293"/>
      <c r="JIL98" s="293"/>
      <c r="JIM98" s="293"/>
      <c r="JIN98" s="293"/>
      <c r="JIO98" s="293"/>
      <c r="JIP98" s="293"/>
      <c r="JIQ98" s="293"/>
      <c r="JIR98" s="293"/>
      <c r="JIS98" s="293"/>
      <c r="JIT98" s="293"/>
      <c r="JIU98" s="293"/>
      <c r="JIV98" s="293"/>
      <c r="JIW98" s="293"/>
      <c r="JIX98" s="293"/>
      <c r="JIY98" s="293"/>
      <c r="JIZ98" s="293"/>
      <c r="JJA98" s="293"/>
      <c r="JJB98" s="293"/>
      <c r="JJC98" s="293"/>
      <c r="JJD98" s="293"/>
      <c r="JJE98" s="293"/>
      <c r="JJF98" s="293"/>
      <c r="JJG98" s="293"/>
      <c r="JJH98" s="293"/>
      <c r="JJI98" s="293"/>
      <c r="JJJ98" s="293"/>
      <c r="JJK98" s="293"/>
      <c r="JJL98" s="293"/>
      <c r="JJM98" s="293"/>
      <c r="JJN98" s="293"/>
      <c r="JJO98" s="293"/>
      <c r="JJP98" s="293"/>
      <c r="JJQ98" s="293"/>
      <c r="JJR98" s="293"/>
      <c r="JJS98" s="293"/>
      <c r="JJT98" s="293"/>
      <c r="JJU98" s="293"/>
      <c r="JJV98" s="293"/>
      <c r="JJW98" s="293"/>
      <c r="JJX98" s="293"/>
      <c r="JJY98" s="293"/>
      <c r="JJZ98" s="293"/>
      <c r="JKA98" s="293"/>
      <c r="JKB98" s="293"/>
      <c r="JKC98" s="293"/>
      <c r="JKD98" s="293"/>
      <c r="JKE98" s="293"/>
      <c r="JKF98" s="293"/>
      <c r="JKG98" s="293"/>
      <c r="JKH98" s="293"/>
      <c r="JKI98" s="293"/>
      <c r="JKJ98" s="293"/>
      <c r="JKK98" s="293"/>
      <c r="JKL98" s="293"/>
      <c r="JKM98" s="293"/>
      <c r="JKN98" s="293"/>
      <c r="JKO98" s="293"/>
      <c r="JKP98" s="293"/>
      <c r="JKQ98" s="293"/>
      <c r="JKR98" s="293"/>
      <c r="JKS98" s="293"/>
      <c r="JKT98" s="293"/>
      <c r="JKU98" s="293"/>
      <c r="JKV98" s="293"/>
      <c r="JKW98" s="293"/>
      <c r="JKX98" s="293"/>
      <c r="JKY98" s="293"/>
      <c r="JKZ98" s="293"/>
      <c r="JLA98" s="293"/>
      <c r="JLB98" s="293"/>
      <c r="JLC98" s="293"/>
      <c r="JLD98" s="293"/>
      <c r="JLE98" s="293"/>
      <c r="JLF98" s="293"/>
      <c r="JLG98" s="293"/>
      <c r="JLH98" s="293"/>
      <c r="JLI98" s="293"/>
      <c r="JLJ98" s="293"/>
      <c r="JLK98" s="293"/>
      <c r="JLL98" s="293"/>
      <c r="JLM98" s="293"/>
      <c r="JLN98" s="293"/>
      <c r="JLO98" s="293"/>
      <c r="JLP98" s="293"/>
      <c r="JLQ98" s="293"/>
      <c r="JLR98" s="293"/>
      <c r="JLS98" s="293"/>
      <c r="JLT98" s="293"/>
      <c r="JLU98" s="293"/>
      <c r="JLV98" s="293"/>
      <c r="JLW98" s="293"/>
      <c r="JLX98" s="293"/>
      <c r="JLY98" s="293"/>
      <c r="JLZ98" s="293"/>
      <c r="JMA98" s="293"/>
      <c r="JMB98" s="293"/>
      <c r="JMC98" s="293"/>
      <c r="JMD98" s="293"/>
      <c r="JME98" s="293"/>
      <c r="JMF98" s="293"/>
      <c r="JMG98" s="293"/>
      <c r="JMH98" s="293"/>
      <c r="JMI98" s="293"/>
      <c r="JMJ98" s="293"/>
      <c r="JMK98" s="293"/>
      <c r="JML98" s="293"/>
      <c r="JMM98" s="293"/>
      <c r="JMN98" s="293"/>
      <c r="JMO98" s="293"/>
      <c r="JMP98" s="293"/>
      <c r="JMQ98" s="293"/>
      <c r="JMR98" s="293"/>
      <c r="JMS98" s="293"/>
      <c r="JMT98" s="293"/>
      <c r="JMU98" s="293"/>
      <c r="JMV98" s="293"/>
      <c r="JMW98" s="293"/>
      <c r="JMX98" s="293"/>
      <c r="JMY98" s="293"/>
      <c r="JMZ98" s="293"/>
      <c r="JNA98" s="293"/>
      <c r="JNB98" s="293"/>
      <c r="JNC98" s="293"/>
      <c r="JND98" s="293"/>
      <c r="JNE98" s="293"/>
      <c r="JNF98" s="293"/>
      <c r="JNG98" s="293"/>
      <c r="JNH98" s="293"/>
      <c r="JNI98" s="293"/>
      <c r="JNJ98" s="293"/>
      <c r="JNK98" s="293"/>
      <c r="JNL98" s="293"/>
      <c r="JNM98" s="293"/>
      <c r="JNN98" s="293"/>
      <c r="JNO98" s="293"/>
      <c r="JNP98" s="293"/>
      <c r="JNQ98" s="293"/>
      <c r="JNR98" s="293"/>
      <c r="JNS98" s="293"/>
      <c r="JNT98" s="293"/>
      <c r="JNU98" s="293"/>
      <c r="JNV98" s="293"/>
      <c r="JNW98" s="293"/>
      <c r="JNX98" s="293"/>
      <c r="JNY98" s="293"/>
      <c r="JNZ98" s="293"/>
      <c r="JOA98" s="293"/>
      <c r="JOB98" s="293"/>
      <c r="JOC98" s="293"/>
      <c r="JOD98" s="293"/>
      <c r="JOE98" s="293"/>
      <c r="JOF98" s="293"/>
      <c r="JOG98" s="293"/>
      <c r="JOH98" s="293"/>
      <c r="JOI98" s="293"/>
      <c r="JOJ98" s="293"/>
      <c r="JOK98" s="293"/>
      <c r="JOL98" s="293"/>
      <c r="JOM98" s="293"/>
      <c r="JON98" s="293"/>
      <c r="JOO98" s="293"/>
      <c r="JOP98" s="293"/>
      <c r="JOQ98" s="293"/>
      <c r="JOR98" s="293"/>
      <c r="JOS98" s="293"/>
      <c r="JOT98" s="293"/>
      <c r="JOU98" s="293"/>
      <c r="JOV98" s="293"/>
      <c r="JOW98" s="293"/>
      <c r="JOX98" s="293"/>
      <c r="JOY98" s="293"/>
      <c r="JOZ98" s="293"/>
      <c r="JPA98" s="293"/>
      <c r="JPB98" s="293"/>
      <c r="JPC98" s="293"/>
      <c r="JPD98" s="293"/>
      <c r="JPE98" s="293"/>
      <c r="JPF98" s="293"/>
      <c r="JPG98" s="293"/>
      <c r="JPH98" s="293"/>
      <c r="JPI98" s="293"/>
      <c r="JPJ98" s="293"/>
      <c r="JPK98" s="293"/>
      <c r="JPL98" s="293"/>
      <c r="JPM98" s="293"/>
      <c r="JPN98" s="293"/>
      <c r="JPO98" s="293"/>
      <c r="JPP98" s="293"/>
      <c r="JPQ98" s="293"/>
      <c r="JPR98" s="293"/>
      <c r="JPS98" s="293"/>
      <c r="JPT98" s="293"/>
      <c r="JPU98" s="293"/>
      <c r="JPV98" s="293"/>
      <c r="JPW98" s="293"/>
      <c r="JPX98" s="293"/>
      <c r="JPY98" s="293"/>
      <c r="JPZ98" s="293"/>
      <c r="JQA98" s="293"/>
      <c r="JQB98" s="293"/>
      <c r="JQC98" s="293"/>
      <c r="JQD98" s="293"/>
      <c r="JQE98" s="293"/>
      <c r="JQF98" s="293"/>
      <c r="JQG98" s="293"/>
      <c r="JQH98" s="293"/>
      <c r="JQI98" s="293"/>
      <c r="JQJ98" s="293"/>
      <c r="JQK98" s="293"/>
      <c r="JQL98" s="293"/>
      <c r="JQM98" s="293"/>
      <c r="JQN98" s="293"/>
      <c r="JQO98" s="293"/>
      <c r="JQP98" s="293"/>
      <c r="JQQ98" s="293"/>
      <c r="JQR98" s="293"/>
      <c r="JQS98" s="293"/>
      <c r="JQT98" s="293"/>
      <c r="JQU98" s="293"/>
      <c r="JQV98" s="293"/>
      <c r="JQW98" s="293"/>
      <c r="JQX98" s="293"/>
      <c r="JQY98" s="293"/>
      <c r="JQZ98" s="293"/>
      <c r="JRA98" s="293"/>
      <c r="JRB98" s="293"/>
      <c r="JRC98" s="293"/>
      <c r="JRD98" s="293"/>
      <c r="JRE98" s="293"/>
      <c r="JRF98" s="293"/>
      <c r="JRG98" s="293"/>
      <c r="JRH98" s="293"/>
      <c r="JRI98" s="293"/>
      <c r="JRJ98" s="293"/>
      <c r="JRK98" s="293"/>
      <c r="JRL98" s="293"/>
      <c r="JRM98" s="293"/>
      <c r="JRN98" s="293"/>
      <c r="JRO98" s="293"/>
      <c r="JRP98" s="293"/>
      <c r="JRQ98" s="293"/>
      <c r="JRR98" s="293"/>
      <c r="JRS98" s="293"/>
      <c r="JRT98" s="293"/>
      <c r="JRU98" s="293"/>
      <c r="JRV98" s="293"/>
      <c r="JRW98" s="293"/>
      <c r="JRX98" s="293"/>
      <c r="JRY98" s="293"/>
      <c r="JRZ98" s="293"/>
      <c r="JSA98" s="293"/>
      <c r="JSB98" s="293"/>
      <c r="JSC98" s="293"/>
      <c r="JSD98" s="293"/>
      <c r="JSE98" s="293"/>
      <c r="JSF98" s="293"/>
      <c r="JSG98" s="293"/>
      <c r="JSH98" s="293"/>
      <c r="JSI98" s="293"/>
      <c r="JSJ98" s="293"/>
      <c r="JSK98" s="293"/>
      <c r="JSL98" s="293"/>
      <c r="JSM98" s="293"/>
      <c r="JSN98" s="293"/>
      <c r="JSO98" s="293"/>
      <c r="JSP98" s="293"/>
      <c r="JSQ98" s="293"/>
      <c r="JSR98" s="293"/>
      <c r="JSS98" s="293"/>
      <c r="JST98" s="293"/>
      <c r="JSU98" s="293"/>
      <c r="JSV98" s="293"/>
      <c r="JSW98" s="293"/>
      <c r="JSX98" s="293"/>
      <c r="JSY98" s="293"/>
      <c r="JSZ98" s="293"/>
      <c r="JTA98" s="293"/>
      <c r="JTB98" s="293"/>
      <c r="JTC98" s="293"/>
      <c r="JTD98" s="293"/>
      <c r="JTE98" s="293"/>
      <c r="JTF98" s="293"/>
      <c r="JTG98" s="293"/>
      <c r="JTH98" s="293"/>
      <c r="JTI98" s="293"/>
      <c r="JTJ98" s="293"/>
      <c r="JTK98" s="293"/>
      <c r="JTL98" s="293"/>
      <c r="JTM98" s="293"/>
      <c r="JTN98" s="293"/>
      <c r="JTO98" s="293"/>
      <c r="JTP98" s="293"/>
      <c r="JTQ98" s="293"/>
      <c r="JTR98" s="293"/>
      <c r="JTS98" s="293"/>
      <c r="JTT98" s="293"/>
      <c r="JTU98" s="293"/>
      <c r="JTV98" s="293"/>
      <c r="JTW98" s="293"/>
      <c r="JTX98" s="293"/>
      <c r="JTY98" s="293"/>
      <c r="JTZ98" s="293"/>
      <c r="JUA98" s="293"/>
      <c r="JUB98" s="293"/>
      <c r="JUC98" s="293"/>
      <c r="JUD98" s="293"/>
      <c r="JUE98" s="293"/>
      <c r="JUF98" s="293"/>
      <c r="JUG98" s="293"/>
      <c r="JUH98" s="293"/>
      <c r="JUI98" s="293"/>
      <c r="JUJ98" s="293"/>
      <c r="JUK98" s="293"/>
      <c r="JUL98" s="293"/>
      <c r="JUM98" s="293"/>
      <c r="JUN98" s="293"/>
      <c r="JUO98" s="293"/>
      <c r="JUP98" s="293"/>
      <c r="JUQ98" s="293"/>
      <c r="JUR98" s="293"/>
      <c r="JUS98" s="293"/>
      <c r="JUT98" s="293"/>
      <c r="JUU98" s="293"/>
      <c r="JUV98" s="293"/>
      <c r="JUW98" s="293"/>
      <c r="JUX98" s="293"/>
      <c r="JUY98" s="293"/>
      <c r="JUZ98" s="293"/>
      <c r="JVA98" s="293"/>
      <c r="JVB98" s="293"/>
      <c r="JVC98" s="293"/>
      <c r="JVD98" s="293"/>
      <c r="JVE98" s="293"/>
      <c r="JVF98" s="293"/>
      <c r="JVG98" s="293"/>
      <c r="JVH98" s="293"/>
      <c r="JVI98" s="293"/>
      <c r="JVJ98" s="293"/>
      <c r="JVK98" s="293"/>
      <c r="JVL98" s="293"/>
      <c r="JVM98" s="293"/>
      <c r="JVN98" s="293"/>
      <c r="JVO98" s="293"/>
      <c r="JVP98" s="293"/>
      <c r="JVQ98" s="293"/>
      <c r="JVR98" s="293"/>
      <c r="JVS98" s="293"/>
      <c r="JVT98" s="293"/>
      <c r="JVU98" s="293"/>
      <c r="JVV98" s="293"/>
      <c r="JVW98" s="293"/>
      <c r="JVX98" s="293"/>
      <c r="JVY98" s="293"/>
      <c r="JVZ98" s="293"/>
      <c r="JWA98" s="293"/>
      <c r="JWB98" s="293"/>
      <c r="JWC98" s="293"/>
      <c r="JWD98" s="293"/>
      <c r="JWE98" s="293"/>
      <c r="JWF98" s="293"/>
      <c r="JWG98" s="293"/>
      <c r="JWH98" s="293"/>
      <c r="JWI98" s="293"/>
      <c r="JWJ98" s="293"/>
      <c r="JWK98" s="293"/>
      <c r="JWL98" s="293"/>
      <c r="JWM98" s="293"/>
      <c r="JWN98" s="293"/>
      <c r="JWO98" s="293"/>
      <c r="JWP98" s="293"/>
      <c r="JWQ98" s="293"/>
      <c r="JWR98" s="293"/>
      <c r="JWS98" s="293"/>
      <c r="JWT98" s="293"/>
      <c r="JWU98" s="293"/>
      <c r="JWV98" s="293"/>
      <c r="JWW98" s="293"/>
      <c r="JWX98" s="293"/>
      <c r="JWY98" s="293"/>
      <c r="JWZ98" s="293"/>
      <c r="JXA98" s="293"/>
      <c r="JXB98" s="293"/>
      <c r="JXC98" s="293"/>
      <c r="JXD98" s="293"/>
      <c r="JXE98" s="293"/>
      <c r="JXF98" s="293"/>
      <c r="JXG98" s="293"/>
      <c r="JXH98" s="293"/>
      <c r="JXI98" s="293"/>
      <c r="JXJ98" s="293"/>
      <c r="JXK98" s="293"/>
      <c r="JXL98" s="293"/>
      <c r="JXM98" s="293"/>
      <c r="JXN98" s="293"/>
      <c r="JXO98" s="293"/>
      <c r="JXP98" s="293"/>
      <c r="JXQ98" s="293"/>
      <c r="JXR98" s="293"/>
      <c r="JXS98" s="293"/>
      <c r="JXT98" s="293"/>
      <c r="JXU98" s="293"/>
      <c r="JXV98" s="293"/>
      <c r="JXW98" s="293"/>
      <c r="JXX98" s="293"/>
      <c r="JXY98" s="293"/>
      <c r="JXZ98" s="293"/>
      <c r="JYA98" s="293"/>
      <c r="JYB98" s="293"/>
      <c r="JYC98" s="293"/>
      <c r="JYD98" s="293"/>
      <c r="JYE98" s="293"/>
      <c r="JYF98" s="293"/>
      <c r="JYG98" s="293"/>
      <c r="JYH98" s="293"/>
      <c r="JYI98" s="293"/>
      <c r="JYJ98" s="293"/>
      <c r="JYK98" s="293"/>
      <c r="JYL98" s="293"/>
      <c r="JYM98" s="293"/>
      <c r="JYN98" s="293"/>
      <c r="JYO98" s="293"/>
      <c r="JYP98" s="293"/>
      <c r="JYQ98" s="293"/>
      <c r="JYR98" s="293"/>
      <c r="JYS98" s="293"/>
      <c r="JYT98" s="293"/>
      <c r="JYU98" s="293"/>
      <c r="JYV98" s="293"/>
      <c r="JYW98" s="293"/>
      <c r="JYX98" s="293"/>
      <c r="JYY98" s="293"/>
      <c r="JYZ98" s="293"/>
      <c r="JZA98" s="293"/>
      <c r="JZB98" s="293"/>
      <c r="JZC98" s="293"/>
      <c r="JZD98" s="293"/>
      <c r="JZE98" s="293"/>
      <c r="JZF98" s="293"/>
      <c r="JZG98" s="293"/>
      <c r="JZH98" s="293"/>
      <c r="JZI98" s="293"/>
      <c r="JZJ98" s="293"/>
      <c r="JZK98" s="293"/>
      <c r="JZL98" s="293"/>
      <c r="JZM98" s="293"/>
      <c r="JZN98" s="293"/>
      <c r="JZO98" s="293"/>
      <c r="JZP98" s="293"/>
      <c r="JZQ98" s="293"/>
      <c r="JZR98" s="293"/>
      <c r="JZS98" s="293"/>
      <c r="JZT98" s="293"/>
      <c r="JZU98" s="293"/>
      <c r="JZV98" s="293"/>
      <c r="JZW98" s="293"/>
      <c r="JZX98" s="293"/>
      <c r="JZY98" s="293"/>
      <c r="JZZ98" s="293"/>
      <c r="KAA98" s="293"/>
      <c r="KAB98" s="293"/>
      <c r="KAC98" s="293"/>
      <c r="KAD98" s="293"/>
      <c r="KAE98" s="293"/>
      <c r="KAF98" s="293"/>
      <c r="KAG98" s="293"/>
      <c r="KAH98" s="293"/>
      <c r="KAI98" s="293"/>
      <c r="KAJ98" s="293"/>
      <c r="KAK98" s="293"/>
      <c r="KAL98" s="293"/>
      <c r="KAM98" s="293"/>
      <c r="KAN98" s="293"/>
      <c r="KAO98" s="293"/>
      <c r="KAP98" s="293"/>
      <c r="KAQ98" s="293"/>
      <c r="KAR98" s="293"/>
      <c r="KAS98" s="293"/>
      <c r="KAT98" s="293"/>
      <c r="KAU98" s="293"/>
      <c r="KAV98" s="293"/>
      <c r="KAW98" s="293"/>
      <c r="KAX98" s="293"/>
      <c r="KAY98" s="293"/>
      <c r="KAZ98" s="293"/>
      <c r="KBA98" s="293"/>
      <c r="KBB98" s="293"/>
      <c r="KBC98" s="293"/>
      <c r="KBD98" s="293"/>
      <c r="KBE98" s="293"/>
      <c r="KBF98" s="293"/>
      <c r="KBG98" s="293"/>
      <c r="KBH98" s="293"/>
      <c r="KBI98" s="293"/>
      <c r="KBJ98" s="293"/>
      <c r="KBK98" s="293"/>
      <c r="KBL98" s="293"/>
      <c r="KBM98" s="293"/>
      <c r="KBN98" s="293"/>
      <c r="KBO98" s="293"/>
      <c r="KBP98" s="293"/>
      <c r="KBQ98" s="293"/>
      <c r="KBR98" s="293"/>
      <c r="KBS98" s="293"/>
      <c r="KBT98" s="293"/>
      <c r="KBU98" s="293"/>
      <c r="KBV98" s="293"/>
      <c r="KBW98" s="293"/>
      <c r="KBX98" s="293"/>
      <c r="KBY98" s="293"/>
      <c r="KBZ98" s="293"/>
      <c r="KCA98" s="293"/>
      <c r="KCB98" s="293"/>
      <c r="KCC98" s="293"/>
      <c r="KCD98" s="293"/>
      <c r="KCE98" s="293"/>
      <c r="KCF98" s="293"/>
      <c r="KCG98" s="293"/>
      <c r="KCH98" s="293"/>
      <c r="KCI98" s="293"/>
      <c r="KCJ98" s="293"/>
      <c r="KCK98" s="293"/>
      <c r="KCL98" s="293"/>
      <c r="KCM98" s="293"/>
      <c r="KCN98" s="293"/>
      <c r="KCO98" s="293"/>
      <c r="KCP98" s="293"/>
      <c r="KCQ98" s="293"/>
      <c r="KCR98" s="293"/>
      <c r="KCS98" s="293"/>
      <c r="KCT98" s="293"/>
      <c r="KCU98" s="293"/>
      <c r="KCV98" s="293"/>
      <c r="KCW98" s="293"/>
      <c r="KCX98" s="293"/>
      <c r="KCY98" s="293"/>
      <c r="KCZ98" s="293"/>
      <c r="KDA98" s="293"/>
      <c r="KDB98" s="293"/>
      <c r="KDC98" s="293"/>
      <c r="KDD98" s="293"/>
      <c r="KDE98" s="293"/>
      <c r="KDF98" s="293"/>
      <c r="KDG98" s="293"/>
      <c r="KDH98" s="293"/>
      <c r="KDI98" s="293"/>
      <c r="KDJ98" s="293"/>
      <c r="KDK98" s="293"/>
      <c r="KDL98" s="293"/>
      <c r="KDM98" s="293"/>
      <c r="KDN98" s="293"/>
      <c r="KDO98" s="293"/>
      <c r="KDP98" s="293"/>
      <c r="KDQ98" s="293"/>
      <c r="KDR98" s="293"/>
      <c r="KDS98" s="293"/>
      <c r="KDT98" s="293"/>
      <c r="KDU98" s="293"/>
      <c r="KDV98" s="293"/>
      <c r="KDW98" s="293"/>
      <c r="KDX98" s="293"/>
      <c r="KDY98" s="293"/>
      <c r="KDZ98" s="293"/>
      <c r="KEA98" s="293"/>
      <c r="KEB98" s="293"/>
      <c r="KEC98" s="293"/>
      <c r="KED98" s="293"/>
      <c r="KEE98" s="293"/>
      <c r="KEF98" s="293"/>
      <c r="KEG98" s="293"/>
      <c r="KEH98" s="293"/>
      <c r="KEI98" s="293"/>
      <c r="KEJ98" s="293"/>
      <c r="KEK98" s="293"/>
      <c r="KEL98" s="293"/>
      <c r="KEM98" s="293"/>
      <c r="KEN98" s="293"/>
      <c r="KEO98" s="293"/>
      <c r="KEP98" s="293"/>
      <c r="KEQ98" s="293"/>
      <c r="KER98" s="293"/>
      <c r="KES98" s="293"/>
      <c r="KET98" s="293"/>
      <c r="KEU98" s="293"/>
      <c r="KEV98" s="293"/>
      <c r="KEW98" s="293"/>
      <c r="KEX98" s="293"/>
      <c r="KEY98" s="293"/>
      <c r="KEZ98" s="293"/>
      <c r="KFA98" s="293"/>
      <c r="KFB98" s="293"/>
      <c r="KFC98" s="293"/>
      <c r="KFD98" s="293"/>
      <c r="KFE98" s="293"/>
      <c r="KFF98" s="293"/>
      <c r="KFG98" s="293"/>
      <c r="KFH98" s="293"/>
      <c r="KFI98" s="293"/>
      <c r="KFJ98" s="293"/>
      <c r="KFK98" s="293"/>
      <c r="KFL98" s="293"/>
      <c r="KFM98" s="293"/>
      <c r="KFN98" s="293"/>
      <c r="KFO98" s="293"/>
      <c r="KFP98" s="293"/>
      <c r="KFQ98" s="293"/>
      <c r="KFR98" s="293"/>
      <c r="KFS98" s="293"/>
      <c r="KFT98" s="293"/>
      <c r="KFU98" s="293"/>
      <c r="KFV98" s="293"/>
      <c r="KFW98" s="293"/>
      <c r="KFX98" s="293"/>
      <c r="KFY98" s="293"/>
      <c r="KFZ98" s="293"/>
      <c r="KGA98" s="293"/>
      <c r="KGB98" s="293"/>
      <c r="KGC98" s="293"/>
      <c r="KGD98" s="293"/>
      <c r="KGE98" s="293"/>
      <c r="KGF98" s="293"/>
      <c r="KGG98" s="293"/>
      <c r="KGH98" s="293"/>
      <c r="KGI98" s="293"/>
      <c r="KGJ98" s="293"/>
      <c r="KGK98" s="293"/>
      <c r="KGL98" s="293"/>
      <c r="KGM98" s="293"/>
      <c r="KGN98" s="293"/>
      <c r="KGO98" s="293"/>
      <c r="KGP98" s="293"/>
      <c r="KGQ98" s="293"/>
      <c r="KGR98" s="293"/>
      <c r="KGS98" s="293"/>
      <c r="KGT98" s="293"/>
      <c r="KGU98" s="293"/>
      <c r="KGV98" s="293"/>
      <c r="KGW98" s="293"/>
      <c r="KGX98" s="293"/>
      <c r="KGY98" s="293"/>
      <c r="KGZ98" s="293"/>
      <c r="KHA98" s="293"/>
      <c r="KHB98" s="293"/>
      <c r="KHC98" s="293"/>
      <c r="KHD98" s="293"/>
      <c r="KHE98" s="293"/>
      <c r="KHF98" s="293"/>
      <c r="KHG98" s="293"/>
      <c r="KHH98" s="293"/>
      <c r="KHI98" s="293"/>
      <c r="KHJ98" s="293"/>
      <c r="KHK98" s="293"/>
      <c r="KHL98" s="293"/>
      <c r="KHM98" s="293"/>
      <c r="KHN98" s="293"/>
      <c r="KHO98" s="293"/>
      <c r="KHP98" s="293"/>
      <c r="KHQ98" s="293"/>
      <c r="KHR98" s="293"/>
      <c r="KHS98" s="293"/>
      <c r="KHT98" s="293"/>
      <c r="KHU98" s="293"/>
      <c r="KHV98" s="293"/>
      <c r="KHW98" s="293"/>
      <c r="KHX98" s="293"/>
      <c r="KHY98" s="293"/>
      <c r="KHZ98" s="293"/>
      <c r="KIA98" s="293"/>
      <c r="KIB98" s="293"/>
      <c r="KIC98" s="293"/>
      <c r="KID98" s="293"/>
      <c r="KIE98" s="293"/>
      <c r="KIF98" s="293"/>
      <c r="KIG98" s="293"/>
      <c r="KIH98" s="293"/>
      <c r="KII98" s="293"/>
      <c r="KIJ98" s="293"/>
      <c r="KIK98" s="293"/>
      <c r="KIL98" s="293"/>
      <c r="KIM98" s="293"/>
      <c r="KIN98" s="293"/>
      <c r="KIO98" s="293"/>
      <c r="KIP98" s="293"/>
      <c r="KIQ98" s="293"/>
      <c r="KIR98" s="293"/>
      <c r="KIS98" s="293"/>
      <c r="KIT98" s="293"/>
      <c r="KIU98" s="293"/>
      <c r="KIV98" s="293"/>
      <c r="KIW98" s="293"/>
      <c r="KIX98" s="293"/>
      <c r="KIY98" s="293"/>
      <c r="KIZ98" s="293"/>
      <c r="KJA98" s="293"/>
      <c r="KJB98" s="293"/>
      <c r="KJC98" s="293"/>
      <c r="KJD98" s="293"/>
      <c r="KJE98" s="293"/>
      <c r="KJF98" s="293"/>
      <c r="KJG98" s="293"/>
      <c r="KJH98" s="293"/>
      <c r="KJI98" s="293"/>
      <c r="KJJ98" s="293"/>
      <c r="KJK98" s="293"/>
      <c r="KJL98" s="293"/>
      <c r="KJM98" s="293"/>
      <c r="KJN98" s="293"/>
      <c r="KJO98" s="293"/>
      <c r="KJP98" s="293"/>
      <c r="KJQ98" s="293"/>
      <c r="KJR98" s="293"/>
      <c r="KJS98" s="293"/>
      <c r="KJT98" s="293"/>
      <c r="KJU98" s="293"/>
      <c r="KJV98" s="293"/>
      <c r="KJW98" s="293"/>
      <c r="KJX98" s="293"/>
      <c r="KJY98" s="293"/>
      <c r="KJZ98" s="293"/>
      <c r="KKA98" s="293"/>
      <c r="KKB98" s="293"/>
      <c r="KKC98" s="293"/>
      <c r="KKD98" s="293"/>
      <c r="KKE98" s="293"/>
      <c r="KKF98" s="293"/>
      <c r="KKG98" s="293"/>
      <c r="KKH98" s="293"/>
      <c r="KKI98" s="293"/>
      <c r="KKJ98" s="293"/>
      <c r="KKK98" s="293"/>
      <c r="KKL98" s="293"/>
      <c r="KKM98" s="293"/>
      <c r="KKN98" s="293"/>
      <c r="KKO98" s="293"/>
      <c r="KKP98" s="293"/>
      <c r="KKQ98" s="293"/>
      <c r="KKR98" s="293"/>
      <c r="KKS98" s="293"/>
      <c r="KKT98" s="293"/>
      <c r="KKU98" s="293"/>
      <c r="KKV98" s="293"/>
      <c r="KKW98" s="293"/>
      <c r="KKX98" s="293"/>
      <c r="KKY98" s="293"/>
      <c r="KKZ98" s="293"/>
      <c r="KLA98" s="293"/>
      <c r="KLB98" s="293"/>
      <c r="KLC98" s="293"/>
      <c r="KLD98" s="293"/>
      <c r="KLE98" s="293"/>
      <c r="KLF98" s="293"/>
      <c r="KLG98" s="293"/>
      <c r="KLH98" s="293"/>
      <c r="KLI98" s="293"/>
      <c r="KLJ98" s="293"/>
      <c r="KLK98" s="293"/>
      <c r="KLL98" s="293"/>
      <c r="KLM98" s="293"/>
      <c r="KLN98" s="293"/>
      <c r="KLO98" s="293"/>
      <c r="KLP98" s="293"/>
      <c r="KLQ98" s="293"/>
      <c r="KLR98" s="293"/>
      <c r="KLS98" s="293"/>
      <c r="KLT98" s="293"/>
      <c r="KLU98" s="293"/>
      <c r="KLV98" s="293"/>
      <c r="KLW98" s="293"/>
      <c r="KLX98" s="293"/>
      <c r="KLY98" s="293"/>
      <c r="KLZ98" s="293"/>
      <c r="KMA98" s="293"/>
      <c r="KMB98" s="293"/>
      <c r="KMC98" s="293"/>
      <c r="KMD98" s="293"/>
      <c r="KME98" s="293"/>
      <c r="KMF98" s="293"/>
      <c r="KMG98" s="293"/>
      <c r="KMH98" s="293"/>
      <c r="KMI98" s="293"/>
      <c r="KMJ98" s="293"/>
      <c r="KMK98" s="293"/>
      <c r="KML98" s="293"/>
      <c r="KMM98" s="293"/>
      <c r="KMN98" s="293"/>
      <c r="KMO98" s="293"/>
      <c r="KMP98" s="293"/>
      <c r="KMQ98" s="293"/>
      <c r="KMR98" s="293"/>
      <c r="KMS98" s="293"/>
      <c r="KMT98" s="293"/>
      <c r="KMU98" s="293"/>
      <c r="KMV98" s="293"/>
      <c r="KMW98" s="293"/>
      <c r="KMX98" s="293"/>
      <c r="KMY98" s="293"/>
      <c r="KMZ98" s="293"/>
      <c r="KNA98" s="293"/>
      <c r="KNB98" s="293"/>
      <c r="KNC98" s="293"/>
      <c r="KND98" s="293"/>
      <c r="KNE98" s="293"/>
      <c r="KNF98" s="293"/>
      <c r="KNG98" s="293"/>
      <c r="KNH98" s="293"/>
      <c r="KNI98" s="293"/>
      <c r="KNJ98" s="293"/>
      <c r="KNK98" s="293"/>
      <c r="KNL98" s="293"/>
      <c r="KNM98" s="293"/>
      <c r="KNN98" s="293"/>
      <c r="KNO98" s="293"/>
      <c r="KNP98" s="293"/>
      <c r="KNQ98" s="293"/>
      <c r="KNR98" s="293"/>
      <c r="KNS98" s="293"/>
      <c r="KNT98" s="293"/>
      <c r="KNU98" s="293"/>
      <c r="KNV98" s="293"/>
      <c r="KNW98" s="293"/>
      <c r="KNX98" s="293"/>
      <c r="KNY98" s="293"/>
      <c r="KNZ98" s="293"/>
      <c r="KOA98" s="293"/>
      <c r="KOB98" s="293"/>
      <c r="KOC98" s="293"/>
      <c r="KOD98" s="293"/>
      <c r="KOE98" s="293"/>
      <c r="KOF98" s="293"/>
      <c r="KOG98" s="293"/>
      <c r="KOH98" s="293"/>
      <c r="KOI98" s="293"/>
      <c r="KOJ98" s="293"/>
      <c r="KOK98" s="293"/>
      <c r="KOL98" s="293"/>
      <c r="KOM98" s="293"/>
      <c r="KON98" s="293"/>
      <c r="KOO98" s="293"/>
      <c r="KOP98" s="293"/>
      <c r="KOQ98" s="293"/>
      <c r="KOR98" s="293"/>
      <c r="KOS98" s="293"/>
      <c r="KOT98" s="293"/>
      <c r="KOU98" s="293"/>
      <c r="KOV98" s="293"/>
      <c r="KOW98" s="293"/>
      <c r="KOX98" s="293"/>
      <c r="KOY98" s="293"/>
      <c r="KOZ98" s="293"/>
      <c r="KPA98" s="293"/>
      <c r="KPB98" s="293"/>
      <c r="KPC98" s="293"/>
      <c r="KPD98" s="293"/>
      <c r="KPE98" s="293"/>
      <c r="KPF98" s="293"/>
      <c r="KPG98" s="293"/>
      <c r="KPH98" s="293"/>
      <c r="KPI98" s="293"/>
      <c r="KPJ98" s="293"/>
      <c r="KPK98" s="293"/>
      <c r="KPL98" s="293"/>
      <c r="KPM98" s="293"/>
      <c r="KPN98" s="293"/>
      <c r="KPO98" s="293"/>
      <c r="KPP98" s="293"/>
      <c r="KPQ98" s="293"/>
      <c r="KPR98" s="293"/>
      <c r="KPS98" s="293"/>
      <c r="KPT98" s="293"/>
      <c r="KPU98" s="293"/>
      <c r="KPV98" s="293"/>
      <c r="KPW98" s="293"/>
      <c r="KPX98" s="293"/>
      <c r="KPY98" s="293"/>
      <c r="KPZ98" s="293"/>
      <c r="KQA98" s="293"/>
      <c r="KQB98" s="293"/>
      <c r="KQC98" s="293"/>
      <c r="KQD98" s="293"/>
      <c r="KQE98" s="293"/>
      <c r="KQF98" s="293"/>
      <c r="KQG98" s="293"/>
      <c r="KQH98" s="293"/>
      <c r="KQI98" s="293"/>
      <c r="KQJ98" s="293"/>
      <c r="KQK98" s="293"/>
      <c r="KQL98" s="293"/>
      <c r="KQM98" s="293"/>
      <c r="KQN98" s="293"/>
      <c r="KQO98" s="293"/>
      <c r="KQP98" s="293"/>
      <c r="KQQ98" s="293"/>
      <c r="KQR98" s="293"/>
      <c r="KQS98" s="293"/>
      <c r="KQT98" s="293"/>
      <c r="KQU98" s="293"/>
      <c r="KQV98" s="293"/>
      <c r="KQW98" s="293"/>
      <c r="KQX98" s="293"/>
      <c r="KQY98" s="293"/>
      <c r="KQZ98" s="293"/>
      <c r="KRA98" s="293"/>
      <c r="KRB98" s="293"/>
      <c r="KRC98" s="293"/>
      <c r="KRD98" s="293"/>
      <c r="KRE98" s="293"/>
      <c r="KRF98" s="293"/>
      <c r="KRG98" s="293"/>
      <c r="KRH98" s="293"/>
      <c r="KRI98" s="293"/>
      <c r="KRJ98" s="293"/>
      <c r="KRK98" s="293"/>
      <c r="KRL98" s="293"/>
      <c r="KRM98" s="293"/>
      <c r="KRN98" s="293"/>
      <c r="KRO98" s="293"/>
      <c r="KRP98" s="293"/>
      <c r="KRQ98" s="293"/>
      <c r="KRR98" s="293"/>
      <c r="KRS98" s="293"/>
      <c r="KRT98" s="293"/>
      <c r="KRU98" s="293"/>
      <c r="KRV98" s="293"/>
      <c r="KRW98" s="293"/>
      <c r="KRX98" s="293"/>
      <c r="KRY98" s="293"/>
      <c r="KRZ98" s="293"/>
      <c r="KSA98" s="293"/>
      <c r="KSB98" s="293"/>
      <c r="KSC98" s="293"/>
      <c r="KSD98" s="293"/>
      <c r="KSE98" s="293"/>
      <c r="KSF98" s="293"/>
      <c r="KSG98" s="293"/>
      <c r="KSH98" s="293"/>
      <c r="KSI98" s="293"/>
      <c r="KSJ98" s="293"/>
      <c r="KSK98" s="293"/>
      <c r="KSL98" s="293"/>
      <c r="KSM98" s="293"/>
      <c r="KSN98" s="293"/>
      <c r="KSO98" s="293"/>
      <c r="KSP98" s="293"/>
      <c r="KSQ98" s="293"/>
      <c r="KSR98" s="293"/>
      <c r="KSS98" s="293"/>
      <c r="KST98" s="293"/>
      <c r="KSU98" s="293"/>
      <c r="KSV98" s="293"/>
      <c r="KSW98" s="293"/>
      <c r="KSX98" s="293"/>
      <c r="KSY98" s="293"/>
      <c r="KSZ98" s="293"/>
      <c r="KTA98" s="293"/>
      <c r="KTB98" s="293"/>
      <c r="KTC98" s="293"/>
      <c r="KTD98" s="293"/>
      <c r="KTE98" s="293"/>
      <c r="KTF98" s="293"/>
      <c r="KTG98" s="293"/>
      <c r="KTH98" s="293"/>
      <c r="KTI98" s="293"/>
      <c r="KTJ98" s="293"/>
      <c r="KTK98" s="293"/>
      <c r="KTL98" s="293"/>
      <c r="KTM98" s="293"/>
      <c r="KTN98" s="293"/>
      <c r="KTO98" s="293"/>
      <c r="KTP98" s="293"/>
      <c r="KTQ98" s="293"/>
      <c r="KTR98" s="293"/>
      <c r="KTS98" s="293"/>
      <c r="KTT98" s="293"/>
      <c r="KTU98" s="293"/>
      <c r="KTV98" s="293"/>
      <c r="KTW98" s="293"/>
      <c r="KTX98" s="293"/>
      <c r="KTY98" s="293"/>
      <c r="KTZ98" s="293"/>
      <c r="KUA98" s="293"/>
      <c r="KUB98" s="293"/>
      <c r="KUC98" s="293"/>
      <c r="KUD98" s="293"/>
      <c r="KUE98" s="293"/>
      <c r="KUF98" s="293"/>
      <c r="KUG98" s="293"/>
      <c r="KUH98" s="293"/>
      <c r="KUI98" s="293"/>
      <c r="KUJ98" s="293"/>
      <c r="KUK98" s="293"/>
      <c r="KUL98" s="293"/>
      <c r="KUM98" s="293"/>
      <c r="KUN98" s="293"/>
      <c r="KUO98" s="293"/>
      <c r="KUP98" s="293"/>
      <c r="KUQ98" s="293"/>
      <c r="KUR98" s="293"/>
      <c r="KUS98" s="293"/>
      <c r="KUT98" s="293"/>
      <c r="KUU98" s="293"/>
      <c r="KUV98" s="293"/>
      <c r="KUW98" s="293"/>
      <c r="KUX98" s="293"/>
      <c r="KUY98" s="293"/>
      <c r="KUZ98" s="293"/>
      <c r="KVA98" s="293"/>
      <c r="KVB98" s="293"/>
      <c r="KVC98" s="293"/>
      <c r="KVD98" s="293"/>
      <c r="KVE98" s="293"/>
      <c r="KVF98" s="293"/>
      <c r="KVG98" s="293"/>
      <c r="KVH98" s="293"/>
      <c r="KVI98" s="293"/>
      <c r="KVJ98" s="293"/>
      <c r="KVK98" s="293"/>
      <c r="KVL98" s="293"/>
      <c r="KVM98" s="293"/>
      <c r="KVN98" s="293"/>
      <c r="KVO98" s="293"/>
      <c r="KVP98" s="293"/>
      <c r="KVQ98" s="293"/>
      <c r="KVR98" s="293"/>
      <c r="KVS98" s="293"/>
      <c r="KVT98" s="293"/>
      <c r="KVU98" s="293"/>
      <c r="KVV98" s="293"/>
      <c r="KVW98" s="293"/>
      <c r="KVX98" s="293"/>
      <c r="KVY98" s="293"/>
      <c r="KVZ98" s="293"/>
      <c r="KWA98" s="293"/>
      <c r="KWB98" s="293"/>
      <c r="KWC98" s="293"/>
      <c r="KWD98" s="293"/>
      <c r="KWE98" s="293"/>
      <c r="KWF98" s="293"/>
      <c r="KWG98" s="293"/>
      <c r="KWH98" s="293"/>
      <c r="KWI98" s="293"/>
      <c r="KWJ98" s="293"/>
      <c r="KWK98" s="293"/>
      <c r="KWL98" s="293"/>
      <c r="KWM98" s="293"/>
      <c r="KWN98" s="293"/>
      <c r="KWO98" s="293"/>
      <c r="KWP98" s="293"/>
      <c r="KWQ98" s="293"/>
      <c r="KWR98" s="293"/>
      <c r="KWS98" s="293"/>
      <c r="KWT98" s="293"/>
      <c r="KWU98" s="293"/>
      <c r="KWV98" s="293"/>
      <c r="KWW98" s="293"/>
      <c r="KWX98" s="293"/>
      <c r="KWY98" s="293"/>
      <c r="KWZ98" s="293"/>
      <c r="KXA98" s="293"/>
      <c r="KXB98" s="293"/>
      <c r="KXC98" s="293"/>
      <c r="KXD98" s="293"/>
      <c r="KXE98" s="293"/>
      <c r="KXF98" s="293"/>
      <c r="KXG98" s="293"/>
      <c r="KXH98" s="293"/>
      <c r="KXI98" s="293"/>
      <c r="KXJ98" s="293"/>
      <c r="KXK98" s="293"/>
      <c r="KXL98" s="293"/>
      <c r="KXM98" s="293"/>
      <c r="KXN98" s="293"/>
      <c r="KXO98" s="293"/>
      <c r="KXP98" s="293"/>
      <c r="KXQ98" s="293"/>
      <c r="KXR98" s="293"/>
      <c r="KXS98" s="293"/>
      <c r="KXT98" s="293"/>
      <c r="KXU98" s="293"/>
      <c r="KXV98" s="293"/>
      <c r="KXW98" s="293"/>
      <c r="KXX98" s="293"/>
      <c r="KXY98" s="293"/>
      <c r="KXZ98" s="293"/>
      <c r="KYA98" s="293"/>
      <c r="KYB98" s="293"/>
      <c r="KYC98" s="293"/>
      <c r="KYD98" s="293"/>
      <c r="KYE98" s="293"/>
      <c r="KYF98" s="293"/>
      <c r="KYG98" s="293"/>
      <c r="KYH98" s="293"/>
      <c r="KYI98" s="293"/>
      <c r="KYJ98" s="293"/>
      <c r="KYK98" s="293"/>
      <c r="KYL98" s="293"/>
      <c r="KYM98" s="293"/>
      <c r="KYN98" s="293"/>
      <c r="KYO98" s="293"/>
      <c r="KYP98" s="293"/>
      <c r="KYQ98" s="293"/>
      <c r="KYR98" s="293"/>
      <c r="KYS98" s="293"/>
      <c r="KYT98" s="293"/>
      <c r="KYU98" s="293"/>
      <c r="KYV98" s="293"/>
      <c r="KYW98" s="293"/>
      <c r="KYX98" s="293"/>
      <c r="KYY98" s="293"/>
      <c r="KYZ98" s="293"/>
      <c r="KZA98" s="293"/>
      <c r="KZB98" s="293"/>
      <c r="KZC98" s="293"/>
      <c r="KZD98" s="293"/>
      <c r="KZE98" s="293"/>
      <c r="KZF98" s="293"/>
      <c r="KZG98" s="293"/>
      <c r="KZH98" s="293"/>
      <c r="KZI98" s="293"/>
      <c r="KZJ98" s="293"/>
      <c r="KZK98" s="293"/>
      <c r="KZL98" s="293"/>
      <c r="KZM98" s="293"/>
      <c r="KZN98" s="293"/>
      <c r="KZO98" s="293"/>
      <c r="KZP98" s="293"/>
      <c r="KZQ98" s="293"/>
      <c r="KZR98" s="293"/>
      <c r="KZS98" s="293"/>
      <c r="KZT98" s="293"/>
      <c r="KZU98" s="293"/>
      <c r="KZV98" s="293"/>
      <c r="KZW98" s="293"/>
      <c r="KZX98" s="293"/>
      <c r="KZY98" s="293"/>
      <c r="KZZ98" s="293"/>
      <c r="LAA98" s="293"/>
      <c r="LAB98" s="293"/>
      <c r="LAC98" s="293"/>
      <c r="LAD98" s="293"/>
      <c r="LAE98" s="293"/>
      <c r="LAF98" s="293"/>
      <c r="LAG98" s="293"/>
      <c r="LAH98" s="293"/>
      <c r="LAI98" s="293"/>
      <c r="LAJ98" s="293"/>
      <c r="LAK98" s="293"/>
      <c r="LAL98" s="293"/>
      <c r="LAM98" s="293"/>
      <c r="LAN98" s="293"/>
      <c r="LAO98" s="293"/>
      <c r="LAP98" s="293"/>
      <c r="LAQ98" s="293"/>
      <c r="LAR98" s="293"/>
      <c r="LAS98" s="293"/>
      <c r="LAT98" s="293"/>
      <c r="LAU98" s="293"/>
      <c r="LAV98" s="293"/>
      <c r="LAW98" s="293"/>
      <c r="LAX98" s="293"/>
      <c r="LAY98" s="293"/>
      <c r="LAZ98" s="293"/>
      <c r="LBA98" s="293"/>
      <c r="LBB98" s="293"/>
      <c r="LBC98" s="293"/>
      <c r="LBD98" s="293"/>
      <c r="LBE98" s="293"/>
      <c r="LBF98" s="293"/>
      <c r="LBG98" s="293"/>
      <c r="LBH98" s="293"/>
      <c r="LBI98" s="293"/>
      <c r="LBJ98" s="293"/>
      <c r="LBK98" s="293"/>
      <c r="LBL98" s="293"/>
      <c r="LBM98" s="293"/>
      <c r="LBN98" s="293"/>
      <c r="LBO98" s="293"/>
      <c r="LBP98" s="293"/>
      <c r="LBQ98" s="293"/>
      <c r="LBR98" s="293"/>
      <c r="LBS98" s="293"/>
      <c r="LBT98" s="293"/>
      <c r="LBU98" s="293"/>
      <c r="LBV98" s="293"/>
      <c r="LBW98" s="293"/>
      <c r="LBX98" s="293"/>
      <c r="LBY98" s="293"/>
      <c r="LBZ98" s="293"/>
      <c r="LCA98" s="293"/>
      <c r="LCB98" s="293"/>
      <c r="LCC98" s="293"/>
      <c r="LCD98" s="293"/>
      <c r="LCE98" s="293"/>
      <c r="LCF98" s="293"/>
      <c r="LCG98" s="293"/>
      <c r="LCH98" s="293"/>
      <c r="LCI98" s="293"/>
      <c r="LCJ98" s="293"/>
      <c r="LCK98" s="293"/>
      <c r="LCL98" s="293"/>
      <c r="LCM98" s="293"/>
      <c r="LCN98" s="293"/>
      <c r="LCO98" s="293"/>
      <c r="LCP98" s="293"/>
      <c r="LCQ98" s="293"/>
      <c r="LCR98" s="293"/>
      <c r="LCS98" s="293"/>
      <c r="LCT98" s="293"/>
      <c r="LCU98" s="293"/>
      <c r="LCV98" s="293"/>
      <c r="LCW98" s="293"/>
      <c r="LCX98" s="293"/>
      <c r="LCY98" s="293"/>
      <c r="LCZ98" s="293"/>
      <c r="LDA98" s="293"/>
      <c r="LDB98" s="293"/>
      <c r="LDC98" s="293"/>
      <c r="LDD98" s="293"/>
      <c r="LDE98" s="293"/>
      <c r="LDF98" s="293"/>
      <c r="LDG98" s="293"/>
      <c r="LDH98" s="293"/>
      <c r="LDI98" s="293"/>
      <c r="LDJ98" s="293"/>
      <c r="LDK98" s="293"/>
      <c r="LDL98" s="293"/>
      <c r="LDM98" s="293"/>
      <c r="LDN98" s="293"/>
      <c r="LDO98" s="293"/>
      <c r="LDP98" s="293"/>
      <c r="LDQ98" s="293"/>
      <c r="LDR98" s="293"/>
      <c r="LDS98" s="293"/>
      <c r="LDT98" s="293"/>
      <c r="LDU98" s="293"/>
      <c r="LDV98" s="293"/>
      <c r="LDW98" s="293"/>
      <c r="LDX98" s="293"/>
      <c r="LDY98" s="293"/>
      <c r="LDZ98" s="293"/>
      <c r="LEA98" s="293"/>
      <c r="LEB98" s="293"/>
      <c r="LEC98" s="293"/>
      <c r="LED98" s="293"/>
      <c r="LEE98" s="293"/>
      <c r="LEF98" s="293"/>
      <c r="LEG98" s="293"/>
      <c r="LEH98" s="293"/>
      <c r="LEI98" s="293"/>
      <c r="LEJ98" s="293"/>
      <c r="LEK98" s="293"/>
      <c r="LEL98" s="293"/>
      <c r="LEM98" s="293"/>
      <c r="LEN98" s="293"/>
      <c r="LEO98" s="293"/>
      <c r="LEP98" s="293"/>
      <c r="LEQ98" s="293"/>
      <c r="LER98" s="293"/>
      <c r="LES98" s="293"/>
      <c r="LET98" s="293"/>
      <c r="LEU98" s="293"/>
      <c r="LEV98" s="293"/>
      <c r="LEW98" s="293"/>
      <c r="LEX98" s="293"/>
      <c r="LEY98" s="293"/>
      <c r="LEZ98" s="293"/>
      <c r="LFA98" s="293"/>
      <c r="LFB98" s="293"/>
      <c r="LFC98" s="293"/>
      <c r="LFD98" s="293"/>
      <c r="LFE98" s="293"/>
      <c r="LFF98" s="293"/>
      <c r="LFG98" s="293"/>
      <c r="LFH98" s="293"/>
      <c r="LFI98" s="293"/>
      <c r="LFJ98" s="293"/>
      <c r="LFK98" s="293"/>
      <c r="LFL98" s="293"/>
      <c r="LFM98" s="293"/>
      <c r="LFN98" s="293"/>
      <c r="LFO98" s="293"/>
      <c r="LFP98" s="293"/>
      <c r="LFQ98" s="293"/>
      <c r="LFR98" s="293"/>
      <c r="LFS98" s="293"/>
      <c r="LFT98" s="293"/>
      <c r="LFU98" s="293"/>
      <c r="LFV98" s="293"/>
      <c r="LFW98" s="293"/>
      <c r="LFX98" s="293"/>
      <c r="LFY98" s="293"/>
      <c r="LFZ98" s="293"/>
      <c r="LGA98" s="293"/>
      <c r="LGB98" s="293"/>
      <c r="LGC98" s="293"/>
      <c r="LGD98" s="293"/>
      <c r="LGE98" s="293"/>
      <c r="LGF98" s="293"/>
      <c r="LGG98" s="293"/>
      <c r="LGH98" s="293"/>
      <c r="LGI98" s="293"/>
      <c r="LGJ98" s="293"/>
      <c r="LGK98" s="293"/>
      <c r="LGL98" s="293"/>
      <c r="LGM98" s="293"/>
      <c r="LGN98" s="293"/>
      <c r="LGO98" s="293"/>
      <c r="LGP98" s="293"/>
      <c r="LGQ98" s="293"/>
      <c r="LGR98" s="293"/>
      <c r="LGS98" s="293"/>
      <c r="LGT98" s="293"/>
      <c r="LGU98" s="293"/>
      <c r="LGV98" s="293"/>
      <c r="LGW98" s="293"/>
      <c r="LGX98" s="293"/>
      <c r="LGY98" s="293"/>
      <c r="LGZ98" s="293"/>
      <c r="LHA98" s="293"/>
      <c r="LHB98" s="293"/>
      <c r="LHC98" s="293"/>
      <c r="LHD98" s="293"/>
      <c r="LHE98" s="293"/>
      <c r="LHF98" s="293"/>
      <c r="LHG98" s="293"/>
      <c r="LHH98" s="293"/>
      <c r="LHI98" s="293"/>
      <c r="LHJ98" s="293"/>
      <c r="LHK98" s="293"/>
      <c r="LHL98" s="293"/>
      <c r="LHM98" s="293"/>
      <c r="LHN98" s="293"/>
      <c r="LHO98" s="293"/>
      <c r="LHP98" s="293"/>
      <c r="LHQ98" s="293"/>
      <c r="LHR98" s="293"/>
      <c r="LHS98" s="293"/>
      <c r="LHT98" s="293"/>
      <c r="LHU98" s="293"/>
      <c r="LHV98" s="293"/>
      <c r="LHW98" s="293"/>
      <c r="LHX98" s="293"/>
      <c r="LHY98" s="293"/>
      <c r="LHZ98" s="293"/>
      <c r="LIA98" s="293"/>
      <c r="LIB98" s="293"/>
      <c r="LIC98" s="293"/>
      <c r="LID98" s="293"/>
      <c r="LIE98" s="293"/>
      <c r="LIF98" s="293"/>
      <c r="LIG98" s="293"/>
      <c r="LIH98" s="293"/>
      <c r="LII98" s="293"/>
      <c r="LIJ98" s="293"/>
      <c r="LIK98" s="293"/>
      <c r="LIL98" s="293"/>
      <c r="LIM98" s="293"/>
      <c r="LIN98" s="293"/>
      <c r="LIO98" s="293"/>
      <c r="LIP98" s="293"/>
      <c r="LIQ98" s="293"/>
      <c r="LIR98" s="293"/>
      <c r="LIS98" s="293"/>
      <c r="LIT98" s="293"/>
      <c r="LIU98" s="293"/>
      <c r="LIV98" s="293"/>
      <c r="LIW98" s="293"/>
      <c r="LIX98" s="293"/>
      <c r="LIY98" s="293"/>
      <c r="LIZ98" s="293"/>
      <c r="LJA98" s="293"/>
      <c r="LJB98" s="293"/>
      <c r="LJC98" s="293"/>
      <c r="LJD98" s="293"/>
      <c r="LJE98" s="293"/>
      <c r="LJF98" s="293"/>
      <c r="LJG98" s="293"/>
      <c r="LJH98" s="293"/>
      <c r="LJI98" s="293"/>
      <c r="LJJ98" s="293"/>
      <c r="LJK98" s="293"/>
      <c r="LJL98" s="293"/>
      <c r="LJM98" s="293"/>
      <c r="LJN98" s="293"/>
      <c r="LJO98" s="293"/>
      <c r="LJP98" s="293"/>
      <c r="LJQ98" s="293"/>
      <c r="LJR98" s="293"/>
      <c r="LJS98" s="293"/>
      <c r="LJT98" s="293"/>
      <c r="LJU98" s="293"/>
      <c r="LJV98" s="293"/>
      <c r="LJW98" s="293"/>
      <c r="LJX98" s="293"/>
      <c r="LJY98" s="293"/>
      <c r="LJZ98" s="293"/>
      <c r="LKA98" s="293"/>
      <c r="LKB98" s="293"/>
      <c r="LKC98" s="293"/>
      <c r="LKD98" s="293"/>
      <c r="LKE98" s="293"/>
      <c r="LKF98" s="293"/>
      <c r="LKG98" s="293"/>
      <c r="LKH98" s="293"/>
      <c r="LKI98" s="293"/>
      <c r="LKJ98" s="293"/>
      <c r="LKK98" s="293"/>
      <c r="LKL98" s="293"/>
      <c r="LKM98" s="293"/>
      <c r="LKN98" s="293"/>
      <c r="LKO98" s="293"/>
      <c r="LKP98" s="293"/>
      <c r="LKQ98" s="293"/>
      <c r="LKR98" s="293"/>
      <c r="LKS98" s="293"/>
      <c r="LKT98" s="293"/>
      <c r="LKU98" s="293"/>
      <c r="LKV98" s="293"/>
      <c r="LKW98" s="293"/>
      <c r="LKX98" s="293"/>
      <c r="LKY98" s="293"/>
      <c r="LKZ98" s="293"/>
      <c r="LLA98" s="293"/>
      <c r="LLB98" s="293"/>
      <c r="LLC98" s="293"/>
      <c r="LLD98" s="293"/>
      <c r="LLE98" s="293"/>
      <c r="LLF98" s="293"/>
      <c r="LLG98" s="293"/>
      <c r="LLH98" s="293"/>
      <c r="LLI98" s="293"/>
      <c r="LLJ98" s="293"/>
      <c r="LLK98" s="293"/>
      <c r="LLL98" s="293"/>
      <c r="LLM98" s="293"/>
      <c r="LLN98" s="293"/>
      <c r="LLO98" s="293"/>
      <c r="LLP98" s="293"/>
      <c r="LLQ98" s="293"/>
      <c r="LLR98" s="293"/>
      <c r="LLS98" s="293"/>
      <c r="LLT98" s="293"/>
      <c r="LLU98" s="293"/>
      <c r="LLV98" s="293"/>
      <c r="LLW98" s="293"/>
      <c r="LLX98" s="293"/>
      <c r="LLY98" s="293"/>
      <c r="LLZ98" s="293"/>
      <c r="LMA98" s="293"/>
      <c r="LMB98" s="293"/>
      <c r="LMC98" s="293"/>
      <c r="LMD98" s="293"/>
      <c r="LME98" s="293"/>
      <c r="LMF98" s="293"/>
      <c r="LMG98" s="293"/>
      <c r="LMH98" s="293"/>
      <c r="LMI98" s="293"/>
      <c r="LMJ98" s="293"/>
      <c r="LMK98" s="293"/>
      <c r="LML98" s="293"/>
      <c r="LMM98" s="293"/>
      <c r="LMN98" s="293"/>
      <c r="LMO98" s="293"/>
      <c r="LMP98" s="293"/>
      <c r="LMQ98" s="293"/>
      <c r="LMR98" s="293"/>
      <c r="LMS98" s="293"/>
      <c r="LMT98" s="293"/>
      <c r="LMU98" s="293"/>
      <c r="LMV98" s="293"/>
      <c r="LMW98" s="293"/>
      <c r="LMX98" s="293"/>
      <c r="LMY98" s="293"/>
      <c r="LMZ98" s="293"/>
      <c r="LNA98" s="293"/>
      <c r="LNB98" s="293"/>
      <c r="LNC98" s="293"/>
      <c r="LND98" s="293"/>
      <c r="LNE98" s="293"/>
      <c r="LNF98" s="293"/>
      <c r="LNG98" s="293"/>
      <c r="LNH98" s="293"/>
      <c r="LNI98" s="293"/>
      <c r="LNJ98" s="293"/>
      <c r="LNK98" s="293"/>
      <c r="LNL98" s="293"/>
      <c r="LNM98" s="293"/>
      <c r="LNN98" s="293"/>
      <c r="LNO98" s="293"/>
      <c r="LNP98" s="293"/>
      <c r="LNQ98" s="293"/>
      <c r="LNR98" s="293"/>
      <c r="LNS98" s="293"/>
      <c r="LNT98" s="293"/>
      <c r="LNU98" s="293"/>
      <c r="LNV98" s="293"/>
      <c r="LNW98" s="293"/>
      <c r="LNX98" s="293"/>
      <c r="LNY98" s="293"/>
      <c r="LNZ98" s="293"/>
      <c r="LOA98" s="293"/>
      <c r="LOB98" s="293"/>
      <c r="LOC98" s="293"/>
      <c r="LOD98" s="293"/>
      <c r="LOE98" s="293"/>
      <c r="LOF98" s="293"/>
      <c r="LOG98" s="293"/>
      <c r="LOH98" s="293"/>
      <c r="LOI98" s="293"/>
      <c r="LOJ98" s="293"/>
      <c r="LOK98" s="293"/>
      <c r="LOL98" s="293"/>
      <c r="LOM98" s="293"/>
      <c r="LON98" s="293"/>
      <c r="LOO98" s="293"/>
      <c r="LOP98" s="293"/>
      <c r="LOQ98" s="293"/>
      <c r="LOR98" s="293"/>
      <c r="LOS98" s="293"/>
      <c r="LOT98" s="293"/>
      <c r="LOU98" s="293"/>
      <c r="LOV98" s="293"/>
      <c r="LOW98" s="293"/>
      <c r="LOX98" s="293"/>
      <c r="LOY98" s="293"/>
      <c r="LOZ98" s="293"/>
      <c r="LPA98" s="293"/>
      <c r="LPB98" s="293"/>
      <c r="LPC98" s="293"/>
      <c r="LPD98" s="293"/>
      <c r="LPE98" s="293"/>
      <c r="LPF98" s="293"/>
      <c r="LPG98" s="293"/>
      <c r="LPH98" s="293"/>
      <c r="LPI98" s="293"/>
      <c r="LPJ98" s="293"/>
      <c r="LPK98" s="293"/>
      <c r="LPL98" s="293"/>
      <c r="LPM98" s="293"/>
      <c r="LPN98" s="293"/>
      <c r="LPO98" s="293"/>
      <c r="LPP98" s="293"/>
      <c r="LPQ98" s="293"/>
      <c r="LPR98" s="293"/>
      <c r="LPS98" s="293"/>
      <c r="LPT98" s="293"/>
      <c r="LPU98" s="293"/>
      <c r="LPV98" s="293"/>
      <c r="LPW98" s="293"/>
      <c r="LPX98" s="293"/>
      <c r="LPY98" s="293"/>
      <c r="LPZ98" s="293"/>
      <c r="LQA98" s="293"/>
      <c r="LQB98" s="293"/>
      <c r="LQC98" s="293"/>
      <c r="LQD98" s="293"/>
      <c r="LQE98" s="293"/>
      <c r="LQF98" s="293"/>
      <c r="LQG98" s="293"/>
      <c r="LQH98" s="293"/>
      <c r="LQI98" s="293"/>
      <c r="LQJ98" s="293"/>
      <c r="LQK98" s="293"/>
      <c r="LQL98" s="293"/>
      <c r="LQM98" s="293"/>
      <c r="LQN98" s="293"/>
      <c r="LQO98" s="293"/>
      <c r="LQP98" s="293"/>
      <c r="LQQ98" s="293"/>
      <c r="LQR98" s="293"/>
      <c r="LQS98" s="293"/>
      <c r="LQT98" s="293"/>
      <c r="LQU98" s="293"/>
      <c r="LQV98" s="293"/>
      <c r="LQW98" s="293"/>
      <c r="LQX98" s="293"/>
      <c r="LQY98" s="293"/>
      <c r="LQZ98" s="293"/>
      <c r="LRA98" s="293"/>
      <c r="LRB98" s="293"/>
      <c r="LRC98" s="293"/>
      <c r="LRD98" s="293"/>
      <c r="LRE98" s="293"/>
      <c r="LRF98" s="293"/>
      <c r="LRG98" s="293"/>
      <c r="LRH98" s="293"/>
      <c r="LRI98" s="293"/>
      <c r="LRJ98" s="293"/>
      <c r="LRK98" s="293"/>
      <c r="LRL98" s="293"/>
      <c r="LRM98" s="293"/>
      <c r="LRN98" s="293"/>
      <c r="LRO98" s="293"/>
      <c r="LRP98" s="293"/>
      <c r="LRQ98" s="293"/>
      <c r="LRR98" s="293"/>
      <c r="LRS98" s="293"/>
      <c r="LRT98" s="293"/>
      <c r="LRU98" s="293"/>
      <c r="LRV98" s="293"/>
      <c r="LRW98" s="293"/>
      <c r="LRX98" s="293"/>
      <c r="LRY98" s="293"/>
      <c r="LRZ98" s="293"/>
      <c r="LSA98" s="293"/>
      <c r="LSB98" s="293"/>
      <c r="LSC98" s="293"/>
      <c r="LSD98" s="293"/>
      <c r="LSE98" s="293"/>
      <c r="LSF98" s="293"/>
      <c r="LSG98" s="293"/>
      <c r="LSH98" s="293"/>
      <c r="LSI98" s="293"/>
      <c r="LSJ98" s="293"/>
      <c r="LSK98" s="293"/>
      <c r="LSL98" s="293"/>
      <c r="LSM98" s="293"/>
      <c r="LSN98" s="293"/>
      <c r="LSO98" s="293"/>
      <c r="LSP98" s="293"/>
      <c r="LSQ98" s="293"/>
      <c r="LSR98" s="293"/>
      <c r="LSS98" s="293"/>
      <c r="LST98" s="293"/>
      <c r="LSU98" s="293"/>
      <c r="LSV98" s="293"/>
      <c r="LSW98" s="293"/>
      <c r="LSX98" s="293"/>
      <c r="LSY98" s="293"/>
      <c r="LSZ98" s="293"/>
      <c r="LTA98" s="293"/>
      <c r="LTB98" s="293"/>
      <c r="LTC98" s="293"/>
      <c r="LTD98" s="293"/>
      <c r="LTE98" s="293"/>
      <c r="LTF98" s="293"/>
      <c r="LTG98" s="293"/>
      <c r="LTH98" s="293"/>
      <c r="LTI98" s="293"/>
      <c r="LTJ98" s="293"/>
      <c r="LTK98" s="293"/>
      <c r="LTL98" s="293"/>
      <c r="LTM98" s="293"/>
      <c r="LTN98" s="293"/>
      <c r="LTO98" s="293"/>
      <c r="LTP98" s="293"/>
      <c r="LTQ98" s="293"/>
      <c r="LTR98" s="293"/>
      <c r="LTS98" s="293"/>
      <c r="LTT98" s="293"/>
      <c r="LTU98" s="293"/>
      <c r="LTV98" s="293"/>
      <c r="LTW98" s="293"/>
      <c r="LTX98" s="293"/>
      <c r="LTY98" s="293"/>
      <c r="LTZ98" s="293"/>
      <c r="LUA98" s="293"/>
      <c r="LUB98" s="293"/>
      <c r="LUC98" s="293"/>
      <c r="LUD98" s="293"/>
      <c r="LUE98" s="293"/>
      <c r="LUF98" s="293"/>
      <c r="LUG98" s="293"/>
      <c r="LUH98" s="293"/>
      <c r="LUI98" s="293"/>
      <c r="LUJ98" s="293"/>
      <c r="LUK98" s="293"/>
      <c r="LUL98" s="293"/>
      <c r="LUM98" s="293"/>
      <c r="LUN98" s="293"/>
      <c r="LUO98" s="293"/>
      <c r="LUP98" s="293"/>
      <c r="LUQ98" s="293"/>
      <c r="LUR98" s="293"/>
      <c r="LUS98" s="293"/>
      <c r="LUT98" s="293"/>
      <c r="LUU98" s="293"/>
      <c r="LUV98" s="293"/>
      <c r="LUW98" s="293"/>
      <c r="LUX98" s="293"/>
      <c r="LUY98" s="293"/>
      <c r="LUZ98" s="293"/>
      <c r="LVA98" s="293"/>
      <c r="LVB98" s="293"/>
      <c r="LVC98" s="293"/>
      <c r="LVD98" s="293"/>
      <c r="LVE98" s="293"/>
      <c r="LVF98" s="293"/>
      <c r="LVG98" s="293"/>
      <c r="LVH98" s="293"/>
      <c r="LVI98" s="293"/>
      <c r="LVJ98" s="293"/>
      <c r="LVK98" s="293"/>
      <c r="LVL98" s="293"/>
      <c r="LVM98" s="293"/>
      <c r="LVN98" s="293"/>
      <c r="LVO98" s="293"/>
      <c r="LVP98" s="293"/>
      <c r="LVQ98" s="293"/>
      <c r="LVR98" s="293"/>
      <c r="LVS98" s="293"/>
      <c r="LVT98" s="293"/>
      <c r="LVU98" s="293"/>
      <c r="LVV98" s="293"/>
      <c r="LVW98" s="293"/>
      <c r="LVX98" s="293"/>
      <c r="LVY98" s="293"/>
      <c r="LVZ98" s="293"/>
      <c r="LWA98" s="293"/>
      <c r="LWB98" s="293"/>
      <c r="LWC98" s="293"/>
      <c r="LWD98" s="293"/>
      <c r="LWE98" s="293"/>
      <c r="LWF98" s="293"/>
      <c r="LWG98" s="293"/>
      <c r="LWH98" s="293"/>
      <c r="LWI98" s="293"/>
      <c r="LWJ98" s="293"/>
      <c r="LWK98" s="293"/>
      <c r="LWL98" s="293"/>
      <c r="LWM98" s="293"/>
      <c r="LWN98" s="293"/>
      <c r="LWO98" s="293"/>
      <c r="LWP98" s="293"/>
      <c r="LWQ98" s="293"/>
      <c r="LWR98" s="293"/>
      <c r="LWS98" s="293"/>
      <c r="LWT98" s="293"/>
      <c r="LWU98" s="293"/>
      <c r="LWV98" s="293"/>
      <c r="LWW98" s="293"/>
      <c r="LWX98" s="293"/>
      <c r="LWY98" s="293"/>
      <c r="LWZ98" s="293"/>
      <c r="LXA98" s="293"/>
      <c r="LXB98" s="293"/>
      <c r="LXC98" s="293"/>
      <c r="LXD98" s="293"/>
      <c r="LXE98" s="293"/>
      <c r="LXF98" s="293"/>
      <c r="LXG98" s="293"/>
      <c r="LXH98" s="293"/>
      <c r="LXI98" s="293"/>
      <c r="LXJ98" s="293"/>
      <c r="LXK98" s="293"/>
      <c r="LXL98" s="293"/>
      <c r="LXM98" s="293"/>
      <c r="LXN98" s="293"/>
      <c r="LXO98" s="293"/>
      <c r="LXP98" s="293"/>
      <c r="LXQ98" s="293"/>
      <c r="LXR98" s="293"/>
      <c r="LXS98" s="293"/>
      <c r="LXT98" s="293"/>
      <c r="LXU98" s="293"/>
      <c r="LXV98" s="293"/>
      <c r="LXW98" s="293"/>
      <c r="LXX98" s="293"/>
      <c r="LXY98" s="293"/>
      <c r="LXZ98" s="293"/>
      <c r="LYA98" s="293"/>
      <c r="LYB98" s="293"/>
      <c r="LYC98" s="293"/>
      <c r="LYD98" s="293"/>
      <c r="LYE98" s="293"/>
      <c r="LYF98" s="293"/>
      <c r="LYG98" s="293"/>
      <c r="LYH98" s="293"/>
      <c r="LYI98" s="293"/>
      <c r="LYJ98" s="293"/>
      <c r="LYK98" s="293"/>
      <c r="LYL98" s="293"/>
      <c r="LYM98" s="293"/>
      <c r="LYN98" s="293"/>
      <c r="LYO98" s="293"/>
      <c r="LYP98" s="293"/>
      <c r="LYQ98" s="293"/>
      <c r="LYR98" s="293"/>
      <c r="LYS98" s="293"/>
      <c r="LYT98" s="293"/>
      <c r="LYU98" s="293"/>
      <c r="LYV98" s="293"/>
      <c r="LYW98" s="293"/>
      <c r="LYX98" s="293"/>
      <c r="LYY98" s="293"/>
      <c r="LYZ98" s="293"/>
      <c r="LZA98" s="293"/>
      <c r="LZB98" s="293"/>
      <c r="LZC98" s="293"/>
      <c r="LZD98" s="293"/>
      <c r="LZE98" s="293"/>
      <c r="LZF98" s="293"/>
      <c r="LZG98" s="293"/>
      <c r="LZH98" s="293"/>
      <c r="LZI98" s="293"/>
      <c r="LZJ98" s="293"/>
      <c r="LZK98" s="293"/>
      <c r="LZL98" s="293"/>
      <c r="LZM98" s="293"/>
      <c r="LZN98" s="293"/>
      <c r="LZO98" s="293"/>
      <c r="LZP98" s="293"/>
      <c r="LZQ98" s="293"/>
      <c r="LZR98" s="293"/>
      <c r="LZS98" s="293"/>
      <c r="LZT98" s="293"/>
      <c r="LZU98" s="293"/>
      <c r="LZV98" s="293"/>
      <c r="LZW98" s="293"/>
      <c r="LZX98" s="293"/>
      <c r="LZY98" s="293"/>
      <c r="LZZ98" s="293"/>
      <c r="MAA98" s="293"/>
      <c r="MAB98" s="293"/>
      <c r="MAC98" s="293"/>
      <c r="MAD98" s="293"/>
      <c r="MAE98" s="293"/>
      <c r="MAF98" s="293"/>
      <c r="MAG98" s="293"/>
      <c r="MAH98" s="293"/>
      <c r="MAI98" s="293"/>
      <c r="MAJ98" s="293"/>
      <c r="MAK98" s="293"/>
      <c r="MAL98" s="293"/>
      <c r="MAM98" s="293"/>
      <c r="MAN98" s="293"/>
      <c r="MAO98" s="293"/>
      <c r="MAP98" s="293"/>
      <c r="MAQ98" s="293"/>
      <c r="MAR98" s="293"/>
      <c r="MAS98" s="293"/>
      <c r="MAT98" s="293"/>
      <c r="MAU98" s="293"/>
      <c r="MAV98" s="293"/>
      <c r="MAW98" s="293"/>
      <c r="MAX98" s="293"/>
      <c r="MAY98" s="293"/>
      <c r="MAZ98" s="293"/>
      <c r="MBA98" s="293"/>
      <c r="MBB98" s="293"/>
      <c r="MBC98" s="293"/>
      <c r="MBD98" s="293"/>
      <c r="MBE98" s="293"/>
      <c r="MBF98" s="293"/>
      <c r="MBG98" s="293"/>
      <c r="MBH98" s="293"/>
      <c r="MBI98" s="293"/>
      <c r="MBJ98" s="293"/>
      <c r="MBK98" s="293"/>
      <c r="MBL98" s="293"/>
      <c r="MBM98" s="293"/>
      <c r="MBN98" s="293"/>
      <c r="MBO98" s="293"/>
      <c r="MBP98" s="293"/>
      <c r="MBQ98" s="293"/>
      <c r="MBR98" s="293"/>
      <c r="MBS98" s="293"/>
      <c r="MBT98" s="293"/>
      <c r="MBU98" s="293"/>
      <c r="MBV98" s="293"/>
      <c r="MBW98" s="293"/>
      <c r="MBX98" s="293"/>
      <c r="MBY98" s="293"/>
      <c r="MBZ98" s="293"/>
      <c r="MCA98" s="293"/>
      <c r="MCB98" s="293"/>
      <c r="MCC98" s="293"/>
      <c r="MCD98" s="293"/>
      <c r="MCE98" s="293"/>
      <c r="MCF98" s="293"/>
      <c r="MCG98" s="293"/>
      <c r="MCH98" s="293"/>
      <c r="MCI98" s="293"/>
      <c r="MCJ98" s="293"/>
      <c r="MCK98" s="293"/>
      <c r="MCL98" s="293"/>
      <c r="MCM98" s="293"/>
      <c r="MCN98" s="293"/>
      <c r="MCO98" s="293"/>
      <c r="MCP98" s="293"/>
      <c r="MCQ98" s="293"/>
      <c r="MCR98" s="293"/>
      <c r="MCS98" s="293"/>
      <c r="MCT98" s="293"/>
      <c r="MCU98" s="293"/>
      <c r="MCV98" s="293"/>
      <c r="MCW98" s="293"/>
      <c r="MCX98" s="293"/>
      <c r="MCY98" s="293"/>
      <c r="MCZ98" s="293"/>
      <c r="MDA98" s="293"/>
      <c r="MDB98" s="293"/>
      <c r="MDC98" s="293"/>
      <c r="MDD98" s="293"/>
      <c r="MDE98" s="293"/>
      <c r="MDF98" s="293"/>
      <c r="MDG98" s="293"/>
      <c r="MDH98" s="293"/>
      <c r="MDI98" s="293"/>
      <c r="MDJ98" s="293"/>
      <c r="MDK98" s="293"/>
      <c r="MDL98" s="293"/>
      <c r="MDM98" s="293"/>
      <c r="MDN98" s="293"/>
      <c r="MDO98" s="293"/>
      <c r="MDP98" s="293"/>
      <c r="MDQ98" s="293"/>
      <c r="MDR98" s="293"/>
      <c r="MDS98" s="293"/>
      <c r="MDT98" s="293"/>
      <c r="MDU98" s="293"/>
      <c r="MDV98" s="293"/>
      <c r="MDW98" s="293"/>
      <c r="MDX98" s="293"/>
      <c r="MDY98" s="293"/>
      <c r="MDZ98" s="293"/>
      <c r="MEA98" s="293"/>
      <c r="MEB98" s="293"/>
      <c r="MEC98" s="293"/>
      <c r="MED98" s="293"/>
      <c r="MEE98" s="293"/>
      <c r="MEF98" s="293"/>
      <c r="MEG98" s="293"/>
      <c r="MEH98" s="293"/>
      <c r="MEI98" s="293"/>
      <c r="MEJ98" s="293"/>
      <c r="MEK98" s="293"/>
      <c r="MEL98" s="293"/>
      <c r="MEM98" s="293"/>
      <c r="MEN98" s="293"/>
      <c r="MEO98" s="293"/>
      <c r="MEP98" s="293"/>
      <c r="MEQ98" s="293"/>
      <c r="MER98" s="293"/>
      <c r="MES98" s="293"/>
      <c r="MET98" s="293"/>
      <c r="MEU98" s="293"/>
      <c r="MEV98" s="293"/>
      <c r="MEW98" s="293"/>
      <c r="MEX98" s="293"/>
      <c r="MEY98" s="293"/>
      <c r="MEZ98" s="293"/>
      <c r="MFA98" s="293"/>
      <c r="MFB98" s="293"/>
      <c r="MFC98" s="293"/>
      <c r="MFD98" s="293"/>
      <c r="MFE98" s="293"/>
      <c r="MFF98" s="293"/>
      <c r="MFG98" s="293"/>
      <c r="MFH98" s="293"/>
      <c r="MFI98" s="293"/>
      <c r="MFJ98" s="293"/>
      <c r="MFK98" s="293"/>
      <c r="MFL98" s="293"/>
      <c r="MFM98" s="293"/>
      <c r="MFN98" s="293"/>
      <c r="MFO98" s="293"/>
      <c r="MFP98" s="293"/>
      <c r="MFQ98" s="293"/>
      <c r="MFR98" s="293"/>
      <c r="MFS98" s="293"/>
      <c r="MFT98" s="293"/>
      <c r="MFU98" s="293"/>
      <c r="MFV98" s="293"/>
      <c r="MFW98" s="293"/>
      <c r="MFX98" s="293"/>
      <c r="MFY98" s="293"/>
      <c r="MFZ98" s="293"/>
      <c r="MGA98" s="293"/>
      <c r="MGB98" s="293"/>
      <c r="MGC98" s="293"/>
      <c r="MGD98" s="293"/>
      <c r="MGE98" s="293"/>
      <c r="MGF98" s="293"/>
      <c r="MGG98" s="293"/>
      <c r="MGH98" s="293"/>
      <c r="MGI98" s="293"/>
      <c r="MGJ98" s="293"/>
      <c r="MGK98" s="293"/>
      <c r="MGL98" s="293"/>
      <c r="MGM98" s="293"/>
      <c r="MGN98" s="293"/>
      <c r="MGO98" s="293"/>
      <c r="MGP98" s="293"/>
      <c r="MGQ98" s="293"/>
      <c r="MGR98" s="293"/>
      <c r="MGS98" s="293"/>
      <c r="MGT98" s="293"/>
      <c r="MGU98" s="293"/>
      <c r="MGV98" s="293"/>
      <c r="MGW98" s="293"/>
      <c r="MGX98" s="293"/>
      <c r="MGY98" s="293"/>
      <c r="MGZ98" s="293"/>
      <c r="MHA98" s="293"/>
      <c r="MHB98" s="293"/>
      <c r="MHC98" s="293"/>
      <c r="MHD98" s="293"/>
      <c r="MHE98" s="293"/>
      <c r="MHF98" s="293"/>
      <c r="MHG98" s="293"/>
      <c r="MHH98" s="293"/>
      <c r="MHI98" s="293"/>
      <c r="MHJ98" s="293"/>
      <c r="MHK98" s="293"/>
      <c r="MHL98" s="293"/>
      <c r="MHM98" s="293"/>
      <c r="MHN98" s="293"/>
      <c r="MHO98" s="293"/>
      <c r="MHP98" s="293"/>
      <c r="MHQ98" s="293"/>
      <c r="MHR98" s="293"/>
      <c r="MHS98" s="293"/>
      <c r="MHT98" s="293"/>
      <c r="MHU98" s="293"/>
      <c r="MHV98" s="293"/>
      <c r="MHW98" s="293"/>
      <c r="MHX98" s="293"/>
      <c r="MHY98" s="293"/>
      <c r="MHZ98" s="293"/>
      <c r="MIA98" s="293"/>
      <c r="MIB98" s="293"/>
      <c r="MIC98" s="293"/>
      <c r="MID98" s="293"/>
      <c r="MIE98" s="293"/>
      <c r="MIF98" s="293"/>
      <c r="MIG98" s="293"/>
      <c r="MIH98" s="293"/>
      <c r="MII98" s="293"/>
      <c r="MIJ98" s="293"/>
      <c r="MIK98" s="293"/>
      <c r="MIL98" s="293"/>
      <c r="MIM98" s="293"/>
      <c r="MIN98" s="293"/>
      <c r="MIO98" s="293"/>
      <c r="MIP98" s="293"/>
      <c r="MIQ98" s="293"/>
      <c r="MIR98" s="293"/>
      <c r="MIS98" s="293"/>
      <c r="MIT98" s="293"/>
      <c r="MIU98" s="293"/>
      <c r="MIV98" s="293"/>
      <c r="MIW98" s="293"/>
      <c r="MIX98" s="293"/>
      <c r="MIY98" s="293"/>
      <c r="MIZ98" s="293"/>
      <c r="MJA98" s="293"/>
      <c r="MJB98" s="293"/>
      <c r="MJC98" s="293"/>
      <c r="MJD98" s="293"/>
      <c r="MJE98" s="293"/>
      <c r="MJF98" s="293"/>
      <c r="MJG98" s="293"/>
      <c r="MJH98" s="293"/>
      <c r="MJI98" s="293"/>
      <c r="MJJ98" s="293"/>
      <c r="MJK98" s="293"/>
      <c r="MJL98" s="293"/>
      <c r="MJM98" s="293"/>
      <c r="MJN98" s="293"/>
      <c r="MJO98" s="293"/>
      <c r="MJP98" s="293"/>
      <c r="MJQ98" s="293"/>
      <c r="MJR98" s="293"/>
      <c r="MJS98" s="293"/>
      <c r="MJT98" s="293"/>
      <c r="MJU98" s="293"/>
      <c r="MJV98" s="293"/>
      <c r="MJW98" s="293"/>
      <c r="MJX98" s="293"/>
      <c r="MJY98" s="293"/>
      <c r="MJZ98" s="293"/>
      <c r="MKA98" s="293"/>
      <c r="MKB98" s="293"/>
      <c r="MKC98" s="293"/>
      <c r="MKD98" s="293"/>
      <c r="MKE98" s="293"/>
      <c r="MKF98" s="293"/>
      <c r="MKG98" s="293"/>
      <c r="MKH98" s="293"/>
      <c r="MKI98" s="293"/>
      <c r="MKJ98" s="293"/>
      <c r="MKK98" s="293"/>
      <c r="MKL98" s="293"/>
      <c r="MKM98" s="293"/>
      <c r="MKN98" s="293"/>
      <c r="MKO98" s="293"/>
      <c r="MKP98" s="293"/>
      <c r="MKQ98" s="293"/>
      <c r="MKR98" s="293"/>
      <c r="MKS98" s="293"/>
      <c r="MKT98" s="293"/>
      <c r="MKU98" s="293"/>
      <c r="MKV98" s="293"/>
      <c r="MKW98" s="293"/>
      <c r="MKX98" s="293"/>
      <c r="MKY98" s="293"/>
      <c r="MKZ98" s="293"/>
      <c r="MLA98" s="293"/>
      <c r="MLB98" s="293"/>
      <c r="MLC98" s="293"/>
      <c r="MLD98" s="293"/>
      <c r="MLE98" s="293"/>
      <c r="MLF98" s="293"/>
      <c r="MLG98" s="293"/>
      <c r="MLH98" s="293"/>
      <c r="MLI98" s="293"/>
      <c r="MLJ98" s="293"/>
      <c r="MLK98" s="293"/>
      <c r="MLL98" s="293"/>
      <c r="MLM98" s="293"/>
      <c r="MLN98" s="293"/>
      <c r="MLO98" s="293"/>
      <c r="MLP98" s="293"/>
      <c r="MLQ98" s="293"/>
      <c r="MLR98" s="293"/>
      <c r="MLS98" s="293"/>
      <c r="MLT98" s="293"/>
      <c r="MLU98" s="293"/>
      <c r="MLV98" s="293"/>
      <c r="MLW98" s="293"/>
      <c r="MLX98" s="293"/>
      <c r="MLY98" s="293"/>
      <c r="MLZ98" s="293"/>
      <c r="MMA98" s="293"/>
      <c r="MMB98" s="293"/>
      <c r="MMC98" s="293"/>
      <c r="MMD98" s="293"/>
      <c r="MME98" s="293"/>
      <c r="MMF98" s="293"/>
      <c r="MMG98" s="293"/>
      <c r="MMH98" s="293"/>
      <c r="MMI98" s="293"/>
      <c r="MMJ98" s="293"/>
      <c r="MMK98" s="293"/>
      <c r="MML98" s="293"/>
      <c r="MMM98" s="293"/>
      <c r="MMN98" s="293"/>
      <c r="MMO98" s="293"/>
      <c r="MMP98" s="293"/>
      <c r="MMQ98" s="293"/>
      <c r="MMR98" s="293"/>
      <c r="MMS98" s="293"/>
      <c r="MMT98" s="293"/>
      <c r="MMU98" s="293"/>
      <c r="MMV98" s="293"/>
      <c r="MMW98" s="293"/>
      <c r="MMX98" s="293"/>
      <c r="MMY98" s="293"/>
      <c r="MMZ98" s="293"/>
      <c r="MNA98" s="293"/>
      <c r="MNB98" s="293"/>
      <c r="MNC98" s="293"/>
      <c r="MND98" s="293"/>
      <c r="MNE98" s="293"/>
      <c r="MNF98" s="293"/>
      <c r="MNG98" s="293"/>
      <c r="MNH98" s="293"/>
      <c r="MNI98" s="293"/>
      <c r="MNJ98" s="293"/>
      <c r="MNK98" s="293"/>
      <c r="MNL98" s="293"/>
      <c r="MNM98" s="293"/>
      <c r="MNN98" s="293"/>
      <c r="MNO98" s="293"/>
      <c r="MNP98" s="293"/>
      <c r="MNQ98" s="293"/>
      <c r="MNR98" s="293"/>
      <c r="MNS98" s="293"/>
      <c r="MNT98" s="293"/>
      <c r="MNU98" s="293"/>
      <c r="MNV98" s="293"/>
      <c r="MNW98" s="293"/>
      <c r="MNX98" s="293"/>
      <c r="MNY98" s="293"/>
      <c r="MNZ98" s="293"/>
      <c r="MOA98" s="293"/>
      <c r="MOB98" s="293"/>
      <c r="MOC98" s="293"/>
      <c r="MOD98" s="293"/>
      <c r="MOE98" s="293"/>
      <c r="MOF98" s="293"/>
      <c r="MOG98" s="293"/>
      <c r="MOH98" s="293"/>
      <c r="MOI98" s="293"/>
      <c r="MOJ98" s="293"/>
      <c r="MOK98" s="293"/>
      <c r="MOL98" s="293"/>
      <c r="MOM98" s="293"/>
      <c r="MON98" s="293"/>
      <c r="MOO98" s="293"/>
      <c r="MOP98" s="293"/>
      <c r="MOQ98" s="293"/>
      <c r="MOR98" s="293"/>
      <c r="MOS98" s="293"/>
      <c r="MOT98" s="293"/>
      <c r="MOU98" s="293"/>
      <c r="MOV98" s="293"/>
      <c r="MOW98" s="293"/>
      <c r="MOX98" s="293"/>
      <c r="MOY98" s="293"/>
      <c r="MOZ98" s="293"/>
      <c r="MPA98" s="293"/>
      <c r="MPB98" s="293"/>
      <c r="MPC98" s="293"/>
      <c r="MPD98" s="293"/>
      <c r="MPE98" s="293"/>
      <c r="MPF98" s="293"/>
      <c r="MPG98" s="293"/>
      <c r="MPH98" s="293"/>
      <c r="MPI98" s="293"/>
      <c r="MPJ98" s="293"/>
      <c r="MPK98" s="293"/>
      <c r="MPL98" s="293"/>
      <c r="MPM98" s="293"/>
      <c r="MPN98" s="293"/>
      <c r="MPO98" s="293"/>
      <c r="MPP98" s="293"/>
      <c r="MPQ98" s="293"/>
      <c r="MPR98" s="293"/>
      <c r="MPS98" s="293"/>
      <c r="MPT98" s="293"/>
      <c r="MPU98" s="293"/>
      <c r="MPV98" s="293"/>
      <c r="MPW98" s="293"/>
      <c r="MPX98" s="293"/>
      <c r="MPY98" s="293"/>
      <c r="MPZ98" s="293"/>
      <c r="MQA98" s="293"/>
      <c r="MQB98" s="293"/>
      <c r="MQC98" s="293"/>
      <c r="MQD98" s="293"/>
      <c r="MQE98" s="293"/>
      <c r="MQF98" s="293"/>
      <c r="MQG98" s="293"/>
      <c r="MQH98" s="293"/>
      <c r="MQI98" s="293"/>
      <c r="MQJ98" s="293"/>
      <c r="MQK98" s="293"/>
      <c r="MQL98" s="293"/>
      <c r="MQM98" s="293"/>
      <c r="MQN98" s="293"/>
      <c r="MQO98" s="293"/>
      <c r="MQP98" s="293"/>
      <c r="MQQ98" s="293"/>
      <c r="MQR98" s="293"/>
      <c r="MQS98" s="293"/>
      <c r="MQT98" s="293"/>
      <c r="MQU98" s="293"/>
      <c r="MQV98" s="293"/>
      <c r="MQW98" s="293"/>
      <c r="MQX98" s="293"/>
      <c r="MQY98" s="293"/>
      <c r="MQZ98" s="293"/>
      <c r="MRA98" s="293"/>
      <c r="MRB98" s="293"/>
      <c r="MRC98" s="293"/>
      <c r="MRD98" s="293"/>
      <c r="MRE98" s="293"/>
      <c r="MRF98" s="293"/>
      <c r="MRG98" s="293"/>
      <c r="MRH98" s="293"/>
      <c r="MRI98" s="293"/>
      <c r="MRJ98" s="293"/>
      <c r="MRK98" s="293"/>
      <c r="MRL98" s="293"/>
      <c r="MRM98" s="293"/>
      <c r="MRN98" s="293"/>
      <c r="MRO98" s="293"/>
      <c r="MRP98" s="293"/>
      <c r="MRQ98" s="293"/>
      <c r="MRR98" s="293"/>
      <c r="MRS98" s="293"/>
      <c r="MRT98" s="293"/>
      <c r="MRU98" s="293"/>
      <c r="MRV98" s="293"/>
      <c r="MRW98" s="293"/>
      <c r="MRX98" s="293"/>
      <c r="MRY98" s="293"/>
      <c r="MRZ98" s="293"/>
      <c r="MSA98" s="293"/>
      <c r="MSB98" s="293"/>
      <c r="MSC98" s="293"/>
      <c r="MSD98" s="293"/>
      <c r="MSE98" s="293"/>
      <c r="MSF98" s="293"/>
      <c r="MSG98" s="293"/>
      <c r="MSH98" s="293"/>
      <c r="MSI98" s="293"/>
      <c r="MSJ98" s="293"/>
      <c r="MSK98" s="293"/>
      <c r="MSL98" s="293"/>
      <c r="MSM98" s="293"/>
      <c r="MSN98" s="293"/>
      <c r="MSO98" s="293"/>
      <c r="MSP98" s="293"/>
      <c r="MSQ98" s="293"/>
      <c r="MSR98" s="293"/>
      <c r="MSS98" s="293"/>
      <c r="MST98" s="293"/>
      <c r="MSU98" s="293"/>
      <c r="MSV98" s="293"/>
      <c r="MSW98" s="293"/>
      <c r="MSX98" s="293"/>
      <c r="MSY98" s="293"/>
      <c r="MSZ98" s="293"/>
      <c r="MTA98" s="293"/>
      <c r="MTB98" s="293"/>
      <c r="MTC98" s="293"/>
      <c r="MTD98" s="293"/>
      <c r="MTE98" s="293"/>
      <c r="MTF98" s="293"/>
      <c r="MTG98" s="293"/>
      <c r="MTH98" s="293"/>
      <c r="MTI98" s="293"/>
      <c r="MTJ98" s="293"/>
      <c r="MTK98" s="293"/>
      <c r="MTL98" s="293"/>
      <c r="MTM98" s="293"/>
      <c r="MTN98" s="293"/>
      <c r="MTO98" s="293"/>
      <c r="MTP98" s="293"/>
      <c r="MTQ98" s="293"/>
      <c r="MTR98" s="293"/>
      <c r="MTS98" s="293"/>
      <c r="MTT98" s="293"/>
      <c r="MTU98" s="293"/>
      <c r="MTV98" s="293"/>
      <c r="MTW98" s="293"/>
      <c r="MTX98" s="293"/>
      <c r="MTY98" s="293"/>
      <c r="MTZ98" s="293"/>
      <c r="MUA98" s="293"/>
      <c r="MUB98" s="293"/>
      <c r="MUC98" s="293"/>
      <c r="MUD98" s="293"/>
      <c r="MUE98" s="293"/>
      <c r="MUF98" s="293"/>
      <c r="MUG98" s="293"/>
      <c r="MUH98" s="293"/>
      <c r="MUI98" s="293"/>
      <c r="MUJ98" s="293"/>
      <c r="MUK98" s="293"/>
      <c r="MUL98" s="293"/>
      <c r="MUM98" s="293"/>
      <c r="MUN98" s="293"/>
      <c r="MUO98" s="293"/>
      <c r="MUP98" s="293"/>
      <c r="MUQ98" s="293"/>
      <c r="MUR98" s="293"/>
      <c r="MUS98" s="293"/>
      <c r="MUT98" s="293"/>
      <c r="MUU98" s="293"/>
      <c r="MUV98" s="293"/>
      <c r="MUW98" s="293"/>
      <c r="MUX98" s="293"/>
      <c r="MUY98" s="293"/>
      <c r="MUZ98" s="293"/>
      <c r="MVA98" s="293"/>
      <c r="MVB98" s="293"/>
      <c r="MVC98" s="293"/>
      <c r="MVD98" s="293"/>
      <c r="MVE98" s="293"/>
      <c r="MVF98" s="293"/>
      <c r="MVG98" s="293"/>
      <c r="MVH98" s="293"/>
      <c r="MVI98" s="293"/>
      <c r="MVJ98" s="293"/>
      <c r="MVK98" s="293"/>
      <c r="MVL98" s="293"/>
      <c r="MVM98" s="293"/>
      <c r="MVN98" s="293"/>
      <c r="MVO98" s="293"/>
      <c r="MVP98" s="293"/>
      <c r="MVQ98" s="293"/>
      <c r="MVR98" s="293"/>
      <c r="MVS98" s="293"/>
      <c r="MVT98" s="293"/>
      <c r="MVU98" s="293"/>
      <c r="MVV98" s="293"/>
      <c r="MVW98" s="293"/>
      <c r="MVX98" s="293"/>
      <c r="MVY98" s="293"/>
      <c r="MVZ98" s="293"/>
      <c r="MWA98" s="293"/>
      <c r="MWB98" s="293"/>
      <c r="MWC98" s="293"/>
      <c r="MWD98" s="293"/>
      <c r="MWE98" s="293"/>
      <c r="MWF98" s="293"/>
      <c r="MWG98" s="293"/>
      <c r="MWH98" s="293"/>
      <c r="MWI98" s="293"/>
      <c r="MWJ98" s="293"/>
      <c r="MWK98" s="293"/>
      <c r="MWL98" s="293"/>
      <c r="MWM98" s="293"/>
      <c r="MWN98" s="293"/>
      <c r="MWO98" s="293"/>
      <c r="MWP98" s="293"/>
      <c r="MWQ98" s="293"/>
      <c r="MWR98" s="293"/>
      <c r="MWS98" s="293"/>
      <c r="MWT98" s="293"/>
      <c r="MWU98" s="293"/>
      <c r="MWV98" s="293"/>
      <c r="MWW98" s="293"/>
      <c r="MWX98" s="293"/>
      <c r="MWY98" s="293"/>
      <c r="MWZ98" s="293"/>
      <c r="MXA98" s="293"/>
      <c r="MXB98" s="293"/>
      <c r="MXC98" s="293"/>
      <c r="MXD98" s="293"/>
      <c r="MXE98" s="293"/>
      <c r="MXF98" s="293"/>
      <c r="MXG98" s="293"/>
      <c r="MXH98" s="293"/>
      <c r="MXI98" s="293"/>
      <c r="MXJ98" s="293"/>
      <c r="MXK98" s="293"/>
      <c r="MXL98" s="293"/>
      <c r="MXM98" s="293"/>
      <c r="MXN98" s="293"/>
      <c r="MXO98" s="293"/>
      <c r="MXP98" s="293"/>
      <c r="MXQ98" s="293"/>
      <c r="MXR98" s="293"/>
      <c r="MXS98" s="293"/>
      <c r="MXT98" s="293"/>
      <c r="MXU98" s="293"/>
      <c r="MXV98" s="293"/>
      <c r="MXW98" s="293"/>
      <c r="MXX98" s="293"/>
      <c r="MXY98" s="293"/>
      <c r="MXZ98" s="293"/>
      <c r="MYA98" s="293"/>
      <c r="MYB98" s="293"/>
      <c r="MYC98" s="293"/>
      <c r="MYD98" s="293"/>
      <c r="MYE98" s="293"/>
      <c r="MYF98" s="293"/>
      <c r="MYG98" s="293"/>
      <c r="MYH98" s="293"/>
      <c r="MYI98" s="293"/>
      <c r="MYJ98" s="293"/>
      <c r="MYK98" s="293"/>
      <c r="MYL98" s="293"/>
      <c r="MYM98" s="293"/>
      <c r="MYN98" s="293"/>
      <c r="MYO98" s="293"/>
      <c r="MYP98" s="293"/>
      <c r="MYQ98" s="293"/>
      <c r="MYR98" s="293"/>
      <c r="MYS98" s="293"/>
      <c r="MYT98" s="293"/>
      <c r="MYU98" s="293"/>
      <c r="MYV98" s="293"/>
      <c r="MYW98" s="293"/>
      <c r="MYX98" s="293"/>
      <c r="MYY98" s="293"/>
      <c r="MYZ98" s="293"/>
      <c r="MZA98" s="293"/>
      <c r="MZB98" s="293"/>
      <c r="MZC98" s="293"/>
      <c r="MZD98" s="293"/>
      <c r="MZE98" s="293"/>
      <c r="MZF98" s="293"/>
      <c r="MZG98" s="293"/>
      <c r="MZH98" s="293"/>
      <c r="MZI98" s="293"/>
      <c r="MZJ98" s="293"/>
      <c r="MZK98" s="293"/>
      <c r="MZL98" s="293"/>
      <c r="MZM98" s="293"/>
      <c r="MZN98" s="293"/>
      <c r="MZO98" s="293"/>
      <c r="MZP98" s="293"/>
      <c r="MZQ98" s="293"/>
      <c r="MZR98" s="293"/>
      <c r="MZS98" s="293"/>
      <c r="MZT98" s="293"/>
      <c r="MZU98" s="293"/>
      <c r="MZV98" s="293"/>
      <c r="MZW98" s="293"/>
      <c r="MZX98" s="293"/>
      <c r="MZY98" s="293"/>
      <c r="MZZ98" s="293"/>
      <c r="NAA98" s="293"/>
      <c r="NAB98" s="293"/>
      <c r="NAC98" s="293"/>
      <c r="NAD98" s="293"/>
      <c r="NAE98" s="293"/>
      <c r="NAF98" s="293"/>
      <c r="NAG98" s="293"/>
      <c r="NAH98" s="293"/>
      <c r="NAI98" s="293"/>
      <c r="NAJ98" s="293"/>
      <c r="NAK98" s="293"/>
      <c r="NAL98" s="293"/>
      <c r="NAM98" s="293"/>
      <c r="NAN98" s="293"/>
      <c r="NAO98" s="293"/>
      <c r="NAP98" s="293"/>
      <c r="NAQ98" s="293"/>
      <c r="NAR98" s="293"/>
      <c r="NAS98" s="293"/>
      <c r="NAT98" s="293"/>
      <c r="NAU98" s="293"/>
      <c r="NAV98" s="293"/>
      <c r="NAW98" s="293"/>
      <c r="NAX98" s="293"/>
      <c r="NAY98" s="293"/>
      <c r="NAZ98" s="293"/>
      <c r="NBA98" s="293"/>
      <c r="NBB98" s="293"/>
      <c r="NBC98" s="293"/>
      <c r="NBD98" s="293"/>
      <c r="NBE98" s="293"/>
      <c r="NBF98" s="293"/>
      <c r="NBG98" s="293"/>
      <c r="NBH98" s="293"/>
      <c r="NBI98" s="293"/>
      <c r="NBJ98" s="293"/>
      <c r="NBK98" s="293"/>
      <c r="NBL98" s="293"/>
      <c r="NBM98" s="293"/>
      <c r="NBN98" s="293"/>
      <c r="NBO98" s="293"/>
      <c r="NBP98" s="293"/>
      <c r="NBQ98" s="293"/>
      <c r="NBR98" s="293"/>
      <c r="NBS98" s="293"/>
      <c r="NBT98" s="293"/>
      <c r="NBU98" s="293"/>
      <c r="NBV98" s="293"/>
      <c r="NBW98" s="293"/>
      <c r="NBX98" s="293"/>
      <c r="NBY98" s="293"/>
      <c r="NBZ98" s="293"/>
      <c r="NCA98" s="293"/>
      <c r="NCB98" s="293"/>
      <c r="NCC98" s="293"/>
      <c r="NCD98" s="293"/>
      <c r="NCE98" s="293"/>
      <c r="NCF98" s="293"/>
      <c r="NCG98" s="293"/>
      <c r="NCH98" s="293"/>
      <c r="NCI98" s="293"/>
      <c r="NCJ98" s="293"/>
      <c r="NCK98" s="293"/>
      <c r="NCL98" s="293"/>
      <c r="NCM98" s="293"/>
      <c r="NCN98" s="293"/>
      <c r="NCO98" s="293"/>
      <c r="NCP98" s="293"/>
      <c r="NCQ98" s="293"/>
      <c r="NCR98" s="293"/>
      <c r="NCS98" s="293"/>
      <c r="NCT98" s="293"/>
      <c r="NCU98" s="293"/>
      <c r="NCV98" s="293"/>
      <c r="NCW98" s="293"/>
      <c r="NCX98" s="293"/>
      <c r="NCY98" s="293"/>
      <c r="NCZ98" s="293"/>
      <c r="NDA98" s="293"/>
      <c r="NDB98" s="293"/>
      <c r="NDC98" s="293"/>
      <c r="NDD98" s="293"/>
      <c r="NDE98" s="293"/>
      <c r="NDF98" s="293"/>
      <c r="NDG98" s="293"/>
      <c r="NDH98" s="293"/>
      <c r="NDI98" s="293"/>
      <c r="NDJ98" s="293"/>
      <c r="NDK98" s="293"/>
      <c r="NDL98" s="293"/>
      <c r="NDM98" s="293"/>
      <c r="NDN98" s="293"/>
      <c r="NDO98" s="293"/>
      <c r="NDP98" s="293"/>
      <c r="NDQ98" s="293"/>
      <c r="NDR98" s="293"/>
      <c r="NDS98" s="293"/>
      <c r="NDT98" s="293"/>
      <c r="NDU98" s="293"/>
      <c r="NDV98" s="293"/>
      <c r="NDW98" s="293"/>
      <c r="NDX98" s="293"/>
      <c r="NDY98" s="293"/>
      <c r="NDZ98" s="293"/>
      <c r="NEA98" s="293"/>
      <c r="NEB98" s="293"/>
      <c r="NEC98" s="293"/>
      <c r="NED98" s="293"/>
      <c r="NEE98" s="293"/>
      <c r="NEF98" s="293"/>
      <c r="NEG98" s="293"/>
      <c r="NEH98" s="293"/>
      <c r="NEI98" s="293"/>
      <c r="NEJ98" s="293"/>
      <c r="NEK98" s="293"/>
      <c r="NEL98" s="293"/>
      <c r="NEM98" s="293"/>
      <c r="NEN98" s="293"/>
      <c r="NEO98" s="293"/>
      <c r="NEP98" s="293"/>
      <c r="NEQ98" s="293"/>
      <c r="NER98" s="293"/>
      <c r="NES98" s="293"/>
      <c r="NET98" s="293"/>
      <c r="NEU98" s="293"/>
      <c r="NEV98" s="293"/>
      <c r="NEW98" s="293"/>
      <c r="NEX98" s="293"/>
      <c r="NEY98" s="293"/>
      <c r="NEZ98" s="293"/>
      <c r="NFA98" s="293"/>
      <c r="NFB98" s="293"/>
      <c r="NFC98" s="293"/>
      <c r="NFD98" s="293"/>
      <c r="NFE98" s="293"/>
      <c r="NFF98" s="293"/>
      <c r="NFG98" s="293"/>
      <c r="NFH98" s="293"/>
      <c r="NFI98" s="293"/>
      <c r="NFJ98" s="293"/>
      <c r="NFK98" s="293"/>
      <c r="NFL98" s="293"/>
      <c r="NFM98" s="293"/>
      <c r="NFN98" s="293"/>
      <c r="NFO98" s="293"/>
      <c r="NFP98" s="293"/>
      <c r="NFQ98" s="293"/>
      <c r="NFR98" s="293"/>
      <c r="NFS98" s="293"/>
      <c r="NFT98" s="293"/>
      <c r="NFU98" s="293"/>
      <c r="NFV98" s="293"/>
      <c r="NFW98" s="293"/>
      <c r="NFX98" s="293"/>
      <c r="NFY98" s="293"/>
      <c r="NFZ98" s="293"/>
      <c r="NGA98" s="293"/>
      <c r="NGB98" s="293"/>
      <c r="NGC98" s="293"/>
      <c r="NGD98" s="293"/>
      <c r="NGE98" s="293"/>
      <c r="NGF98" s="293"/>
      <c r="NGG98" s="293"/>
      <c r="NGH98" s="293"/>
      <c r="NGI98" s="293"/>
      <c r="NGJ98" s="293"/>
      <c r="NGK98" s="293"/>
      <c r="NGL98" s="293"/>
      <c r="NGM98" s="293"/>
      <c r="NGN98" s="293"/>
      <c r="NGO98" s="293"/>
      <c r="NGP98" s="293"/>
      <c r="NGQ98" s="293"/>
      <c r="NGR98" s="293"/>
      <c r="NGS98" s="293"/>
      <c r="NGT98" s="293"/>
      <c r="NGU98" s="293"/>
      <c r="NGV98" s="293"/>
      <c r="NGW98" s="293"/>
      <c r="NGX98" s="293"/>
      <c r="NGY98" s="293"/>
      <c r="NGZ98" s="293"/>
      <c r="NHA98" s="293"/>
      <c r="NHB98" s="293"/>
      <c r="NHC98" s="293"/>
      <c r="NHD98" s="293"/>
      <c r="NHE98" s="293"/>
      <c r="NHF98" s="293"/>
      <c r="NHG98" s="293"/>
      <c r="NHH98" s="293"/>
      <c r="NHI98" s="293"/>
      <c r="NHJ98" s="293"/>
      <c r="NHK98" s="293"/>
      <c r="NHL98" s="293"/>
      <c r="NHM98" s="293"/>
      <c r="NHN98" s="293"/>
      <c r="NHO98" s="293"/>
      <c r="NHP98" s="293"/>
      <c r="NHQ98" s="293"/>
      <c r="NHR98" s="293"/>
      <c r="NHS98" s="293"/>
      <c r="NHT98" s="293"/>
      <c r="NHU98" s="293"/>
      <c r="NHV98" s="293"/>
      <c r="NHW98" s="293"/>
      <c r="NHX98" s="293"/>
      <c r="NHY98" s="293"/>
      <c r="NHZ98" s="293"/>
      <c r="NIA98" s="293"/>
      <c r="NIB98" s="293"/>
      <c r="NIC98" s="293"/>
      <c r="NID98" s="293"/>
      <c r="NIE98" s="293"/>
      <c r="NIF98" s="293"/>
      <c r="NIG98" s="293"/>
      <c r="NIH98" s="293"/>
      <c r="NII98" s="293"/>
      <c r="NIJ98" s="293"/>
      <c r="NIK98" s="293"/>
      <c r="NIL98" s="293"/>
      <c r="NIM98" s="293"/>
      <c r="NIN98" s="293"/>
      <c r="NIO98" s="293"/>
      <c r="NIP98" s="293"/>
      <c r="NIQ98" s="293"/>
      <c r="NIR98" s="293"/>
      <c r="NIS98" s="293"/>
      <c r="NIT98" s="293"/>
      <c r="NIU98" s="293"/>
      <c r="NIV98" s="293"/>
      <c r="NIW98" s="293"/>
      <c r="NIX98" s="293"/>
      <c r="NIY98" s="293"/>
      <c r="NIZ98" s="293"/>
      <c r="NJA98" s="293"/>
      <c r="NJB98" s="293"/>
      <c r="NJC98" s="293"/>
      <c r="NJD98" s="293"/>
      <c r="NJE98" s="293"/>
      <c r="NJF98" s="293"/>
      <c r="NJG98" s="293"/>
      <c r="NJH98" s="293"/>
      <c r="NJI98" s="293"/>
      <c r="NJJ98" s="293"/>
      <c r="NJK98" s="293"/>
      <c r="NJL98" s="293"/>
      <c r="NJM98" s="293"/>
      <c r="NJN98" s="293"/>
      <c r="NJO98" s="293"/>
      <c r="NJP98" s="293"/>
      <c r="NJQ98" s="293"/>
      <c r="NJR98" s="293"/>
      <c r="NJS98" s="293"/>
      <c r="NJT98" s="293"/>
      <c r="NJU98" s="293"/>
      <c r="NJV98" s="293"/>
      <c r="NJW98" s="293"/>
      <c r="NJX98" s="293"/>
      <c r="NJY98" s="293"/>
      <c r="NJZ98" s="293"/>
      <c r="NKA98" s="293"/>
      <c r="NKB98" s="293"/>
      <c r="NKC98" s="293"/>
      <c r="NKD98" s="293"/>
      <c r="NKE98" s="293"/>
      <c r="NKF98" s="293"/>
      <c r="NKG98" s="293"/>
      <c r="NKH98" s="293"/>
      <c r="NKI98" s="293"/>
      <c r="NKJ98" s="293"/>
      <c r="NKK98" s="293"/>
      <c r="NKL98" s="293"/>
      <c r="NKM98" s="293"/>
      <c r="NKN98" s="293"/>
      <c r="NKO98" s="293"/>
      <c r="NKP98" s="293"/>
      <c r="NKQ98" s="293"/>
      <c r="NKR98" s="293"/>
      <c r="NKS98" s="293"/>
      <c r="NKT98" s="293"/>
      <c r="NKU98" s="293"/>
      <c r="NKV98" s="293"/>
      <c r="NKW98" s="293"/>
      <c r="NKX98" s="293"/>
      <c r="NKY98" s="293"/>
      <c r="NKZ98" s="293"/>
      <c r="NLA98" s="293"/>
      <c r="NLB98" s="293"/>
      <c r="NLC98" s="293"/>
      <c r="NLD98" s="293"/>
      <c r="NLE98" s="293"/>
      <c r="NLF98" s="293"/>
      <c r="NLG98" s="293"/>
      <c r="NLH98" s="293"/>
      <c r="NLI98" s="293"/>
      <c r="NLJ98" s="293"/>
      <c r="NLK98" s="293"/>
      <c r="NLL98" s="293"/>
      <c r="NLM98" s="293"/>
      <c r="NLN98" s="293"/>
      <c r="NLO98" s="293"/>
      <c r="NLP98" s="293"/>
      <c r="NLQ98" s="293"/>
      <c r="NLR98" s="293"/>
      <c r="NLS98" s="293"/>
      <c r="NLT98" s="293"/>
      <c r="NLU98" s="293"/>
      <c r="NLV98" s="293"/>
      <c r="NLW98" s="293"/>
      <c r="NLX98" s="293"/>
      <c r="NLY98" s="293"/>
      <c r="NLZ98" s="293"/>
      <c r="NMA98" s="293"/>
      <c r="NMB98" s="293"/>
      <c r="NMC98" s="293"/>
      <c r="NMD98" s="293"/>
      <c r="NME98" s="293"/>
      <c r="NMF98" s="293"/>
      <c r="NMG98" s="293"/>
      <c r="NMH98" s="293"/>
      <c r="NMI98" s="293"/>
      <c r="NMJ98" s="293"/>
      <c r="NMK98" s="293"/>
      <c r="NML98" s="293"/>
      <c r="NMM98" s="293"/>
      <c r="NMN98" s="293"/>
      <c r="NMO98" s="293"/>
      <c r="NMP98" s="293"/>
      <c r="NMQ98" s="293"/>
      <c r="NMR98" s="293"/>
      <c r="NMS98" s="293"/>
      <c r="NMT98" s="293"/>
      <c r="NMU98" s="293"/>
      <c r="NMV98" s="293"/>
      <c r="NMW98" s="293"/>
      <c r="NMX98" s="293"/>
      <c r="NMY98" s="293"/>
      <c r="NMZ98" s="293"/>
      <c r="NNA98" s="293"/>
      <c r="NNB98" s="293"/>
      <c r="NNC98" s="293"/>
      <c r="NND98" s="293"/>
      <c r="NNE98" s="293"/>
      <c r="NNF98" s="293"/>
      <c r="NNG98" s="293"/>
      <c r="NNH98" s="293"/>
      <c r="NNI98" s="293"/>
      <c r="NNJ98" s="293"/>
      <c r="NNK98" s="293"/>
      <c r="NNL98" s="293"/>
      <c r="NNM98" s="293"/>
      <c r="NNN98" s="293"/>
      <c r="NNO98" s="293"/>
      <c r="NNP98" s="293"/>
      <c r="NNQ98" s="293"/>
      <c r="NNR98" s="293"/>
      <c r="NNS98" s="293"/>
      <c r="NNT98" s="293"/>
      <c r="NNU98" s="293"/>
      <c r="NNV98" s="293"/>
      <c r="NNW98" s="293"/>
      <c r="NNX98" s="293"/>
      <c r="NNY98" s="293"/>
      <c r="NNZ98" s="293"/>
      <c r="NOA98" s="293"/>
      <c r="NOB98" s="293"/>
      <c r="NOC98" s="293"/>
      <c r="NOD98" s="293"/>
      <c r="NOE98" s="293"/>
      <c r="NOF98" s="293"/>
      <c r="NOG98" s="293"/>
      <c r="NOH98" s="293"/>
      <c r="NOI98" s="293"/>
      <c r="NOJ98" s="293"/>
      <c r="NOK98" s="293"/>
      <c r="NOL98" s="293"/>
      <c r="NOM98" s="293"/>
      <c r="NON98" s="293"/>
      <c r="NOO98" s="293"/>
      <c r="NOP98" s="293"/>
      <c r="NOQ98" s="293"/>
      <c r="NOR98" s="293"/>
      <c r="NOS98" s="293"/>
      <c r="NOT98" s="293"/>
      <c r="NOU98" s="293"/>
      <c r="NOV98" s="293"/>
      <c r="NOW98" s="293"/>
      <c r="NOX98" s="293"/>
      <c r="NOY98" s="293"/>
      <c r="NOZ98" s="293"/>
      <c r="NPA98" s="293"/>
      <c r="NPB98" s="293"/>
      <c r="NPC98" s="293"/>
      <c r="NPD98" s="293"/>
      <c r="NPE98" s="293"/>
      <c r="NPF98" s="293"/>
      <c r="NPG98" s="293"/>
      <c r="NPH98" s="293"/>
      <c r="NPI98" s="293"/>
      <c r="NPJ98" s="293"/>
      <c r="NPK98" s="293"/>
      <c r="NPL98" s="293"/>
      <c r="NPM98" s="293"/>
      <c r="NPN98" s="293"/>
      <c r="NPO98" s="293"/>
      <c r="NPP98" s="293"/>
      <c r="NPQ98" s="293"/>
      <c r="NPR98" s="293"/>
      <c r="NPS98" s="293"/>
      <c r="NPT98" s="293"/>
      <c r="NPU98" s="293"/>
      <c r="NPV98" s="293"/>
      <c r="NPW98" s="293"/>
      <c r="NPX98" s="293"/>
      <c r="NPY98" s="293"/>
      <c r="NPZ98" s="293"/>
      <c r="NQA98" s="293"/>
      <c r="NQB98" s="293"/>
      <c r="NQC98" s="293"/>
      <c r="NQD98" s="293"/>
      <c r="NQE98" s="293"/>
      <c r="NQF98" s="293"/>
      <c r="NQG98" s="293"/>
      <c r="NQH98" s="293"/>
      <c r="NQI98" s="293"/>
      <c r="NQJ98" s="293"/>
      <c r="NQK98" s="293"/>
      <c r="NQL98" s="293"/>
      <c r="NQM98" s="293"/>
      <c r="NQN98" s="293"/>
      <c r="NQO98" s="293"/>
      <c r="NQP98" s="293"/>
      <c r="NQQ98" s="293"/>
      <c r="NQR98" s="293"/>
      <c r="NQS98" s="293"/>
      <c r="NQT98" s="293"/>
      <c r="NQU98" s="293"/>
      <c r="NQV98" s="293"/>
      <c r="NQW98" s="293"/>
      <c r="NQX98" s="293"/>
      <c r="NQY98" s="293"/>
      <c r="NQZ98" s="293"/>
      <c r="NRA98" s="293"/>
      <c r="NRB98" s="293"/>
      <c r="NRC98" s="293"/>
      <c r="NRD98" s="293"/>
      <c r="NRE98" s="293"/>
      <c r="NRF98" s="293"/>
      <c r="NRG98" s="293"/>
      <c r="NRH98" s="293"/>
      <c r="NRI98" s="293"/>
      <c r="NRJ98" s="293"/>
      <c r="NRK98" s="293"/>
      <c r="NRL98" s="293"/>
      <c r="NRM98" s="293"/>
      <c r="NRN98" s="293"/>
      <c r="NRO98" s="293"/>
      <c r="NRP98" s="293"/>
      <c r="NRQ98" s="293"/>
      <c r="NRR98" s="293"/>
      <c r="NRS98" s="293"/>
      <c r="NRT98" s="293"/>
      <c r="NRU98" s="293"/>
      <c r="NRV98" s="293"/>
      <c r="NRW98" s="293"/>
      <c r="NRX98" s="293"/>
      <c r="NRY98" s="293"/>
      <c r="NRZ98" s="293"/>
      <c r="NSA98" s="293"/>
      <c r="NSB98" s="293"/>
      <c r="NSC98" s="293"/>
      <c r="NSD98" s="293"/>
      <c r="NSE98" s="293"/>
      <c r="NSF98" s="293"/>
      <c r="NSG98" s="293"/>
      <c r="NSH98" s="293"/>
      <c r="NSI98" s="293"/>
      <c r="NSJ98" s="293"/>
      <c r="NSK98" s="293"/>
      <c r="NSL98" s="293"/>
      <c r="NSM98" s="293"/>
      <c r="NSN98" s="293"/>
      <c r="NSO98" s="293"/>
      <c r="NSP98" s="293"/>
      <c r="NSQ98" s="293"/>
      <c r="NSR98" s="293"/>
      <c r="NSS98" s="293"/>
      <c r="NST98" s="293"/>
      <c r="NSU98" s="293"/>
      <c r="NSV98" s="293"/>
      <c r="NSW98" s="293"/>
      <c r="NSX98" s="293"/>
      <c r="NSY98" s="293"/>
      <c r="NSZ98" s="293"/>
      <c r="NTA98" s="293"/>
      <c r="NTB98" s="293"/>
      <c r="NTC98" s="293"/>
      <c r="NTD98" s="293"/>
      <c r="NTE98" s="293"/>
      <c r="NTF98" s="293"/>
      <c r="NTG98" s="293"/>
      <c r="NTH98" s="293"/>
      <c r="NTI98" s="293"/>
      <c r="NTJ98" s="293"/>
      <c r="NTK98" s="293"/>
      <c r="NTL98" s="293"/>
      <c r="NTM98" s="293"/>
      <c r="NTN98" s="293"/>
      <c r="NTO98" s="293"/>
      <c r="NTP98" s="293"/>
      <c r="NTQ98" s="293"/>
      <c r="NTR98" s="293"/>
      <c r="NTS98" s="293"/>
      <c r="NTT98" s="293"/>
      <c r="NTU98" s="293"/>
      <c r="NTV98" s="293"/>
      <c r="NTW98" s="293"/>
      <c r="NTX98" s="293"/>
      <c r="NTY98" s="293"/>
      <c r="NTZ98" s="293"/>
      <c r="NUA98" s="293"/>
      <c r="NUB98" s="293"/>
      <c r="NUC98" s="293"/>
      <c r="NUD98" s="293"/>
      <c r="NUE98" s="293"/>
      <c r="NUF98" s="293"/>
      <c r="NUG98" s="293"/>
      <c r="NUH98" s="293"/>
      <c r="NUI98" s="293"/>
      <c r="NUJ98" s="293"/>
      <c r="NUK98" s="293"/>
      <c r="NUL98" s="293"/>
      <c r="NUM98" s="293"/>
      <c r="NUN98" s="293"/>
      <c r="NUO98" s="293"/>
      <c r="NUP98" s="293"/>
      <c r="NUQ98" s="293"/>
      <c r="NUR98" s="293"/>
      <c r="NUS98" s="293"/>
      <c r="NUT98" s="293"/>
      <c r="NUU98" s="293"/>
      <c r="NUV98" s="293"/>
      <c r="NUW98" s="293"/>
      <c r="NUX98" s="293"/>
      <c r="NUY98" s="293"/>
      <c r="NUZ98" s="293"/>
      <c r="NVA98" s="293"/>
      <c r="NVB98" s="293"/>
      <c r="NVC98" s="293"/>
      <c r="NVD98" s="293"/>
      <c r="NVE98" s="293"/>
      <c r="NVF98" s="293"/>
      <c r="NVG98" s="293"/>
      <c r="NVH98" s="293"/>
      <c r="NVI98" s="293"/>
      <c r="NVJ98" s="293"/>
      <c r="NVK98" s="293"/>
      <c r="NVL98" s="293"/>
      <c r="NVM98" s="293"/>
      <c r="NVN98" s="293"/>
      <c r="NVO98" s="293"/>
      <c r="NVP98" s="293"/>
      <c r="NVQ98" s="293"/>
      <c r="NVR98" s="293"/>
      <c r="NVS98" s="293"/>
      <c r="NVT98" s="293"/>
      <c r="NVU98" s="293"/>
      <c r="NVV98" s="293"/>
      <c r="NVW98" s="293"/>
      <c r="NVX98" s="293"/>
      <c r="NVY98" s="293"/>
      <c r="NVZ98" s="293"/>
      <c r="NWA98" s="293"/>
      <c r="NWB98" s="293"/>
      <c r="NWC98" s="293"/>
      <c r="NWD98" s="293"/>
      <c r="NWE98" s="293"/>
      <c r="NWF98" s="293"/>
      <c r="NWG98" s="293"/>
      <c r="NWH98" s="293"/>
      <c r="NWI98" s="293"/>
      <c r="NWJ98" s="293"/>
      <c r="NWK98" s="293"/>
      <c r="NWL98" s="293"/>
      <c r="NWM98" s="293"/>
      <c r="NWN98" s="293"/>
      <c r="NWO98" s="293"/>
      <c r="NWP98" s="293"/>
      <c r="NWQ98" s="293"/>
      <c r="NWR98" s="293"/>
      <c r="NWS98" s="293"/>
      <c r="NWT98" s="293"/>
      <c r="NWU98" s="293"/>
      <c r="NWV98" s="293"/>
      <c r="NWW98" s="293"/>
      <c r="NWX98" s="293"/>
      <c r="NWY98" s="293"/>
      <c r="NWZ98" s="293"/>
      <c r="NXA98" s="293"/>
      <c r="NXB98" s="293"/>
      <c r="NXC98" s="293"/>
      <c r="NXD98" s="293"/>
      <c r="NXE98" s="293"/>
      <c r="NXF98" s="293"/>
      <c r="NXG98" s="293"/>
      <c r="NXH98" s="293"/>
      <c r="NXI98" s="293"/>
      <c r="NXJ98" s="293"/>
      <c r="NXK98" s="293"/>
      <c r="NXL98" s="293"/>
      <c r="NXM98" s="293"/>
      <c r="NXN98" s="293"/>
      <c r="NXO98" s="293"/>
      <c r="NXP98" s="293"/>
      <c r="NXQ98" s="293"/>
      <c r="NXR98" s="293"/>
      <c r="NXS98" s="293"/>
      <c r="NXT98" s="293"/>
      <c r="NXU98" s="293"/>
      <c r="NXV98" s="293"/>
      <c r="NXW98" s="293"/>
      <c r="NXX98" s="293"/>
      <c r="NXY98" s="293"/>
      <c r="NXZ98" s="293"/>
      <c r="NYA98" s="293"/>
      <c r="NYB98" s="293"/>
      <c r="NYC98" s="293"/>
      <c r="NYD98" s="293"/>
      <c r="NYE98" s="293"/>
      <c r="NYF98" s="293"/>
      <c r="NYG98" s="293"/>
      <c r="NYH98" s="293"/>
      <c r="NYI98" s="293"/>
      <c r="NYJ98" s="293"/>
      <c r="NYK98" s="293"/>
      <c r="NYL98" s="293"/>
      <c r="NYM98" s="293"/>
      <c r="NYN98" s="293"/>
      <c r="NYO98" s="293"/>
      <c r="NYP98" s="293"/>
      <c r="NYQ98" s="293"/>
      <c r="NYR98" s="293"/>
      <c r="NYS98" s="293"/>
      <c r="NYT98" s="293"/>
      <c r="NYU98" s="293"/>
      <c r="NYV98" s="293"/>
      <c r="NYW98" s="293"/>
      <c r="NYX98" s="293"/>
      <c r="NYY98" s="293"/>
      <c r="NYZ98" s="293"/>
      <c r="NZA98" s="293"/>
      <c r="NZB98" s="293"/>
      <c r="NZC98" s="293"/>
      <c r="NZD98" s="293"/>
      <c r="NZE98" s="293"/>
      <c r="NZF98" s="293"/>
      <c r="NZG98" s="293"/>
      <c r="NZH98" s="293"/>
      <c r="NZI98" s="293"/>
      <c r="NZJ98" s="293"/>
      <c r="NZK98" s="293"/>
      <c r="NZL98" s="293"/>
      <c r="NZM98" s="293"/>
      <c r="NZN98" s="293"/>
      <c r="NZO98" s="293"/>
      <c r="NZP98" s="293"/>
      <c r="NZQ98" s="293"/>
      <c r="NZR98" s="293"/>
      <c r="NZS98" s="293"/>
      <c r="NZT98" s="293"/>
      <c r="NZU98" s="293"/>
      <c r="NZV98" s="293"/>
      <c r="NZW98" s="293"/>
      <c r="NZX98" s="293"/>
      <c r="NZY98" s="293"/>
      <c r="NZZ98" s="293"/>
      <c r="OAA98" s="293"/>
      <c r="OAB98" s="293"/>
      <c r="OAC98" s="293"/>
      <c r="OAD98" s="293"/>
      <c r="OAE98" s="293"/>
      <c r="OAF98" s="293"/>
      <c r="OAG98" s="293"/>
      <c r="OAH98" s="293"/>
      <c r="OAI98" s="293"/>
      <c r="OAJ98" s="293"/>
      <c r="OAK98" s="293"/>
      <c r="OAL98" s="293"/>
      <c r="OAM98" s="293"/>
      <c r="OAN98" s="293"/>
      <c r="OAO98" s="293"/>
      <c r="OAP98" s="293"/>
      <c r="OAQ98" s="293"/>
      <c r="OAR98" s="293"/>
      <c r="OAS98" s="293"/>
      <c r="OAT98" s="293"/>
      <c r="OAU98" s="293"/>
      <c r="OAV98" s="293"/>
      <c r="OAW98" s="293"/>
      <c r="OAX98" s="293"/>
      <c r="OAY98" s="293"/>
      <c r="OAZ98" s="293"/>
      <c r="OBA98" s="293"/>
      <c r="OBB98" s="293"/>
      <c r="OBC98" s="293"/>
      <c r="OBD98" s="293"/>
      <c r="OBE98" s="293"/>
      <c r="OBF98" s="293"/>
      <c r="OBG98" s="293"/>
      <c r="OBH98" s="293"/>
      <c r="OBI98" s="293"/>
      <c r="OBJ98" s="293"/>
      <c r="OBK98" s="293"/>
      <c r="OBL98" s="293"/>
      <c r="OBM98" s="293"/>
      <c r="OBN98" s="293"/>
      <c r="OBO98" s="293"/>
      <c r="OBP98" s="293"/>
      <c r="OBQ98" s="293"/>
      <c r="OBR98" s="293"/>
      <c r="OBS98" s="293"/>
      <c r="OBT98" s="293"/>
      <c r="OBU98" s="293"/>
      <c r="OBV98" s="293"/>
      <c r="OBW98" s="293"/>
      <c r="OBX98" s="293"/>
      <c r="OBY98" s="293"/>
      <c r="OBZ98" s="293"/>
      <c r="OCA98" s="293"/>
      <c r="OCB98" s="293"/>
      <c r="OCC98" s="293"/>
      <c r="OCD98" s="293"/>
      <c r="OCE98" s="293"/>
      <c r="OCF98" s="293"/>
      <c r="OCG98" s="293"/>
      <c r="OCH98" s="293"/>
      <c r="OCI98" s="293"/>
      <c r="OCJ98" s="293"/>
      <c r="OCK98" s="293"/>
      <c r="OCL98" s="293"/>
      <c r="OCM98" s="293"/>
      <c r="OCN98" s="293"/>
      <c r="OCO98" s="293"/>
      <c r="OCP98" s="293"/>
      <c r="OCQ98" s="293"/>
      <c r="OCR98" s="293"/>
      <c r="OCS98" s="293"/>
      <c r="OCT98" s="293"/>
      <c r="OCU98" s="293"/>
      <c r="OCV98" s="293"/>
      <c r="OCW98" s="293"/>
      <c r="OCX98" s="293"/>
      <c r="OCY98" s="293"/>
      <c r="OCZ98" s="293"/>
      <c r="ODA98" s="293"/>
      <c r="ODB98" s="293"/>
      <c r="ODC98" s="293"/>
      <c r="ODD98" s="293"/>
      <c r="ODE98" s="293"/>
      <c r="ODF98" s="293"/>
      <c r="ODG98" s="293"/>
      <c r="ODH98" s="293"/>
      <c r="ODI98" s="293"/>
      <c r="ODJ98" s="293"/>
      <c r="ODK98" s="293"/>
      <c r="ODL98" s="293"/>
      <c r="ODM98" s="293"/>
      <c r="ODN98" s="293"/>
      <c r="ODO98" s="293"/>
      <c r="ODP98" s="293"/>
      <c r="ODQ98" s="293"/>
      <c r="ODR98" s="293"/>
      <c r="ODS98" s="293"/>
      <c r="ODT98" s="293"/>
      <c r="ODU98" s="293"/>
      <c r="ODV98" s="293"/>
      <c r="ODW98" s="293"/>
      <c r="ODX98" s="293"/>
      <c r="ODY98" s="293"/>
      <c r="ODZ98" s="293"/>
      <c r="OEA98" s="293"/>
      <c r="OEB98" s="293"/>
      <c r="OEC98" s="293"/>
      <c r="OED98" s="293"/>
      <c r="OEE98" s="293"/>
      <c r="OEF98" s="293"/>
      <c r="OEG98" s="293"/>
      <c r="OEH98" s="293"/>
      <c r="OEI98" s="293"/>
      <c r="OEJ98" s="293"/>
      <c r="OEK98" s="293"/>
      <c r="OEL98" s="293"/>
      <c r="OEM98" s="293"/>
      <c r="OEN98" s="293"/>
      <c r="OEO98" s="293"/>
      <c r="OEP98" s="293"/>
      <c r="OEQ98" s="293"/>
      <c r="OER98" s="293"/>
      <c r="OES98" s="293"/>
      <c r="OET98" s="293"/>
      <c r="OEU98" s="293"/>
      <c r="OEV98" s="293"/>
      <c r="OEW98" s="293"/>
      <c r="OEX98" s="293"/>
      <c r="OEY98" s="293"/>
      <c r="OEZ98" s="293"/>
      <c r="OFA98" s="293"/>
      <c r="OFB98" s="293"/>
      <c r="OFC98" s="293"/>
      <c r="OFD98" s="293"/>
      <c r="OFE98" s="293"/>
      <c r="OFF98" s="293"/>
      <c r="OFG98" s="293"/>
      <c r="OFH98" s="293"/>
      <c r="OFI98" s="293"/>
      <c r="OFJ98" s="293"/>
      <c r="OFK98" s="293"/>
      <c r="OFL98" s="293"/>
      <c r="OFM98" s="293"/>
      <c r="OFN98" s="293"/>
      <c r="OFO98" s="293"/>
      <c r="OFP98" s="293"/>
      <c r="OFQ98" s="293"/>
      <c r="OFR98" s="293"/>
      <c r="OFS98" s="293"/>
      <c r="OFT98" s="293"/>
      <c r="OFU98" s="293"/>
      <c r="OFV98" s="293"/>
      <c r="OFW98" s="293"/>
      <c r="OFX98" s="293"/>
      <c r="OFY98" s="293"/>
      <c r="OFZ98" s="293"/>
      <c r="OGA98" s="293"/>
      <c r="OGB98" s="293"/>
      <c r="OGC98" s="293"/>
      <c r="OGD98" s="293"/>
      <c r="OGE98" s="293"/>
      <c r="OGF98" s="293"/>
      <c r="OGG98" s="293"/>
      <c r="OGH98" s="293"/>
      <c r="OGI98" s="293"/>
      <c r="OGJ98" s="293"/>
      <c r="OGK98" s="293"/>
      <c r="OGL98" s="293"/>
      <c r="OGM98" s="293"/>
      <c r="OGN98" s="293"/>
      <c r="OGO98" s="293"/>
      <c r="OGP98" s="293"/>
      <c r="OGQ98" s="293"/>
      <c r="OGR98" s="293"/>
      <c r="OGS98" s="293"/>
      <c r="OGT98" s="293"/>
      <c r="OGU98" s="293"/>
      <c r="OGV98" s="293"/>
      <c r="OGW98" s="293"/>
      <c r="OGX98" s="293"/>
      <c r="OGY98" s="293"/>
      <c r="OGZ98" s="293"/>
      <c r="OHA98" s="293"/>
      <c r="OHB98" s="293"/>
      <c r="OHC98" s="293"/>
      <c r="OHD98" s="293"/>
      <c r="OHE98" s="293"/>
      <c r="OHF98" s="293"/>
      <c r="OHG98" s="293"/>
      <c r="OHH98" s="293"/>
      <c r="OHI98" s="293"/>
      <c r="OHJ98" s="293"/>
      <c r="OHK98" s="293"/>
      <c r="OHL98" s="293"/>
      <c r="OHM98" s="293"/>
      <c r="OHN98" s="293"/>
      <c r="OHO98" s="293"/>
      <c r="OHP98" s="293"/>
      <c r="OHQ98" s="293"/>
      <c r="OHR98" s="293"/>
      <c r="OHS98" s="293"/>
      <c r="OHT98" s="293"/>
      <c r="OHU98" s="293"/>
      <c r="OHV98" s="293"/>
      <c r="OHW98" s="293"/>
      <c r="OHX98" s="293"/>
      <c r="OHY98" s="293"/>
      <c r="OHZ98" s="293"/>
      <c r="OIA98" s="293"/>
      <c r="OIB98" s="293"/>
      <c r="OIC98" s="293"/>
      <c r="OID98" s="293"/>
      <c r="OIE98" s="293"/>
      <c r="OIF98" s="293"/>
      <c r="OIG98" s="293"/>
      <c r="OIH98" s="293"/>
      <c r="OII98" s="293"/>
      <c r="OIJ98" s="293"/>
      <c r="OIK98" s="293"/>
      <c r="OIL98" s="293"/>
      <c r="OIM98" s="293"/>
      <c r="OIN98" s="293"/>
      <c r="OIO98" s="293"/>
      <c r="OIP98" s="293"/>
      <c r="OIQ98" s="293"/>
      <c r="OIR98" s="293"/>
      <c r="OIS98" s="293"/>
      <c r="OIT98" s="293"/>
      <c r="OIU98" s="293"/>
      <c r="OIV98" s="293"/>
      <c r="OIW98" s="293"/>
      <c r="OIX98" s="293"/>
      <c r="OIY98" s="293"/>
      <c r="OIZ98" s="293"/>
      <c r="OJA98" s="293"/>
      <c r="OJB98" s="293"/>
      <c r="OJC98" s="293"/>
      <c r="OJD98" s="293"/>
      <c r="OJE98" s="293"/>
      <c r="OJF98" s="293"/>
      <c r="OJG98" s="293"/>
      <c r="OJH98" s="293"/>
      <c r="OJI98" s="293"/>
      <c r="OJJ98" s="293"/>
      <c r="OJK98" s="293"/>
      <c r="OJL98" s="293"/>
      <c r="OJM98" s="293"/>
      <c r="OJN98" s="293"/>
      <c r="OJO98" s="293"/>
      <c r="OJP98" s="293"/>
      <c r="OJQ98" s="293"/>
      <c r="OJR98" s="293"/>
      <c r="OJS98" s="293"/>
      <c r="OJT98" s="293"/>
      <c r="OJU98" s="293"/>
      <c r="OJV98" s="293"/>
      <c r="OJW98" s="293"/>
      <c r="OJX98" s="293"/>
      <c r="OJY98" s="293"/>
      <c r="OJZ98" s="293"/>
      <c r="OKA98" s="293"/>
      <c r="OKB98" s="293"/>
      <c r="OKC98" s="293"/>
      <c r="OKD98" s="293"/>
      <c r="OKE98" s="293"/>
      <c r="OKF98" s="293"/>
      <c r="OKG98" s="293"/>
      <c r="OKH98" s="293"/>
      <c r="OKI98" s="293"/>
      <c r="OKJ98" s="293"/>
      <c r="OKK98" s="293"/>
      <c r="OKL98" s="293"/>
      <c r="OKM98" s="293"/>
      <c r="OKN98" s="293"/>
      <c r="OKO98" s="293"/>
      <c r="OKP98" s="293"/>
      <c r="OKQ98" s="293"/>
      <c r="OKR98" s="293"/>
      <c r="OKS98" s="293"/>
      <c r="OKT98" s="293"/>
      <c r="OKU98" s="293"/>
      <c r="OKV98" s="293"/>
      <c r="OKW98" s="293"/>
      <c r="OKX98" s="293"/>
      <c r="OKY98" s="293"/>
      <c r="OKZ98" s="293"/>
      <c r="OLA98" s="293"/>
      <c r="OLB98" s="293"/>
      <c r="OLC98" s="293"/>
      <c r="OLD98" s="293"/>
      <c r="OLE98" s="293"/>
      <c r="OLF98" s="293"/>
      <c r="OLG98" s="293"/>
      <c r="OLH98" s="293"/>
      <c r="OLI98" s="293"/>
      <c r="OLJ98" s="293"/>
      <c r="OLK98" s="293"/>
      <c r="OLL98" s="293"/>
      <c r="OLM98" s="293"/>
      <c r="OLN98" s="293"/>
      <c r="OLO98" s="293"/>
      <c r="OLP98" s="293"/>
      <c r="OLQ98" s="293"/>
      <c r="OLR98" s="293"/>
      <c r="OLS98" s="293"/>
      <c r="OLT98" s="293"/>
      <c r="OLU98" s="293"/>
      <c r="OLV98" s="293"/>
      <c r="OLW98" s="293"/>
      <c r="OLX98" s="293"/>
      <c r="OLY98" s="293"/>
      <c r="OLZ98" s="293"/>
      <c r="OMA98" s="293"/>
      <c r="OMB98" s="293"/>
      <c r="OMC98" s="293"/>
      <c r="OMD98" s="293"/>
      <c r="OME98" s="293"/>
      <c r="OMF98" s="293"/>
      <c r="OMG98" s="293"/>
      <c r="OMH98" s="293"/>
      <c r="OMI98" s="293"/>
      <c r="OMJ98" s="293"/>
      <c r="OMK98" s="293"/>
      <c r="OML98" s="293"/>
      <c r="OMM98" s="293"/>
      <c r="OMN98" s="293"/>
      <c r="OMO98" s="293"/>
      <c r="OMP98" s="293"/>
      <c r="OMQ98" s="293"/>
      <c r="OMR98" s="293"/>
      <c r="OMS98" s="293"/>
      <c r="OMT98" s="293"/>
      <c r="OMU98" s="293"/>
      <c r="OMV98" s="293"/>
      <c r="OMW98" s="293"/>
      <c r="OMX98" s="293"/>
      <c r="OMY98" s="293"/>
      <c r="OMZ98" s="293"/>
      <c r="ONA98" s="293"/>
      <c r="ONB98" s="293"/>
      <c r="ONC98" s="293"/>
      <c r="OND98" s="293"/>
      <c r="ONE98" s="293"/>
      <c r="ONF98" s="293"/>
      <c r="ONG98" s="293"/>
      <c r="ONH98" s="293"/>
      <c r="ONI98" s="293"/>
      <c r="ONJ98" s="293"/>
      <c r="ONK98" s="293"/>
      <c r="ONL98" s="293"/>
      <c r="ONM98" s="293"/>
      <c r="ONN98" s="293"/>
      <c r="ONO98" s="293"/>
      <c r="ONP98" s="293"/>
      <c r="ONQ98" s="293"/>
      <c r="ONR98" s="293"/>
      <c r="ONS98" s="293"/>
      <c r="ONT98" s="293"/>
      <c r="ONU98" s="293"/>
      <c r="ONV98" s="293"/>
      <c r="ONW98" s="293"/>
      <c r="ONX98" s="293"/>
      <c r="ONY98" s="293"/>
      <c r="ONZ98" s="293"/>
      <c r="OOA98" s="293"/>
      <c r="OOB98" s="293"/>
      <c r="OOC98" s="293"/>
      <c r="OOD98" s="293"/>
      <c r="OOE98" s="293"/>
      <c r="OOF98" s="293"/>
      <c r="OOG98" s="293"/>
      <c r="OOH98" s="293"/>
      <c r="OOI98" s="293"/>
      <c r="OOJ98" s="293"/>
      <c r="OOK98" s="293"/>
      <c r="OOL98" s="293"/>
      <c r="OOM98" s="293"/>
      <c r="OON98" s="293"/>
      <c r="OOO98" s="293"/>
      <c r="OOP98" s="293"/>
      <c r="OOQ98" s="293"/>
      <c r="OOR98" s="293"/>
      <c r="OOS98" s="293"/>
      <c r="OOT98" s="293"/>
      <c r="OOU98" s="293"/>
      <c r="OOV98" s="293"/>
      <c r="OOW98" s="293"/>
      <c r="OOX98" s="293"/>
      <c r="OOY98" s="293"/>
      <c r="OOZ98" s="293"/>
      <c r="OPA98" s="293"/>
      <c r="OPB98" s="293"/>
      <c r="OPC98" s="293"/>
      <c r="OPD98" s="293"/>
      <c r="OPE98" s="293"/>
      <c r="OPF98" s="293"/>
      <c r="OPG98" s="293"/>
      <c r="OPH98" s="293"/>
      <c r="OPI98" s="293"/>
      <c r="OPJ98" s="293"/>
      <c r="OPK98" s="293"/>
      <c r="OPL98" s="293"/>
      <c r="OPM98" s="293"/>
      <c r="OPN98" s="293"/>
      <c r="OPO98" s="293"/>
      <c r="OPP98" s="293"/>
      <c r="OPQ98" s="293"/>
      <c r="OPR98" s="293"/>
      <c r="OPS98" s="293"/>
      <c r="OPT98" s="293"/>
      <c r="OPU98" s="293"/>
      <c r="OPV98" s="293"/>
      <c r="OPW98" s="293"/>
      <c r="OPX98" s="293"/>
      <c r="OPY98" s="293"/>
      <c r="OPZ98" s="293"/>
      <c r="OQA98" s="293"/>
      <c r="OQB98" s="293"/>
      <c r="OQC98" s="293"/>
      <c r="OQD98" s="293"/>
      <c r="OQE98" s="293"/>
      <c r="OQF98" s="293"/>
      <c r="OQG98" s="293"/>
      <c r="OQH98" s="293"/>
      <c r="OQI98" s="293"/>
      <c r="OQJ98" s="293"/>
      <c r="OQK98" s="293"/>
      <c r="OQL98" s="293"/>
      <c r="OQM98" s="293"/>
      <c r="OQN98" s="293"/>
      <c r="OQO98" s="293"/>
      <c r="OQP98" s="293"/>
      <c r="OQQ98" s="293"/>
      <c r="OQR98" s="293"/>
      <c r="OQS98" s="293"/>
      <c r="OQT98" s="293"/>
      <c r="OQU98" s="293"/>
      <c r="OQV98" s="293"/>
      <c r="OQW98" s="293"/>
      <c r="OQX98" s="293"/>
      <c r="OQY98" s="293"/>
      <c r="OQZ98" s="293"/>
      <c r="ORA98" s="293"/>
      <c r="ORB98" s="293"/>
      <c r="ORC98" s="293"/>
      <c r="ORD98" s="293"/>
      <c r="ORE98" s="293"/>
      <c r="ORF98" s="293"/>
      <c r="ORG98" s="293"/>
      <c r="ORH98" s="293"/>
      <c r="ORI98" s="293"/>
      <c r="ORJ98" s="293"/>
      <c r="ORK98" s="293"/>
      <c r="ORL98" s="293"/>
      <c r="ORM98" s="293"/>
      <c r="ORN98" s="293"/>
      <c r="ORO98" s="293"/>
      <c r="ORP98" s="293"/>
      <c r="ORQ98" s="293"/>
      <c r="ORR98" s="293"/>
      <c r="ORS98" s="293"/>
      <c r="ORT98" s="293"/>
      <c r="ORU98" s="293"/>
      <c r="ORV98" s="293"/>
      <c r="ORW98" s="293"/>
      <c r="ORX98" s="293"/>
      <c r="ORY98" s="293"/>
      <c r="ORZ98" s="293"/>
      <c r="OSA98" s="293"/>
      <c r="OSB98" s="293"/>
      <c r="OSC98" s="293"/>
      <c r="OSD98" s="293"/>
      <c r="OSE98" s="293"/>
      <c r="OSF98" s="293"/>
      <c r="OSG98" s="293"/>
      <c r="OSH98" s="293"/>
      <c r="OSI98" s="293"/>
      <c r="OSJ98" s="293"/>
      <c r="OSK98" s="293"/>
      <c r="OSL98" s="293"/>
      <c r="OSM98" s="293"/>
      <c r="OSN98" s="293"/>
      <c r="OSO98" s="293"/>
      <c r="OSP98" s="293"/>
      <c r="OSQ98" s="293"/>
      <c r="OSR98" s="293"/>
      <c r="OSS98" s="293"/>
      <c r="OST98" s="293"/>
      <c r="OSU98" s="293"/>
      <c r="OSV98" s="293"/>
      <c r="OSW98" s="293"/>
      <c r="OSX98" s="293"/>
      <c r="OSY98" s="293"/>
      <c r="OSZ98" s="293"/>
      <c r="OTA98" s="293"/>
      <c r="OTB98" s="293"/>
      <c r="OTC98" s="293"/>
      <c r="OTD98" s="293"/>
      <c r="OTE98" s="293"/>
      <c r="OTF98" s="293"/>
      <c r="OTG98" s="293"/>
      <c r="OTH98" s="293"/>
      <c r="OTI98" s="293"/>
      <c r="OTJ98" s="293"/>
      <c r="OTK98" s="293"/>
      <c r="OTL98" s="293"/>
      <c r="OTM98" s="293"/>
      <c r="OTN98" s="293"/>
      <c r="OTO98" s="293"/>
      <c r="OTP98" s="293"/>
      <c r="OTQ98" s="293"/>
      <c r="OTR98" s="293"/>
      <c r="OTS98" s="293"/>
      <c r="OTT98" s="293"/>
      <c r="OTU98" s="293"/>
      <c r="OTV98" s="293"/>
      <c r="OTW98" s="293"/>
      <c r="OTX98" s="293"/>
      <c r="OTY98" s="293"/>
      <c r="OTZ98" s="293"/>
      <c r="OUA98" s="293"/>
      <c r="OUB98" s="293"/>
      <c r="OUC98" s="293"/>
      <c r="OUD98" s="293"/>
      <c r="OUE98" s="293"/>
      <c r="OUF98" s="293"/>
      <c r="OUG98" s="293"/>
      <c r="OUH98" s="293"/>
      <c r="OUI98" s="293"/>
      <c r="OUJ98" s="293"/>
      <c r="OUK98" s="293"/>
      <c r="OUL98" s="293"/>
      <c r="OUM98" s="293"/>
      <c r="OUN98" s="293"/>
      <c r="OUO98" s="293"/>
      <c r="OUP98" s="293"/>
      <c r="OUQ98" s="293"/>
      <c r="OUR98" s="293"/>
      <c r="OUS98" s="293"/>
      <c r="OUT98" s="293"/>
      <c r="OUU98" s="293"/>
      <c r="OUV98" s="293"/>
      <c r="OUW98" s="293"/>
      <c r="OUX98" s="293"/>
      <c r="OUY98" s="293"/>
      <c r="OUZ98" s="293"/>
      <c r="OVA98" s="293"/>
      <c r="OVB98" s="293"/>
      <c r="OVC98" s="293"/>
      <c r="OVD98" s="293"/>
      <c r="OVE98" s="293"/>
      <c r="OVF98" s="293"/>
      <c r="OVG98" s="293"/>
      <c r="OVH98" s="293"/>
      <c r="OVI98" s="293"/>
      <c r="OVJ98" s="293"/>
      <c r="OVK98" s="293"/>
      <c r="OVL98" s="293"/>
      <c r="OVM98" s="293"/>
      <c r="OVN98" s="293"/>
      <c r="OVO98" s="293"/>
      <c r="OVP98" s="293"/>
      <c r="OVQ98" s="293"/>
      <c r="OVR98" s="293"/>
      <c r="OVS98" s="293"/>
      <c r="OVT98" s="293"/>
      <c r="OVU98" s="293"/>
      <c r="OVV98" s="293"/>
      <c r="OVW98" s="293"/>
      <c r="OVX98" s="293"/>
      <c r="OVY98" s="293"/>
      <c r="OVZ98" s="293"/>
      <c r="OWA98" s="293"/>
      <c r="OWB98" s="293"/>
      <c r="OWC98" s="293"/>
      <c r="OWD98" s="293"/>
      <c r="OWE98" s="293"/>
      <c r="OWF98" s="293"/>
      <c r="OWG98" s="293"/>
      <c r="OWH98" s="293"/>
      <c r="OWI98" s="293"/>
      <c r="OWJ98" s="293"/>
      <c r="OWK98" s="293"/>
      <c r="OWL98" s="293"/>
      <c r="OWM98" s="293"/>
      <c r="OWN98" s="293"/>
      <c r="OWO98" s="293"/>
      <c r="OWP98" s="293"/>
      <c r="OWQ98" s="293"/>
      <c r="OWR98" s="293"/>
      <c r="OWS98" s="293"/>
      <c r="OWT98" s="293"/>
      <c r="OWU98" s="293"/>
      <c r="OWV98" s="293"/>
      <c r="OWW98" s="293"/>
      <c r="OWX98" s="293"/>
      <c r="OWY98" s="293"/>
      <c r="OWZ98" s="293"/>
      <c r="OXA98" s="293"/>
      <c r="OXB98" s="293"/>
      <c r="OXC98" s="293"/>
      <c r="OXD98" s="293"/>
      <c r="OXE98" s="293"/>
      <c r="OXF98" s="293"/>
      <c r="OXG98" s="293"/>
      <c r="OXH98" s="293"/>
      <c r="OXI98" s="293"/>
      <c r="OXJ98" s="293"/>
      <c r="OXK98" s="293"/>
      <c r="OXL98" s="293"/>
      <c r="OXM98" s="293"/>
      <c r="OXN98" s="293"/>
      <c r="OXO98" s="293"/>
      <c r="OXP98" s="293"/>
      <c r="OXQ98" s="293"/>
      <c r="OXR98" s="293"/>
      <c r="OXS98" s="293"/>
      <c r="OXT98" s="293"/>
      <c r="OXU98" s="293"/>
      <c r="OXV98" s="293"/>
      <c r="OXW98" s="293"/>
      <c r="OXX98" s="293"/>
      <c r="OXY98" s="293"/>
      <c r="OXZ98" s="293"/>
      <c r="OYA98" s="293"/>
      <c r="OYB98" s="293"/>
      <c r="OYC98" s="293"/>
      <c r="OYD98" s="293"/>
      <c r="OYE98" s="293"/>
      <c r="OYF98" s="293"/>
      <c r="OYG98" s="293"/>
      <c r="OYH98" s="293"/>
      <c r="OYI98" s="293"/>
      <c r="OYJ98" s="293"/>
      <c r="OYK98" s="293"/>
      <c r="OYL98" s="293"/>
      <c r="OYM98" s="293"/>
      <c r="OYN98" s="293"/>
      <c r="OYO98" s="293"/>
      <c r="OYP98" s="293"/>
      <c r="OYQ98" s="293"/>
      <c r="OYR98" s="293"/>
      <c r="OYS98" s="293"/>
      <c r="OYT98" s="293"/>
      <c r="OYU98" s="293"/>
      <c r="OYV98" s="293"/>
      <c r="OYW98" s="293"/>
      <c r="OYX98" s="293"/>
      <c r="OYY98" s="293"/>
      <c r="OYZ98" s="293"/>
      <c r="OZA98" s="293"/>
      <c r="OZB98" s="293"/>
      <c r="OZC98" s="293"/>
      <c r="OZD98" s="293"/>
      <c r="OZE98" s="293"/>
      <c r="OZF98" s="293"/>
      <c r="OZG98" s="293"/>
      <c r="OZH98" s="293"/>
      <c r="OZI98" s="293"/>
      <c r="OZJ98" s="293"/>
      <c r="OZK98" s="293"/>
      <c r="OZL98" s="293"/>
      <c r="OZM98" s="293"/>
      <c r="OZN98" s="293"/>
      <c r="OZO98" s="293"/>
      <c r="OZP98" s="293"/>
      <c r="OZQ98" s="293"/>
      <c r="OZR98" s="293"/>
      <c r="OZS98" s="293"/>
      <c r="OZT98" s="293"/>
      <c r="OZU98" s="293"/>
      <c r="OZV98" s="293"/>
      <c r="OZW98" s="293"/>
      <c r="OZX98" s="293"/>
      <c r="OZY98" s="293"/>
      <c r="OZZ98" s="293"/>
      <c r="PAA98" s="293"/>
      <c r="PAB98" s="293"/>
      <c r="PAC98" s="293"/>
      <c r="PAD98" s="293"/>
      <c r="PAE98" s="293"/>
      <c r="PAF98" s="293"/>
      <c r="PAG98" s="293"/>
      <c r="PAH98" s="293"/>
      <c r="PAI98" s="293"/>
      <c r="PAJ98" s="293"/>
      <c r="PAK98" s="293"/>
      <c r="PAL98" s="293"/>
      <c r="PAM98" s="293"/>
      <c r="PAN98" s="293"/>
      <c r="PAO98" s="293"/>
      <c r="PAP98" s="293"/>
      <c r="PAQ98" s="293"/>
      <c r="PAR98" s="293"/>
      <c r="PAS98" s="293"/>
      <c r="PAT98" s="293"/>
      <c r="PAU98" s="293"/>
      <c r="PAV98" s="293"/>
      <c r="PAW98" s="293"/>
      <c r="PAX98" s="293"/>
      <c r="PAY98" s="293"/>
      <c r="PAZ98" s="293"/>
      <c r="PBA98" s="293"/>
      <c r="PBB98" s="293"/>
      <c r="PBC98" s="293"/>
      <c r="PBD98" s="293"/>
      <c r="PBE98" s="293"/>
      <c r="PBF98" s="293"/>
      <c r="PBG98" s="293"/>
      <c r="PBH98" s="293"/>
      <c r="PBI98" s="293"/>
      <c r="PBJ98" s="293"/>
      <c r="PBK98" s="293"/>
      <c r="PBL98" s="293"/>
      <c r="PBM98" s="293"/>
      <c r="PBN98" s="293"/>
      <c r="PBO98" s="293"/>
      <c r="PBP98" s="293"/>
      <c r="PBQ98" s="293"/>
      <c r="PBR98" s="293"/>
      <c r="PBS98" s="293"/>
      <c r="PBT98" s="293"/>
      <c r="PBU98" s="293"/>
      <c r="PBV98" s="293"/>
      <c r="PBW98" s="293"/>
      <c r="PBX98" s="293"/>
      <c r="PBY98" s="293"/>
      <c r="PBZ98" s="293"/>
      <c r="PCA98" s="293"/>
      <c r="PCB98" s="293"/>
      <c r="PCC98" s="293"/>
      <c r="PCD98" s="293"/>
      <c r="PCE98" s="293"/>
      <c r="PCF98" s="293"/>
      <c r="PCG98" s="293"/>
      <c r="PCH98" s="293"/>
      <c r="PCI98" s="293"/>
      <c r="PCJ98" s="293"/>
      <c r="PCK98" s="293"/>
      <c r="PCL98" s="293"/>
      <c r="PCM98" s="293"/>
      <c r="PCN98" s="293"/>
      <c r="PCO98" s="293"/>
      <c r="PCP98" s="293"/>
      <c r="PCQ98" s="293"/>
      <c r="PCR98" s="293"/>
      <c r="PCS98" s="293"/>
      <c r="PCT98" s="293"/>
      <c r="PCU98" s="293"/>
      <c r="PCV98" s="293"/>
      <c r="PCW98" s="293"/>
      <c r="PCX98" s="293"/>
      <c r="PCY98" s="293"/>
      <c r="PCZ98" s="293"/>
      <c r="PDA98" s="293"/>
      <c r="PDB98" s="293"/>
      <c r="PDC98" s="293"/>
      <c r="PDD98" s="293"/>
      <c r="PDE98" s="293"/>
      <c r="PDF98" s="293"/>
      <c r="PDG98" s="293"/>
      <c r="PDH98" s="293"/>
      <c r="PDI98" s="293"/>
      <c r="PDJ98" s="293"/>
      <c r="PDK98" s="293"/>
      <c r="PDL98" s="293"/>
      <c r="PDM98" s="293"/>
      <c r="PDN98" s="293"/>
      <c r="PDO98" s="293"/>
      <c r="PDP98" s="293"/>
      <c r="PDQ98" s="293"/>
      <c r="PDR98" s="293"/>
      <c r="PDS98" s="293"/>
      <c r="PDT98" s="293"/>
      <c r="PDU98" s="293"/>
      <c r="PDV98" s="293"/>
      <c r="PDW98" s="293"/>
      <c r="PDX98" s="293"/>
      <c r="PDY98" s="293"/>
      <c r="PDZ98" s="293"/>
      <c r="PEA98" s="293"/>
      <c r="PEB98" s="293"/>
      <c r="PEC98" s="293"/>
      <c r="PED98" s="293"/>
      <c r="PEE98" s="293"/>
      <c r="PEF98" s="293"/>
      <c r="PEG98" s="293"/>
      <c r="PEH98" s="293"/>
      <c r="PEI98" s="293"/>
      <c r="PEJ98" s="293"/>
      <c r="PEK98" s="293"/>
      <c r="PEL98" s="293"/>
      <c r="PEM98" s="293"/>
      <c r="PEN98" s="293"/>
      <c r="PEO98" s="293"/>
      <c r="PEP98" s="293"/>
      <c r="PEQ98" s="293"/>
      <c r="PER98" s="293"/>
      <c r="PES98" s="293"/>
      <c r="PET98" s="293"/>
      <c r="PEU98" s="293"/>
      <c r="PEV98" s="293"/>
      <c r="PEW98" s="293"/>
      <c r="PEX98" s="293"/>
      <c r="PEY98" s="293"/>
      <c r="PEZ98" s="293"/>
      <c r="PFA98" s="293"/>
      <c r="PFB98" s="293"/>
      <c r="PFC98" s="293"/>
      <c r="PFD98" s="293"/>
      <c r="PFE98" s="293"/>
      <c r="PFF98" s="293"/>
      <c r="PFG98" s="293"/>
      <c r="PFH98" s="293"/>
      <c r="PFI98" s="293"/>
      <c r="PFJ98" s="293"/>
      <c r="PFK98" s="293"/>
      <c r="PFL98" s="293"/>
      <c r="PFM98" s="293"/>
      <c r="PFN98" s="293"/>
      <c r="PFO98" s="293"/>
      <c r="PFP98" s="293"/>
      <c r="PFQ98" s="293"/>
      <c r="PFR98" s="293"/>
      <c r="PFS98" s="293"/>
      <c r="PFT98" s="293"/>
      <c r="PFU98" s="293"/>
      <c r="PFV98" s="293"/>
      <c r="PFW98" s="293"/>
      <c r="PFX98" s="293"/>
      <c r="PFY98" s="293"/>
      <c r="PFZ98" s="293"/>
      <c r="PGA98" s="293"/>
      <c r="PGB98" s="293"/>
      <c r="PGC98" s="293"/>
      <c r="PGD98" s="293"/>
      <c r="PGE98" s="293"/>
      <c r="PGF98" s="293"/>
      <c r="PGG98" s="293"/>
      <c r="PGH98" s="293"/>
      <c r="PGI98" s="293"/>
      <c r="PGJ98" s="293"/>
      <c r="PGK98" s="293"/>
      <c r="PGL98" s="293"/>
      <c r="PGM98" s="293"/>
      <c r="PGN98" s="293"/>
      <c r="PGO98" s="293"/>
      <c r="PGP98" s="293"/>
      <c r="PGQ98" s="293"/>
      <c r="PGR98" s="293"/>
      <c r="PGS98" s="293"/>
      <c r="PGT98" s="293"/>
      <c r="PGU98" s="293"/>
      <c r="PGV98" s="293"/>
      <c r="PGW98" s="293"/>
      <c r="PGX98" s="293"/>
      <c r="PGY98" s="293"/>
      <c r="PGZ98" s="293"/>
      <c r="PHA98" s="293"/>
      <c r="PHB98" s="293"/>
      <c r="PHC98" s="293"/>
      <c r="PHD98" s="293"/>
      <c r="PHE98" s="293"/>
      <c r="PHF98" s="293"/>
      <c r="PHG98" s="293"/>
      <c r="PHH98" s="293"/>
      <c r="PHI98" s="293"/>
      <c r="PHJ98" s="293"/>
      <c r="PHK98" s="293"/>
      <c r="PHL98" s="293"/>
      <c r="PHM98" s="293"/>
      <c r="PHN98" s="293"/>
      <c r="PHO98" s="293"/>
      <c r="PHP98" s="293"/>
      <c r="PHQ98" s="293"/>
      <c r="PHR98" s="293"/>
      <c r="PHS98" s="293"/>
      <c r="PHT98" s="293"/>
      <c r="PHU98" s="293"/>
      <c r="PHV98" s="293"/>
      <c r="PHW98" s="293"/>
      <c r="PHX98" s="293"/>
      <c r="PHY98" s="293"/>
      <c r="PHZ98" s="293"/>
      <c r="PIA98" s="293"/>
      <c r="PIB98" s="293"/>
      <c r="PIC98" s="293"/>
      <c r="PID98" s="293"/>
      <c r="PIE98" s="293"/>
      <c r="PIF98" s="293"/>
      <c r="PIG98" s="293"/>
      <c r="PIH98" s="293"/>
      <c r="PII98" s="293"/>
      <c r="PIJ98" s="293"/>
      <c r="PIK98" s="293"/>
      <c r="PIL98" s="293"/>
      <c r="PIM98" s="293"/>
      <c r="PIN98" s="293"/>
      <c r="PIO98" s="293"/>
      <c r="PIP98" s="293"/>
      <c r="PIQ98" s="293"/>
      <c r="PIR98" s="293"/>
      <c r="PIS98" s="293"/>
      <c r="PIT98" s="293"/>
      <c r="PIU98" s="293"/>
      <c r="PIV98" s="293"/>
      <c r="PIW98" s="293"/>
      <c r="PIX98" s="293"/>
      <c r="PIY98" s="293"/>
      <c r="PIZ98" s="293"/>
      <c r="PJA98" s="293"/>
      <c r="PJB98" s="293"/>
      <c r="PJC98" s="293"/>
      <c r="PJD98" s="293"/>
      <c r="PJE98" s="293"/>
      <c r="PJF98" s="293"/>
      <c r="PJG98" s="293"/>
      <c r="PJH98" s="293"/>
      <c r="PJI98" s="293"/>
      <c r="PJJ98" s="293"/>
      <c r="PJK98" s="293"/>
      <c r="PJL98" s="293"/>
      <c r="PJM98" s="293"/>
      <c r="PJN98" s="293"/>
      <c r="PJO98" s="293"/>
      <c r="PJP98" s="293"/>
      <c r="PJQ98" s="293"/>
      <c r="PJR98" s="293"/>
      <c r="PJS98" s="293"/>
      <c r="PJT98" s="293"/>
      <c r="PJU98" s="293"/>
      <c r="PJV98" s="293"/>
      <c r="PJW98" s="293"/>
      <c r="PJX98" s="293"/>
      <c r="PJY98" s="293"/>
      <c r="PJZ98" s="293"/>
      <c r="PKA98" s="293"/>
      <c r="PKB98" s="293"/>
      <c r="PKC98" s="293"/>
      <c r="PKD98" s="293"/>
      <c r="PKE98" s="293"/>
      <c r="PKF98" s="293"/>
      <c r="PKG98" s="293"/>
      <c r="PKH98" s="293"/>
      <c r="PKI98" s="293"/>
      <c r="PKJ98" s="293"/>
      <c r="PKK98" s="293"/>
      <c r="PKL98" s="293"/>
      <c r="PKM98" s="293"/>
      <c r="PKN98" s="293"/>
      <c r="PKO98" s="293"/>
      <c r="PKP98" s="293"/>
      <c r="PKQ98" s="293"/>
      <c r="PKR98" s="293"/>
      <c r="PKS98" s="293"/>
      <c r="PKT98" s="293"/>
      <c r="PKU98" s="293"/>
      <c r="PKV98" s="293"/>
      <c r="PKW98" s="293"/>
      <c r="PKX98" s="293"/>
      <c r="PKY98" s="293"/>
      <c r="PKZ98" s="293"/>
      <c r="PLA98" s="293"/>
      <c r="PLB98" s="293"/>
      <c r="PLC98" s="293"/>
      <c r="PLD98" s="293"/>
      <c r="PLE98" s="293"/>
      <c r="PLF98" s="293"/>
      <c r="PLG98" s="293"/>
      <c r="PLH98" s="293"/>
      <c r="PLI98" s="293"/>
      <c r="PLJ98" s="293"/>
      <c r="PLK98" s="293"/>
      <c r="PLL98" s="293"/>
      <c r="PLM98" s="293"/>
      <c r="PLN98" s="293"/>
      <c r="PLO98" s="293"/>
      <c r="PLP98" s="293"/>
      <c r="PLQ98" s="293"/>
      <c r="PLR98" s="293"/>
      <c r="PLS98" s="293"/>
      <c r="PLT98" s="293"/>
      <c r="PLU98" s="293"/>
      <c r="PLV98" s="293"/>
      <c r="PLW98" s="293"/>
      <c r="PLX98" s="293"/>
      <c r="PLY98" s="293"/>
      <c r="PLZ98" s="293"/>
      <c r="PMA98" s="293"/>
      <c r="PMB98" s="293"/>
      <c r="PMC98" s="293"/>
      <c r="PMD98" s="293"/>
      <c r="PME98" s="293"/>
      <c r="PMF98" s="293"/>
      <c r="PMG98" s="293"/>
      <c r="PMH98" s="293"/>
      <c r="PMI98" s="293"/>
      <c r="PMJ98" s="293"/>
      <c r="PMK98" s="293"/>
      <c r="PML98" s="293"/>
      <c r="PMM98" s="293"/>
      <c r="PMN98" s="293"/>
      <c r="PMO98" s="293"/>
      <c r="PMP98" s="293"/>
      <c r="PMQ98" s="293"/>
      <c r="PMR98" s="293"/>
      <c r="PMS98" s="293"/>
      <c r="PMT98" s="293"/>
      <c r="PMU98" s="293"/>
      <c r="PMV98" s="293"/>
      <c r="PMW98" s="293"/>
      <c r="PMX98" s="293"/>
      <c r="PMY98" s="293"/>
      <c r="PMZ98" s="293"/>
      <c r="PNA98" s="293"/>
      <c r="PNB98" s="293"/>
      <c r="PNC98" s="293"/>
      <c r="PND98" s="293"/>
      <c r="PNE98" s="293"/>
      <c r="PNF98" s="293"/>
      <c r="PNG98" s="293"/>
      <c r="PNH98" s="293"/>
      <c r="PNI98" s="293"/>
      <c r="PNJ98" s="293"/>
      <c r="PNK98" s="293"/>
      <c r="PNL98" s="293"/>
      <c r="PNM98" s="293"/>
      <c r="PNN98" s="293"/>
      <c r="PNO98" s="293"/>
      <c r="PNP98" s="293"/>
      <c r="PNQ98" s="293"/>
      <c r="PNR98" s="293"/>
      <c r="PNS98" s="293"/>
      <c r="PNT98" s="293"/>
      <c r="PNU98" s="293"/>
      <c r="PNV98" s="293"/>
      <c r="PNW98" s="293"/>
      <c r="PNX98" s="293"/>
      <c r="PNY98" s="293"/>
      <c r="PNZ98" s="293"/>
      <c r="POA98" s="293"/>
      <c r="POB98" s="293"/>
      <c r="POC98" s="293"/>
      <c r="POD98" s="293"/>
      <c r="POE98" s="293"/>
      <c r="POF98" s="293"/>
      <c r="POG98" s="293"/>
      <c r="POH98" s="293"/>
      <c r="POI98" s="293"/>
      <c r="POJ98" s="293"/>
      <c r="POK98" s="293"/>
      <c r="POL98" s="293"/>
      <c r="POM98" s="293"/>
      <c r="PON98" s="293"/>
      <c r="POO98" s="293"/>
      <c r="POP98" s="293"/>
      <c r="POQ98" s="293"/>
      <c r="POR98" s="293"/>
      <c r="POS98" s="293"/>
      <c r="POT98" s="293"/>
      <c r="POU98" s="293"/>
      <c r="POV98" s="293"/>
      <c r="POW98" s="293"/>
      <c r="POX98" s="293"/>
      <c r="POY98" s="293"/>
      <c r="POZ98" s="293"/>
      <c r="PPA98" s="293"/>
      <c r="PPB98" s="293"/>
      <c r="PPC98" s="293"/>
      <c r="PPD98" s="293"/>
      <c r="PPE98" s="293"/>
      <c r="PPF98" s="293"/>
      <c r="PPG98" s="293"/>
      <c r="PPH98" s="293"/>
      <c r="PPI98" s="293"/>
      <c r="PPJ98" s="293"/>
      <c r="PPK98" s="293"/>
      <c r="PPL98" s="293"/>
      <c r="PPM98" s="293"/>
      <c r="PPN98" s="293"/>
      <c r="PPO98" s="293"/>
      <c r="PPP98" s="293"/>
      <c r="PPQ98" s="293"/>
      <c r="PPR98" s="293"/>
      <c r="PPS98" s="293"/>
      <c r="PPT98" s="293"/>
      <c r="PPU98" s="293"/>
      <c r="PPV98" s="293"/>
      <c r="PPW98" s="293"/>
      <c r="PPX98" s="293"/>
      <c r="PPY98" s="293"/>
      <c r="PPZ98" s="293"/>
      <c r="PQA98" s="293"/>
      <c r="PQB98" s="293"/>
      <c r="PQC98" s="293"/>
      <c r="PQD98" s="293"/>
      <c r="PQE98" s="293"/>
      <c r="PQF98" s="293"/>
      <c r="PQG98" s="293"/>
      <c r="PQH98" s="293"/>
      <c r="PQI98" s="293"/>
      <c r="PQJ98" s="293"/>
      <c r="PQK98" s="293"/>
      <c r="PQL98" s="293"/>
      <c r="PQM98" s="293"/>
      <c r="PQN98" s="293"/>
      <c r="PQO98" s="293"/>
      <c r="PQP98" s="293"/>
      <c r="PQQ98" s="293"/>
      <c r="PQR98" s="293"/>
      <c r="PQS98" s="293"/>
      <c r="PQT98" s="293"/>
      <c r="PQU98" s="293"/>
      <c r="PQV98" s="293"/>
      <c r="PQW98" s="293"/>
      <c r="PQX98" s="293"/>
      <c r="PQY98" s="293"/>
      <c r="PQZ98" s="293"/>
      <c r="PRA98" s="293"/>
      <c r="PRB98" s="293"/>
      <c r="PRC98" s="293"/>
      <c r="PRD98" s="293"/>
      <c r="PRE98" s="293"/>
      <c r="PRF98" s="293"/>
      <c r="PRG98" s="293"/>
      <c r="PRH98" s="293"/>
      <c r="PRI98" s="293"/>
      <c r="PRJ98" s="293"/>
      <c r="PRK98" s="293"/>
      <c r="PRL98" s="293"/>
      <c r="PRM98" s="293"/>
      <c r="PRN98" s="293"/>
      <c r="PRO98" s="293"/>
      <c r="PRP98" s="293"/>
      <c r="PRQ98" s="293"/>
      <c r="PRR98" s="293"/>
      <c r="PRS98" s="293"/>
      <c r="PRT98" s="293"/>
      <c r="PRU98" s="293"/>
      <c r="PRV98" s="293"/>
      <c r="PRW98" s="293"/>
      <c r="PRX98" s="293"/>
      <c r="PRY98" s="293"/>
      <c r="PRZ98" s="293"/>
      <c r="PSA98" s="293"/>
      <c r="PSB98" s="293"/>
      <c r="PSC98" s="293"/>
      <c r="PSD98" s="293"/>
      <c r="PSE98" s="293"/>
      <c r="PSF98" s="293"/>
      <c r="PSG98" s="293"/>
      <c r="PSH98" s="293"/>
      <c r="PSI98" s="293"/>
      <c r="PSJ98" s="293"/>
      <c r="PSK98" s="293"/>
      <c r="PSL98" s="293"/>
      <c r="PSM98" s="293"/>
      <c r="PSN98" s="293"/>
      <c r="PSO98" s="293"/>
      <c r="PSP98" s="293"/>
      <c r="PSQ98" s="293"/>
      <c r="PSR98" s="293"/>
      <c r="PSS98" s="293"/>
      <c r="PST98" s="293"/>
      <c r="PSU98" s="293"/>
      <c r="PSV98" s="293"/>
      <c r="PSW98" s="293"/>
      <c r="PSX98" s="293"/>
      <c r="PSY98" s="293"/>
      <c r="PSZ98" s="293"/>
      <c r="PTA98" s="293"/>
      <c r="PTB98" s="293"/>
      <c r="PTC98" s="293"/>
      <c r="PTD98" s="293"/>
      <c r="PTE98" s="293"/>
      <c r="PTF98" s="293"/>
      <c r="PTG98" s="293"/>
      <c r="PTH98" s="293"/>
      <c r="PTI98" s="293"/>
      <c r="PTJ98" s="293"/>
      <c r="PTK98" s="293"/>
      <c r="PTL98" s="293"/>
      <c r="PTM98" s="293"/>
      <c r="PTN98" s="293"/>
      <c r="PTO98" s="293"/>
      <c r="PTP98" s="293"/>
      <c r="PTQ98" s="293"/>
      <c r="PTR98" s="293"/>
      <c r="PTS98" s="293"/>
      <c r="PTT98" s="293"/>
      <c r="PTU98" s="293"/>
      <c r="PTV98" s="293"/>
      <c r="PTW98" s="293"/>
      <c r="PTX98" s="293"/>
      <c r="PTY98" s="293"/>
      <c r="PTZ98" s="293"/>
      <c r="PUA98" s="293"/>
      <c r="PUB98" s="293"/>
      <c r="PUC98" s="293"/>
      <c r="PUD98" s="293"/>
      <c r="PUE98" s="293"/>
      <c r="PUF98" s="293"/>
      <c r="PUG98" s="293"/>
      <c r="PUH98" s="293"/>
      <c r="PUI98" s="293"/>
      <c r="PUJ98" s="293"/>
      <c r="PUK98" s="293"/>
      <c r="PUL98" s="293"/>
      <c r="PUM98" s="293"/>
      <c r="PUN98" s="293"/>
      <c r="PUO98" s="293"/>
      <c r="PUP98" s="293"/>
      <c r="PUQ98" s="293"/>
      <c r="PUR98" s="293"/>
      <c r="PUS98" s="293"/>
      <c r="PUT98" s="293"/>
      <c r="PUU98" s="293"/>
      <c r="PUV98" s="293"/>
      <c r="PUW98" s="293"/>
      <c r="PUX98" s="293"/>
      <c r="PUY98" s="293"/>
      <c r="PUZ98" s="293"/>
      <c r="PVA98" s="293"/>
      <c r="PVB98" s="293"/>
      <c r="PVC98" s="293"/>
      <c r="PVD98" s="293"/>
      <c r="PVE98" s="293"/>
      <c r="PVF98" s="293"/>
      <c r="PVG98" s="293"/>
      <c r="PVH98" s="293"/>
      <c r="PVI98" s="293"/>
      <c r="PVJ98" s="293"/>
      <c r="PVK98" s="293"/>
      <c r="PVL98" s="293"/>
      <c r="PVM98" s="293"/>
      <c r="PVN98" s="293"/>
      <c r="PVO98" s="293"/>
      <c r="PVP98" s="293"/>
      <c r="PVQ98" s="293"/>
      <c r="PVR98" s="293"/>
      <c r="PVS98" s="293"/>
      <c r="PVT98" s="293"/>
      <c r="PVU98" s="293"/>
      <c r="PVV98" s="293"/>
      <c r="PVW98" s="293"/>
      <c r="PVX98" s="293"/>
      <c r="PVY98" s="293"/>
      <c r="PVZ98" s="293"/>
      <c r="PWA98" s="293"/>
      <c r="PWB98" s="293"/>
      <c r="PWC98" s="293"/>
      <c r="PWD98" s="293"/>
      <c r="PWE98" s="293"/>
      <c r="PWF98" s="293"/>
      <c r="PWG98" s="293"/>
      <c r="PWH98" s="293"/>
      <c r="PWI98" s="293"/>
      <c r="PWJ98" s="293"/>
      <c r="PWK98" s="293"/>
      <c r="PWL98" s="293"/>
      <c r="PWM98" s="293"/>
      <c r="PWN98" s="293"/>
      <c r="PWO98" s="293"/>
      <c r="PWP98" s="293"/>
      <c r="PWQ98" s="293"/>
      <c r="PWR98" s="293"/>
      <c r="PWS98" s="293"/>
      <c r="PWT98" s="293"/>
      <c r="PWU98" s="293"/>
      <c r="PWV98" s="293"/>
      <c r="PWW98" s="293"/>
      <c r="PWX98" s="293"/>
      <c r="PWY98" s="293"/>
      <c r="PWZ98" s="293"/>
      <c r="PXA98" s="293"/>
      <c r="PXB98" s="293"/>
      <c r="PXC98" s="293"/>
      <c r="PXD98" s="293"/>
      <c r="PXE98" s="293"/>
      <c r="PXF98" s="293"/>
      <c r="PXG98" s="293"/>
      <c r="PXH98" s="293"/>
      <c r="PXI98" s="293"/>
      <c r="PXJ98" s="293"/>
      <c r="PXK98" s="293"/>
      <c r="PXL98" s="293"/>
      <c r="PXM98" s="293"/>
      <c r="PXN98" s="293"/>
      <c r="PXO98" s="293"/>
      <c r="PXP98" s="293"/>
      <c r="PXQ98" s="293"/>
      <c r="PXR98" s="293"/>
      <c r="PXS98" s="293"/>
      <c r="PXT98" s="293"/>
      <c r="PXU98" s="293"/>
      <c r="PXV98" s="293"/>
      <c r="PXW98" s="293"/>
      <c r="PXX98" s="293"/>
      <c r="PXY98" s="293"/>
      <c r="PXZ98" s="293"/>
      <c r="PYA98" s="293"/>
      <c r="PYB98" s="293"/>
      <c r="PYC98" s="293"/>
      <c r="PYD98" s="293"/>
      <c r="PYE98" s="293"/>
      <c r="PYF98" s="293"/>
      <c r="PYG98" s="293"/>
      <c r="PYH98" s="293"/>
      <c r="PYI98" s="293"/>
      <c r="PYJ98" s="293"/>
      <c r="PYK98" s="293"/>
      <c r="PYL98" s="293"/>
      <c r="PYM98" s="293"/>
      <c r="PYN98" s="293"/>
      <c r="PYO98" s="293"/>
      <c r="PYP98" s="293"/>
      <c r="PYQ98" s="293"/>
      <c r="PYR98" s="293"/>
      <c r="PYS98" s="293"/>
      <c r="PYT98" s="293"/>
      <c r="PYU98" s="293"/>
      <c r="PYV98" s="293"/>
      <c r="PYW98" s="293"/>
      <c r="PYX98" s="293"/>
      <c r="PYY98" s="293"/>
      <c r="PYZ98" s="293"/>
      <c r="PZA98" s="293"/>
      <c r="PZB98" s="293"/>
      <c r="PZC98" s="293"/>
      <c r="PZD98" s="293"/>
      <c r="PZE98" s="293"/>
      <c r="PZF98" s="293"/>
      <c r="PZG98" s="293"/>
      <c r="PZH98" s="293"/>
      <c r="PZI98" s="293"/>
      <c r="PZJ98" s="293"/>
      <c r="PZK98" s="293"/>
      <c r="PZL98" s="293"/>
      <c r="PZM98" s="293"/>
      <c r="PZN98" s="293"/>
      <c r="PZO98" s="293"/>
      <c r="PZP98" s="293"/>
      <c r="PZQ98" s="293"/>
      <c r="PZR98" s="293"/>
      <c r="PZS98" s="293"/>
      <c r="PZT98" s="293"/>
      <c r="PZU98" s="293"/>
      <c r="PZV98" s="293"/>
      <c r="PZW98" s="293"/>
      <c r="PZX98" s="293"/>
      <c r="PZY98" s="293"/>
      <c r="PZZ98" s="293"/>
      <c r="QAA98" s="293"/>
      <c r="QAB98" s="293"/>
      <c r="QAC98" s="293"/>
      <c r="QAD98" s="293"/>
      <c r="QAE98" s="293"/>
      <c r="QAF98" s="293"/>
      <c r="QAG98" s="293"/>
      <c r="QAH98" s="293"/>
      <c r="QAI98" s="293"/>
      <c r="QAJ98" s="293"/>
      <c r="QAK98" s="293"/>
      <c r="QAL98" s="293"/>
      <c r="QAM98" s="293"/>
      <c r="QAN98" s="293"/>
      <c r="QAO98" s="293"/>
      <c r="QAP98" s="293"/>
      <c r="QAQ98" s="293"/>
      <c r="QAR98" s="293"/>
      <c r="QAS98" s="293"/>
      <c r="QAT98" s="293"/>
      <c r="QAU98" s="293"/>
      <c r="QAV98" s="293"/>
      <c r="QAW98" s="293"/>
      <c r="QAX98" s="293"/>
      <c r="QAY98" s="293"/>
      <c r="QAZ98" s="293"/>
      <c r="QBA98" s="293"/>
      <c r="QBB98" s="293"/>
      <c r="QBC98" s="293"/>
      <c r="QBD98" s="293"/>
      <c r="QBE98" s="293"/>
      <c r="QBF98" s="293"/>
      <c r="QBG98" s="293"/>
      <c r="QBH98" s="293"/>
      <c r="QBI98" s="293"/>
      <c r="QBJ98" s="293"/>
      <c r="QBK98" s="293"/>
      <c r="QBL98" s="293"/>
      <c r="QBM98" s="293"/>
      <c r="QBN98" s="293"/>
      <c r="QBO98" s="293"/>
      <c r="QBP98" s="293"/>
      <c r="QBQ98" s="293"/>
      <c r="QBR98" s="293"/>
      <c r="QBS98" s="293"/>
      <c r="QBT98" s="293"/>
      <c r="QBU98" s="293"/>
      <c r="QBV98" s="293"/>
      <c r="QBW98" s="293"/>
      <c r="QBX98" s="293"/>
      <c r="QBY98" s="293"/>
      <c r="QBZ98" s="293"/>
      <c r="QCA98" s="293"/>
      <c r="QCB98" s="293"/>
      <c r="QCC98" s="293"/>
      <c r="QCD98" s="293"/>
      <c r="QCE98" s="293"/>
      <c r="QCF98" s="293"/>
      <c r="QCG98" s="293"/>
      <c r="QCH98" s="293"/>
      <c r="QCI98" s="293"/>
      <c r="QCJ98" s="293"/>
      <c r="QCK98" s="293"/>
      <c r="QCL98" s="293"/>
      <c r="QCM98" s="293"/>
      <c r="QCN98" s="293"/>
      <c r="QCO98" s="293"/>
      <c r="QCP98" s="293"/>
      <c r="QCQ98" s="293"/>
      <c r="QCR98" s="293"/>
      <c r="QCS98" s="293"/>
      <c r="QCT98" s="293"/>
      <c r="QCU98" s="293"/>
      <c r="QCV98" s="293"/>
      <c r="QCW98" s="293"/>
      <c r="QCX98" s="293"/>
      <c r="QCY98" s="293"/>
      <c r="QCZ98" s="293"/>
      <c r="QDA98" s="293"/>
      <c r="QDB98" s="293"/>
      <c r="QDC98" s="293"/>
      <c r="QDD98" s="293"/>
      <c r="QDE98" s="293"/>
      <c r="QDF98" s="293"/>
      <c r="QDG98" s="293"/>
      <c r="QDH98" s="293"/>
      <c r="QDI98" s="293"/>
      <c r="QDJ98" s="293"/>
      <c r="QDK98" s="293"/>
      <c r="QDL98" s="293"/>
      <c r="QDM98" s="293"/>
      <c r="QDN98" s="293"/>
      <c r="QDO98" s="293"/>
      <c r="QDP98" s="293"/>
      <c r="QDQ98" s="293"/>
      <c r="QDR98" s="293"/>
      <c r="QDS98" s="293"/>
      <c r="QDT98" s="293"/>
      <c r="QDU98" s="293"/>
      <c r="QDV98" s="293"/>
      <c r="QDW98" s="293"/>
      <c r="QDX98" s="293"/>
      <c r="QDY98" s="293"/>
      <c r="QDZ98" s="293"/>
      <c r="QEA98" s="293"/>
      <c r="QEB98" s="293"/>
      <c r="QEC98" s="293"/>
      <c r="QED98" s="293"/>
      <c r="QEE98" s="293"/>
      <c r="QEF98" s="293"/>
      <c r="QEG98" s="293"/>
      <c r="QEH98" s="293"/>
      <c r="QEI98" s="293"/>
      <c r="QEJ98" s="293"/>
      <c r="QEK98" s="293"/>
      <c r="QEL98" s="293"/>
      <c r="QEM98" s="293"/>
      <c r="QEN98" s="293"/>
      <c r="QEO98" s="293"/>
      <c r="QEP98" s="293"/>
      <c r="QEQ98" s="293"/>
      <c r="QER98" s="293"/>
      <c r="QES98" s="293"/>
      <c r="QET98" s="293"/>
      <c r="QEU98" s="293"/>
      <c r="QEV98" s="293"/>
      <c r="QEW98" s="293"/>
      <c r="QEX98" s="293"/>
      <c r="QEY98" s="293"/>
      <c r="QEZ98" s="293"/>
      <c r="QFA98" s="293"/>
      <c r="QFB98" s="293"/>
      <c r="QFC98" s="293"/>
      <c r="QFD98" s="293"/>
      <c r="QFE98" s="293"/>
      <c r="QFF98" s="293"/>
      <c r="QFG98" s="293"/>
      <c r="QFH98" s="293"/>
      <c r="QFI98" s="293"/>
      <c r="QFJ98" s="293"/>
      <c r="QFK98" s="293"/>
      <c r="QFL98" s="293"/>
      <c r="QFM98" s="293"/>
      <c r="QFN98" s="293"/>
      <c r="QFO98" s="293"/>
      <c r="QFP98" s="293"/>
      <c r="QFQ98" s="293"/>
      <c r="QFR98" s="293"/>
      <c r="QFS98" s="293"/>
      <c r="QFT98" s="293"/>
      <c r="QFU98" s="293"/>
      <c r="QFV98" s="293"/>
      <c r="QFW98" s="293"/>
      <c r="QFX98" s="293"/>
      <c r="QFY98" s="293"/>
      <c r="QFZ98" s="293"/>
      <c r="QGA98" s="293"/>
      <c r="QGB98" s="293"/>
      <c r="QGC98" s="293"/>
      <c r="QGD98" s="293"/>
      <c r="QGE98" s="293"/>
      <c r="QGF98" s="293"/>
      <c r="QGG98" s="293"/>
      <c r="QGH98" s="293"/>
      <c r="QGI98" s="293"/>
      <c r="QGJ98" s="293"/>
      <c r="QGK98" s="293"/>
      <c r="QGL98" s="293"/>
      <c r="QGM98" s="293"/>
      <c r="QGN98" s="293"/>
      <c r="QGO98" s="293"/>
      <c r="QGP98" s="293"/>
      <c r="QGQ98" s="293"/>
      <c r="QGR98" s="293"/>
      <c r="QGS98" s="293"/>
      <c r="QGT98" s="293"/>
      <c r="QGU98" s="293"/>
      <c r="QGV98" s="293"/>
      <c r="QGW98" s="293"/>
      <c r="QGX98" s="293"/>
      <c r="QGY98" s="293"/>
      <c r="QGZ98" s="293"/>
      <c r="QHA98" s="293"/>
      <c r="QHB98" s="293"/>
      <c r="QHC98" s="293"/>
      <c r="QHD98" s="293"/>
      <c r="QHE98" s="293"/>
      <c r="QHF98" s="293"/>
      <c r="QHG98" s="293"/>
      <c r="QHH98" s="293"/>
      <c r="QHI98" s="293"/>
      <c r="QHJ98" s="293"/>
      <c r="QHK98" s="293"/>
      <c r="QHL98" s="293"/>
      <c r="QHM98" s="293"/>
      <c r="QHN98" s="293"/>
      <c r="QHO98" s="293"/>
      <c r="QHP98" s="293"/>
      <c r="QHQ98" s="293"/>
      <c r="QHR98" s="293"/>
      <c r="QHS98" s="293"/>
      <c r="QHT98" s="293"/>
      <c r="QHU98" s="293"/>
      <c r="QHV98" s="293"/>
      <c r="QHW98" s="293"/>
      <c r="QHX98" s="293"/>
      <c r="QHY98" s="293"/>
      <c r="QHZ98" s="293"/>
      <c r="QIA98" s="293"/>
      <c r="QIB98" s="293"/>
      <c r="QIC98" s="293"/>
      <c r="QID98" s="293"/>
      <c r="QIE98" s="293"/>
      <c r="QIF98" s="293"/>
      <c r="QIG98" s="293"/>
      <c r="QIH98" s="293"/>
      <c r="QII98" s="293"/>
      <c r="QIJ98" s="293"/>
      <c r="QIK98" s="293"/>
      <c r="QIL98" s="293"/>
      <c r="QIM98" s="293"/>
      <c r="QIN98" s="293"/>
      <c r="QIO98" s="293"/>
      <c r="QIP98" s="293"/>
      <c r="QIQ98" s="293"/>
      <c r="QIR98" s="293"/>
      <c r="QIS98" s="293"/>
      <c r="QIT98" s="293"/>
      <c r="QIU98" s="293"/>
      <c r="QIV98" s="293"/>
      <c r="QIW98" s="293"/>
      <c r="QIX98" s="293"/>
      <c r="QIY98" s="293"/>
      <c r="QIZ98" s="293"/>
      <c r="QJA98" s="293"/>
      <c r="QJB98" s="293"/>
      <c r="QJC98" s="293"/>
      <c r="QJD98" s="293"/>
      <c r="QJE98" s="293"/>
      <c r="QJF98" s="293"/>
      <c r="QJG98" s="293"/>
      <c r="QJH98" s="293"/>
      <c r="QJI98" s="293"/>
      <c r="QJJ98" s="293"/>
      <c r="QJK98" s="293"/>
      <c r="QJL98" s="293"/>
      <c r="QJM98" s="293"/>
      <c r="QJN98" s="293"/>
      <c r="QJO98" s="293"/>
      <c r="QJP98" s="293"/>
      <c r="QJQ98" s="293"/>
      <c r="QJR98" s="293"/>
      <c r="QJS98" s="293"/>
      <c r="QJT98" s="293"/>
      <c r="QJU98" s="293"/>
      <c r="QJV98" s="293"/>
      <c r="QJW98" s="293"/>
      <c r="QJX98" s="293"/>
      <c r="QJY98" s="293"/>
      <c r="QJZ98" s="293"/>
      <c r="QKA98" s="293"/>
      <c r="QKB98" s="293"/>
      <c r="QKC98" s="293"/>
      <c r="QKD98" s="293"/>
      <c r="QKE98" s="293"/>
      <c r="QKF98" s="293"/>
      <c r="QKG98" s="293"/>
      <c r="QKH98" s="293"/>
      <c r="QKI98" s="293"/>
      <c r="QKJ98" s="293"/>
      <c r="QKK98" s="293"/>
      <c r="QKL98" s="293"/>
      <c r="QKM98" s="293"/>
      <c r="QKN98" s="293"/>
      <c r="QKO98" s="293"/>
      <c r="QKP98" s="293"/>
      <c r="QKQ98" s="293"/>
      <c r="QKR98" s="293"/>
      <c r="QKS98" s="293"/>
      <c r="QKT98" s="293"/>
      <c r="QKU98" s="293"/>
      <c r="QKV98" s="293"/>
      <c r="QKW98" s="293"/>
      <c r="QKX98" s="293"/>
      <c r="QKY98" s="293"/>
      <c r="QKZ98" s="293"/>
      <c r="QLA98" s="293"/>
      <c r="QLB98" s="293"/>
      <c r="QLC98" s="293"/>
      <c r="QLD98" s="293"/>
      <c r="QLE98" s="293"/>
      <c r="QLF98" s="293"/>
      <c r="QLG98" s="293"/>
      <c r="QLH98" s="293"/>
      <c r="QLI98" s="293"/>
      <c r="QLJ98" s="293"/>
      <c r="QLK98" s="293"/>
      <c r="QLL98" s="293"/>
      <c r="QLM98" s="293"/>
      <c r="QLN98" s="293"/>
      <c r="QLO98" s="293"/>
      <c r="QLP98" s="293"/>
      <c r="QLQ98" s="293"/>
      <c r="QLR98" s="293"/>
      <c r="QLS98" s="293"/>
      <c r="QLT98" s="293"/>
      <c r="QLU98" s="293"/>
      <c r="QLV98" s="293"/>
      <c r="QLW98" s="293"/>
      <c r="QLX98" s="293"/>
      <c r="QLY98" s="293"/>
      <c r="QLZ98" s="293"/>
      <c r="QMA98" s="293"/>
      <c r="QMB98" s="293"/>
      <c r="QMC98" s="293"/>
      <c r="QMD98" s="293"/>
      <c r="QME98" s="293"/>
      <c r="QMF98" s="293"/>
      <c r="QMG98" s="293"/>
      <c r="QMH98" s="293"/>
      <c r="QMI98" s="293"/>
      <c r="QMJ98" s="293"/>
      <c r="QMK98" s="293"/>
      <c r="QML98" s="293"/>
      <c r="QMM98" s="293"/>
      <c r="QMN98" s="293"/>
      <c r="QMO98" s="293"/>
      <c r="QMP98" s="293"/>
      <c r="QMQ98" s="293"/>
      <c r="QMR98" s="293"/>
      <c r="QMS98" s="293"/>
      <c r="QMT98" s="293"/>
      <c r="QMU98" s="293"/>
      <c r="QMV98" s="293"/>
      <c r="QMW98" s="293"/>
      <c r="QMX98" s="293"/>
      <c r="QMY98" s="293"/>
      <c r="QMZ98" s="293"/>
      <c r="QNA98" s="293"/>
      <c r="QNB98" s="293"/>
      <c r="QNC98" s="293"/>
      <c r="QND98" s="293"/>
      <c r="QNE98" s="293"/>
      <c r="QNF98" s="293"/>
      <c r="QNG98" s="293"/>
      <c r="QNH98" s="293"/>
      <c r="QNI98" s="293"/>
      <c r="QNJ98" s="293"/>
      <c r="QNK98" s="293"/>
      <c r="QNL98" s="293"/>
      <c r="QNM98" s="293"/>
      <c r="QNN98" s="293"/>
      <c r="QNO98" s="293"/>
      <c r="QNP98" s="293"/>
      <c r="QNQ98" s="293"/>
      <c r="QNR98" s="293"/>
      <c r="QNS98" s="293"/>
      <c r="QNT98" s="293"/>
      <c r="QNU98" s="293"/>
      <c r="QNV98" s="293"/>
      <c r="QNW98" s="293"/>
      <c r="QNX98" s="293"/>
      <c r="QNY98" s="293"/>
      <c r="QNZ98" s="293"/>
      <c r="QOA98" s="293"/>
      <c r="QOB98" s="293"/>
      <c r="QOC98" s="293"/>
      <c r="QOD98" s="293"/>
      <c r="QOE98" s="293"/>
      <c r="QOF98" s="293"/>
      <c r="QOG98" s="293"/>
      <c r="QOH98" s="293"/>
      <c r="QOI98" s="293"/>
      <c r="QOJ98" s="293"/>
      <c r="QOK98" s="293"/>
      <c r="QOL98" s="293"/>
      <c r="QOM98" s="293"/>
      <c r="QON98" s="293"/>
      <c r="QOO98" s="293"/>
      <c r="QOP98" s="293"/>
      <c r="QOQ98" s="293"/>
      <c r="QOR98" s="293"/>
      <c r="QOS98" s="293"/>
      <c r="QOT98" s="293"/>
      <c r="QOU98" s="293"/>
      <c r="QOV98" s="293"/>
      <c r="QOW98" s="293"/>
      <c r="QOX98" s="293"/>
      <c r="QOY98" s="293"/>
      <c r="QOZ98" s="293"/>
      <c r="QPA98" s="293"/>
      <c r="QPB98" s="293"/>
      <c r="QPC98" s="293"/>
      <c r="QPD98" s="293"/>
      <c r="QPE98" s="293"/>
      <c r="QPF98" s="293"/>
      <c r="QPG98" s="293"/>
      <c r="QPH98" s="293"/>
      <c r="QPI98" s="293"/>
      <c r="QPJ98" s="293"/>
      <c r="QPK98" s="293"/>
      <c r="QPL98" s="293"/>
      <c r="QPM98" s="293"/>
      <c r="QPN98" s="293"/>
      <c r="QPO98" s="293"/>
      <c r="QPP98" s="293"/>
      <c r="QPQ98" s="293"/>
      <c r="QPR98" s="293"/>
      <c r="QPS98" s="293"/>
      <c r="QPT98" s="293"/>
      <c r="QPU98" s="293"/>
      <c r="QPV98" s="293"/>
      <c r="QPW98" s="293"/>
      <c r="QPX98" s="293"/>
      <c r="QPY98" s="293"/>
      <c r="QPZ98" s="293"/>
      <c r="QQA98" s="293"/>
      <c r="QQB98" s="293"/>
      <c r="QQC98" s="293"/>
      <c r="QQD98" s="293"/>
      <c r="QQE98" s="293"/>
      <c r="QQF98" s="293"/>
      <c r="QQG98" s="293"/>
      <c r="QQH98" s="293"/>
      <c r="QQI98" s="293"/>
      <c r="QQJ98" s="293"/>
      <c r="QQK98" s="293"/>
      <c r="QQL98" s="293"/>
      <c r="QQM98" s="293"/>
      <c r="QQN98" s="293"/>
      <c r="QQO98" s="293"/>
      <c r="QQP98" s="293"/>
      <c r="QQQ98" s="293"/>
      <c r="QQR98" s="293"/>
      <c r="QQS98" s="293"/>
      <c r="QQT98" s="293"/>
      <c r="QQU98" s="293"/>
      <c r="QQV98" s="293"/>
      <c r="QQW98" s="293"/>
      <c r="QQX98" s="293"/>
      <c r="QQY98" s="293"/>
      <c r="QQZ98" s="293"/>
      <c r="QRA98" s="293"/>
      <c r="QRB98" s="293"/>
      <c r="QRC98" s="293"/>
      <c r="QRD98" s="293"/>
      <c r="QRE98" s="293"/>
      <c r="QRF98" s="293"/>
      <c r="QRG98" s="293"/>
      <c r="QRH98" s="293"/>
      <c r="QRI98" s="293"/>
      <c r="QRJ98" s="293"/>
      <c r="QRK98" s="293"/>
      <c r="QRL98" s="293"/>
      <c r="QRM98" s="293"/>
      <c r="QRN98" s="293"/>
      <c r="QRO98" s="293"/>
      <c r="QRP98" s="293"/>
      <c r="QRQ98" s="293"/>
      <c r="QRR98" s="293"/>
      <c r="QRS98" s="293"/>
      <c r="QRT98" s="293"/>
      <c r="QRU98" s="293"/>
      <c r="QRV98" s="293"/>
      <c r="QRW98" s="293"/>
      <c r="QRX98" s="293"/>
      <c r="QRY98" s="293"/>
      <c r="QRZ98" s="293"/>
      <c r="QSA98" s="293"/>
      <c r="QSB98" s="293"/>
      <c r="QSC98" s="293"/>
      <c r="QSD98" s="293"/>
      <c r="QSE98" s="293"/>
      <c r="QSF98" s="293"/>
      <c r="QSG98" s="293"/>
      <c r="QSH98" s="293"/>
      <c r="QSI98" s="293"/>
      <c r="QSJ98" s="293"/>
      <c r="QSK98" s="293"/>
      <c r="QSL98" s="293"/>
      <c r="QSM98" s="293"/>
      <c r="QSN98" s="293"/>
      <c r="QSO98" s="293"/>
      <c r="QSP98" s="293"/>
      <c r="QSQ98" s="293"/>
      <c r="QSR98" s="293"/>
      <c r="QSS98" s="293"/>
      <c r="QST98" s="293"/>
      <c r="QSU98" s="293"/>
      <c r="QSV98" s="293"/>
      <c r="QSW98" s="293"/>
      <c r="QSX98" s="293"/>
      <c r="QSY98" s="293"/>
      <c r="QSZ98" s="293"/>
      <c r="QTA98" s="293"/>
      <c r="QTB98" s="293"/>
      <c r="QTC98" s="293"/>
      <c r="QTD98" s="293"/>
      <c r="QTE98" s="293"/>
      <c r="QTF98" s="293"/>
      <c r="QTG98" s="293"/>
      <c r="QTH98" s="293"/>
      <c r="QTI98" s="293"/>
      <c r="QTJ98" s="293"/>
      <c r="QTK98" s="293"/>
      <c r="QTL98" s="293"/>
      <c r="QTM98" s="293"/>
      <c r="QTN98" s="293"/>
      <c r="QTO98" s="293"/>
      <c r="QTP98" s="293"/>
      <c r="QTQ98" s="293"/>
      <c r="QTR98" s="293"/>
      <c r="QTS98" s="293"/>
      <c r="QTT98" s="293"/>
      <c r="QTU98" s="293"/>
      <c r="QTV98" s="293"/>
      <c r="QTW98" s="293"/>
      <c r="QTX98" s="293"/>
      <c r="QTY98" s="293"/>
      <c r="QTZ98" s="293"/>
      <c r="QUA98" s="293"/>
      <c r="QUB98" s="293"/>
      <c r="QUC98" s="293"/>
      <c r="QUD98" s="293"/>
      <c r="QUE98" s="293"/>
      <c r="QUF98" s="293"/>
      <c r="QUG98" s="293"/>
      <c r="QUH98" s="293"/>
      <c r="QUI98" s="293"/>
      <c r="QUJ98" s="293"/>
      <c r="QUK98" s="293"/>
      <c r="QUL98" s="293"/>
      <c r="QUM98" s="293"/>
      <c r="QUN98" s="293"/>
      <c r="QUO98" s="293"/>
      <c r="QUP98" s="293"/>
      <c r="QUQ98" s="293"/>
      <c r="QUR98" s="293"/>
      <c r="QUS98" s="293"/>
      <c r="QUT98" s="293"/>
      <c r="QUU98" s="293"/>
      <c r="QUV98" s="293"/>
      <c r="QUW98" s="293"/>
      <c r="QUX98" s="293"/>
      <c r="QUY98" s="293"/>
      <c r="QUZ98" s="293"/>
      <c r="QVA98" s="293"/>
      <c r="QVB98" s="293"/>
      <c r="QVC98" s="293"/>
      <c r="QVD98" s="293"/>
      <c r="QVE98" s="293"/>
      <c r="QVF98" s="293"/>
      <c r="QVG98" s="293"/>
      <c r="QVH98" s="293"/>
      <c r="QVI98" s="293"/>
      <c r="QVJ98" s="293"/>
      <c r="QVK98" s="293"/>
      <c r="QVL98" s="293"/>
      <c r="QVM98" s="293"/>
      <c r="QVN98" s="293"/>
      <c r="QVO98" s="293"/>
      <c r="QVP98" s="293"/>
      <c r="QVQ98" s="293"/>
      <c r="QVR98" s="293"/>
      <c r="QVS98" s="293"/>
      <c r="QVT98" s="293"/>
      <c r="QVU98" s="293"/>
      <c r="QVV98" s="293"/>
      <c r="QVW98" s="293"/>
      <c r="QVX98" s="293"/>
      <c r="QVY98" s="293"/>
      <c r="QVZ98" s="293"/>
      <c r="QWA98" s="293"/>
      <c r="QWB98" s="293"/>
      <c r="QWC98" s="293"/>
      <c r="QWD98" s="293"/>
      <c r="QWE98" s="293"/>
      <c r="QWF98" s="293"/>
      <c r="QWG98" s="293"/>
      <c r="QWH98" s="293"/>
      <c r="QWI98" s="293"/>
      <c r="QWJ98" s="293"/>
      <c r="QWK98" s="293"/>
      <c r="QWL98" s="293"/>
      <c r="QWM98" s="293"/>
      <c r="QWN98" s="293"/>
      <c r="QWO98" s="293"/>
      <c r="QWP98" s="293"/>
      <c r="QWQ98" s="293"/>
      <c r="QWR98" s="293"/>
      <c r="QWS98" s="293"/>
      <c r="QWT98" s="293"/>
      <c r="QWU98" s="293"/>
      <c r="QWV98" s="293"/>
      <c r="QWW98" s="293"/>
      <c r="QWX98" s="293"/>
      <c r="QWY98" s="293"/>
      <c r="QWZ98" s="293"/>
      <c r="QXA98" s="293"/>
      <c r="QXB98" s="293"/>
      <c r="QXC98" s="293"/>
      <c r="QXD98" s="293"/>
      <c r="QXE98" s="293"/>
      <c r="QXF98" s="293"/>
      <c r="QXG98" s="293"/>
      <c r="QXH98" s="293"/>
      <c r="QXI98" s="293"/>
      <c r="QXJ98" s="293"/>
      <c r="QXK98" s="293"/>
      <c r="QXL98" s="293"/>
      <c r="QXM98" s="293"/>
      <c r="QXN98" s="293"/>
      <c r="QXO98" s="293"/>
      <c r="QXP98" s="293"/>
      <c r="QXQ98" s="293"/>
      <c r="QXR98" s="293"/>
      <c r="QXS98" s="293"/>
      <c r="QXT98" s="293"/>
      <c r="QXU98" s="293"/>
      <c r="QXV98" s="293"/>
      <c r="QXW98" s="293"/>
      <c r="QXX98" s="293"/>
      <c r="QXY98" s="293"/>
      <c r="QXZ98" s="293"/>
      <c r="QYA98" s="293"/>
      <c r="QYB98" s="293"/>
      <c r="QYC98" s="293"/>
      <c r="QYD98" s="293"/>
      <c r="QYE98" s="293"/>
      <c r="QYF98" s="293"/>
      <c r="QYG98" s="293"/>
      <c r="QYH98" s="293"/>
      <c r="QYI98" s="293"/>
      <c r="QYJ98" s="293"/>
      <c r="QYK98" s="293"/>
      <c r="QYL98" s="293"/>
      <c r="QYM98" s="293"/>
      <c r="QYN98" s="293"/>
      <c r="QYO98" s="293"/>
      <c r="QYP98" s="293"/>
      <c r="QYQ98" s="293"/>
      <c r="QYR98" s="293"/>
      <c r="QYS98" s="293"/>
      <c r="QYT98" s="293"/>
      <c r="QYU98" s="293"/>
      <c r="QYV98" s="293"/>
      <c r="QYW98" s="293"/>
      <c r="QYX98" s="293"/>
      <c r="QYY98" s="293"/>
      <c r="QYZ98" s="293"/>
      <c r="QZA98" s="293"/>
      <c r="QZB98" s="293"/>
      <c r="QZC98" s="293"/>
      <c r="QZD98" s="293"/>
      <c r="QZE98" s="293"/>
      <c r="QZF98" s="293"/>
      <c r="QZG98" s="293"/>
      <c r="QZH98" s="293"/>
      <c r="QZI98" s="293"/>
      <c r="QZJ98" s="293"/>
      <c r="QZK98" s="293"/>
      <c r="QZL98" s="293"/>
      <c r="QZM98" s="293"/>
      <c r="QZN98" s="293"/>
      <c r="QZO98" s="293"/>
      <c r="QZP98" s="293"/>
      <c r="QZQ98" s="293"/>
      <c r="QZR98" s="293"/>
      <c r="QZS98" s="293"/>
      <c r="QZT98" s="293"/>
      <c r="QZU98" s="293"/>
      <c r="QZV98" s="293"/>
      <c r="QZW98" s="293"/>
      <c r="QZX98" s="293"/>
      <c r="QZY98" s="293"/>
      <c r="QZZ98" s="293"/>
      <c r="RAA98" s="293"/>
      <c r="RAB98" s="293"/>
      <c r="RAC98" s="293"/>
      <c r="RAD98" s="293"/>
      <c r="RAE98" s="293"/>
      <c r="RAF98" s="293"/>
      <c r="RAG98" s="293"/>
      <c r="RAH98" s="293"/>
      <c r="RAI98" s="293"/>
      <c r="RAJ98" s="293"/>
      <c r="RAK98" s="293"/>
      <c r="RAL98" s="293"/>
      <c r="RAM98" s="293"/>
      <c r="RAN98" s="293"/>
      <c r="RAO98" s="293"/>
      <c r="RAP98" s="293"/>
      <c r="RAQ98" s="293"/>
      <c r="RAR98" s="293"/>
      <c r="RAS98" s="293"/>
      <c r="RAT98" s="293"/>
      <c r="RAU98" s="293"/>
      <c r="RAV98" s="293"/>
      <c r="RAW98" s="293"/>
      <c r="RAX98" s="293"/>
      <c r="RAY98" s="293"/>
      <c r="RAZ98" s="293"/>
      <c r="RBA98" s="293"/>
      <c r="RBB98" s="293"/>
      <c r="RBC98" s="293"/>
      <c r="RBD98" s="293"/>
      <c r="RBE98" s="293"/>
      <c r="RBF98" s="293"/>
      <c r="RBG98" s="293"/>
      <c r="RBH98" s="293"/>
      <c r="RBI98" s="293"/>
      <c r="RBJ98" s="293"/>
      <c r="RBK98" s="293"/>
      <c r="RBL98" s="293"/>
      <c r="RBM98" s="293"/>
      <c r="RBN98" s="293"/>
      <c r="RBO98" s="293"/>
      <c r="RBP98" s="293"/>
      <c r="RBQ98" s="293"/>
      <c r="RBR98" s="293"/>
      <c r="RBS98" s="293"/>
      <c r="RBT98" s="293"/>
      <c r="RBU98" s="293"/>
      <c r="RBV98" s="293"/>
      <c r="RBW98" s="293"/>
      <c r="RBX98" s="293"/>
      <c r="RBY98" s="293"/>
      <c r="RBZ98" s="293"/>
      <c r="RCA98" s="293"/>
      <c r="RCB98" s="293"/>
      <c r="RCC98" s="293"/>
      <c r="RCD98" s="293"/>
      <c r="RCE98" s="293"/>
      <c r="RCF98" s="293"/>
      <c r="RCG98" s="293"/>
      <c r="RCH98" s="293"/>
      <c r="RCI98" s="293"/>
      <c r="RCJ98" s="293"/>
      <c r="RCK98" s="293"/>
      <c r="RCL98" s="293"/>
      <c r="RCM98" s="293"/>
      <c r="RCN98" s="293"/>
      <c r="RCO98" s="293"/>
      <c r="RCP98" s="293"/>
      <c r="RCQ98" s="293"/>
      <c r="RCR98" s="293"/>
      <c r="RCS98" s="293"/>
      <c r="RCT98" s="293"/>
      <c r="RCU98" s="293"/>
      <c r="RCV98" s="293"/>
      <c r="RCW98" s="293"/>
      <c r="RCX98" s="293"/>
      <c r="RCY98" s="293"/>
      <c r="RCZ98" s="293"/>
      <c r="RDA98" s="293"/>
      <c r="RDB98" s="293"/>
      <c r="RDC98" s="293"/>
      <c r="RDD98" s="293"/>
      <c r="RDE98" s="293"/>
      <c r="RDF98" s="293"/>
      <c r="RDG98" s="293"/>
      <c r="RDH98" s="293"/>
      <c r="RDI98" s="293"/>
      <c r="RDJ98" s="293"/>
      <c r="RDK98" s="293"/>
      <c r="RDL98" s="293"/>
      <c r="RDM98" s="293"/>
      <c r="RDN98" s="293"/>
      <c r="RDO98" s="293"/>
      <c r="RDP98" s="293"/>
      <c r="RDQ98" s="293"/>
      <c r="RDR98" s="293"/>
      <c r="RDS98" s="293"/>
      <c r="RDT98" s="293"/>
      <c r="RDU98" s="293"/>
      <c r="RDV98" s="293"/>
      <c r="RDW98" s="293"/>
      <c r="RDX98" s="293"/>
      <c r="RDY98" s="293"/>
      <c r="RDZ98" s="293"/>
      <c r="REA98" s="293"/>
      <c r="REB98" s="293"/>
      <c r="REC98" s="293"/>
      <c r="RED98" s="293"/>
      <c r="REE98" s="293"/>
      <c r="REF98" s="293"/>
      <c r="REG98" s="293"/>
      <c r="REH98" s="293"/>
      <c r="REI98" s="293"/>
      <c r="REJ98" s="293"/>
      <c r="REK98" s="293"/>
      <c r="REL98" s="293"/>
      <c r="REM98" s="293"/>
      <c r="REN98" s="293"/>
      <c r="REO98" s="293"/>
      <c r="REP98" s="293"/>
      <c r="REQ98" s="293"/>
      <c r="RER98" s="293"/>
      <c r="RES98" s="293"/>
      <c r="RET98" s="293"/>
      <c r="REU98" s="293"/>
      <c r="REV98" s="293"/>
      <c r="REW98" s="293"/>
      <c r="REX98" s="293"/>
      <c r="REY98" s="293"/>
      <c r="REZ98" s="293"/>
      <c r="RFA98" s="293"/>
      <c r="RFB98" s="293"/>
      <c r="RFC98" s="293"/>
      <c r="RFD98" s="293"/>
      <c r="RFE98" s="293"/>
      <c r="RFF98" s="293"/>
      <c r="RFG98" s="293"/>
      <c r="RFH98" s="293"/>
      <c r="RFI98" s="293"/>
      <c r="RFJ98" s="293"/>
      <c r="RFK98" s="293"/>
      <c r="RFL98" s="293"/>
      <c r="RFM98" s="293"/>
      <c r="RFN98" s="293"/>
      <c r="RFO98" s="293"/>
      <c r="RFP98" s="293"/>
      <c r="RFQ98" s="293"/>
      <c r="RFR98" s="293"/>
      <c r="RFS98" s="293"/>
      <c r="RFT98" s="293"/>
      <c r="RFU98" s="293"/>
      <c r="RFV98" s="293"/>
      <c r="RFW98" s="293"/>
      <c r="RFX98" s="293"/>
      <c r="RFY98" s="293"/>
      <c r="RFZ98" s="293"/>
      <c r="RGA98" s="293"/>
      <c r="RGB98" s="293"/>
      <c r="RGC98" s="293"/>
      <c r="RGD98" s="293"/>
      <c r="RGE98" s="293"/>
      <c r="RGF98" s="293"/>
      <c r="RGG98" s="293"/>
      <c r="RGH98" s="293"/>
      <c r="RGI98" s="293"/>
      <c r="RGJ98" s="293"/>
      <c r="RGK98" s="293"/>
      <c r="RGL98" s="293"/>
      <c r="RGM98" s="293"/>
      <c r="RGN98" s="293"/>
      <c r="RGO98" s="293"/>
      <c r="RGP98" s="293"/>
      <c r="RGQ98" s="293"/>
      <c r="RGR98" s="293"/>
      <c r="RGS98" s="293"/>
      <c r="RGT98" s="293"/>
      <c r="RGU98" s="293"/>
      <c r="RGV98" s="293"/>
      <c r="RGW98" s="293"/>
      <c r="RGX98" s="293"/>
      <c r="RGY98" s="293"/>
      <c r="RGZ98" s="293"/>
      <c r="RHA98" s="293"/>
      <c r="RHB98" s="293"/>
      <c r="RHC98" s="293"/>
      <c r="RHD98" s="293"/>
      <c r="RHE98" s="293"/>
      <c r="RHF98" s="293"/>
      <c r="RHG98" s="293"/>
      <c r="RHH98" s="293"/>
      <c r="RHI98" s="293"/>
      <c r="RHJ98" s="293"/>
      <c r="RHK98" s="293"/>
      <c r="RHL98" s="293"/>
      <c r="RHM98" s="293"/>
      <c r="RHN98" s="293"/>
      <c r="RHO98" s="293"/>
      <c r="RHP98" s="293"/>
      <c r="RHQ98" s="293"/>
      <c r="RHR98" s="293"/>
      <c r="RHS98" s="293"/>
      <c r="RHT98" s="293"/>
      <c r="RHU98" s="293"/>
      <c r="RHV98" s="293"/>
      <c r="RHW98" s="293"/>
      <c r="RHX98" s="293"/>
      <c r="RHY98" s="293"/>
      <c r="RHZ98" s="293"/>
      <c r="RIA98" s="293"/>
      <c r="RIB98" s="293"/>
      <c r="RIC98" s="293"/>
      <c r="RID98" s="293"/>
      <c r="RIE98" s="293"/>
      <c r="RIF98" s="293"/>
      <c r="RIG98" s="293"/>
      <c r="RIH98" s="293"/>
      <c r="RII98" s="293"/>
      <c r="RIJ98" s="293"/>
      <c r="RIK98" s="293"/>
      <c r="RIL98" s="293"/>
      <c r="RIM98" s="293"/>
      <c r="RIN98" s="293"/>
      <c r="RIO98" s="293"/>
      <c r="RIP98" s="293"/>
      <c r="RIQ98" s="293"/>
      <c r="RIR98" s="293"/>
      <c r="RIS98" s="293"/>
      <c r="RIT98" s="293"/>
      <c r="RIU98" s="293"/>
      <c r="RIV98" s="293"/>
      <c r="RIW98" s="293"/>
      <c r="RIX98" s="293"/>
      <c r="RIY98" s="293"/>
      <c r="RIZ98" s="293"/>
      <c r="RJA98" s="293"/>
      <c r="RJB98" s="293"/>
      <c r="RJC98" s="293"/>
      <c r="RJD98" s="293"/>
      <c r="RJE98" s="293"/>
      <c r="RJF98" s="293"/>
      <c r="RJG98" s="293"/>
      <c r="RJH98" s="293"/>
      <c r="RJI98" s="293"/>
      <c r="RJJ98" s="293"/>
      <c r="RJK98" s="293"/>
      <c r="RJL98" s="293"/>
      <c r="RJM98" s="293"/>
      <c r="RJN98" s="293"/>
      <c r="RJO98" s="293"/>
      <c r="RJP98" s="293"/>
      <c r="RJQ98" s="293"/>
      <c r="RJR98" s="293"/>
      <c r="RJS98" s="293"/>
      <c r="RJT98" s="293"/>
      <c r="RJU98" s="293"/>
      <c r="RJV98" s="293"/>
      <c r="RJW98" s="293"/>
      <c r="RJX98" s="293"/>
      <c r="RJY98" s="293"/>
      <c r="RJZ98" s="293"/>
      <c r="RKA98" s="293"/>
      <c r="RKB98" s="293"/>
      <c r="RKC98" s="293"/>
      <c r="RKD98" s="293"/>
      <c r="RKE98" s="293"/>
      <c r="RKF98" s="293"/>
      <c r="RKG98" s="293"/>
      <c r="RKH98" s="293"/>
      <c r="RKI98" s="293"/>
      <c r="RKJ98" s="293"/>
      <c r="RKK98" s="293"/>
      <c r="RKL98" s="293"/>
      <c r="RKM98" s="293"/>
      <c r="RKN98" s="293"/>
      <c r="RKO98" s="293"/>
      <c r="RKP98" s="293"/>
      <c r="RKQ98" s="293"/>
      <c r="RKR98" s="293"/>
      <c r="RKS98" s="293"/>
      <c r="RKT98" s="293"/>
      <c r="RKU98" s="293"/>
      <c r="RKV98" s="293"/>
      <c r="RKW98" s="293"/>
      <c r="RKX98" s="293"/>
      <c r="RKY98" s="293"/>
      <c r="RKZ98" s="293"/>
      <c r="RLA98" s="293"/>
      <c r="RLB98" s="293"/>
      <c r="RLC98" s="293"/>
      <c r="RLD98" s="293"/>
      <c r="RLE98" s="293"/>
      <c r="RLF98" s="293"/>
      <c r="RLG98" s="293"/>
      <c r="RLH98" s="293"/>
      <c r="RLI98" s="293"/>
      <c r="RLJ98" s="293"/>
      <c r="RLK98" s="293"/>
      <c r="RLL98" s="293"/>
      <c r="RLM98" s="293"/>
      <c r="RLN98" s="293"/>
      <c r="RLO98" s="293"/>
      <c r="RLP98" s="293"/>
      <c r="RLQ98" s="293"/>
      <c r="RLR98" s="293"/>
      <c r="RLS98" s="293"/>
      <c r="RLT98" s="293"/>
      <c r="RLU98" s="293"/>
      <c r="RLV98" s="293"/>
      <c r="RLW98" s="293"/>
      <c r="RLX98" s="293"/>
      <c r="RLY98" s="293"/>
      <c r="RLZ98" s="293"/>
      <c r="RMA98" s="293"/>
      <c r="RMB98" s="293"/>
      <c r="RMC98" s="293"/>
      <c r="RMD98" s="293"/>
      <c r="RME98" s="293"/>
      <c r="RMF98" s="293"/>
      <c r="RMG98" s="293"/>
      <c r="RMH98" s="293"/>
      <c r="RMI98" s="293"/>
      <c r="RMJ98" s="293"/>
      <c r="RMK98" s="293"/>
      <c r="RML98" s="293"/>
      <c r="RMM98" s="293"/>
      <c r="RMN98" s="293"/>
      <c r="RMO98" s="293"/>
      <c r="RMP98" s="293"/>
      <c r="RMQ98" s="293"/>
      <c r="RMR98" s="293"/>
      <c r="RMS98" s="293"/>
      <c r="RMT98" s="293"/>
      <c r="RMU98" s="293"/>
      <c r="RMV98" s="293"/>
      <c r="RMW98" s="293"/>
      <c r="RMX98" s="293"/>
      <c r="RMY98" s="293"/>
      <c r="RMZ98" s="293"/>
      <c r="RNA98" s="293"/>
      <c r="RNB98" s="293"/>
      <c r="RNC98" s="293"/>
      <c r="RND98" s="293"/>
      <c r="RNE98" s="293"/>
      <c r="RNF98" s="293"/>
      <c r="RNG98" s="293"/>
      <c r="RNH98" s="293"/>
      <c r="RNI98" s="293"/>
      <c r="RNJ98" s="293"/>
      <c r="RNK98" s="293"/>
      <c r="RNL98" s="293"/>
      <c r="RNM98" s="293"/>
      <c r="RNN98" s="293"/>
      <c r="RNO98" s="293"/>
      <c r="RNP98" s="293"/>
      <c r="RNQ98" s="293"/>
      <c r="RNR98" s="293"/>
      <c r="RNS98" s="293"/>
      <c r="RNT98" s="293"/>
      <c r="RNU98" s="293"/>
      <c r="RNV98" s="293"/>
      <c r="RNW98" s="293"/>
      <c r="RNX98" s="293"/>
      <c r="RNY98" s="293"/>
      <c r="RNZ98" s="293"/>
      <c r="ROA98" s="293"/>
      <c r="ROB98" s="293"/>
      <c r="ROC98" s="293"/>
      <c r="ROD98" s="293"/>
      <c r="ROE98" s="293"/>
      <c r="ROF98" s="293"/>
      <c r="ROG98" s="293"/>
      <c r="ROH98" s="293"/>
      <c r="ROI98" s="293"/>
      <c r="ROJ98" s="293"/>
      <c r="ROK98" s="293"/>
      <c r="ROL98" s="293"/>
      <c r="ROM98" s="293"/>
      <c r="RON98" s="293"/>
      <c r="ROO98" s="293"/>
      <c r="ROP98" s="293"/>
      <c r="ROQ98" s="293"/>
      <c r="ROR98" s="293"/>
      <c r="ROS98" s="293"/>
      <c r="ROT98" s="293"/>
      <c r="ROU98" s="293"/>
      <c r="ROV98" s="293"/>
      <c r="ROW98" s="293"/>
      <c r="ROX98" s="293"/>
      <c r="ROY98" s="293"/>
      <c r="ROZ98" s="293"/>
      <c r="RPA98" s="293"/>
      <c r="RPB98" s="293"/>
      <c r="RPC98" s="293"/>
      <c r="RPD98" s="293"/>
      <c r="RPE98" s="293"/>
      <c r="RPF98" s="293"/>
      <c r="RPG98" s="293"/>
      <c r="RPH98" s="293"/>
      <c r="RPI98" s="293"/>
      <c r="RPJ98" s="293"/>
      <c r="RPK98" s="293"/>
      <c r="RPL98" s="293"/>
      <c r="RPM98" s="293"/>
      <c r="RPN98" s="293"/>
      <c r="RPO98" s="293"/>
      <c r="RPP98" s="293"/>
      <c r="RPQ98" s="293"/>
      <c r="RPR98" s="293"/>
      <c r="RPS98" s="293"/>
      <c r="RPT98" s="293"/>
      <c r="RPU98" s="293"/>
      <c r="RPV98" s="293"/>
      <c r="RPW98" s="293"/>
      <c r="RPX98" s="293"/>
      <c r="RPY98" s="293"/>
      <c r="RPZ98" s="293"/>
      <c r="RQA98" s="293"/>
      <c r="RQB98" s="293"/>
      <c r="RQC98" s="293"/>
      <c r="RQD98" s="293"/>
      <c r="RQE98" s="293"/>
      <c r="RQF98" s="293"/>
      <c r="RQG98" s="293"/>
      <c r="RQH98" s="293"/>
      <c r="RQI98" s="293"/>
      <c r="RQJ98" s="293"/>
      <c r="RQK98" s="293"/>
      <c r="RQL98" s="293"/>
      <c r="RQM98" s="293"/>
      <c r="RQN98" s="293"/>
      <c r="RQO98" s="293"/>
      <c r="RQP98" s="293"/>
      <c r="RQQ98" s="293"/>
      <c r="RQR98" s="293"/>
      <c r="RQS98" s="293"/>
      <c r="RQT98" s="293"/>
      <c r="RQU98" s="293"/>
      <c r="RQV98" s="293"/>
      <c r="RQW98" s="293"/>
      <c r="RQX98" s="293"/>
      <c r="RQY98" s="293"/>
      <c r="RQZ98" s="293"/>
      <c r="RRA98" s="293"/>
      <c r="RRB98" s="293"/>
      <c r="RRC98" s="293"/>
      <c r="RRD98" s="293"/>
      <c r="RRE98" s="293"/>
      <c r="RRF98" s="293"/>
      <c r="RRG98" s="293"/>
      <c r="RRH98" s="293"/>
      <c r="RRI98" s="293"/>
      <c r="RRJ98" s="293"/>
      <c r="RRK98" s="293"/>
      <c r="RRL98" s="293"/>
      <c r="RRM98" s="293"/>
      <c r="RRN98" s="293"/>
      <c r="RRO98" s="293"/>
      <c r="RRP98" s="293"/>
      <c r="RRQ98" s="293"/>
      <c r="RRR98" s="293"/>
      <c r="RRS98" s="293"/>
      <c r="RRT98" s="293"/>
      <c r="RRU98" s="293"/>
      <c r="RRV98" s="293"/>
      <c r="RRW98" s="293"/>
      <c r="RRX98" s="293"/>
      <c r="RRY98" s="293"/>
      <c r="RRZ98" s="293"/>
      <c r="RSA98" s="293"/>
      <c r="RSB98" s="293"/>
      <c r="RSC98" s="293"/>
      <c r="RSD98" s="293"/>
      <c r="RSE98" s="293"/>
      <c r="RSF98" s="293"/>
      <c r="RSG98" s="293"/>
      <c r="RSH98" s="293"/>
      <c r="RSI98" s="293"/>
      <c r="RSJ98" s="293"/>
      <c r="RSK98" s="293"/>
      <c r="RSL98" s="293"/>
      <c r="RSM98" s="293"/>
      <c r="RSN98" s="293"/>
      <c r="RSO98" s="293"/>
      <c r="RSP98" s="293"/>
      <c r="RSQ98" s="293"/>
      <c r="RSR98" s="293"/>
      <c r="RSS98" s="293"/>
      <c r="RST98" s="293"/>
      <c r="RSU98" s="293"/>
      <c r="RSV98" s="293"/>
      <c r="RSW98" s="293"/>
      <c r="RSX98" s="293"/>
      <c r="RSY98" s="293"/>
      <c r="RSZ98" s="293"/>
      <c r="RTA98" s="293"/>
      <c r="RTB98" s="293"/>
      <c r="RTC98" s="293"/>
      <c r="RTD98" s="293"/>
      <c r="RTE98" s="293"/>
      <c r="RTF98" s="293"/>
      <c r="RTG98" s="293"/>
      <c r="RTH98" s="293"/>
      <c r="RTI98" s="293"/>
      <c r="RTJ98" s="293"/>
      <c r="RTK98" s="293"/>
      <c r="RTL98" s="293"/>
      <c r="RTM98" s="293"/>
      <c r="RTN98" s="293"/>
      <c r="RTO98" s="293"/>
      <c r="RTP98" s="293"/>
      <c r="RTQ98" s="293"/>
      <c r="RTR98" s="293"/>
      <c r="RTS98" s="293"/>
      <c r="RTT98" s="293"/>
      <c r="RTU98" s="293"/>
      <c r="RTV98" s="293"/>
      <c r="RTW98" s="293"/>
      <c r="RTX98" s="293"/>
      <c r="RTY98" s="293"/>
      <c r="RTZ98" s="293"/>
      <c r="RUA98" s="293"/>
      <c r="RUB98" s="293"/>
      <c r="RUC98" s="293"/>
      <c r="RUD98" s="293"/>
      <c r="RUE98" s="293"/>
      <c r="RUF98" s="293"/>
      <c r="RUG98" s="293"/>
      <c r="RUH98" s="293"/>
      <c r="RUI98" s="293"/>
      <c r="RUJ98" s="293"/>
      <c r="RUK98" s="293"/>
      <c r="RUL98" s="293"/>
      <c r="RUM98" s="293"/>
      <c r="RUN98" s="293"/>
      <c r="RUO98" s="293"/>
      <c r="RUP98" s="293"/>
      <c r="RUQ98" s="293"/>
      <c r="RUR98" s="293"/>
      <c r="RUS98" s="293"/>
      <c r="RUT98" s="293"/>
      <c r="RUU98" s="293"/>
      <c r="RUV98" s="293"/>
      <c r="RUW98" s="293"/>
      <c r="RUX98" s="293"/>
      <c r="RUY98" s="293"/>
      <c r="RUZ98" s="293"/>
      <c r="RVA98" s="293"/>
      <c r="RVB98" s="293"/>
      <c r="RVC98" s="293"/>
      <c r="RVD98" s="293"/>
      <c r="RVE98" s="293"/>
      <c r="RVF98" s="293"/>
      <c r="RVG98" s="293"/>
      <c r="RVH98" s="293"/>
      <c r="RVI98" s="293"/>
      <c r="RVJ98" s="293"/>
      <c r="RVK98" s="293"/>
      <c r="RVL98" s="293"/>
      <c r="RVM98" s="293"/>
      <c r="RVN98" s="293"/>
      <c r="RVO98" s="293"/>
      <c r="RVP98" s="293"/>
      <c r="RVQ98" s="293"/>
      <c r="RVR98" s="293"/>
      <c r="RVS98" s="293"/>
      <c r="RVT98" s="293"/>
      <c r="RVU98" s="293"/>
      <c r="RVV98" s="293"/>
      <c r="RVW98" s="293"/>
      <c r="RVX98" s="293"/>
      <c r="RVY98" s="293"/>
      <c r="RVZ98" s="293"/>
      <c r="RWA98" s="293"/>
      <c r="RWB98" s="293"/>
      <c r="RWC98" s="293"/>
      <c r="RWD98" s="293"/>
      <c r="RWE98" s="293"/>
      <c r="RWF98" s="293"/>
      <c r="RWG98" s="293"/>
      <c r="RWH98" s="293"/>
      <c r="RWI98" s="293"/>
      <c r="RWJ98" s="293"/>
      <c r="RWK98" s="293"/>
      <c r="RWL98" s="293"/>
      <c r="RWM98" s="293"/>
      <c r="RWN98" s="293"/>
      <c r="RWO98" s="293"/>
      <c r="RWP98" s="293"/>
      <c r="RWQ98" s="293"/>
      <c r="RWR98" s="293"/>
      <c r="RWS98" s="293"/>
      <c r="RWT98" s="293"/>
      <c r="RWU98" s="293"/>
      <c r="RWV98" s="293"/>
      <c r="RWW98" s="293"/>
      <c r="RWX98" s="293"/>
      <c r="RWY98" s="293"/>
      <c r="RWZ98" s="293"/>
      <c r="RXA98" s="293"/>
      <c r="RXB98" s="293"/>
      <c r="RXC98" s="293"/>
      <c r="RXD98" s="293"/>
      <c r="RXE98" s="293"/>
      <c r="RXF98" s="293"/>
      <c r="RXG98" s="293"/>
      <c r="RXH98" s="293"/>
      <c r="RXI98" s="293"/>
      <c r="RXJ98" s="293"/>
      <c r="RXK98" s="293"/>
      <c r="RXL98" s="293"/>
      <c r="RXM98" s="293"/>
      <c r="RXN98" s="293"/>
      <c r="RXO98" s="293"/>
      <c r="RXP98" s="293"/>
      <c r="RXQ98" s="293"/>
      <c r="RXR98" s="293"/>
      <c r="RXS98" s="293"/>
      <c r="RXT98" s="293"/>
      <c r="RXU98" s="293"/>
      <c r="RXV98" s="293"/>
      <c r="RXW98" s="293"/>
      <c r="RXX98" s="293"/>
      <c r="RXY98" s="293"/>
      <c r="RXZ98" s="293"/>
      <c r="RYA98" s="293"/>
      <c r="RYB98" s="293"/>
      <c r="RYC98" s="293"/>
      <c r="RYD98" s="293"/>
      <c r="RYE98" s="293"/>
      <c r="RYF98" s="293"/>
      <c r="RYG98" s="293"/>
      <c r="RYH98" s="293"/>
      <c r="RYI98" s="293"/>
      <c r="RYJ98" s="293"/>
      <c r="RYK98" s="293"/>
      <c r="RYL98" s="293"/>
      <c r="RYM98" s="293"/>
      <c r="RYN98" s="293"/>
      <c r="RYO98" s="293"/>
      <c r="RYP98" s="293"/>
      <c r="RYQ98" s="293"/>
      <c r="RYR98" s="293"/>
      <c r="RYS98" s="293"/>
      <c r="RYT98" s="293"/>
      <c r="RYU98" s="293"/>
      <c r="RYV98" s="293"/>
      <c r="RYW98" s="293"/>
      <c r="RYX98" s="293"/>
      <c r="RYY98" s="293"/>
      <c r="RYZ98" s="293"/>
      <c r="RZA98" s="293"/>
      <c r="RZB98" s="293"/>
      <c r="RZC98" s="293"/>
      <c r="RZD98" s="293"/>
      <c r="RZE98" s="293"/>
      <c r="RZF98" s="293"/>
      <c r="RZG98" s="293"/>
      <c r="RZH98" s="293"/>
      <c r="RZI98" s="293"/>
      <c r="RZJ98" s="293"/>
      <c r="RZK98" s="293"/>
      <c r="RZL98" s="293"/>
      <c r="RZM98" s="293"/>
      <c r="RZN98" s="293"/>
      <c r="RZO98" s="293"/>
      <c r="RZP98" s="293"/>
      <c r="RZQ98" s="293"/>
      <c r="RZR98" s="293"/>
      <c r="RZS98" s="293"/>
      <c r="RZT98" s="293"/>
      <c r="RZU98" s="293"/>
      <c r="RZV98" s="293"/>
      <c r="RZW98" s="293"/>
      <c r="RZX98" s="293"/>
      <c r="RZY98" s="293"/>
      <c r="RZZ98" s="293"/>
      <c r="SAA98" s="293"/>
      <c r="SAB98" s="293"/>
      <c r="SAC98" s="293"/>
      <c r="SAD98" s="293"/>
      <c r="SAE98" s="293"/>
      <c r="SAF98" s="293"/>
      <c r="SAG98" s="293"/>
      <c r="SAH98" s="293"/>
      <c r="SAI98" s="293"/>
      <c r="SAJ98" s="293"/>
      <c r="SAK98" s="293"/>
      <c r="SAL98" s="293"/>
      <c r="SAM98" s="293"/>
      <c r="SAN98" s="293"/>
      <c r="SAO98" s="293"/>
      <c r="SAP98" s="293"/>
      <c r="SAQ98" s="293"/>
      <c r="SAR98" s="293"/>
      <c r="SAS98" s="293"/>
      <c r="SAT98" s="293"/>
      <c r="SAU98" s="293"/>
      <c r="SAV98" s="293"/>
      <c r="SAW98" s="293"/>
      <c r="SAX98" s="293"/>
      <c r="SAY98" s="293"/>
      <c r="SAZ98" s="293"/>
      <c r="SBA98" s="293"/>
      <c r="SBB98" s="293"/>
      <c r="SBC98" s="293"/>
      <c r="SBD98" s="293"/>
      <c r="SBE98" s="293"/>
      <c r="SBF98" s="293"/>
      <c r="SBG98" s="293"/>
      <c r="SBH98" s="293"/>
      <c r="SBI98" s="293"/>
      <c r="SBJ98" s="293"/>
      <c r="SBK98" s="293"/>
      <c r="SBL98" s="293"/>
      <c r="SBM98" s="293"/>
      <c r="SBN98" s="293"/>
      <c r="SBO98" s="293"/>
      <c r="SBP98" s="293"/>
      <c r="SBQ98" s="293"/>
      <c r="SBR98" s="293"/>
      <c r="SBS98" s="293"/>
      <c r="SBT98" s="293"/>
      <c r="SBU98" s="293"/>
      <c r="SBV98" s="293"/>
      <c r="SBW98" s="293"/>
      <c r="SBX98" s="293"/>
      <c r="SBY98" s="293"/>
      <c r="SBZ98" s="293"/>
      <c r="SCA98" s="293"/>
      <c r="SCB98" s="293"/>
      <c r="SCC98" s="293"/>
      <c r="SCD98" s="293"/>
      <c r="SCE98" s="293"/>
      <c r="SCF98" s="293"/>
      <c r="SCG98" s="293"/>
      <c r="SCH98" s="293"/>
      <c r="SCI98" s="293"/>
      <c r="SCJ98" s="293"/>
      <c r="SCK98" s="293"/>
      <c r="SCL98" s="293"/>
      <c r="SCM98" s="293"/>
      <c r="SCN98" s="293"/>
      <c r="SCO98" s="293"/>
      <c r="SCP98" s="293"/>
      <c r="SCQ98" s="293"/>
      <c r="SCR98" s="293"/>
      <c r="SCS98" s="293"/>
      <c r="SCT98" s="293"/>
      <c r="SCU98" s="293"/>
      <c r="SCV98" s="293"/>
      <c r="SCW98" s="293"/>
      <c r="SCX98" s="293"/>
      <c r="SCY98" s="293"/>
      <c r="SCZ98" s="293"/>
      <c r="SDA98" s="293"/>
      <c r="SDB98" s="293"/>
      <c r="SDC98" s="293"/>
      <c r="SDD98" s="293"/>
      <c r="SDE98" s="293"/>
      <c r="SDF98" s="293"/>
      <c r="SDG98" s="293"/>
      <c r="SDH98" s="293"/>
      <c r="SDI98" s="293"/>
      <c r="SDJ98" s="293"/>
      <c r="SDK98" s="293"/>
      <c r="SDL98" s="293"/>
      <c r="SDM98" s="293"/>
      <c r="SDN98" s="293"/>
      <c r="SDO98" s="293"/>
      <c r="SDP98" s="293"/>
      <c r="SDQ98" s="293"/>
      <c r="SDR98" s="293"/>
      <c r="SDS98" s="293"/>
      <c r="SDT98" s="293"/>
      <c r="SDU98" s="293"/>
      <c r="SDV98" s="293"/>
      <c r="SDW98" s="293"/>
      <c r="SDX98" s="293"/>
      <c r="SDY98" s="293"/>
      <c r="SDZ98" s="293"/>
      <c r="SEA98" s="293"/>
      <c r="SEB98" s="293"/>
      <c r="SEC98" s="293"/>
      <c r="SED98" s="293"/>
      <c r="SEE98" s="293"/>
      <c r="SEF98" s="293"/>
      <c r="SEG98" s="293"/>
      <c r="SEH98" s="293"/>
      <c r="SEI98" s="293"/>
      <c r="SEJ98" s="293"/>
      <c r="SEK98" s="293"/>
      <c r="SEL98" s="293"/>
      <c r="SEM98" s="293"/>
      <c r="SEN98" s="293"/>
      <c r="SEO98" s="293"/>
      <c r="SEP98" s="293"/>
      <c r="SEQ98" s="293"/>
      <c r="SER98" s="293"/>
      <c r="SES98" s="293"/>
      <c r="SET98" s="293"/>
      <c r="SEU98" s="293"/>
      <c r="SEV98" s="293"/>
      <c r="SEW98" s="293"/>
      <c r="SEX98" s="293"/>
      <c r="SEY98" s="293"/>
      <c r="SEZ98" s="293"/>
      <c r="SFA98" s="293"/>
      <c r="SFB98" s="293"/>
      <c r="SFC98" s="293"/>
      <c r="SFD98" s="293"/>
      <c r="SFE98" s="293"/>
      <c r="SFF98" s="293"/>
      <c r="SFG98" s="293"/>
      <c r="SFH98" s="293"/>
      <c r="SFI98" s="293"/>
      <c r="SFJ98" s="293"/>
      <c r="SFK98" s="293"/>
      <c r="SFL98" s="293"/>
      <c r="SFM98" s="293"/>
      <c r="SFN98" s="293"/>
      <c r="SFO98" s="293"/>
      <c r="SFP98" s="293"/>
      <c r="SFQ98" s="293"/>
      <c r="SFR98" s="293"/>
      <c r="SFS98" s="293"/>
      <c r="SFT98" s="293"/>
      <c r="SFU98" s="293"/>
      <c r="SFV98" s="293"/>
      <c r="SFW98" s="293"/>
      <c r="SFX98" s="293"/>
      <c r="SFY98" s="293"/>
      <c r="SFZ98" s="293"/>
      <c r="SGA98" s="293"/>
      <c r="SGB98" s="293"/>
      <c r="SGC98" s="293"/>
      <c r="SGD98" s="293"/>
      <c r="SGE98" s="293"/>
      <c r="SGF98" s="293"/>
      <c r="SGG98" s="293"/>
      <c r="SGH98" s="293"/>
      <c r="SGI98" s="293"/>
      <c r="SGJ98" s="293"/>
      <c r="SGK98" s="293"/>
      <c r="SGL98" s="293"/>
      <c r="SGM98" s="293"/>
      <c r="SGN98" s="293"/>
      <c r="SGO98" s="293"/>
      <c r="SGP98" s="293"/>
      <c r="SGQ98" s="293"/>
      <c r="SGR98" s="293"/>
      <c r="SGS98" s="293"/>
      <c r="SGT98" s="293"/>
      <c r="SGU98" s="293"/>
      <c r="SGV98" s="293"/>
      <c r="SGW98" s="293"/>
      <c r="SGX98" s="293"/>
      <c r="SGY98" s="293"/>
      <c r="SGZ98" s="293"/>
      <c r="SHA98" s="293"/>
      <c r="SHB98" s="293"/>
      <c r="SHC98" s="293"/>
      <c r="SHD98" s="293"/>
      <c r="SHE98" s="293"/>
      <c r="SHF98" s="293"/>
      <c r="SHG98" s="293"/>
      <c r="SHH98" s="293"/>
      <c r="SHI98" s="293"/>
      <c r="SHJ98" s="293"/>
      <c r="SHK98" s="293"/>
      <c r="SHL98" s="293"/>
      <c r="SHM98" s="293"/>
      <c r="SHN98" s="293"/>
      <c r="SHO98" s="293"/>
      <c r="SHP98" s="293"/>
      <c r="SHQ98" s="293"/>
      <c r="SHR98" s="293"/>
      <c r="SHS98" s="293"/>
      <c r="SHT98" s="293"/>
      <c r="SHU98" s="293"/>
      <c r="SHV98" s="293"/>
      <c r="SHW98" s="293"/>
      <c r="SHX98" s="293"/>
      <c r="SHY98" s="293"/>
      <c r="SHZ98" s="293"/>
      <c r="SIA98" s="293"/>
      <c r="SIB98" s="293"/>
      <c r="SIC98" s="293"/>
      <c r="SID98" s="293"/>
      <c r="SIE98" s="293"/>
      <c r="SIF98" s="293"/>
      <c r="SIG98" s="293"/>
      <c r="SIH98" s="293"/>
      <c r="SII98" s="293"/>
      <c r="SIJ98" s="293"/>
      <c r="SIK98" s="293"/>
      <c r="SIL98" s="293"/>
      <c r="SIM98" s="293"/>
      <c r="SIN98" s="293"/>
      <c r="SIO98" s="293"/>
      <c r="SIP98" s="293"/>
      <c r="SIQ98" s="293"/>
      <c r="SIR98" s="293"/>
      <c r="SIS98" s="293"/>
      <c r="SIT98" s="293"/>
      <c r="SIU98" s="293"/>
      <c r="SIV98" s="293"/>
      <c r="SIW98" s="293"/>
      <c r="SIX98" s="293"/>
      <c r="SIY98" s="293"/>
      <c r="SIZ98" s="293"/>
      <c r="SJA98" s="293"/>
      <c r="SJB98" s="293"/>
      <c r="SJC98" s="293"/>
      <c r="SJD98" s="293"/>
      <c r="SJE98" s="293"/>
      <c r="SJF98" s="293"/>
      <c r="SJG98" s="293"/>
      <c r="SJH98" s="293"/>
      <c r="SJI98" s="293"/>
      <c r="SJJ98" s="293"/>
      <c r="SJK98" s="293"/>
      <c r="SJL98" s="293"/>
      <c r="SJM98" s="293"/>
      <c r="SJN98" s="293"/>
      <c r="SJO98" s="293"/>
      <c r="SJP98" s="293"/>
      <c r="SJQ98" s="293"/>
      <c r="SJR98" s="293"/>
      <c r="SJS98" s="293"/>
      <c r="SJT98" s="293"/>
      <c r="SJU98" s="293"/>
      <c r="SJV98" s="293"/>
      <c r="SJW98" s="293"/>
      <c r="SJX98" s="293"/>
      <c r="SJY98" s="293"/>
      <c r="SJZ98" s="293"/>
      <c r="SKA98" s="293"/>
      <c r="SKB98" s="293"/>
      <c r="SKC98" s="293"/>
      <c r="SKD98" s="293"/>
      <c r="SKE98" s="293"/>
      <c r="SKF98" s="293"/>
      <c r="SKG98" s="293"/>
      <c r="SKH98" s="293"/>
      <c r="SKI98" s="293"/>
      <c r="SKJ98" s="293"/>
      <c r="SKK98" s="293"/>
      <c r="SKL98" s="293"/>
      <c r="SKM98" s="293"/>
      <c r="SKN98" s="293"/>
      <c r="SKO98" s="293"/>
      <c r="SKP98" s="293"/>
      <c r="SKQ98" s="293"/>
      <c r="SKR98" s="293"/>
      <c r="SKS98" s="293"/>
      <c r="SKT98" s="293"/>
      <c r="SKU98" s="293"/>
      <c r="SKV98" s="293"/>
      <c r="SKW98" s="293"/>
      <c r="SKX98" s="293"/>
      <c r="SKY98" s="293"/>
      <c r="SKZ98" s="293"/>
      <c r="SLA98" s="293"/>
      <c r="SLB98" s="293"/>
      <c r="SLC98" s="293"/>
      <c r="SLD98" s="293"/>
      <c r="SLE98" s="293"/>
      <c r="SLF98" s="293"/>
      <c r="SLG98" s="293"/>
      <c r="SLH98" s="293"/>
      <c r="SLI98" s="293"/>
      <c r="SLJ98" s="293"/>
      <c r="SLK98" s="293"/>
      <c r="SLL98" s="293"/>
      <c r="SLM98" s="293"/>
      <c r="SLN98" s="293"/>
      <c r="SLO98" s="293"/>
      <c r="SLP98" s="293"/>
      <c r="SLQ98" s="293"/>
      <c r="SLR98" s="293"/>
      <c r="SLS98" s="293"/>
      <c r="SLT98" s="293"/>
      <c r="SLU98" s="293"/>
      <c r="SLV98" s="293"/>
      <c r="SLW98" s="293"/>
      <c r="SLX98" s="293"/>
      <c r="SLY98" s="293"/>
      <c r="SLZ98" s="293"/>
      <c r="SMA98" s="293"/>
      <c r="SMB98" s="293"/>
      <c r="SMC98" s="293"/>
      <c r="SMD98" s="293"/>
      <c r="SME98" s="293"/>
      <c r="SMF98" s="293"/>
      <c r="SMG98" s="293"/>
      <c r="SMH98" s="293"/>
      <c r="SMI98" s="293"/>
      <c r="SMJ98" s="293"/>
      <c r="SMK98" s="293"/>
      <c r="SML98" s="293"/>
      <c r="SMM98" s="293"/>
      <c r="SMN98" s="293"/>
      <c r="SMO98" s="293"/>
      <c r="SMP98" s="293"/>
      <c r="SMQ98" s="293"/>
      <c r="SMR98" s="293"/>
      <c r="SMS98" s="293"/>
      <c r="SMT98" s="293"/>
      <c r="SMU98" s="293"/>
      <c r="SMV98" s="293"/>
      <c r="SMW98" s="293"/>
      <c r="SMX98" s="293"/>
      <c r="SMY98" s="293"/>
      <c r="SMZ98" s="293"/>
      <c r="SNA98" s="293"/>
      <c r="SNB98" s="293"/>
      <c r="SNC98" s="293"/>
      <c r="SND98" s="293"/>
      <c r="SNE98" s="293"/>
      <c r="SNF98" s="293"/>
      <c r="SNG98" s="293"/>
      <c r="SNH98" s="293"/>
      <c r="SNI98" s="293"/>
      <c r="SNJ98" s="293"/>
      <c r="SNK98" s="293"/>
      <c r="SNL98" s="293"/>
      <c r="SNM98" s="293"/>
      <c r="SNN98" s="293"/>
      <c r="SNO98" s="293"/>
      <c r="SNP98" s="293"/>
      <c r="SNQ98" s="293"/>
      <c r="SNR98" s="293"/>
      <c r="SNS98" s="293"/>
      <c r="SNT98" s="293"/>
      <c r="SNU98" s="293"/>
      <c r="SNV98" s="293"/>
      <c r="SNW98" s="293"/>
      <c r="SNX98" s="293"/>
      <c r="SNY98" s="293"/>
      <c r="SNZ98" s="293"/>
      <c r="SOA98" s="293"/>
      <c r="SOB98" s="293"/>
      <c r="SOC98" s="293"/>
      <c r="SOD98" s="293"/>
      <c r="SOE98" s="293"/>
      <c r="SOF98" s="293"/>
      <c r="SOG98" s="293"/>
      <c r="SOH98" s="293"/>
      <c r="SOI98" s="293"/>
      <c r="SOJ98" s="293"/>
      <c r="SOK98" s="293"/>
      <c r="SOL98" s="293"/>
      <c r="SOM98" s="293"/>
      <c r="SON98" s="293"/>
      <c r="SOO98" s="293"/>
      <c r="SOP98" s="293"/>
      <c r="SOQ98" s="293"/>
      <c r="SOR98" s="293"/>
      <c r="SOS98" s="293"/>
      <c r="SOT98" s="293"/>
      <c r="SOU98" s="293"/>
      <c r="SOV98" s="293"/>
      <c r="SOW98" s="293"/>
      <c r="SOX98" s="293"/>
      <c r="SOY98" s="293"/>
      <c r="SOZ98" s="293"/>
      <c r="SPA98" s="293"/>
      <c r="SPB98" s="293"/>
      <c r="SPC98" s="293"/>
      <c r="SPD98" s="293"/>
      <c r="SPE98" s="293"/>
      <c r="SPF98" s="293"/>
      <c r="SPG98" s="293"/>
      <c r="SPH98" s="293"/>
      <c r="SPI98" s="293"/>
      <c r="SPJ98" s="293"/>
      <c r="SPK98" s="293"/>
      <c r="SPL98" s="293"/>
      <c r="SPM98" s="293"/>
      <c r="SPN98" s="293"/>
      <c r="SPO98" s="293"/>
      <c r="SPP98" s="293"/>
      <c r="SPQ98" s="293"/>
      <c r="SPR98" s="293"/>
      <c r="SPS98" s="293"/>
      <c r="SPT98" s="293"/>
      <c r="SPU98" s="293"/>
      <c r="SPV98" s="293"/>
      <c r="SPW98" s="293"/>
      <c r="SPX98" s="293"/>
      <c r="SPY98" s="293"/>
      <c r="SPZ98" s="293"/>
      <c r="SQA98" s="293"/>
      <c r="SQB98" s="293"/>
      <c r="SQC98" s="293"/>
      <c r="SQD98" s="293"/>
      <c r="SQE98" s="293"/>
      <c r="SQF98" s="293"/>
      <c r="SQG98" s="293"/>
      <c r="SQH98" s="293"/>
      <c r="SQI98" s="293"/>
      <c r="SQJ98" s="293"/>
      <c r="SQK98" s="293"/>
      <c r="SQL98" s="293"/>
      <c r="SQM98" s="293"/>
      <c r="SQN98" s="293"/>
      <c r="SQO98" s="293"/>
      <c r="SQP98" s="293"/>
      <c r="SQQ98" s="293"/>
      <c r="SQR98" s="293"/>
      <c r="SQS98" s="293"/>
      <c r="SQT98" s="293"/>
      <c r="SQU98" s="293"/>
      <c r="SQV98" s="293"/>
      <c r="SQW98" s="293"/>
      <c r="SQX98" s="293"/>
      <c r="SQY98" s="293"/>
      <c r="SQZ98" s="293"/>
      <c r="SRA98" s="293"/>
      <c r="SRB98" s="293"/>
      <c r="SRC98" s="293"/>
      <c r="SRD98" s="293"/>
      <c r="SRE98" s="293"/>
      <c r="SRF98" s="293"/>
      <c r="SRG98" s="293"/>
      <c r="SRH98" s="293"/>
      <c r="SRI98" s="293"/>
      <c r="SRJ98" s="293"/>
      <c r="SRK98" s="293"/>
      <c r="SRL98" s="293"/>
      <c r="SRM98" s="293"/>
      <c r="SRN98" s="293"/>
      <c r="SRO98" s="293"/>
      <c r="SRP98" s="293"/>
      <c r="SRQ98" s="293"/>
      <c r="SRR98" s="293"/>
      <c r="SRS98" s="293"/>
      <c r="SRT98" s="293"/>
      <c r="SRU98" s="293"/>
      <c r="SRV98" s="293"/>
      <c r="SRW98" s="293"/>
      <c r="SRX98" s="293"/>
      <c r="SRY98" s="293"/>
      <c r="SRZ98" s="293"/>
      <c r="SSA98" s="293"/>
      <c r="SSB98" s="293"/>
      <c r="SSC98" s="293"/>
      <c r="SSD98" s="293"/>
      <c r="SSE98" s="293"/>
      <c r="SSF98" s="293"/>
      <c r="SSG98" s="293"/>
      <c r="SSH98" s="293"/>
      <c r="SSI98" s="293"/>
      <c r="SSJ98" s="293"/>
      <c r="SSK98" s="293"/>
      <c r="SSL98" s="293"/>
      <c r="SSM98" s="293"/>
      <c r="SSN98" s="293"/>
      <c r="SSO98" s="293"/>
      <c r="SSP98" s="293"/>
      <c r="SSQ98" s="293"/>
      <c r="SSR98" s="293"/>
      <c r="SSS98" s="293"/>
      <c r="SST98" s="293"/>
      <c r="SSU98" s="293"/>
      <c r="SSV98" s="293"/>
      <c r="SSW98" s="293"/>
      <c r="SSX98" s="293"/>
      <c r="SSY98" s="293"/>
      <c r="SSZ98" s="293"/>
      <c r="STA98" s="293"/>
      <c r="STB98" s="293"/>
      <c r="STC98" s="293"/>
      <c r="STD98" s="293"/>
      <c r="STE98" s="293"/>
      <c r="STF98" s="293"/>
      <c r="STG98" s="293"/>
      <c r="STH98" s="293"/>
      <c r="STI98" s="293"/>
      <c r="STJ98" s="293"/>
      <c r="STK98" s="293"/>
      <c r="STL98" s="293"/>
      <c r="STM98" s="293"/>
      <c r="STN98" s="293"/>
      <c r="STO98" s="293"/>
      <c r="STP98" s="293"/>
      <c r="STQ98" s="293"/>
      <c r="STR98" s="293"/>
      <c r="STS98" s="293"/>
      <c r="STT98" s="293"/>
      <c r="STU98" s="293"/>
      <c r="STV98" s="293"/>
      <c r="STW98" s="293"/>
      <c r="STX98" s="293"/>
      <c r="STY98" s="293"/>
      <c r="STZ98" s="293"/>
      <c r="SUA98" s="293"/>
      <c r="SUB98" s="293"/>
      <c r="SUC98" s="293"/>
      <c r="SUD98" s="293"/>
      <c r="SUE98" s="293"/>
      <c r="SUF98" s="293"/>
      <c r="SUG98" s="293"/>
      <c r="SUH98" s="293"/>
      <c r="SUI98" s="293"/>
      <c r="SUJ98" s="293"/>
      <c r="SUK98" s="293"/>
      <c r="SUL98" s="293"/>
      <c r="SUM98" s="293"/>
      <c r="SUN98" s="293"/>
      <c r="SUO98" s="293"/>
      <c r="SUP98" s="293"/>
      <c r="SUQ98" s="293"/>
      <c r="SUR98" s="293"/>
      <c r="SUS98" s="293"/>
      <c r="SUT98" s="293"/>
      <c r="SUU98" s="293"/>
      <c r="SUV98" s="293"/>
      <c r="SUW98" s="293"/>
      <c r="SUX98" s="293"/>
      <c r="SUY98" s="293"/>
      <c r="SUZ98" s="293"/>
      <c r="SVA98" s="293"/>
      <c r="SVB98" s="293"/>
      <c r="SVC98" s="293"/>
      <c r="SVD98" s="293"/>
      <c r="SVE98" s="293"/>
      <c r="SVF98" s="293"/>
      <c r="SVG98" s="293"/>
      <c r="SVH98" s="293"/>
      <c r="SVI98" s="293"/>
      <c r="SVJ98" s="293"/>
      <c r="SVK98" s="293"/>
      <c r="SVL98" s="293"/>
      <c r="SVM98" s="293"/>
      <c r="SVN98" s="293"/>
      <c r="SVO98" s="293"/>
      <c r="SVP98" s="293"/>
      <c r="SVQ98" s="293"/>
      <c r="SVR98" s="293"/>
      <c r="SVS98" s="293"/>
      <c r="SVT98" s="293"/>
      <c r="SVU98" s="293"/>
      <c r="SVV98" s="293"/>
      <c r="SVW98" s="293"/>
      <c r="SVX98" s="293"/>
      <c r="SVY98" s="293"/>
      <c r="SVZ98" s="293"/>
      <c r="SWA98" s="293"/>
      <c r="SWB98" s="293"/>
      <c r="SWC98" s="293"/>
      <c r="SWD98" s="293"/>
      <c r="SWE98" s="293"/>
      <c r="SWF98" s="293"/>
      <c r="SWG98" s="293"/>
      <c r="SWH98" s="293"/>
      <c r="SWI98" s="293"/>
      <c r="SWJ98" s="293"/>
      <c r="SWK98" s="293"/>
      <c r="SWL98" s="293"/>
      <c r="SWM98" s="293"/>
      <c r="SWN98" s="293"/>
      <c r="SWO98" s="293"/>
      <c r="SWP98" s="293"/>
      <c r="SWQ98" s="293"/>
      <c r="SWR98" s="293"/>
      <c r="SWS98" s="293"/>
      <c r="SWT98" s="293"/>
      <c r="SWU98" s="293"/>
      <c r="SWV98" s="293"/>
      <c r="SWW98" s="293"/>
      <c r="SWX98" s="293"/>
      <c r="SWY98" s="293"/>
      <c r="SWZ98" s="293"/>
      <c r="SXA98" s="293"/>
      <c r="SXB98" s="293"/>
      <c r="SXC98" s="293"/>
      <c r="SXD98" s="293"/>
      <c r="SXE98" s="293"/>
      <c r="SXF98" s="293"/>
      <c r="SXG98" s="293"/>
      <c r="SXH98" s="293"/>
      <c r="SXI98" s="293"/>
      <c r="SXJ98" s="293"/>
      <c r="SXK98" s="293"/>
      <c r="SXL98" s="293"/>
      <c r="SXM98" s="293"/>
      <c r="SXN98" s="293"/>
      <c r="SXO98" s="293"/>
      <c r="SXP98" s="293"/>
      <c r="SXQ98" s="293"/>
      <c r="SXR98" s="293"/>
      <c r="SXS98" s="293"/>
      <c r="SXT98" s="293"/>
      <c r="SXU98" s="293"/>
      <c r="SXV98" s="293"/>
      <c r="SXW98" s="293"/>
      <c r="SXX98" s="293"/>
      <c r="SXY98" s="293"/>
      <c r="SXZ98" s="293"/>
      <c r="SYA98" s="293"/>
      <c r="SYB98" s="293"/>
      <c r="SYC98" s="293"/>
      <c r="SYD98" s="293"/>
      <c r="SYE98" s="293"/>
      <c r="SYF98" s="293"/>
      <c r="SYG98" s="293"/>
      <c r="SYH98" s="293"/>
      <c r="SYI98" s="293"/>
      <c r="SYJ98" s="293"/>
      <c r="SYK98" s="293"/>
      <c r="SYL98" s="293"/>
      <c r="SYM98" s="293"/>
      <c r="SYN98" s="293"/>
      <c r="SYO98" s="293"/>
      <c r="SYP98" s="293"/>
      <c r="SYQ98" s="293"/>
      <c r="SYR98" s="293"/>
      <c r="SYS98" s="293"/>
      <c r="SYT98" s="293"/>
      <c r="SYU98" s="293"/>
      <c r="SYV98" s="293"/>
      <c r="SYW98" s="293"/>
      <c r="SYX98" s="293"/>
      <c r="SYY98" s="293"/>
      <c r="SYZ98" s="293"/>
      <c r="SZA98" s="293"/>
      <c r="SZB98" s="293"/>
      <c r="SZC98" s="293"/>
      <c r="SZD98" s="293"/>
      <c r="SZE98" s="293"/>
      <c r="SZF98" s="293"/>
      <c r="SZG98" s="293"/>
      <c r="SZH98" s="293"/>
      <c r="SZI98" s="293"/>
      <c r="SZJ98" s="293"/>
      <c r="SZK98" s="293"/>
      <c r="SZL98" s="293"/>
      <c r="SZM98" s="293"/>
      <c r="SZN98" s="293"/>
      <c r="SZO98" s="293"/>
      <c r="SZP98" s="293"/>
      <c r="SZQ98" s="293"/>
      <c r="SZR98" s="293"/>
      <c r="SZS98" s="293"/>
      <c r="SZT98" s="293"/>
      <c r="SZU98" s="293"/>
      <c r="SZV98" s="293"/>
      <c r="SZW98" s="293"/>
      <c r="SZX98" s="293"/>
      <c r="SZY98" s="293"/>
      <c r="SZZ98" s="293"/>
      <c r="TAA98" s="293"/>
      <c r="TAB98" s="293"/>
      <c r="TAC98" s="293"/>
      <c r="TAD98" s="293"/>
      <c r="TAE98" s="293"/>
      <c r="TAF98" s="293"/>
      <c r="TAG98" s="293"/>
      <c r="TAH98" s="293"/>
      <c r="TAI98" s="293"/>
      <c r="TAJ98" s="293"/>
      <c r="TAK98" s="293"/>
      <c r="TAL98" s="293"/>
      <c r="TAM98" s="293"/>
      <c r="TAN98" s="293"/>
      <c r="TAO98" s="293"/>
      <c r="TAP98" s="293"/>
      <c r="TAQ98" s="293"/>
      <c r="TAR98" s="293"/>
      <c r="TAS98" s="293"/>
      <c r="TAT98" s="293"/>
      <c r="TAU98" s="293"/>
      <c r="TAV98" s="293"/>
      <c r="TAW98" s="293"/>
      <c r="TAX98" s="293"/>
      <c r="TAY98" s="293"/>
      <c r="TAZ98" s="293"/>
      <c r="TBA98" s="293"/>
      <c r="TBB98" s="293"/>
      <c r="TBC98" s="293"/>
      <c r="TBD98" s="293"/>
      <c r="TBE98" s="293"/>
      <c r="TBF98" s="293"/>
      <c r="TBG98" s="293"/>
      <c r="TBH98" s="293"/>
      <c r="TBI98" s="293"/>
      <c r="TBJ98" s="293"/>
      <c r="TBK98" s="293"/>
      <c r="TBL98" s="293"/>
      <c r="TBM98" s="293"/>
      <c r="TBN98" s="293"/>
      <c r="TBO98" s="293"/>
      <c r="TBP98" s="293"/>
      <c r="TBQ98" s="293"/>
      <c r="TBR98" s="293"/>
      <c r="TBS98" s="293"/>
      <c r="TBT98" s="293"/>
      <c r="TBU98" s="293"/>
      <c r="TBV98" s="293"/>
      <c r="TBW98" s="293"/>
      <c r="TBX98" s="293"/>
      <c r="TBY98" s="293"/>
      <c r="TBZ98" s="293"/>
      <c r="TCA98" s="293"/>
      <c r="TCB98" s="293"/>
      <c r="TCC98" s="293"/>
      <c r="TCD98" s="293"/>
      <c r="TCE98" s="293"/>
      <c r="TCF98" s="293"/>
      <c r="TCG98" s="293"/>
      <c r="TCH98" s="293"/>
      <c r="TCI98" s="293"/>
      <c r="TCJ98" s="293"/>
      <c r="TCK98" s="293"/>
      <c r="TCL98" s="293"/>
      <c r="TCM98" s="293"/>
      <c r="TCN98" s="293"/>
      <c r="TCO98" s="293"/>
      <c r="TCP98" s="293"/>
      <c r="TCQ98" s="293"/>
      <c r="TCR98" s="293"/>
      <c r="TCS98" s="293"/>
      <c r="TCT98" s="293"/>
      <c r="TCU98" s="293"/>
      <c r="TCV98" s="293"/>
      <c r="TCW98" s="293"/>
      <c r="TCX98" s="293"/>
      <c r="TCY98" s="293"/>
      <c r="TCZ98" s="293"/>
      <c r="TDA98" s="293"/>
      <c r="TDB98" s="293"/>
      <c r="TDC98" s="293"/>
      <c r="TDD98" s="293"/>
      <c r="TDE98" s="293"/>
      <c r="TDF98" s="293"/>
      <c r="TDG98" s="293"/>
      <c r="TDH98" s="293"/>
      <c r="TDI98" s="293"/>
      <c r="TDJ98" s="293"/>
      <c r="TDK98" s="293"/>
      <c r="TDL98" s="293"/>
      <c r="TDM98" s="293"/>
      <c r="TDN98" s="293"/>
      <c r="TDO98" s="293"/>
      <c r="TDP98" s="293"/>
      <c r="TDQ98" s="293"/>
      <c r="TDR98" s="293"/>
      <c r="TDS98" s="293"/>
      <c r="TDT98" s="293"/>
      <c r="TDU98" s="293"/>
      <c r="TDV98" s="293"/>
      <c r="TDW98" s="293"/>
      <c r="TDX98" s="293"/>
      <c r="TDY98" s="293"/>
      <c r="TDZ98" s="293"/>
      <c r="TEA98" s="293"/>
      <c r="TEB98" s="293"/>
      <c r="TEC98" s="293"/>
      <c r="TED98" s="293"/>
      <c r="TEE98" s="293"/>
      <c r="TEF98" s="293"/>
      <c r="TEG98" s="293"/>
      <c r="TEH98" s="293"/>
      <c r="TEI98" s="293"/>
      <c r="TEJ98" s="293"/>
      <c r="TEK98" s="293"/>
      <c r="TEL98" s="293"/>
      <c r="TEM98" s="293"/>
      <c r="TEN98" s="293"/>
      <c r="TEO98" s="293"/>
      <c r="TEP98" s="293"/>
      <c r="TEQ98" s="293"/>
      <c r="TER98" s="293"/>
      <c r="TES98" s="293"/>
      <c r="TET98" s="293"/>
      <c r="TEU98" s="293"/>
      <c r="TEV98" s="293"/>
      <c r="TEW98" s="293"/>
      <c r="TEX98" s="293"/>
      <c r="TEY98" s="293"/>
      <c r="TEZ98" s="293"/>
      <c r="TFA98" s="293"/>
      <c r="TFB98" s="293"/>
      <c r="TFC98" s="293"/>
      <c r="TFD98" s="293"/>
      <c r="TFE98" s="293"/>
      <c r="TFF98" s="293"/>
      <c r="TFG98" s="293"/>
      <c r="TFH98" s="293"/>
      <c r="TFI98" s="293"/>
      <c r="TFJ98" s="293"/>
      <c r="TFK98" s="293"/>
      <c r="TFL98" s="293"/>
      <c r="TFM98" s="293"/>
      <c r="TFN98" s="293"/>
      <c r="TFO98" s="293"/>
      <c r="TFP98" s="293"/>
      <c r="TFQ98" s="293"/>
      <c r="TFR98" s="293"/>
      <c r="TFS98" s="293"/>
      <c r="TFT98" s="293"/>
      <c r="TFU98" s="293"/>
      <c r="TFV98" s="293"/>
      <c r="TFW98" s="293"/>
      <c r="TFX98" s="293"/>
      <c r="TFY98" s="293"/>
      <c r="TFZ98" s="293"/>
      <c r="TGA98" s="293"/>
      <c r="TGB98" s="293"/>
      <c r="TGC98" s="293"/>
      <c r="TGD98" s="293"/>
      <c r="TGE98" s="293"/>
      <c r="TGF98" s="293"/>
      <c r="TGG98" s="293"/>
      <c r="TGH98" s="293"/>
      <c r="TGI98" s="293"/>
      <c r="TGJ98" s="293"/>
      <c r="TGK98" s="293"/>
      <c r="TGL98" s="293"/>
      <c r="TGM98" s="293"/>
      <c r="TGN98" s="293"/>
      <c r="TGO98" s="293"/>
      <c r="TGP98" s="293"/>
      <c r="TGQ98" s="293"/>
      <c r="TGR98" s="293"/>
      <c r="TGS98" s="293"/>
      <c r="TGT98" s="293"/>
      <c r="TGU98" s="293"/>
      <c r="TGV98" s="293"/>
      <c r="TGW98" s="293"/>
      <c r="TGX98" s="293"/>
      <c r="TGY98" s="293"/>
      <c r="TGZ98" s="293"/>
      <c r="THA98" s="293"/>
      <c r="THB98" s="293"/>
      <c r="THC98" s="293"/>
      <c r="THD98" s="293"/>
      <c r="THE98" s="293"/>
      <c r="THF98" s="293"/>
      <c r="THG98" s="293"/>
      <c r="THH98" s="293"/>
      <c r="THI98" s="293"/>
      <c r="THJ98" s="293"/>
      <c r="THK98" s="293"/>
      <c r="THL98" s="293"/>
      <c r="THM98" s="293"/>
      <c r="THN98" s="293"/>
      <c r="THO98" s="293"/>
      <c r="THP98" s="293"/>
      <c r="THQ98" s="293"/>
      <c r="THR98" s="293"/>
      <c r="THS98" s="293"/>
      <c r="THT98" s="293"/>
      <c r="THU98" s="293"/>
      <c r="THV98" s="293"/>
      <c r="THW98" s="293"/>
      <c r="THX98" s="293"/>
      <c r="THY98" s="293"/>
      <c r="THZ98" s="293"/>
      <c r="TIA98" s="293"/>
      <c r="TIB98" s="293"/>
      <c r="TIC98" s="293"/>
      <c r="TID98" s="293"/>
      <c r="TIE98" s="293"/>
      <c r="TIF98" s="293"/>
      <c r="TIG98" s="293"/>
      <c r="TIH98" s="293"/>
      <c r="TII98" s="293"/>
      <c r="TIJ98" s="293"/>
      <c r="TIK98" s="293"/>
      <c r="TIL98" s="293"/>
      <c r="TIM98" s="293"/>
      <c r="TIN98" s="293"/>
      <c r="TIO98" s="293"/>
      <c r="TIP98" s="293"/>
      <c r="TIQ98" s="293"/>
      <c r="TIR98" s="293"/>
      <c r="TIS98" s="293"/>
      <c r="TIT98" s="293"/>
      <c r="TIU98" s="293"/>
      <c r="TIV98" s="293"/>
      <c r="TIW98" s="293"/>
      <c r="TIX98" s="293"/>
      <c r="TIY98" s="293"/>
      <c r="TIZ98" s="293"/>
      <c r="TJA98" s="293"/>
      <c r="TJB98" s="293"/>
      <c r="TJC98" s="293"/>
      <c r="TJD98" s="293"/>
      <c r="TJE98" s="293"/>
      <c r="TJF98" s="293"/>
      <c r="TJG98" s="293"/>
      <c r="TJH98" s="293"/>
      <c r="TJI98" s="293"/>
      <c r="TJJ98" s="293"/>
      <c r="TJK98" s="293"/>
      <c r="TJL98" s="293"/>
      <c r="TJM98" s="293"/>
      <c r="TJN98" s="293"/>
      <c r="TJO98" s="293"/>
      <c r="TJP98" s="293"/>
      <c r="TJQ98" s="293"/>
      <c r="TJR98" s="293"/>
      <c r="TJS98" s="293"/>
      <c r="TJT98" s="293"/>
      <c r="TJU98" s="293"/>
      <c r="TJV98" s="293"/>
      <c r="TJW98" s="293"/>
      <c r="TJX98" s="293"/>
      <c r="TJY98" s="293"/>
      <c r="TJZ98" s="293"/>
      <c r="TKA98" s="293"/>
      <c r="TKB98" s="293"/>
      <c r="TKC98" s="293"/>
      <c r="TKD98" s="293"/>
      <c r="TKE98" s="293"/>
      <c r="TKF98" s="293"/>
      <c r="TKG98" s="293"/>
      <c r="TKH98" s="293"/>
      <c r="TKI98" s="293"/>
      <c r="TKJ98" s="293"/>
      <c r="TKK98" s="293"/>
      <c r="TKL98" s="293"/>
      <c r="TKM98" s="293"/>
      <c r="TKN98" s="293"/>
      <c r="TKO98" s="293"/>
      <c r="TKP98" s="293"/>
      <c r="TKQ98" s="293"/>
      <c r="TKR98" s="293"/>
      <c r="TKS98" s="293"/>
      <c r="TKT98" s="293"/>
      <c r="TKU98" s="293"/>
      <c r="TKV98" s="293"/>
      <c r="TKW98" s="293"/>
      <c r="TKX98" s="293"/>
      <c r="TKY98" s="293"/>
      <c r="TKZ98" s="293"/>
      <c r="TLA98" s="293"/>
      <c r="TLB98" s="293"/>
      <c r="TLC98" s="293"/>
      <c r="TLD98" s="293"/>
      <c r="TLE98" s="293"/>
      <c r="TLF98" s="293"/>
      <c r="TLG98" s="293"/>
      <c r="TLH98" s="293"/>
      <c r="TLI98" s="293"/>
      <c r="TLJ98" s="293"/>
      <c r="TLK98" s="293"/>
      <c r="TLL98" s="293"/>
      <c r="TLM98" s="293"/>
      <c r="TLN98" s="293"/>
      <c r="TLO98" s="293"/>
      <c r="TLP98" s="293"/>
      <c r="TLQ98" s="293"/>
      <c r="TLR98" s="293"/>
      <c r="TLS98" s="293"/>
      <c r="TLT98" s="293"/>
      <c r="TLU98" s="293"/>
      <c r="TLV98" s="293"/>
      <c r="TLW98" s="293"/>
      <c r="TLX98" s="293"/>
      <c r="TLY98" s="293"/>
      <c r="TLZ98" s="293"/>
      <c r="TMA98" s="293"/>
      <c r="TMB98" s="293"/>
      <c r="TMC98" s="293"/>
      <c r="TMD98" s="293"/>
      <c r="TME98" s="293"/>
      <c r="TMF98" s="293"/>
      <c r="TMG98" s="293"/>
      <c r="TMH98" s="293"/>
      <c r="TMI98" s="293"/>
      <c r="TMJ98" s="293"/>
      <c r="TMK98" s="293"/>
      <c r="TML98" s="293"/>
      <c r="TMM98" s="293"/>
      <c r="TMN98" s="293"/>
      <c r="TMO98" s="293"/>
      <c r="TMP98" s="293"/>
      <c r="TMQ98" s="293"/>
      <c r="TMR98" s="293"/>
      <c r="TMS98" s="293"/>
      <c r="TMT98" s="293"/>
      <c r="TMU98" s="293"/>
      <c r="TMV98" s="293"/>
      <c r="TMW98" s="293"/>
      <c r="TMX98" s="293"/>
      <c r="TMY98" s="293"/>
      <c r="TMZ98" s="293"/>
      <c r="TNA98" s="293"/>
      <c r="TNB98" s="293"/>
      <c r="TNC98" s="293"/>
      <c r="TND98" s="293"/>
      <c r="TNE98" s="293"/>
      <c r="TNF98" s="293"/>
      <c r="TNG98" s="293"/>
      <c r="TNH98" s="293"/>
      <c r="TNI98" s="293"/>
      <c r="TNJ98" s="293"/>
      <c r="TNK98" s="293"/>
      <c r="TNL98" s="293"/>
      <c r="TNM98" s="293"/>
      <c r="TNN98" s="293"/>
      <c r="TNO98" s="293"/>
      <c r="TNP98" s="293"/>
      <c r="TNQ98" s="293"/>
      <c r="TNR98" s="293"/>
      <c r="TNS98" s="293"/>
      <c r="TNT98" s="293"/>
      <c r="TNU98" s="293"/>
      <c r="TNV98" s="293"/>
      <c r="TNW98" s="293"/>
      <c r="TNX98" s="293"/>
      <c r="TNY98" s="293"/>
      <c r="TNZ98" s="293"/>
      <c r="TOA98" s="293"/>
      <c r="TOB98" s="293"/>
      <c r="TOC98" s="293"/>
      <c r="TOD98" s="293"/>
      <c r="TOE98" s="293"/>
      <c r="TOF98" s="293"/>
      <c r="TOG98" s="293"/>
      <c r="TOH98" s="293"/>
      <c r="TOI98" s="293"/>
      <c r="TOJ98" s="293"/>
      <c r="TOK98" s="293"/>
      <c r="TOL98" s="293"/>
      <c r="TOM98" s="293"/>
      <c r="TON98" s="293"/>
      <c r="TOO98" s="293"/>
      <c r="TOP98" s="293"/>
      <c r="TOQ98" s="293"/>
      <c r="TOR98" s="293"/>
      <c r="TOS98" s="293"/>
      <c r="TOT98" s="293"/>
      <c r="TOU98" s="293"/>
      <c r="TOV98" s="293"/>
      <c r="TOW98" s="293"/>
      <c r="TOX98" s="293"/>
      <c r="TOY98" s="293"/>
      <c r="TOZ98" s="293"/>
      <c r="TPA98" s="293"/>
      <c r="TPB98" s="293"/>
      <c r="TPC98" s="293"/>
      <c r="TPD98" s="293"/>
      <c r="TPE98" s="293"/>
      <c r="TPF98" s="293"/>
      <c r="TPG98" s="293"/>
      <c r="TPH98" s="293"/>
      <c r="TPI98" s="293"/>
      <c r="TPJ98" s="293"/>
      <c r="TPK98" s="293"/>
      <c r="TPL98" s="293"/>
      <c r="TPM98" s="293"/>
      <c r="TPN98" s="293"/>
      <c r="TPO98" s="293"/>
      <c r="TPP98" s="293"/>
      <c r="TPQ98" s="293"/>
      <c r="TPR98" s="293"/>
      <c r="TPS98" s="293"/>
      <c r="TPT98" s="293"/>
      <c r="TPU98" s="293"/>
      <c r="TPV98" s="293"/>
      <c r="TPW98" s="293"/>
      <c r="TPX98" s="293"/>
      <c r="TPY98" s="293"/>
      <c r="TPZ98" s="293"/>
      <c r="TQA98" s="293"/>
      <c r="TQB98" s="293"/>
      <c r="TQC98" s="293"/>
      <c r="TQD98" s="293"/>
      <c r="TQE98" s="293"/>
      <c r="TQF98" s="293"/>
      <c r="TQG98" s="293"/>
      <c r="TQH98" s="293"/>
      <c r="TQI98" s="293"/>
      <c r="TQJ98" s="293"/>
      <c r="TQK98" s="293"/>
      <c r="TQL98" s="293"/>
      <c r="TQM98" s="293"/>
      <c r="TQN98" s="293"/>
      <c r="TQO98" s="293"/>
      <c r="TQP98" s="293"/>
      <c r="TQQ98" s="293"/>
      <c r="TQR98" s="293"/>
      <c r="TQS98" s="293"/>
      <c r="TQT98" s="293"/>
      <c r="TQU98" s="293"/>
      <c r="TQV98" s="293"/>
      <c r="TQW98" s="293"/>
      <c r="TQX98" s="293"/>
      <c r="TQY98" s="293"/>
      <c r="TQZ98" s="293"/>
      <c r="TRA98" s="293"/>
      <c r="TRB98" s="293"/>
      <c r="TRC98" s="293"/>
      <c r="TRD98" s="293"/>
      <c r="TRE98" s="293"/>
      <c r="TRF98" s="293"/>
      <c r="TRG98" s="293"/>
      <c r="TRH98" s="293"/>
      <c r="TRI98" s="293"/>
      <c r="TRJ98" s="293"/>
      <c r="TRK98" s="293"/>
      <c r="TRL98" s="293"/>
      <c r="TRM98" s="293"/>
      <c r="TRN98" s="293"/>
      <c r="TRO98" s="293"/>
      <c r="TRP98" s="293"/>
      <c r="TRQ98" s="293"/>
      <c r="TRR98" s="293"/>
      <c r="TRS98" s="293"/>
      <c r="TRT98" s="293"/>
      <c r="TRU98" s="293"/>
      <c r="TRV98" s="293"/>
      <c r="TRW98" s="293"/>
      <c r="TRX98" s="293"/>
      <c r="TRY98" s="293"/>
      <c r="TRZ98" s="293"/>
      <c r="TSA98" s="293"/>
      <c r="TSB98" s="293"/>
      <c r="TSC98" s="293"/>
      <c r="TSD98" s="293"/>
      <c r="TSE98" s="293"/>
      <c r="TSF98" s="293"/>
      <c r="TSG98" s="293"/>
      <c r="TSH98" s="293"/>
      <c r="TSI98" s="293"/>
      <c r="TSJ98" s="293"/>
      <c r="TSK98" s="293"/>
      <c r="TSL98" s="293"/>
      <c r="TSM98" s="293"/>
      <c r="TSN98" s="293"/>
      <c r="TSO98" s="293"/>
      <c r="TSP98" s="293"/>
      <c r="TSQ98" s="293"/>
      <c r="TSR98" s="293"/>
      <c r="TSS98" s="293"/>
      <c r="TST98" s="293"/>
      <c r="TSU98" s="293"/>
      <c r="TSV98" s="293"/>
      <c r="TSW98" s="293"/>
      <c r="TSX98" s="293"/>
      <c r="TSY98" s="293"/>
      <c r="TSZ98" s="293"/>
      <c r="TTA98" s="293"/>
      <c r="TTB98" s="293"/>
      <c r="TTC98" s="293"/>
      <c r="TTD98" s="293"/>
      <c r="TTE98" s="293"/>
      <c r="TTF98" s="293"/>
      <c r="TTG98" s="293"/>
      <c r="TTH98" s="293"/>
      <c r="TTI98" s="293"/>
      <c r="TTJ98" s="293"/>
      <c r="TTK98" s="293"/>
      <c r="TTL98" s="293"/>
      <c r="TTM98" s="293"/>
      <c r="TTN98" s="293"/>
      <c r="TTO98" s="293"/>
      <c r="TTP98" s="293"/>
      <c r="TTQ98" s="293"/>
      <c r="TTR98" s="293"/>
      <c r="TTS98" s="293"/>
      <c r="TTT98" s="293"/>
      <c r="TTU98" s="293"/>
      <c r="TTV98" s="293"/>
      <c r="TTW98" s="293"/>
      <c r="TTX98" s="293"/>
      <c r="TTY98" s="293"/>
      <c r="TTZ98" s="293"/>
      <c r="TUA98" s="293"/>
      <c r="TUB98" s="293"/>
      <c r="TUC98" s="293"/>
      <c r="TUD98" s="293"/>
      <c r="TUE98" s="293"/>
      <c r="TUF98" s="293"/>
      <c r="TUG98" s="293"/>
      <c r="TUH98" s="293"/>
      <c r="TUI98" s="293"/>
      <c r="TUJ98" s="293"/>
      <c r="TUK98" s="293"/>
      <c r="TUL98" s="293"/>
      <c r="TUM98" s="293"/>
      <c r="TUN98" s="293"/>
      <c r="TUO98" s="293"/>
      <c r="TUP98" s="293"/>
      <c r="TUQ98" s="293"/>
      <c r="TUR98" s="293"/>
      <c r="TUS98" s="293"/>
      <c r="TUT98" s="293"/>
      <c r="TUU98" s="293"/>
      <c r="TUV98" s="293"/>
      <c r="TUW98" s="293"/>
      <c r="TUX98" s="293"/>
      <c r="TUY98" s="293"/>
      <c r="TUZ98" s="293"/>
      <c r="TVA98" s="293"/>
      <c r="TVB98" s="293"/>
      <c r="TVC98" s="293"/>
      <c r="TVD98" s="293"/>
      <c r="TVE98" s="293"/>
      <c r="TVF98" s="293"/>
      <c r="TVG98" s="293"/>
      <c r="TVH98" s="293"/>
      <c r="TVI98" s="293"/>
      <c r="TVJ98" s="293"/>
      <c r="TVK98" s="293"/>
      <c r="TVL98" s="293"/>
      <c r="TVM98" s="293"/>
      <c r="TVN98" s="293"/>
      <c r="TVO98" s="293"/>
      <c r="TVP98" s="293"/>
      <c r="TVQ98" s="293"/>
      <c r="TVR98" s="293"/>
      <c r="TVS98" s="293"/>
      <c r="TVT98" s="293"/>
      <c r="TVU98" s="293"/>
      <c r="TVV98" s="293"/>
      <c r="TVW98" s="293"/>
      <c r="TVX98" s="293"/>
      <c r="TVY98" s="293"/>
      <c r="TVZ98" s="293"/>
      <c r="TWA98" s="293"/>
      <c r="TWB98" s="293"/>
      <c r="TWC98" s="293"/>
      <c r="TWD98" s="293"/>
      <c r="TWE98" s="293"/>
      <c r="TWF98" s="293"/>
      <c r="TWG98" s="293"/>
      <c r="TWH98" s="293"/>
      <c r="TWI98" s="293"/>
      <c r="TWJ98" s="293"/>
      <c r="TWK98" s="293"/>
      <c r="TWL98" s="293"/>
      <c r="TWM98" s="293"/>
      <c r="TWN98" s="293"/>
      <c r="TWO98" s="293"/>
      <c r="TWP98" s="293"/>
      <c r="TWQ98" s="293"/>
      <c r="TWR98" s="293"/>
      <c r="TWS98" s="293"/>
      <c r="TWT98" s="293"/>
      <c r="TWU98" s="293"/>
      <c r="TWV98" s="293"/>
      <c r="TWW98" s="293"/>
      <c r="TWX98" s="293"/>
      <c r="TWY98" s="293"/>
      <c r="TWZ98" s="293"/>
      <c r="TXA98" s="293"/>
      <c r="TXB98" s="293"/>
      <c r="TXC98" s="293"/>
      <c r="TXD98" s="293"/>
      <c r="TXE98" s="293"/>
      <c r="TXF98" s="293"/>
      <c r="TXG98" s="293"/>
      <c r="TXH98" s="293"/>
      <c r="TXI98" s="293"/>
      <c r="TXJ98" s="293"/>
      <c r="TXK98" s="293"/>
      <c r="TXL98" s="293"/>
      <c r="TXM98" s="293"/>
      <c r="TXN98" s="293"/>
      <c r="TXO98" s="293"/>
      <c r="TXP98" s="293"/>
      <c r="TXQ98" s="293"/>
      <c r="TXR98" s="293"/>
      <c r="TXS98" s="293"/>
      <c r="TXT98" s="293"/>
      <c r="TXU98" s="293"/>
      <c r="TXV98" s="293"/>
      <c r="TXW98" s="293"/>
      <c r="TXX98" s="293"/>
      <c r="TXY98" s="293"/>
      <c r="TXZ98" s="293"/>
      <c r="TYA98" s="293"/>
      <c r="TYB98" s="293"/>
      <c r="TYC98" s="293"/>
      <c r="TYD98" s="293"/>
      <c r="TYE98" s="293"/>
      <c r="TYF98" s="293"/>
      <c r="TYG98" s="293"/>
      <c r="TYH98" s="293"/>
      <c r="TYI98" s="293"/>
      <c r="TYJ98" s="293"/>
      <c r="TYK98" s="293"/>
      <c r="TYL98" s="293"/>
      <c r="TYM98" s="293"/>
      <c r="TYN98" s="293"/>
      <c r="TYO98" s="293"/>
      <c r="TYP98" s="293"/>
      <c r="TYQ98" s="293"/>
      <c r="TYR98" s="293"/>
      <c r="TYS98" s="293"/>
      <c r="TYT98" s="293"/>
      <c r="TYU98" s="293"/>
      <c r="TYV98" s="293"/>
      <c r="TYW98" s="293"/>
      <c r="TYX98" s="293"/>
      <c r="TYY98" s="293"/>
      <c r="TYZ98" s="293"/>
      <c r="TZA98" s="293"/>
      <c r="TZB98" s="293"/>
      <c r="TZC98" s="293"/>
      <c r="TZD98" s="293"/>
      <c r="TZE98" s="293"/>
      <c r="TZF98" s="293"/>
      <c r="TZG98" s="293"/>
      <c r="TZH98" s="293"/>
      <c r="TZI98" s="293"/>
      <c r="TZJ98" s="293"/>
      <c r="TZK98" s="293"/>
      <c r="TZL98" s="293"/>
      <c r="TZM98" s="293"/>
      <c r="TZN98" s="293"/>
      <c r="TZO98" s="293"/>
      <c r="TZP98" s="293"/>
      <c r="TZQ98" s="293"/>
      <c r="TZR98" s="293"/>
      <c r="TZS98" s="293"/>
      <c r="TZT98" s="293"/>
      <c r="TZU98" s="293"/>
      <c r="TZV98" s="293"/>
      <c r="TZW98" s="293"/>
      <c r="TZX98" s="293"/>
      <c r="TZY98" s="293"/>
      <c r="TZZ98" s="293"/>
      <c r="UAA98" s="293"/>
      <c r="UAB98" s="293"/>
      <c r="UAC98" s="293"/>
      <c r="UAD98" s="293"/>
      <c r="UAE98" s="293"/>
      <c r="UAF98" s="293"/>
      <c r="UAG98" s="293"/>
      <c r="UAH98" s="293"/>
      <c r="UAI98" s="293"/>
      <c r="UAJ98" s="293"/>
      <c r="UAK98" s="293"/>
      <c r="UAL98" s="293"/>
      <c r="UAM98" s="293"/>
      <c r="UAN98" s="293"/>
      <c r="UAO98" s="293"/>
      <c r="UAP98" s="293"/>
      <c r="UAQ98" s="293"/>
      <c r="UAR98" s="293"/>
      <c r="UAS98" s="293"/>
      <c r="UAT98" s="293"/>
      <c r="UAU98" s="293"/>
      <c r="UAV98" s="293"/>
      <c r="UAW98" s="293"/>
      <c r="UAX98" s="293"/>
      <c r="UAY98" s="293"/>
      <c r="UAZ98" s="293"/>
      <c r="UBA98" s="293"/>
      <c r="UBB98" s="293"/>
      <c r="UBC98" s="293"/>
      <c r="UBD98" s="293"/>
      <c r="UBE98" s="293"/>
      <c r="UBF98" s="293"/>
      <c r="UBG98" s="293"/>
      <c r="UBH98" s="293"/>
      <c r="UBI98" s="293"/>
      <c r="UBJ98" s="293"/>
      <c r="UBK98" s="293"/>
      <c r="UBL98" s="293"/>
      <c r="UBM98" s="293"/>
      <c r="UBN98" s="293"/>
      <c r="UBO98" s="293"/>
      <c r="UBP98" s="293"/>
      <c r="UBQ98" s="293"/>
      <c r="UBR98" s="293"/>
      <c r="UBS98" s="293"/>
      <c r="UBT98" s="293"/>
      <c r="UBU98" s="293"/>
      <c r="UBV98" s="293"/>
      <c r="UBW98" s="293"/>
      <c r="UBX98" s="293"/>
      <c r="UBY98" s="293"/>
      <c r="UBZ98" s="293"/>
      <c r="UCA98" s="293"/>
      <c r="UCB98" s="293"/>
      <c r="UCC98" s="293"/>
      <c r="UCD98" s="293"/>
      <c r="UCE98" s="293"/>
      <c r="UCF98" s="293"/>
      <c r="UCG98" s="293"/>
      <c r="UCH98" s="293"/>
      <c r="UCI98" s="293"/>
      <c r="UCJ98" s="293"/>
      <c r="UCK98" s="293"/>
      <c r="UCL98" s="293"/>
      <c r="UCM98" s="293"/>
      <c r="UCN98" s="293"/>
      <c r="UCO98" s="293"/>
      <c r="UCP98" s="293"/>
      <c r="UCQ98" s="293"/>
      <c r="UCR98" s="293"/>
      <c r="UCS98" s="293"/>
      <c r="UCT98" s="293"/>
      <c r="UCU98" s="293"/>
      <c r="UCV98" s="293"/>
      <c r="UCW98" s="293"/>
      <c r="UCX98" s="293"/>
      <c r="UCY98" s="293"/>
      <c r="UCZ98" s="293"/>
      <c r="UDA98" s="293"/>
      <c r="UDB98" s="293"/>
      <c r="UDC98" s="293"/>
      <c r="UDD98" s="293"/>
      <c r="UDE98" s="293"/>
      <c r="UDF98" s="293"/>
      <c r="UDG98" s="293"/>
      <c r="UDH98" s="293"/>
      <c r="UDI98" s="293"/>
      <c r="UDJ98" s="293"/>
      <c r="UDK98" s="293"/>
      <c r="UDL98" s="293"/>
      <c r="UDM98" s="293"/>
      <c r="UDN98" s="293"/>
      <c r="UDO98" s="293"/>
      <c r="UDP98" s="293"/>
      <c r="UDQ98" s="293"/>
      <c r="UDR98" s="293"/>
      <c r="UDS98" s="293"/>
      <c r="UDT98" s="293"/>
      <c r="UDU98" s="293"/>
      <c r="UDV98" s="293"/>
      <c r="UDW98" s="293"/>
      <c r="UDX98" s="293"/>
      <c r="UDY98" s="293"/>
      <c r="UDZ98" s="293"/>
      <c r="UEA98" s="293"/>
      <c r="UEB98" s="293"/>
      <c r="UEC98" s="293"/>
      <c r="UED98" s="293"/>
      <c r="UEE98" s="293"/>
      <c r="UEF98" s="293"/>
      <c r="UEG98" s="293"/>
      <c r="UEH98" s="293"/>
      <c r="UEI98" s="293"/>
      <c r="UEJ98" s="293"/>
      <c r="UEK98" s="293"/>
      <c r="UEL98" s="293"/>
      <c r="UEM98" s="293"/>
      <c r="UEN98" s="293"/>
      <c r="UEO98" s="293"/>
      <c r="UEP98" s="293"/>
      <c r="UEQ98" s="293"/>
      <c r="UER98" s="293"/>
      <c r="UES98" s="293"/>
      <c r="UET98" s="293"/>
      <c r="UEU98" s="293"/>
      <c r="UEV98" s="293"/>
      <c r="UEW98" s="293"/>
      <c r="UEX98" s="293"/>
      <c r="UEY98" s="293"/>
      <c r="UEZ98" s="293"/>
      <c r="UFA98" s="293"/>
      <c r="UFB98" s="293"/>
      <c r="UFC98" s="293"/>
      <c r="UFD98" s="293"/>
      <c r="UFE98" s="293"/>
      <c r="UFF98" s="293"/>
      <c r="UFG98" s="293"/>
      <c r="UFH98" s="293"/>
      <c r="UFI98" s="293"/>
      <c r="UFJ98" s="293"/>
      <c r="UFK98" s="293"/>
      <c r="UFL98" s="293"/>
      <c r="UFM98" s="293"/>
      <c r="UFN98" s="293"/>
      <c r="UFO98" s="293"/>
      <c r="UFP98" s="293"/>
      <c r="UFQ98" s="293"/>
      <c r="UFR98" s="293"/>
      <c r="UFS98" s="293"/>
      <c r="UFT98" s="293"/>
      <c r="UFU98" s="293"/>
      <c r="UFV98" s="293"/>
      <c r="UFW98" s="293"/>
      <c r="UFX98" s="293"/>
      <c r="UFY98" s="293"/>
      <c r="UFZ98" s="293"/>
      <c r="UGA98" s="293"/>
      <c r="UGB98" s="293"/>
      <c r="UGC98" s="293"/>
      <c r="UGD98" s="293"/>
      <c r="UGE98" s="293"/>
      <c r="UGF98" s="293"/>
      <c r="UGG98" s="293"/>
      <c r="UGH98" s="293"/>
      <c r="UGI98" s="293"/>
      <c r="UGJ98" s="293"/>
      <c r="UGK98" s="293"/>
      <c r="UGL98" s="293"/>
      <c r="UGM98" s="293"/>
      <c r="UGN98" s="293"/>
      <c r="UGO98" s="293"/>
      <c r="UGP98" s="293"/>
      <c r="UGQ98" s="293"/>
      <c r="UGR98" s="293"/>
      <c r="UGS98" s="293"/>
      <c r="UGT98" s="293"/>
      <c r="UGU98" s="293"/>
      <c r="UGV98" s="293"/>
      <c r="UGW98" s="293"/>
      <c r="UGX98" s="293"/>
      <c r="UGY98" s="293"/>
      <c r="UGZ98" s="293"/>
      <c r="UHA98" s="293"/>
      <c r="UHB98" s="293"/>
      <c r="UHC98" s="293"/>
      <c r="UHD98" s="293"/>
      <c r="UHE98" s="293"/>
      <c r="UHF98" s="293"/>
      <c r="UHG98" s="293"/>
      <c r="UHH98" s="293"/>
      <c r="UHI98" s="293"/>
      <c r="UHJ98" s="293"/>
      <c r="UHK98" s="293"/>
      <c r="UHL98" s="293"/>
      <c r="UHM98" s="293"/>
      <c r="UHN98" s="293"/>
      <c r="UHO98" s="293"/>
      <c r="UHP98" s="293"/>
      <c r="UHQ98" s="293"/>
      <c r="UHR98" s="293"/>
      <c r="UHS98" s="293"/>
      <c r="UHT98" s="293"/>
      <c r="UHU98" s="293"/>
      <c r="UHV98" s="293"/>
      <c r="UHW98" s="293"/>
      <c r="UHX98" s="293"/>
      <c r="UHY98" s="293"/>
      <c r="UHZ98" s="293"/>
      <c r="UIA98" s="293"/>
      <c r="UIB98" s="293"/>
      <c r="UIC98" s="293"/>
      <c r="UID98" s="293"/>
      <c r="UIE98" s="293"/>
      <c r="UIF98" s="293"/>
      <c r="UIG98" s="293"/>
      <c r="UIH98" s="293"/>
      <c r="UII98" s="293"/>
      <c r="UIJ98" s="293"/>
      <c r="UIK98" s="293"/>
      <c r="UIL98" s="293"/>
      <c r="UIM98" s="293"/>
      <c r="UIN98" s="293"/>
      <c r="UIO98" s="293"/>
      <c r="UIP98" s="293"/>
      <c r="UIQ98" s="293"/>
      <c r="UIR98" s="293"/>
      <c r="UIS98" s="293"/>
      <c r="UIT98" s="293"/>
      <c r="UIU98" s="293"/>
      <c r="UIV98" s="293"/>
      <c r="UIW98" s="293"/>
      <c r="UIX98" s="293"/>
      <c r="UIY98" s="293"/>
      <c r="UIZ98" s="293"/>
      <c r="UJA98" s="293"/>
      <c r="UJB98" s="293"/>
      <c r="UJC98" s="293"/>
      <c r="UJD98" s="293"/>
      <c r="UJE98" s="293"/>
      <c r="UJF98" s="293"/>
      <c r="UJG98" s="293"/>
      <c r="UJH98" s="293"/>
      <c r="UJI98" s="293"/>
      <c r="UJJ98" s="293"/>
      <c r="UJK98" s="293"/>
      <c r="UJL98" s="293"/>
      <c r="UJM98" s="293"/>
      <c r="UJN98" s="293"/>
      <c r="UJO98" s="293"/>
      <c r="UJP98" s="293"/>
      <c r="UJQ98" s="293"/>
      <c r="UJR98" s="293"/>
      <c r="UJS98" s="293"/>
      <c r="UJT98" s="293"/>
      <c r="UJU98" s="293"/>
      <c r="UJV98" s="293"/>
      <c r="UJW98" s="293"/>
      <c r="UJX98" s="293"/>
      <c r="UJY98" s="293"/>
      <c r="UJZ98" s="293"/>
      <c r="UKA98" s="293"/>
      <c r="UKB98" s="293"/>
      <c r="UKC98" s="293"/>
      <c r="UKD98" s="293"/>
      <c r="UKE98" s="293"/>
      <c r="UKF98" s="293"/>
      <c r="UKG98" s="293"/>
      <c r="UKH98" s="293"/>
      <c r="UKI98" s="293"/>
      <c r="UKJ98" s="293"/>
      <c r="UKK98" s="293"/>
      <c r="UKL98" s="293"/>
      <c r="UKM98" s="293"/>
      <c r="UKN98" s="293"/>
      <c r="UKO98" s="293"/>
      <c r="UKP98" s="293"/>
      <c r="UKQ98" s="293"/>
      <c r="UKR98" s="293"/>
      <c r="UKS98" s="293"/>
      <c r="UKT98" s="293"/>
      <c r="UKU98" s="293"/>
      <c r="UKV98" s="293"/>
      <c r="UKW98" s="293"/>
      <c r="UKX98" s="293"/>
      <c r="UKY98" s="293"/>
      <c r="UKZ98" s="293"/>
      <c r="ULA98" s="293"/>
      <c r="ULB98" s="293"/>
      <c r="ULC98" s="293"/>
      <c r="ULD98" s="293"/>
      <c r="ULE98" s="293"/>
      <c r="ULF98" s="293"/>
      <c r="ULG98" s="293"/>
      <c r="ULH98" s="293"/>
      <c r="ULI98" s="293"/>
      <c r="ULJ98" s="293"/>
      <c r="ULK98" s="293"/>
      <c r="ULL98" s="293"/>
      <c r="ULM98" s="293"/>
      <c r="ULN98" s="293"/>
      <c r="ULO98" s="293"/>
      <c r="ULP98" s="293"/>
      <c r="ULQ98" s="293"/>
      <c r="ULR98" s="293"/>
      <c r="ULS98" s="293"/>
      <c r="ULT98" s="293"/>
      <c r="ULU98" s="293"/>
      <c r="ULV98" s="293"/>
      <c r="ULW98" s="293"/>
      <c r="ULX98" s="293"/>
      <c r="ULY98" s="293"/>
      <c r="ULZ98" s="293"/>
      <c r="UMA98" s="293"/>
      <c r="UMB98" s="293"/>
      <c r="UMC98" s="293"/>
      <c r="UMD98" s="293"/>
      <c r="UME98" s="293"/>
      <c r="UMF98" s="293"/>
      <c r="UMG98" s="293"/>
      <c r="UMH98" s="293"/>
      <c r="UMI98" s="293"/>
      <c r="UMJ98" s="293"/>
      <c r="UMK98" s="293"/>
      <c r="UML98" s="293"/>
      <c r="UMM98" s="293"/>
      <c r="UMN98" s="293"/>
      <c r="UMO98" s="293"/>
      <c r="UMP98" s="293"/>
      <c r="UMQ98" s="293"/>
      <c r="UMR98" s="293"/>
      <c r="UMS98" s="293"/>
      <c r="UMT98" s="293"/>
      <c r="UMU98" s="293"/>
      <c r="UMV98" s="293"/>
      <c r="UMW98" s="293"/>
      <c r="UMX98" s="293"/>
      <c r="UMY98" s="293"/>
      <c r="UMZ98" s="293"/>
      <c r="UNA98" s="293"/>
      <c r="UNB98" s="293"/>
      <c r="UNC98" s="293"/>
      <c r="UND98" s="293"/>
      <c r="UNE98" s="293"/>
      <c r="UNF98" s="293"/>
      <c r="UNG98" s="293"/>
      <c r="UNH98" s="293"/>
      <c r="UNI98" s="293"/>
      <c r="UNJ98" s="293"/>
      <c r="UNK98" s="293"/>
      <c r="UNL98" s="293"/>
      <c r="UNM98" s="293"/>
      <c r="UNN98" s="293"/>
      <c r="UNO98" s="293"/>
      <c r="UNP98" s="293"/>
      <c r="UNQ98" s="293"/>
      <c r="UNR98" s="293"/>
      <c r="UNS98" s="293"/>
      <c r="UNT98" s="293"/>
      <c r="UNU98" s="293"/>
      <c r="UNV98" s="293"/>
      <c r="UNW98" s="293"/>
      <c r="UNX98" s="293"/>
      <c r="UNY98" s="293"/>
      <c r="UNZ98" s="293"/>
      <c r="UOA98" s="293"/>
      <c r="UOB98" s="293"/>
      <c r="UOC98" s="293"/>
      <c r="UOD98" s="293"/>
      <c r="UOE98" s="293"/>
      <c r="UOF98" s="293"/>
      <c r="UOG98" s="293"/>
      <c r="UOH98" s="293"/>
      <c r="UOI98" s="293"/>
      <c r="UOJ98" s="293"/>
      <c r="UOK98" s="293"/>
      <c r="UOL98" s="293"/>
      <c r="UOM98" s="293"/>
      <c r="UON98" s="293"/>
      <c r="UOO98" s="293"/>
      <c r="UOP98" s="293"/>
      <c r="UOQ98" s="293"/>
      <c r="UOR98" s="293"/>
      <c r="UOS98" s="293"/>
      <c r="UOT98" s="293"/>
      <c r="UOU98" s="293"/>
      <c r="UOV98" s="293"/>
      <c r="UOW98" s="293"/>
      <c r="UOX98" s="293"/>
      <c r="UOY98" s="293"/>
      <c r="UOZ98" s="293"/>
      <c r="UPA98" s="293"/>
      <c r="UPB98" s="293"/>
      <c r="UPC98" s="293"/>
      <c r="UPD98" s="293"/>
      <c r="UPE98" s="293"/>
      <c r="UPF98" s="293"/>
      <c r="UPG98" s="293"/>
      <c r="UPH98" s="293"/>
      <c r="UPI98" s="293"/>
      <c r="UPJ98" s="293"/>
      <c r="UPK98" s="293"/>
      <c r="UPL98" s="293"/>
      <c r="UPM98" s="293"/>
      <c r="UPN98" s="293"/>
      <c r="UPO98" s="293"/>
      <c r="UPP98" s="293"/>
      <c r="UPQ98" s="293"/>
      <c r="UPR98" s="293"/>
      <c r="UPS98" s="293"/>
      <c r="UPT98" s="293"/>
      <c r="UPU98" s="293"/>
      <c r="UPV98" s="293"/>
      <c r="UPW98" s="293"/>
      <c r="UPX98" s="293"/>
      <c r="UPY98" s="293"/>
      <c r="UPZ98" s="293"/>
      <c r="UQA98" s="293"/>
      <c r="UQB98" s="293"/>
      <c r="UQC98" s="293"/>
      <c r="UQD98" s="293"/>
      <c r="UQE98" s="293"/>
      <c r="UQF98" s="293"/>
      <c r="UQG98" s="293"/>
      <c r="UQH98" s="293"/>
      <c r="UQI98" s="293"/>
      <c r="UQJ98" s="293"/>
      <c r="UQK98" s="293"/>
      <c r="UQL98" s="293"/>
      <c r="UQM98" s="293"/>
      <c r="UQN98" s="293"/>
      <c r="UQO98" s="293"/>
      <c r="UQP98" s="293"/>
      <c r="UQQ98" s="293"/>
      <c r="UQR98" s="293"/>
      <c r="UQS98" s="293"/>
      <c r="UQT98" s="293"/>
      <c r="UQU98" s="293"/>
      <c r="UQV98" s="293"/>
      <c r="UQW98" s="293"/>
      <c r="UQX98" s="293"/>
      <c r="UQY98" s="293"/>
      <c r="UQZ98" s="293"/>
      <c r="URA98" s="293"/>
      <c r="URB98" s="293"/>
      <c r="URC98" s="293"/>
      <c r="URD98" s="293"/>
      <c r="URE98" s="293"/>
      <c r="URF98" s="293"/>
      <c r="URG98" s="293"/>
      <c r="URH98" s="293"/>
      <c r="URI98" s="293"/>
      <c r="URJ98" s="293"/>
      <c r="URK98" s="293"/>
      <c r="URL98" s="293"/>
      <c r="URM98" s="293"/>
      <c r="URN98" s="293"/>
      <c r="URO98" s="293"/>
      <c r="URP98" s="293"/>
      <c r="URQ98" s="293"/>
      <c r="URR98" s="293"/>
      <c r="URS98" s="293"/>
      <c r="URT98" s="293"/>
      <c r="URU98" s="293"/>
      <c r="URV98" s="293"/>
      <c r="URW98" s="293"/>
      <c r="URX98" s="293"/>
      <c r="URY98" s="293"/>
      <c r="URZ98" s="293"/>
      <c r="USA98" s="293"/>
      <c r="USB98" s="293"/>
      <c r="USC98" s="293"/>
      <c r="USD98" s="293"/>
      <c r="USE98" s="293"/>
      <c r="USF98" s="293"/>
      <c r="USG98" s="293"/>
      <c r="USH98" s="293"/>
      <c r="USI98" s="293"/>
      <c r="USJ98" s="293"/>
      <c r="USK98" s="293"/>
      <c r="USL98" s="293"/>
      <c r="USM98" s="293"/>
      <c r="USN98" s="293"/>
      <c r="USO98" s="293"/>
      <c r="USP98" s="293"/>
      <c r="USQ98" s="293"/>
      <c r="USR98" s="293"/>
      <c r="USS98" s="293"/>
      <c r="UST98" s="293"/>
      <c r="USU98" s="293"/>
      <c r="USV98" s="293"/>
      <c r="USW98" s="293"/>
      <c r="USX98" s="293"/>
      <c r="USY98" s="293"/>
      <c r="USZ98" s="293"/>
      <c r="UTA98" s="293"/>
      <c r="UTB98" s="293"/>
      <c r="UTC98" s="293"/>
      <c r="UTD98" s="293"/>
      <c r="UTE98" s="293"/>
      <c r="UTF98" s="293"/>
      <c r="UTG98" s="293"/>
      <c r="UTH98" s="293"/>
      <c r="UTI98" s="293"/>
      <c r="UTJ98" s="293"/>
      <c r="UTK98" s="293"/>
      <c r="UTL98" s="293"/>
      <c r="UTM98" s="293"/>
      <c r="UTN98" s="293"/>
      <c r="UTO98" s="293"/>
      <c r="UTP98" s="293"/>
      <c r="UTQ98" s="293"/>
      <c r="UTR98" s="293"/>
      <c r="UTS98" s="293"/>
      <c r="UTT98" s="293"/>
      <c r="UTU98" s="293"/>
      <c r="UTV98" s="293"/>
      <c r="UTW98" s="293"/>
      <c r="UTX98" s="293"/>
      <c r="UTY98" s="293"/>
      <c r="UTZ98" s="293"/>
      <c r="UUA98" s="293"/>
      <c r="UUB98" s="293"/>
      <c r="UUC98" s="293"/>
      <c r="UUD98" s="293"/>
      <c r="UUE98" s="293"/>
      <c r="UUF98" s="293"/>
      <c r="UUG98" s="293"/>
      <c r="UUH98" s="293"/>
      <c r="UUI98" s="293"/>
      <c r="UUJ98" s="293"/>
      <c r="UUK98" s="293"/>
      <c r="UUL98" s="293"/>
      <c r="UUM98" s="293"/>
      <c r="UUN98" s="293"/>
      <c r="UUO98" s="293"/>
      <c r="UUP98" s="293"/>
      <c r="UUQ98" s="293"/>
      <c r="UUR98" s="293"/>
      <c r="UUS98" s="293"/>
      <c r="UUT98" s="293"/>
      <c r="UUU98" s="293"/>
      <c r="UUV98" s="293"/>
      <c r="UUW98" s="293"/>
      <c r="UUX98" s="293"/>
      <c r="UUY98" s="293"/>
      <c r="UUZ98" s="293"/>
      <c r="UVA98" s="293"/>
      <c r="UVB98" s="293"/>
      <c r="UVC98" s="293"/>
      <c r="UVD98" s="293"/>
      <c r="UVE98" s="293"/>
      <c r="UVF98" s="293"/>
      <c r="UVG98" s="293"/>
      <c r="UVH98" s="293"/>
      <c r="UVI98" s="293"/>
      <c r="UVJ98" s="293"/>
      <c r="UVK98" s="293"/>
      <c r="UVL98" s="293"/>
      <c r="UVM98" s="293"/>
      <c r="UVN98" s="293"/>
      <c r="UVO98" s="293"/>
      <c r="UVP98" s="293"/>
      <c r="UVQ98" s="293"/>
      <c r="UVR98" s="293"/>
      <c r="UVS98" s="293"/>
      <c r="UVT98" s="293"/>
      <c r="UVU98" s="293"/>
      <c r="UVV98" s="293"/>
      <c r="UVW98" s="293"/>
      <c r="UVX98" s="293"/>
      <c r="UVY98" s="293"/>
      <c r="UVZ98" s="293"/>
      <c r="UWA98" s="293"/>
      <c r="UWB98" s="293"/>
      <c r="UWC98" s="293"/>
      <c r="UWD98" s="293"/>
      <c r="UWE98" s="293"/>
      <c r="UWF98" s="293"/>
      <c r="UWG98" s="293"/>
      <c r="UWH98" s="293"/>
      <c r="UWI98" s="293"/>
      <c r="UWJ98" s="293"/>
      <c r="UWK98" s="293"/>
      <c r="UWL98" s="293"/>
      <c r="UWM98" s="293"/>
      <c r="UWN98" s="293"/>
      <c r="UWO98" s="293"/>
      <c r="UWP98" s="293"/>
      <c r="UWQ98" s="293"/>
      <c r="UWR98" s="293"/>
      <c r="UWS98" s="293"/>
      <c r="UWT98" s="293"/>
      <c r="UWU98" s="293"/>
      <c r="UWV98" s="293"/>
      <c r="UWW98" s="293"/>
      <c r="UWX98" s="293"/>
      <c r="UWY98" s="293"/>
      <c r="UWZ98" s="293"/>
      <c r="UXA98" s="293"/>
      <c r="UXB98" s="293"/>
      <c r="UXC98" s="293"/>
      <c r="UXD98" s="293"/>
      <c r="UXE98" s="293"/>
      <c r="UXF98" s="293"/>
      <c r="UXG98" s="293"/>
      <c r="UXH98" s="293"/>
      <c r="UXI98" s="293"/>
      <c r="UXJ98" s="293"/>
      <c r="UXK98" s="293"/>
      <c r="UXL98" s="293"/>
      <c r="UXM98" s="293"/>
      <c r="UXN98" s="293"/>
      <c r="UXO98" s="293"/>
      <c r="UXP98" s="293"/>
      <c r="UXQ98" s="293"/>
      <c r="UXR98" s="293"/>
      <c r="UXS98" s="293"/>
      <c r="UXT98" s="293"/>
      <c r="UXU98" s="293"/>
      <c r="UXV98" s="293"/>
      <c r="UXW98" s="293"/>
      <c r="UXX98" s="293"/>
      <c r="UXY98" s="293"/>
      <c r="UXZ98" s="293"/>
      <c r="UYA98" s="293"/>
      <c r="UYB98" s="293"/>
      <c r="UYC98" s="293"/>
      <c r="UYD98" s="293"/>
      <c r="UYE98" s="293"/>
      <c r="UYF98" s="293"/>
      <c r="UYG98" s="293"/>
      <c r="UYH98" s="293"/>
      <c r="UYI98" s="293"/>
      <c r="UYJ98" s="293"/>
      <c r="UYK98" s="293"/>
      <c r="UYL98" s="293"/>
      <c r="UYM98" s="293"/>
      <c r="UYN98" s="293"/>
      <c r="UYO98" s="293"/>
      <c r="UYP98" s="293"/>
      <c r="UYQ98" s="293"/>
      <c r="UYR98" s="293"/>
      <c r="UYS98" s="293"/>
      <c r="UYT98" s="293"/>
      <c r="UYU98" s="293"/>
      <c r="UYV98" s="293"/>
      <c r="UYW98" s="293"/>
      <c r="UYX98" s="293"/>
      <c r="UYY98" s="293"/>
      <c r="UYZ98" s="293"/>
      <c r="UZA98" s="293"/>
      <c r="UZB98" s="293"/>
      <c r="UZC98" s="293"/>
      <c r="UZD98" s="293"/>
      <c r="UZE98" s="293"/>
      <c r="UZF98" s="293"/>
      <c r="UZG98" s="293"/>
      <c r="UZH98" s="293"/>
      <c r="UZI98" s="293"/>
      <c r="UZJ98" s="293"/>
      <c r="UZK98" s="293"/>
      <c r="UZL98" s="293"/>
      <c r="UZM98" s="293"/>
      <c r="UZN98" s="293"/>
      <c r="UZO98" s="293"/>
      <c r="UZP98" s="293"/>
      <c r="UZQ98" s="293"/>
      <c r="UZR98" s="293"/>
      <c r="UZS98" s="293"/>
      <c r="UZT98" s="293"/>
      <c r="UZU98" s="293"/>
      <c r="UZV98" s="293"/>
      <c r="UZW98" s="293"/>
      <c r="UZX98" s="293"/>
      <c r="UZY98" s="293"/>
      <c r="UZZ98" s="293"/>
      <c r="VAA98" s="293"/>
      <c r="VAB98" s="293"/>
      <c r="VAC98" s="293"/>
      <c r="VAD98" s="293"/>
      <c r="VAE98" s="293"/>
      <c r="VAF98" s="293"/>
      <c r="VAG98" s="293"/>
      <c r="VAH98" s="293"/>
      <c r="VAI98" s="293"/>
      <c r="VAJ98" s="293"/>
      <c r="VAK98" s="293"/>
      <c r="VAL98" s="293"/>
      <c r="VAM98" s="293"/>
      <c r="VAN98" s="293"/>
      <c r="VAO98" s="293"/>
      <c r="VAP98" s="293"/>
      <c r="VAQ98" s="293"/>
      <c r="VAR98" s="293"/>
      <c r="VAS98" s="293"/>
      <c r="VAT98" s="293"/>
      <c r="VAU98" s="293"/>
      <c r="VAV98" s="293"/>
      <c r="VAW98" s="293"/>
      <c r="VAX98" s="293"/>
      <c r="VAY98" s="293"/>
      <c r="VAZ98" s="293"/>
      <c r="VBA98" s="293"/>
      <c r="VBB98" s="293"/>
      <c r="VBC98" s="293"/>
      <c r="VBD98" s="293"/>
      <c r="VBE98" s="293"/>
      <c r="VBF98" s="293"/>
      <c r="VBG98" s="293"/>
      <c r="VBH98" s="293"/>
      <c r="VBI98" s="293"/>
      <c r="VBJ98" s="293"/>
      <c r="VBK98" s="293"/>
      <c r="VBL98" s="293"/>
      <c r="VBM98" s="293"/>
      <c r="VBN98" s="293"/>
      <c r="VBO98" s="293"/>
      <c r="VBP98" s="293"/>
      <c r="VBQ98" s="293"/>
      <c r="VBR98" s="293"/>
      <c r="VBS98" s="293"/>
      <c r="VBT98" s="293"/>
      <c r="VBU98" s="293"/>
      <c r="VBV98" s="293"/>
      <c r="VBW98" s="293"/>
      <c r="VBX98" s="293"/>
      <c r="VBY98" s="293"/>
      <c r="VBZ98" s="293"/>
      <c r="VCA98" s="293"/>
      <c r="VCB98" s="293"/>
      <c r="VCC98" s="293"/>
      <c r="VCD98" s="293"/>
      <c r="VCE98" s="293"/>
      <c r="VCF98" s="293"/>
      <c r="VCG98" s="293"/>
      <c r="VCH98" s="293"/>
      <c r="VCI98" s="293"/>
      <c r="VCJ98" s="293"/>
      <c r="VCK98" s="293"/>
      <c r="VCL98" s="293"/>
      <c r="VCM98" s="293"/>
      <c r="VCN98" s="293"/>
      <c r="VCO98" s="293"/>
      <c r="VCP98" s="293"/>
      <c r="VCQ98" s="293"/>
      <c r="VCR98" s="293"/>
      <c r="VCS98" s="293"/>
      <c r="VCT98" s="293"/>
      <c r="VCU98" s="293"/>
      <c r="VCV98" s="293"/>
      <c r="VCW98" s="293"/>
      <c r="VCX98" s="293"/>
      <c r="VCY98" s="293"/>
      <c r="VCZ98" s="293"/>
      <c r="VDA98" s="293"/>
      <c r="VDB98" s="293"/>
      <c r="VDC98" s="293"/>
      <c r="VDD98" s="293"/>
      <c r="VDE98" s="293"/>
      <c r="VDF98" s="293"/>
      <c r="VDG98" s="293"/>
      <c r="VDH98" s="293"/>
      <c r="VDI98" s="293"/>
      <c r="VDJ98" s="293"/>
      <c r="VDK98" s="293"/>
      <c r="VDL98" s="293"/>
      <c r="VDM98" s="293"/>
      <c r="VDN98" s="293"/>
      <c r="VDO98" s="293"/>
      <c r="VDP98" s="293"/>
      <c r="VDQ98" s="293"/>
      <c r="VDR98" s="293"/>
      <c r="VDS98" s="293"/>
      <c r="VDT98" s="293"/>
      <c r="VDU98" s="293"/>
      <c r="VDV98" s="293"/>
      <c r="VDW98" s="293"/>
      <c r="VDX98" s="293"/>
      <c r="VDY98" s="293"/>
      <c r="VDZ98" s="293"/>
      <c r="VEA98" s="293"/>
      <c r="VEB98" s="293"/>
      <c r="VEC98" s="293"/>
      <c r="VED98" s="293"/>
      <c r="VEE98" s="293"/>
      <c r="VEF98" s="293"/>
      <c r="VEG98" s="293"/>
      <c r="VEH98" s="293"/>
      <c r="VEI98" s="293"/>
      <c r="VEJ98" s="293"/>
      <c r="VEK98" s="293"/>
      <c r="VEL98" s="293"/>
      <c r="VEM98" s="293"/>
      <c r="VEN98" s="293"/>
      <c r="VEO98" s="293"/>
      <c r="VEP98" s="293"/>
      <c r="VEQ98" s="293"/>
      <c r="VER98" s="293"/>
      <c r="VES98" s="293"/>
      <c r="VET98" s="293"/>
      <c r="VEU98" s="293"/>
      <c r="VEV98" s="293"/>
      <c r="VEW98" s="293"/>
      <c r="VEX98" s="293"/>
      <c r="VEY98" s="293"/>
      <c r="VEZ98" s="293"/>
      <c r="VFA98" s="293"/>
      <c r="VFB98" s="293"/>
      <c r="VFC98" s="293"/>
      <c r="VFD98" s="293"/>
      <c r="VFE98" s="293"/>
      <c r="VFF98" s="293"/>
      <c r="VFG98" s="293"/>
      <c r="VFH98" s="293"/>
      <c r="VFI98" s="293"/>
      <c r="VFJ98" s="293"/>
      <c r="VFK98" s="293"/>
      <c r="VFL98" s="293"/>
      <c r="VFM98" s="293"/>
      <c r="VFN98" s="293"/>
      <c r="VFO98" s="293"/>
      <c r="VFP98" s="293"/>
      <c r="VFQ98" s="293"/>
      <c r="VFR98" s="293"/>
      <c r="VFS98" s="293"/>
      <c r="VFT98" s="293"/>
      <c r="VFU98" s="293"/>
      <c r="VFV98" s="293"/>
      <c r="VFW98" s="293"/>
      <c r="VFX98" s="293"/>
      <c r="VFY98" s="293"/>
      <c r="VFZ98" s="293"/>
      <c r="VGA98" s="293"/>
      <c r="VGB98" s="293"/>
      <c r="VGC98" s="293"/>
      <c r="VGD98" s="293"/>
      <c r="VGE98" s="293"/>
      <c r="VGF98" s="293"/>
      <c r="VGG98" s="293"/>
      <c r="VGH98" s="293"/>
      <c r="VGI98" s="293"/>
      <c r="VGJ98" s="293"/>
      <c r="VGK98" s="293"/>
      <c r="VGL98" s="293"/>
      <c r="VGM98" s="293"/>
      <c r="VGN98" s="293"/>
      <c r="VGO98" s="293"/>
      <c r="VGP98" s="293"/>
      <c r="VGQ98" s="293"/>
      <c r="VGR98" s="293"/>
      <c r="VGS98" s="293"/>
      <c r="VGT98" s="293"/>
      <c r="VGU98" s="293"/>
      <c r="VGV98" s="293"/>
      <c r="VGW98" s="293"/>
      <c r="VGX98" s="293"/>
      <c r="VGY98" s="293"/>
      <c r="VGZ98" s="293"/>
      <c r="VHA98" s="293"/>
      <c r="VHB98" s="293"/>
      <c r="VHC98" s="293"/>
      <c r="VHD98" s="293"/>
      <c r="VHE98" s="293"/>
      <c r="VHF98" s="293"/>
      <c r="VHG98" s="293"/>
      <c r="VHH98" s="293"/>
      <c r="VHI98" s="293"/>
      <c r="VHJ98" s="293"/>
      <c r="VHK98" s="293"/>
      <c r="VHL98" s="293"/>
      <c r="VHM98" s="293"/>
      <c r="VHN98" s="293"/>
      <c r="VHO98" s="293"/>
      <c r="VHP98" s="293"/>
      <c r="VHQ98" s="293"/>
      <c r="VHR98" s="293"/>
      <c r="VHS98" s="293"/>
      <c r="VHT98" s="293"/>
      <c r="VHU98" s="293"/>
      <c r="VHV98" s="293"/>
      <c r="VHW98" s="293"/>
      <c r="VHX98" s="293"/>
      <c r="VHY98" s="293"/>
      <c r="VHZ98" s="293"/>
      <c r="VIA98" s="293"/>
      <c r="VIB98" s="293"/>
      <c r="VIC98" s="293"/>
      <c r="VID98" s="293"/>
      <c r="VIE98" s="293"/>
      <c r="VIF98" s="293"/>
      <c r="VIG98" s="293"/>
      <c r="VIH98" s="293"/>
      <c r="VII98" s="293"/>
      <c r="VIJ98" s="293"/>
      <c r="VIK98" s="293"/>
      <c r="VIL98" s="293"/>
      <c r="VIM98" s="293"/>
      <c r="VIN98" s="293"/>
      <c r="VIO98" s="293"/>
      <c r="VIP98" s="293"/>
      <c r="VIQ98" s="293"/>
      <c r="VIR98" s="293"/>
      <c r="VIS98" s="293"/>
      <c r="VIT98" s="293"/>
      <c r="VIU98" s="293"/>
      <c r="VIV98" s="293"/>
      <c r="VIW98" s="293"/>
      <c r="VIX98" s="293"/>
      <c r="VIY98" s="293"/>
      <c r="VIZ98" s="293"/>
      <c r="VJA98" s="293"/>
      <c r="VJB98" s="293"/>
      <c r="VJC98" s="293"/>
      <c r="VJD98" s="293"/>
      <c r="VJE98" s="293"/>
      <c r="VJF98" s="293"/>
      <c r="VJG98" s="293"/>
      <c r="VJH98" s="293"/>
      <c r="VJI98" s="293"/>
      <c r="VJJ98" s="293"/>
      <c r="VJK98" s="293"/>
      <c r="VJL98" s="293"/>
      <c r="VJM98" s="293"/>
      <c r="VJN98" s="293"/>
      <c r="VJO98" s="293"/>
      <c r="VJP98" s="293"/>
      <c r="VJQ98" s="293"/>
      <c r="VJR98" s="293"/>
      <c r="VJS98" s="293"/>
      <c r="VJT98" s="293"/>
      <c r="VJU98" s="293"/>
      <c r="VJV98" s="293"/>
      <c r="VJW98" s="293"/>
      <c r="VJX98" s="293"/>
      <c r="VJY98" s="293"/>
      <c r="VJZ98" s="293"/>
      <c r="VKA98" s="293"/>
      <c r="VKB98" s="293"/>
      <c r="VKC98" s="293"/>
      <c r="VKD98" s="293"/>
      <c r="VKE98" s="293"/>
      <c r="VKF98" s="293"/>
      <c r="VKG98" s="293"/>
      <c r="VKH98" s="293"/>
      <c r="VKI98" s="293"/>
      <c r="VKJ98" s="293"/>
      <c r="VKK98" s="293"/>
      <c r="VKL98" s="293"/>
      <c r="VKM98" s="293"/>
      <c r="VKN98" s="293"/>
      <c r="VKO98" s="293"/>
      <c r="VKP98" s="293"/>
      <c r="VKQ98" s="293"/>
      <c r="VKR98" s="293"/>
      <c r="VKS98" s="293"/>
      <c r="VKT98" s="293"/>
      <c r="VKU98" s="293"/>
      <c r="VKV98" s="293"/>
      <c r="VKW98" s="293"/>
      <c r="VKX98" s="293"/>
      <c r="VKY98" s="293"/>
      <c r="VKZ98" s="293"/>
      <c r="VLA98" s="293"/>
      <c r="VLB98" s="293"/>
      <c r="VLC98" s="293"/>
      <c r="VLD98" s="293"/>
      <c r="VLE98" s="293"/>
      <c r="VLF98" s="293"/>
      <c r="VLG98" s="293"/>
      <c r="VLH98" s="293"/>
      <c r="VLI98" s="293"/>
      <c r="VLJ98" s="293"/>
      <c r="VLK98" s="293"/>
      <c r="VLL98" s="293"/>
      <c r="VLM98" s="293"/>
      <c r="VLN98" s="293"/>
      <c r="VLO98" s="293"/>
      <c r="VLP98" s="293"/>
      <c r="VLQ98" s="293"/>
      <c r="VLR98" s="293"/>
      <c r="VLS98" s="293"/>
      <c r="VLT98" s="293"/>
      <c r="VLU98" s="293"/>
      <c r="VLV98" s="293"/>
      <c r="VLW98" s="293"/>
      <c r="VLX98" s="293"/>
      <c r="VLY98" s="293"/>
      <c r="VLZ98" s="293"/>
      <c r="VMA98" s="293"/>
      <c r="VMB98" s="293"/>
      <c r="VMC98" s="293"/>
      <c r="VMD98" s="293"/>
      <c r="VME98" s="293"/>
      <c r="VMF98" s="293"/>
      <c r="VMG98" s="293"/>
      <c r="VMH98" s="293"/>
      <c r="VMI98" s="293"/>
      <c r="VMJ98" s="293"/>
      <c r="VMK98" s="293"/>
      <c r="VML98" s="293"/>
      <c r="VMM98" s="293"/>
      <c r="VMN98" s="293"/>
      <c r="VMO98" s="293"/>
      <c r="VMP98" s="293"/>
      <c r="VMQ98" s="293"/>
      <c r="VMR98" s="293"/>
      <c r="VMS98" s="293"/>
      <c r="VMT98" s="293"/>
      <c r="VMU98" s="293"/>
      <c r="VMV98" s="293"/>
      <c r="VMW98" s="293"/>
      <c r="VMX98" s="293"/>
      <c r="VMY98" s="293"/>
      <c r="VMZ98" s="293"/>
      <c r="VNA98" s="293"/>
      <c r="VNB98" s="293"/>
      <c r="VNC98" s="293"/>
      <c r="VND98" s="293"/>
      <c r="VNE98" s="293"/>
      <c r="VNF98" s="293"/>
      <c r="VNG98" s="293"/>
      <c r="VNH98" s="293"/>
      <c r="VNI98" s="293"/>
      <c r="VNJ98" s="293"/>
      <c r="VNK98" s="293"/>
      <c r="VNL98" s="293"/>
      <c r="VNM98" s="293"/>
      <c r="VNN98" s="293"/>
      <c r="VNO98" s="293"/>
      <c r="VNP98" s="293"/>
      <c r="VNQ98" s="293"/>
      <c r="VNR98" s="293"/>
      <c r="VNS98" s="293"/>
      <c r="VNT98" s="293"/>
      <c r="VNU98" s="293"/>
      <c r="VNV98" s="293"/>
      <c r="VNW98" s="293"/>
      <c r="VNX98" s="293"/>
      <c r="VNY98" s="293"/>
      <c r="VNZ98" s="293"/>
      <c r="VOA98" s="293"/>
      <c r="VOB98" s="293"/>
      <c r="VOC98" s="293"/>
      <c r="VOD98" s="293"/>
      <c r="VOE98" s="293"/>
      <c r="VOF98" s="293"/>
      <c r="VOG98" s="293"/>
      <c r="VOH98" s="293"/>
      <c r="VOI98" s="293"/>
      <c r="VOJ98" s="293"/>
      <c r="VOK98" s="293"/>
      <c r="VOL98" s="293"/>
      <c r="VOM98" s="293"/>
      <c r="VON98" s="293"/>
      <c r="VOO98" s="293"/>
      <c r="VOP98" s="293"/>
      <c r="VOQ98" s="293"/>
      <c r="VOR98" s="293"/>
      <c r="VOS98" s="293"/>
      <c r="VOT98" s="293"/>
      <c r="VOU98" s="293"/>
      <c r="VOV98" s="293"/>
      <c r="VOW98" s="293"/>
      <c r="VOX98" s="293"/>
      <c r="VOY98" s="293"/>
      <c r="VOZ98" s="293"/>
      <c r="VPA98" s="293"/>
      <c r="VPB98" s="293"/>
      <c r="VPC98" s="293"/>
      <c r="VPD98" s="293"/>
      <c r="VPE98" s="293"/>
      <c r="VPF98" s="293"/>
      <c r="VPG98" s="293"/>
      <c r="VPH98" s="293"/>
      <c r="VPI98" s="293"/>
      <c r="VPJ98" s="293"/>
      <c r="VPK98" s="293"/>
      <c r="VPL98" s="293"/>
      <c r="VPM98" s="293"/>
      <c r="VPN98" s="293"/>
      <c r="VPO98" s="293"/>
      <c r="VPP98" s="293"/>
      <c r="VPQ98" s="293"/>
      <c r="VPR98" s="293"/>
      <c r="VPS98" s="293"/>
      <c r="VPT98" s="293"/>
      <c r="VPU98" s="293"/>
      <c r="VPV98" s="293"/>
      <c r="VPW98" s="293"/>
      <c r="VPX98" s="293"/>
      <c r="VPY98" s="293"/>
      <c r="VPZ98" s="293"/>
      <c r="VQA98" s="293"/>
      <c r="VQB98" s="293"/>
      <c r="VQC98" s="293"/>
      <c r="VQD98" s="293"/>
      <c r="VQE98" s="293"/>
      <c r="VQF98" s="293"/>
      <c r="VQG98" s="293"/>
      <c r="VQH98" s="293"/>
      <c r="VQI98" s="293"/>
      <c r="VQJ98" s="293"/>
      <c r="VQK98" s="293"/>
      <c r="VQL98" s="293"/>
      <c r="VQM98" s="293"/>
      <c r="VQN98" s="293"/>
      <c r="VQO98" s="293"/>
      <c r="VQP98" s="293"/>
      <c r="VQQ98" s="293"/>
      <c r="VQR98" s="293"/>
      <c r="VQS98" s="293"/>
      <c r="VQT98" s="293"/>
      <c r="VQU98" s="293"/>
      <c r="VQV98" s="293"/>
      <c r="VQW98" s="293"/>
      <c r="VQX98" s="293"/>
      <c r="VQY98" s="293"/>
      <c r="VQZ98" s="293"/>
      <c r="VRA98" s="293"/>
      <c r="VRB98" s="293"/>
      <c r="VRC98" s="293"/>
      <c r="VRD98" s="293"/>
      <c r="VRE98" s="293"/>
      <c r="VRF98" s="293"/>
      <c r="VRG98" s="293"/>
      <c r="VRH98" s="293"/>
      <c r="VRI98" s="293"/>
      <c r="VRJ98" s="293"/>
      <c r="VRK98" s="293"/>
      <c r="VRL98" s="293"/>
      <c r="VRM98" s="293"/>
      <c r="VRN98" s="293"/>
      <c r="VRO98" s="293"/>
      <c r="VRP98" s="293"/>
      <c r="VRQ98" s="293"/>
      <c r="VRR98" s="293"/>
      <c r="VRS98" s="293"/>
      <c r="VRT98" s="293"/>
      <c r="VRU98" s="293"/>
      <c r="VRV98" s="293"/>
      <c r="VRW98" s="293"/>
      <c r="VRX98" s="293"/>
      <c r="VRY98" s="293"/>
      <c r="VRZ98" s="293"/>
      <c r="VSA98" s="293"/>
      <c r="VSB98" s="293"/>
      <c r="VSC98" s="293"/>
      <c r="VSD98" s="293"/>
      <c r="VSE98" s="293"/>
      <c r="VSF98" s="293"/>
      <c r="VSG98" s="293"/>
      <c r="VSH98" s="293"/>
      <c r="VSI98" s="293"/>
      <c r="VSJ98" s="293"/>
      <c r="VSK98" s="293"/>
      <c r="VSL98" s="293"/>
      <c r="VSM98" s="293"/>
      <c r="VSN98" s="293"/>
      <c r="VSO98" s="293"/>
      <c r="VSP98" s="293"/>
      <c r="VSQ98" s="293"/>
      <c r="VSR98" s="293"/>
      <c r="VSS98" s="293"/>
      <c r="VST98" s="293"/>
      <c r="VSU98" s="293"/>
      <c r="VSV98" s="293"/>
      <c r="VSW98" s="293"/>
      <c r="VSX98" s="293"/>
      <c r="VSY98" s="293"/>
      <c r="VSZ98" s="293"/>
      <c r="VTA98" s="293"/>
      <c r="VTB98" s="293"/>
      <c r="VTC98" s="293"/>
      <c r="VTD98" s="293"/>
      <c r="VTE98" s="293"/>
      <c r="VTF98" s="293"/>
      <c r="VTG98" s="293"/>
      <c r="VTH98" s="293"/>
      <c r="VTI98" s="293"/>
      <c r="VTJ98" s="293"/>
      <c r="VTK98" s="293"/>
      <c r="VTL98" s="293"/>
      <c r="VTM98" s="293"/>
      <c r="VTN98" s="293"/>
      <c r="VTO98" s="293"/>
      <c r="VTP98" s="293"/>
      <c r="VTQ98" s="293"/>
      <c r="VTR98" s="293"/>
      <c r="VTS98" s="293"/>
      <c r="VTT98" s="293"/>
      <c r="VTU98" s="293"/>
      <c r="VTV98" s="293"/>
      <c r="VTW98" s="293"/>
      <c r="VTX98" s="293"/>
      <c r="VTY98" s="293"/>
      <c r="VTZ98" s="293"/>
      <c r="VUA98" s="293"/>
      <c r="VUB98" s="293"/>
      <c r="VUC98" s="293"/>
      <c r="VUD98" s="293"/>
      <c r="VUE98" s="293"/>
      <c r="VUF98" s="293"/>
      <c r="VUG98" s="293"/>
      <c r="VUH98" s="293"/>
      <c r="VUI98" s="293"/>
      <c r="VUJ98" s="293"/>
      <c r="VUK98" s="293"/>
      <c r="VUL98" s="293"/>
      <c r="VUM98" s="293"/>
      <c r="VUN98" s="293"/>
      <c r="VUO98" s="293"/>
      <c r="VUP98" s="293"/>
      <c r="VUQ98" s="293"/>
      <c r="VUR98" s="293"/>
      <c r="VUS98" s="293"/>
      <c r="VUT98" s="293"/>
      <c r="VUU98" s="293"/>
      <c r="VUV98" s="293"/>
      <c r="VUW98" s="293"/>
      <c r="VUX98" s="293"/>
      <c r="VUY98" s="293"/>
      <c r="VUZ98" s="293"/>
      <c r="VVA98" s="293"/>
      <c r="VVB98" s="293"/>
      <c r="VVC98" s="293"/>
      <c r="VVD98" s="293"/>
      <c r="VVE98" s="293"/>
      <c r="VVF98" s="293"/>
      <c r="VVG98" s="293"/>
      <c r="VVH98" s="293"/>
      <c r="VVI98" s="293"/>
      <c r="VVJ98" s="293"/>
      <c r="VVK98" s="293"/>
      <c r="VVL98" s="293"/>
      <c r="VVM98" s="293"/>
      <c r="VVN98" s="293"/>
      <c r="VVO98" s="293"/>
      <c r="VVP98" s="293"/>
      <c r="VVQ98" s="293"/>
      <c r="VVR98" s="293"/>
      <c r="VVS98" s="293"/>
      <c r="VVT98" s="293"/>
      <c r="VVU98" s="293"/>
      <c r="VVV98" s="293"/>
      <c r="VVW98" s="293"/>
      <c r="VVX98" s="293"/>
      <c r="VVY98" s="293"/>
      <c r="VVZ98" s="293"/>
      <c r="VWA98" s="293"/>
      <c r="VWB98" s="293"/>
      <c r="VWC98" s="293"/>
      <c r="VWD98" s="293"/>
      <c r="VWE98" s="293"/>
      <c r="VWF98" s="293"/>
      <c r="VWG98" s="293"/>
      <c r="VWH98" s="293"/>
      <c r="VWI98" s="293"/>
      <c r="VWJ98" s="293"/>
      <c r="VWK98" s="293"/>
      <c r="VWL98" s="293"/>
      <c r="VWM98" s="293"/>
      <c r="VWN98" s="293"/>
      <c r="VWO98" s="293"/>
      <c r="VWP98" s="293"/>
      <c r="VWQ98" s="293"/>
      <c r="VWR98" s="293"/>
      <c r="VWS98" s="293"/>
      <c r="VWT98" s="293"/>
      <c r="VWU98" s="293"/>
      <c r="VWV98" s="293"/>
      <c r="VWW98" s="293"/>
      <c r="VWX98" s="293"/>
      <c r="VWY98" s="293"/>
      <c r="VWZ98" s="293"/>
      <c r="VXA98" s="293"/>
      <c r="VXB98" s="293"/>
      <c r="VXC98" s="293"/>
      <c r="VXD98" s="293"/>
      <c r="VXE98" s="293"/>
      <c r="VXF98" s="293"/>
      <c r="VXG98" s="293"/>
      <c r="VXH98" s="293"/>
      <c r="VXI98" s="293"/>
      <c r="VXJ98" s="293"/>
      <c r="VXK98" s="293"/>
      <c r="VXL98" s="293"/>
      <c r="VXM98" s="293"/>
      <c r="VXN98" s="293"/>
      <c r="VXO98" s="293"/>
      <c r="VXP98" s="293"/>
      <c r="VXQ98" s="293"/>
      <c r="VXR98" s="293"/>
      <c r="VXS98" s="293"/>
      <c r="VXT98" s="293"/>
      <c r="VXU98" s="293"/>
      <c r="VXV98" s="293"/>
      <c r="VXW98" s="293"/>
      <c r="VXX98" s="293"/>
      <c r="VXY98" s="293"/>
      <c r="VXZ98" s="293"/>
      <c r="VYA98" s="293"/>
      <c r="VYB98" s="293"/>
      <c r="VYC98" s="293"/>
      <c r="VYD98" s="293"/>
      <c r="VYE98" s="293"/>
      <c r="VYF98" s="293"/>
      <c r="VYG98" s="293"/>
      <c r="VYH98" s="293"/>
      <c r="VYI98" s="293"/>
      <c r="VYJ98" s="293"/>
      <c r="VYK98" s="293"/>
      <c r="VYL98" s="293"/>
      <c r="VYM98" s="293"/>
      <c r="VYN98" s="293"/>
      <c r="VYO98" s="293"/>
      <c r="VYP98" s="293"/>
      <c r="VYQ98" s="293"/>
      <c r="VYR98" s="293"/>
      <c r="VYS98" s="293"/>
      <c r="VYT98" s="293"/>
      <c r="VYU98" s="293"/>
      <c r="VYV98" s="293"/>
      <c r="VYW98" s="293"/>
      <c r="VYX98" s="293"/>
      <c r="VYY98" s="293"/>
      <c r="VYZ98" s="293"/>
      <c r="VZA98" s="293"/>
      <c r="VZB98" s="293"/>
      <c r="VZC98" s="293"/>
      <c r="VZD98" s="293"/>
      <c r="VZE98" s="293"/>
      <c r="VZF98" s="293"/>
      <c r="VZG98" s="293"/>
      <c r="VZH98" s="293"/>
      <c r="VZI98" s="293"/>
      <c r="VZJ98" s="293"/>
      <c r="VZK98" s="293"/>
      <c r="VZL98" s="293"/>
      <c r="VZM98" s="293"/>
      <c r="VZN98" s="293"/>
      <c r="VZO98" s="293"/>
      <c r="VZP98" s="293"/>
      <c r="VZQ98" s="293"/>
      <c r="VZR98" s="293"/>
      <c r="VZS98" s="293"/>
      <c r="VZT98" s="293"/>
      <c r="VZU98" s="293"/>
      <c r="VZV98" s="293"/>
      <c r="VZW98" s="293"/>
      <c r="VZX98" s="293"/>
      <c r="VZY98" s="293"/>
      <c r="VZZ98" s="293"/>
      <c r="WAA98" s="293"/>
      <c r="WAB98" s="293"/>
      <c r="WAC98" s="293"/>
      <c r="WAD98" s="293"/>
      <c r="WAE98" s="293"/>
      <c r="WAF98" s="293"/>
      <c r="WAG98" s="293"/>
      <c r="WAH98" s="293"/>
      <c r="WAI98" s="293"/>
      <c r="WAJ98" s="293"/>
      <c r="WAK98" s="293"/>
      <c r="WAL98" s="293"/>
      <c r="WAM98" s="293"/>
      <c r="WAN98" s="293"/>
      <c r="WAO98" s="293"/>
      <c r="WAP98" s="293"/>
      <c r="WAQ98" s="293"/>
      <c r="WAR98" s="293"/>
      <c r="WAS98" s="293"/>
      <c r="WAT98" s="293"/>
      <c r="WAU98" s="293"/>
      <c r="WAV98" s="293"/>
      <c r="WAW98" s="293"/>
      <c r="WAX98" s="293"/>
      <c r="WAY98" s="293"/>
      <c r="WAZ98" s="293"/>
      <c r="WBA98" s="293"/>
      <c r="WBB98" s="293"/>
      <c r="WBC98" s="293"/>
      <c r="WBD98" s="293"/>
      <c r="WBE98" s="293"/>
      <c r="WBF98" s="293"/>
      <c r="WBG98" s="293"/>
      <c r="WBH98" s="293"/>
      <c r="WBI98" s="293"/>
      <c r="WBJ98" s="293"/>
      <c r="WBK98" s="293"/>
      <c r="WBL98" s="293"/>
      <c r="WBM98" s="293"/>
      <c r="WBN98" s="293"/>
      <c r="WBO98" s="293"/>
      <c r="WBP98" s="293"/>
      <c r="WBQ98" s="293"/>
      <c r="WBR98" s="293"/>
      <c r="WBS98" s="293"/>
      <c r="WBT98" s="293"/>
      <c r="WBU98" s="293"/>
      <c r="WBV98" s="293"/>
      <c r="WBW98" s="293"/>
      <c r="WBX98" s="293"/>
      <c r="WBY98" s="293"/>
      <c r="WBZ98" s="293"/>
      <c r="WCA98" s="293"/>
      <c r="WCB98" s="293"/>
      <c r="WCC98" s="293"/>
      <c r="WCD98" s="293"/>
      <c r="WCE98" s="293"/>
      <c r="WCF98" s="293"/>
      <c r="WCG98" s="293"/>
      <c r="WCH98" s="293"/>
      <c r="WCI98" s="293"/>
      <c r="WCJ98" s="293"/>
      <c r="WCK98" s="293"/>
      <c r="WCL98" s="293"/>
      <c r="WCM98" s="293"/>
      <c r="WCN98" s="293"/>
      <c r="WCO98" s="293"/>
      <c r="WCP98" s="293"/>
      <c r="WCQ98" s="293"/>
      <c r="WCR98" s="293"/>
      <c r="WCS98" s="293"/>
      <c r="WCT98" s="293"/>
      <c r="WCU98" s="293"/>
      <c r="WCV98" s="293"/>
      <c r="WCW98" s="293"/>
      <c r="WCX98" s="293"/>
      <c r="WCY98" s="293"/>
      <c r="WCZ98" s="293"/>
      <c r="WDA98" s="293"/>
      <c r="WDB98" s="293"/>
      <c r="WDC98" s="293"/>
      <c r="WDD98" s="293"/>
      <c r="WDE98" s="293"/>
      <c r="WDF98" s="293"/>
      <c r="WDG98" s="293"/>
      <c r="WDH98" s="293"/>
      <c r="WDI98" s="293"/>
      <c r="WDJ98" s="293"/>
      <c r="WDK98" s="293"/>
      <c r="WDL98" s="293"/>
      <c r="WDM98" s="293"/>
      <c r="WDN98" s="293"/>
      <c r="WDO98" s="293"/>
      <c r="WDP98" s="293"/>
      <c r="WDQ98" s="293"/>
      <c r="WDR98" s="293"/>
      <c r="WDS98" s="293"/>
      <c r="WDT98" s="293"/>
      <c r="WDU98" s="293"/>
      <c r="WDV98" s="293"/>
      <c r="WDW98" s="293"/>
      <c r="WDX98" s="293"/>
      <c r="WDY98" s="293"/>
      <c r="WDZ98" s="293"/>
      <c r="WEA98" s="293"/>
      <c r="WEB98" s="293"/>
      <c r="WEC98" s="293"/>
      <c r="WED98" s="293"/>
      <c r="WEE98" s="293"/>
      <c r="WEF98" s="293"/>
      <c r="WEG98" s="293"/>
      <c r="WEH98" s="293"/>
      <c r="WEI98" s="293"/>
      <c r="WEJ98" s="293"/>
      <c r="WEK98" s="293"/>
      <c r="WEL98" s="293"/>
      <c r="WEM98" s="293"/>
      <c r="WEN98" s="293"/>
      <c r="WEO98" s="293"/>
      <c r="WEP98" s="293"/>
      <c r="WEQ98" s="293"/>
      <c r="WER98" s="293"/>
      <c r="WES98" s="293"/>
      <c r="WET98" s="293"/>
      <c r="WEU98" s="293"/>
      <c r="WEV98" s="293"/>
      <c r="WEW98" s="293"/>
      <c r="WEX98" s="293"/>
      <c r="WEY98" s="293"/>
      <c r="WEZ98" s="293"/>
      <c r="WFA98" s="293"/>
      <c r="WFB98" s="293"/>
      <c r="WFC98" s="293"/>
      <c r="WFD98" s="293"/>
      <c r="WFE98" s="293"/>
      <c r="WFF98" s="293"/>
      <c r="WFG98" s="293"/>
      <c r="WFH98" s="293"/>
      <c r="WFI98" s="293"/>
      <c r="WFJ98" s="293"/>
      <c r="WFK98" s="293"/>
      <c r="WFL98" s="293"/>
      <c r="WFM98" s="293"/>
      <c r="WFN98" s="293"/>
      <c r="WFO98" s="293"/>
      <c r="WFP98" s="293"/>
      <c r="WFQ98" s="293"/>
      <c r="WFR98" s="293"/>
      <c r="WFS98" s="293"/>
      <c r="WFT98" s="293"/>
      <c r="WFU98" s="293"/>
      <c r="WFV98" s="293"/>
      <c r="WFW98" s="293"/>
      <c r="WFX98" s="293"/>
      <c r="WFY98" s="293"/>
      <c r="WFZ98" s="293"/>
      <c r="WGA98" s="293"/>
      <c r="WGB98" s="293"/>
      <c r="WGC98" s="293"/>
      <c r="WGD98" s="293"/>
      <c r="WGE98" s="293"/>
      <c r="WGF98" s="293"/>
      <c r="WGG98" s="293"/>
      <c r="WGH98" s="293"/>
      <c r="WGI98" s="293"/>
      <c r="WGJ98" s="293"/>
      <c r="WGK98" s="293"/>
      <c r="WGL98" s="293"/>
      <c r="WGM98" s="293"/>
      <c r="WGN98" s="293"/>
      <c r="WGO98" s="293"/>
      <c r="WGP98" s="293"/>
      <c r="WGQ98" s="293"/>
      <c r="WGR98" s="293"/>
      <c r="WGS98" s="293"/>
      <c r="WGT98" s="293"/>
      <c r="WGU98" s="293"/>
      <c r="WGV98" s="293"/>
      <c r="WGW98" s="293"/>
      <c r="WGX98" s="293"/>
      <c r="WGY98" s="293"/>
      <c r="WGZ98" s="293"/>
      <c r="WHA98" s="293"/>
      <c r="WHB98" s="293"/>
      <c r="WHC98" s="293"/>
      <c r="WHD98" s="293"/>
      <c r="WHE98" s="293"/>
      <c r="WHF98" s="293"/>
      <c r="WHG98" s="293"/>
      <c r="WHH98" s="293"/>
      <c r="WHI98" s="293"/>
      <c r="WHJ98" s="293"/>
      <c r="WHK98" s="293"/>
      <c r="WHL98" s="293"/>
      <c r="WHM98" s="293"/>
      <c r="WHN98" s="293"/>
      <c r="WHO98" s="293"/>
      <c r="WHP98" s="293"/>
      <c r="WHQ98" s="293"/>
      <c r="WHR98" s="293"/>
      <c r="WHS98" s="293"/>
      <c r="WHT98" s="293"/>
      <c r="WHU98" s="293"/>
      <c r="WHV98" s="293"/>
      <c r="WHW98" s="293"/>
      <c r="WHX98" s="293"/>
      <c r="WHY98" s="293"/>
      <c r="WHZ98" s="293"/>
      <c r="WIA98" s="293"/>
      <c r="WIB98" s="293"/>
      <c r="WIC98" s="293"/>
      <c r="WID98" s="293"/>
      <c r="WIE98" s="293"/>
      <c r="WIF98" s="293"/>
      <c r="WIG98" s="293"/>
      <c r="WIH98" s="293"/>
      <c r="WII98" s="293"/>
      <c r="WIJ98" s="293"/>
      <c r="WIK98" s="293"/>
      <c r="WIL98" s="293"/>
      <c r="WIM98" s="293"/>
      <c r="WIN98" s="293"/>
      <c r="WIO98" s="293"/>
      <c r="WIP98" s="293"/>
      <c r="WIQ98" s="293"/>
      <c r="WIR98" s="293"/>
      <c r="WIS98" s="293"/>
      <c r="WIT98" s="293"/>
      <c r="WIU98" s="293"/>
      <c r="WIV98" s="293"/>
      <c r="WIW98" s="293"/>
      <c r="WIX98" s="293"/>
      <c r="WIY98" s="293"/>
      <c r="WIZ98" s="293"/>
      <c r="WJA98" s="293"/>
      <c r="WJB98" s="293"/>
      <c r="WJC98" s="293"/>
      <c r="WJD98" s="293"/>
      <c r="WJE98" s="293"/>
      <c r="WJF98" s="293"/>
      <c r="WJG98" s="293"/>
      <c r="WJH98" s="293"/>
      <c r="WJI98" s="293"/>
      <c r="WJJ98" s="293"/>
      <c r="WJK98" s="293"/>
      <c r="WJL98" s="293"/>
      <c r="WJM98" s="293"/>
      <c r="WJN98" s="293"/>
      <c r="WJO98" s="293"/>
      <c r="WJP98" s="293"/>
      <c r="WJQ98" s="293"/>
      <c r="WJR98" s="293"/>
      <c r="WJS98" s="293"/>
      <c r="WJT98" s="293"/>
      <c r="WJU98" s="293"/>
      <c r="WJV98" s="293"/>
      <c r="WJW98" s="293"/>
      <c r="WJX98" s="293"/>
      <c r="WJY98" s="293"/>
      <c r="WJZ98" s="293"/>
      <c r="WKA98" s="293"/>
      <c r="WKB98" s="293"/>
      <c r="WKC98" s="293"/>
      <c r="WKD98" s="293"/>
      <c r="WKE98" s="293"/>
      <c r="WKF98" s="293"/>
      <c r="WKG98" s="293"/>
      <c r="WKH98" s="293"/>
      <c r="WKI98" s="293"/>
      <c r="WKJ98" s="293"/>
      <c r="WKK98" s="293"/>
      <c r="WKL98" s="293"/>
      <c r="WKM98" s="293"/>
      <c r="WKN98" s="293"/>
      <c r="WKO98" s="293"/>
      <c r="WKP98" s="293"/>
      <c r="WKQ98" s="293"/>
      <c r="WKR98" s="293"/>
      <c r="WKS98" s="293"/>
      <c r="WKT98" s="293"/>
      <c r="WKU98" s="293"/>
      <c r="WKV98" s="293"/>
      <c r="WKW98" s="293"/>
      <c r="WKX98" s="293"/>
      <c r="WKY98" s="293"/>
      <c r="WKZ98" s="293"/>
      <c r="WLA98" s="293"/>
      <c r="WLB98" s="293"/>
      <c r="WLC98" s="293"/>
      <c r="WLD98" s="293"/>
      <c r="WLE98" s="293"/>
      <c r="WLF98" s="293"/>
      <c r="WLG98" s="293"/>
      <c r="WLH98" s="293"/>
      <c r="WLI98" s="293"/>
      <c r="WLJ98" s="293"/>
      <c r="WLK98" s="293"/>
      <c r="WLL98" s="293"/>
      <c r="WLM98" s="293"/>
      <c r="WLN98" s="293"/>
      <c r="WLO98" s="293"/>
      <c r="WLP98" s="293"/>
      <c r="WLQ98" s="293"/>
      <c r="WLR98" s="293"/>
      <c r="WLS98" s="293"/>
      <c r="WLT98" s="293"/>
      <c r="WLU98" s="293"/>
      <c r="WLV98" s="293"/>
      <c r="WLW98" s="293"/>
      <c r="WLX98" s="293"/>
      <c r="WLY98" s="293"/>
      <c r="WLZ98" s="293"/>
      <c r="WMA98" s="293"/>
      <c r="WMB98" s="293"/>
      <c r="WMC98" s="293"/>
      <c r="WMD98" s="293"/>
      <c r="WME98" s="293"/>
      <c r="WMF98" s="293"/>
      <c r="WMG98" s="293"/>
      <c r="WMH98" s="293"/>
      <c r="WMI98" s="293"/>
      <c r="WMJ98" s="293"/>
      <c r="WMK98" s="293"/>
      <c r="WML98" s="293"/>
      <c r="WMM98" s="293"/>
      <c r="WMN98" s="293"/>
      <c r="WMO98" s="293"/>
      <c r="WMP98" s="293"/>
      <c r="WMQ98" s="293"/>
      <c r="WMR98" s="293"/>
      <c r="WMS98" s="293"/>
      <c r="WMT98" s="293"/>
      <c r="WMU98" s="293"/>
      <c r="WMV98" s="293"/>
      <c r="WMW98" s="293"/>
      <c r="WMX98" s="293"/>
      <c r="WMY98" s="293"/>
      <c r="WMZ98" s="293"/>
      <c r="WNA98" s="293"/>
      <c r="WNB98" s="293"/>
      <c r="WNC98" s="293"/>
      <c r="WND98" s="293"/>
      <c r="WNE98" s="293"/>
      <c r="WNF98" s="293"/>
      <c r="WNG98" s="293"/>
      <c r="WNH98" s="293"/>
      <c r="WNI98" s="293"/>
      <c r="WNJ98" s="293"/>
      <c r="WNK98" s="293"/>
      <c r="WNL98" s="293"/>
      <c r="WNM98" s="293"/>
      <c r="WNN98" s="293"/>
      <c r="WNO98" s="293"/>
      <c r="WNP98" s="293"/>
      <c r="WNQ98" s="293"/>
      <c r="WNR98" s="293"/>
      <c r="WNS98" s="293"/>
      <c r="WNT98" s="293"/>
      <c r="WNU98" s="293"/>
      <c r="WNV98" s="293"/>
      <c r="WNW98" s="293"/>
      <c r="WNX98" s="293"/>
      <c r="WNY98" s="293"/>
      <c r="WNZ98" s="293"/>
      <c r="WOA98" s="293"/>
      <c r="WOB98" s="293"/>
      <c r="WOC98" s="293"/>
      <c r="WOD98" s="293"/>
      <c r="WOE98" s="293"/>
      <c r="WOF98" s="293"/>
      <c r="WOG98" s="293"/>
      <c r="WOH98" s="293"/>
      <c r="WOI98" s="293"/>
      <c r="WOJ98" s="293"/>
      <c r="WOK98" s="293"/>
      <c r="WOL98" s="293"/>
      <c r="WOM98" s="293"/>
      <c r="WON98" s="293"/>
      <c r="WOO98" s="293"/>
      <c r="WOP98" s="293"/>
      <c r="WOQ98" s="293"/>
      <c r="WOR98" s="293"/>
      <c r="WOS98" s="293"/>
      <c r="WOT98" s="293"/>
      <c r="WOU98" s="293"/>
      <c r="WOV98" s="293"/>
      <c r="WOW98" s="293"/>
      <c r="WOX98" s="293"/>
      <c r="WOY98" s="293"/>
      <c r="WOZ98" s="293"/>
      <c r="WPA98" s="293"/>
      <c r="WPB98" s="293"/>
      <c r="WPC98" s="293"/>
      <c r="WPD98" s="293"/>
      <c r="WPE98" s="293"/>
      <c r="WPF98" s="293"/>
      <c r="WPG98" s="293"/>
      <c r="WPH98" s="293"/>
      <c r="WPI98" s="293"/>
      <c r="WPJ98" s="293"/>
      <c r="WPK98" s="293"/>
      <c r="WPL98" s="293"/>
      <c r="WPM98" s="293"/>
      <c r="WPN98" s="293"/>
      <c r="WPO98" s="293"/>
      <c r="WPP98" s="293"/>
      <c r="WPQ98" s="293"/>
      <c r="WPR98" s="293"/>
      <c r="WPS98" s="293"/>
      <c r="WPT98" s="293"/>
      <c r="WPU98" s="293"/>
      <c r="WPV98" s="293"/>
      <c r="WPW98" s="293"/>
      <c r="WPX98" s="293"/>
      <c r="WPY98" s="293"/>
      <c r="WPZ98" s="293"/>
      <c r="WQA98" s="293"/>
      <c r="WQB98" s="293"/>
      <c r="WQC98" s="293"/>
      <c r="WQD98" s="293"/>
      <c r="WQE98" s="293"/>
      <c r="WQF98" s="293"/>
      <c r="WQG98" s="293"/>
      <c r="WQH98" s="293"/>
      <c r="WQI98" s="293"/>
      <c r="WQJ98" s="293"/>
      <c r="WQK98" s="293"/>
      <c r="WQL98" s="293"/>
      <c r="WQM98" s="293"/>
      <c r="WQN98" s="293"/>
      <c r="WQO98" s="293"/>
      <c r="WQP98" s="293"/>
      <c r="WQQ98" s="293"/>
      <c r="WQR98" s="293"/>
      <c r="WQS98" s="293"/>
      <c r="WQT98" s="293"/>
      <c r="WQU98" s="293"/>
      <c r="WQV98" s="293"/>
      <c r="WQW98" s="293"/>
      <c r="WQX98" s="293"/>
      <c r="WQY98" s="293"/>
      <c r="WQZ98" s="293"/>
      <c r="WRA98" s="293"/>
      <c r="WRB98" s="293"/>
      <c r="WRC98" s="293"/>
      <c r="WRD98" s="293"/>
      <c r="WRE98" s="293"/>
      <c r="WRF98" s="293"/>
      <c r="WRG98" s="293"/>
      <c r="WRH98" s="293"/>
      <c r="WRI98" s="293"/>
      <c r="WRJ98" s="293"/>
      <c r="WRK98" s="293"/>
      <c r="WRL98" s="293"/>
      <c r="WRM98" s="293"/>
      <c r="WRN98" s="293"/>
      <c r="WRO98" s="293"/>
      <c r="WRP98" s="293"/>
      <c r="WRQ98" s="293"/>
      <c r="WRR98" s="293"/>
      <c r="WRS98" s="293"/>
      <c r="WRT98" s="293"/>
      <c r="WRU98" s="293"/>
      <c r="WRV98" s="293"/>
      <c r="WRW98" s="293"/>
      <c r="WRX98" s="293"/>
      <c r="WRY98" s="293"/>
      <c r="WRZ98" s="293"/>
      <c r="WSA98" s="293"/>
      <c r="WSB98" s="293"/>
      <c r="WSC98" s="293"/>
      <c r="WSD98" s="293"/>
      <c r="WSE98" s="293"/>
      <c r="WSF98" s="293"/>
      <c r="WSG98" s="293"/>
      <c r="WSH98" s="293"/>
      <c r="WSI98" s="293"/>
      <c r="WSJ98" s="293"/>
      <c r="WSK98" s="293"/>
      <c r="WSL98" s="293"/>
      <c r="WSM98" s="293"/>
      <c r="WSN98" s="293"/>
      <c r="WSO98" s="293"/>
      <c r="WSP98" s="293"/>
      <c r="WSQ98" s="293"/>
      <c r="WSR98" s="293"/>
      <c r="WSS98" s="293"/>
      <c r="WST98" s="293"/>
      <c r="WSU98" s="293"/>
      <c r="WSV98" s="293"/>
      <c r="WSW98" s="293"/>
      <c r="WSX98" s="293"/>
      <c r="WSY98" s="293"/>
      <c r="WSZ98" s="293"/>
      <c r="WTA98" s="293"/>
      <c r="WTB98" s="293"/>
      <c r="WTC98" s="293"/>
      <c r="WTD98" s="293"/>
      <c r="WTE98" s="293"/>
      <c r="WTF98" s="293"/>
      <c r="WTG98" s="293"/>
      <c r="WTH98" s="293"/>
      <c r="WTI98" s="293"/>
      <c r="WTJ98" s="293"/>
      <c r="WTK98" s="293"/>
      <c r="WTL98" s="293"/>
      <c r="WTM98" s="293"/>
      <c r="WTN98" s="293"/>
      <c r="WTO98" s="293"/>
      <c r="WTP98" s="293"/>
      <c r="WTQ98" s="293"/>
      <c r="WTR98" s="293"/>
      <c r="WTS98" s="293"/>
      <c r="WTT98" s="293"/>
      <c r="WTU98" s="293"/>
      <c r="WTV98" s="293"/>
      <c r="WTW98" s="293"/>
      <c r="WTX98" s="293"/>
      <c r="WTY98" s="293"/>
      <c r="WTZ98" s="293"/>
      <c r="WUA98" s="293"/>
      <c r="WUB98" s="293"/>
      <c r="WUC98" s="293"/>
      <c r="WUD98" s="293"/>
      <c r="WUE98" s="293"/>
      <c r="WUF98" s="293"/>
      <c r="WUG98" s="293"/>
      <c r="WUH98" s="293"/>
      <c r="WUI98" s="293"/>
      <c r="WUJ98" s="293"/>
      <c r="WUK98" s="293"/>
      <c r="WUL98" s="293"/>
      <c r="WUM98" s="293"/>
      <c r="WUN98" s="293"/>
      <c r="WUO98" s="293"/>
      <c r="WUP98" s="293"/>
      <c r="WUQ98" s="293"/>
      <c r="WUR98" s="293"/>
      <c r="WUS98" s="293"/>
      <c r="WUT98" s="293"/>
      <c r="WUU98" s="293"/>
      <c r="WUV98" s="293"/>
      <c r="WUW98" s="293"/>
      <c r="WUX98" s="293"/>
      <c r="WUY98" s="293"/>
      <c r="WUZ98" s="293"/>
      <c r="WVA98" s="293"/>
      <c r="WVB98" s="293"/>
      <c r="WVC98" s="293"/>
      <c r="WVD98" s="293"/>
      <c r="WVE98" s="293"/>
      <c r="WVF98" s="293"/>
      <c r="WVG98" s="293"/>
      <c r="WVH98" s="293"/>
      <c r="WVI98" s="293"/>
      <c r="WVJ98" s="293"/>
      <c r="WVK98" s="293"/>
      <c r="WVL98" s="293"/>
      <c r="WVM98" s="293"/>
      <c r="WVN98" s="293"/>
      <c r="WVO98" s="293"/>
      <c r="WVP98" s="293"/>
      <c r="WVQ98" s="293"/>
      <c r="WVR98" s="293"/>
      <c r="WVS98" s="293"/>
      <c r="WVT98" s="293"/>
      <c r="WVU98" s="293"/>
      <c r="WVV98" s="293"/>
      <c r="WVW98" s="293"/>
      <c r="WVX98" s="293"/>
      <c r="WVY98" s="293"/>
      <c r="WVZ98" s="293"/>
      <c r="WWA98" s="293"/>
      <c r="WWB98" s="293"/>
      <c r="WWC98" s="293"/>
      <c r="WWD98" s="293"/>
      <c r="WWE98" s="293"/>
      <c r="WWF98" s="293"/>
      <c r="WWG98" s="293"/>
      <c r="WWH98" s="293"/>
      <c r="WWI98" s="293"/>
      <c r="WWJ98" s="293"/>
      <c r="WWK98" s="293"/>
      <c r="WWL98" s="293"/>
      <c r="WWM98" s="293"/>
      <c r="WWN98" s="293"/>
      <c r="WWO98" s="293"/>
      <c r="WWP98" s="293"/>
      <c r="WWQ98" s="293"/>
      <c r="WWR98" s="293"/>
      <c r="WWS98" s="293"/>
      <c r="WWT98" s="293"/>
      <c r="WWU98" s="293"/>
      <c r="WWV98" s="293"/>
      <c r="WWW98" s="293"/>
      <c r="WWX98" s="293"/>
      <c r="WWY98" s="293"/>
      <c r="WWZ98" s="293"/>
      <c r="WXA98" s="293"/>
      <c r="WXB98" s="293"/>
      <c r="WXC98" s="293"/>
      <c r="WXD98" s="293"/>
      <c r="WXE98" s="293"/>
      <c r="WXF98" s="293"/>
      <c r="WXG98" s="293"/>
      <c r="WXH98" s="293"/>
      <c r="WXI98" s="293"/>
      <c r="WXJ98" s="293"/>
      <c r="WXK98" s="293"/>
      <c r="WXL98" s="293"/>
      <c r="WXM98" s="293"/>
      <c r="WXN98" s="293"/>
      <c r="WXO98" s="293"/>
      <c r="WXP98" s="293"/>
      <c r="WXQ98" s="293"/>
      <c r="WXR98" s="293"/>
      <c r="WXS98" s="293"/>
      <c r="WXT98" s="293"/>
      <c r="WXU98" s="293"/>
      <c r="WXV98" s="293"/>
      <c r="WXW98" s="293"/>
      <c r="WXX98" s="293"/>
      <c r="WXY98" s="293"/>
      <c r="WXZ98" s="293"/>
      <c r="WYA98" s="293"/>
      <c r="WYB98" s="293"/>
      <c r="WYC98" s="293"/>
      <c r="WYD98" s="293"/>
      <c r="WYE98" s="293"/>
      <c r="WYF98" s="293"/>
      <c r="WYG98" s="293"/>
      <c r="WYH98" s="293"/>
      <c r="WYI98" s="293"/>
      <c r="WYJ98" s="293"/>
      <c r="WYK98" s="293"/>
      <c r="WYL98" s="293"/>
      <c r="WYM98" s="293"/>
      <c r="WYN98" s="293"/>
      <c r="WYO98" s="293"/>
      <c r="WYP98" s="293"/>
      <c r="WYQ98" s="293"/>
      <c r="WYR98" s="293"/>
      <c r="WYS98" s="293"/>
      <c r="WYT98" s="293"/>
      <c r="WYU98" s="293"/>
      <c r="WYV98" s="293"/>
      <c r="WYW98" s="293"/>
      <c r="WYX98" s="293"/>
      <c r="WYY98" s="293"/>
      <c r="WYZ98" s="293"/>
      <c r="WZA98" s="293"/>
      <c r="WZB98" s="293"/>
      <c r="WZC98" s="293"/>
      <c r="WZD98" s="293"/>
      <c r="WZE98" s="293"/>
      <c r="WZF98" s="293"/>
      <c r="WZG98" s="293"/>
      <c r="WZH98" s="293"/>
      <c r="WZI98" s="293"/>
      <c r="WZJ98" s="293"/>
      <c r="WZK98" s="293"/>
      <c r="WZL98" s="293"/>
      <c r="WZM98" s="293"/>
      <c r="WZN98" s="293"/>
      <c r="WZO98" s="293"/>
      <c r="WZP98" s="293"/>
      <c r="WZQ98" s="293"/>
      <c r="WZR98" s="293"/>
      <c r="WZS98" s="293"/>
      <c r="WZT98" s="293"/>
      <c r="WZU98" s="293"/>
      <c r="WZV98" s="293"/>
      <c r="WZW98" s="293"/>
      <c r="WZX98" s="293"/>
      <c r="WZY98" s="293"/>
      <c r="WZZ98" s="293"/>
      <c r="XAA98" s="293"/>
      <c r="XAB98" s="293"/>
      <c r="XAC98" s="293"/>
      <c r="XAD98" s="293"/>
      <c r="XAE98" s="293"/>
      <c r="XAF98" s="293"/>
      <c r="XAG98" s="293"/>
      <c r="XAH98" s="293"/>
      <c r="XAI98" s="293"/>
      <c r="XAJ98" s="293"/>
      <c r="XAK98" s="293"/>
      <c r="XAL98" s="293"/>
      <c r="XAM98" s="293"/>
      <c r="XAN98" s="293"/>
      <c r="XAO98" s="293"/>
      <c r="XAP98" s="293"/>
      <c r="XAQ98" s="293"/>
      <c r="XAR98" s="293"/>
      <c r="XAS98" s="293"/>
      <c r="XAT98" s="293"/>
      <c r="XAU98" s="293"/>
      <c r="XAV98" s="293"/>
      <c r="XAW98" s="293"/>
      <c r="XAX98" s="293"/>
      <c r="XAY98" s="293"/>
      <c r="XAZ98" s="293"/>
      <c r="XBA98" s="293"/>
      <c r="XBB98" s="293"/>
      <c r="XBC98" s="293"/>
      <c r="XBD98" s="293"/>
      <c r="XBE98" s="293"/>
      <c r="XBF98" s="293"/>
      <c r="XBG98" s="293"/>
      <c r="XBH98" s="293"/>
      <c r="XBI98" s="293"/>
      <c r="XBJ98" s="293"/>
      <c r="XBK98" s="293"/>
      <c r="XBL98" s="293"/>
      <c r="XBM98" s="293"/>
      <c r="XBN98" s="293"/>
      <c r="XBO98" s="293"/>
      <c r="XBP98" s="293"/>
      <c r="XBQ98" s="293"/>
      <c r="XBR98" s="293"/>
      <c r="XBS98" s="293"/>
      <c r="XBT98" s="293"/>
      <c r="XBU98" s="293"/>
      <c r="XBV98" s="293"/>
      <c r="XBW98" s="293"/>
      <c r="XBX98" s="293"/>
      <c r="XBY98" s="293"/>
      <c r="XBZ98" s="293"/>
      <c r="XCA98" s="293"/>
      <c r="XCB98" s="293"/>
      <c r="XCC98" s="293"/>
      <c r="XCD98" s="293"/>
      <c r="XCE98" s="293"/>
      <c r="XCF98" s="293"/>
      <c r="XCG98" s="293"/>
      <c r="XCH98" s="293"/>
      <c r="XCI98" s="293"/>
      <c r="XCJ98" s="293"/>
      <c r="XCK98" s="293"/>
      <c r="XCL98" s="293"/>
      <c r="XCM98" s="293"/>
      <c r="XCN98" s="293"/>
      <c r="XCO98" s="293"/>
      <c r="XCP98" s="293"/>
      <c r="XCQ98" s="293"/>
      <c r="XCR98" s="293"/>
      <c r="XCS98" s="293"/>
      <c r="XCT98" s="293"/>
      <c r="XCU98" s="293"/>
      <c r="XCV98" s="293"/>
      <c r="XCW98" s="293"/>
      <c r="XCX98" s="293"/>
      <c r="XCY98" s="293"/>
      <c r="XCZ98" s="293"/>
      <c r="XDA98" s="293"/>
      <c r="XDB98" s="293"/>
      <c r="XDC98" s="293"/>
      <c r="XDD98" s="293"/>
      <c r="XDE98" s="293"/>
      <c r="XDF98" s="293"/>
      <c r="XDG98" s="293"/>
      <c r="XDH98" s="293"/>
      <c r="XDI98" s="293"/>
      <c r="XDJ98" s="293"/>
      <c r="XDK98" s="293"/>
      <c r="XDL98" s="293"/>
      <c r="XDM98" s="293"/>
      <c r="XDN98" s="293"/>
      <c r="XDO98" s="293"/>
      <c r="XDP98" s="293"/>
      <c r="XDQ98" s="293"/>
      <c r="XDR98" s="293"/>
      <c r="XDS98" s="293"/>
      <c r="XDT98" s="293"/>
      <c r="XDU98" s="293"/>
      <c r="XDV98" s="293"/>
      <c r="XDW98" s="293"/>
      <c r="XDX98" s="293"/>
      <c r="XDY98" s="293"/>
      <c r="XDZ98" s="293"/>
      <c r="XEA98" s="293"/>
      <c r="XEB98" s="293"/>
      <c r="XEC98" s="293"/>
      <c r="XED98" s="293"/>
      <c r="XEE98" s="293"/>
      <c r="XEF98" s="293"/>
      <c r="XEG98" s="293"/>
      <c r="XEH98" s="293"/>
      <c r="XEI98" s="293"/>
      <c r="XEJ98" s="293"/>
      <c r="XEK98" s="293"/>
      <c r="XEL98" s="293"/>
      <c r="XEM98" s="293"/>
      <c r="XEN98" s="293"/>
      <c r="XEO98" s="293"/>
      <c r="XEP98" s="293"/>
      <c r="XEQ98" s="293"/>
      <c r="XER98" s="293"/>
      <c r="XES98" s="293"/>
      <c r="XET98" s="293"/>
      <c r="XEU98" s="293"/>
      <c r="XEV98" s="293"/>
      <c r="XEW98" s="293"/>
      <c r="XEX98" s="293"/>
      <c r="XEY98" s="293"/>
      <c r="XEZ98" s="293"/>
      <c r="XFA98" s="293"/>
      <c r="XFB98" s="293"/>
      <c r="XFC98" s="293"/>
      <c r="XFD98" s="293"/>
    </row>
    <row r="99" ht="15.75" hidden="1" spans="1:1024 1025:16384">
      <c r="A99" s="53"/>
      <c r="B99" s="53"/>
      <c r="C99" s="162" t="s">
        <v>20</v>
      </c>
      <c r="D99" s="162" t="s">
        <v>21</v>
      </c>
      <c r="E99" s="162" t="s">
        <v>154</v>
      </c>
      <c r="F99" s="162" t="s">
        <v>23</v>
      </c>
      <c r="G99" s="162" t="s">
        <v>36</v>
      </c>
      <c r="H99" s="162" t="s">
        <v>37</v>
      </c>
      <c r="I99" s="162" t="s">
        <v>221</v>
      </c>
      <c r="J99" s="162" t="s">
        <v>222</v>
      </c>
      <c r="K99" s="162" t="s">
        <v>223</v>
      </c>
      <c r="L99" s="162" t="s">
        <v>224</v>
      </c>
      <c r="M99" s="162" t="s">
        <v>225</v>
      </c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  <c r="AB99" s="293"/>
      <c r="AC99" s="293"/>
      <c r="AD99" s="293"/>
      <c r="AE99" s="293"/>
      <c r="AF99" s="293"/>
      <c r="AG99" s="293"/>
      <c r="AH99" s="293"/>
      <c r="AI99" s="53"/>
      <c r="AJ99" s="162" t="s">
        <v>20</v>
      </c>
      <c r="AK99" s="162" t="s">
        <v>21</v>
      </c>
      <c r="AL99" s="162" t="s">
        <v>154</v>
      </c>
      <c r="AM99" s="162" t="s">
        <v>23</v>
      </c>
      <c r="AN99" s="162" t="s">
        <v>36</v>
      </c>
      <c r="AO99" s="162" t="s">
        <v>37</v>
      </c>
      <c r="AP99" s="162" t="s">
        <v>221</v>
      </c>
      <c r="AQ99" s="162" t="s">
        <v>222</v>
      </c>
      <c r="AR99" s="162" t="s">
        <v>223</v>
      </c>
      <c r="AS99" s="162" t="s">
        <v>224</v>
      </c>
      <c r="AT99" s="162" t="s">
        <v>225</v>
      </c>
      <c r="AU99" s="293"/>
      <c r="AV99" s="293"/>
      <c r="AW99" s="293"/>
      <c r="AX99" s="293"/>
      <c r="AY99" s="293"/>
      <c r="AZ99" s="293"/>
      <c r="BA99" s="293"/>
      <c r="BB99" s="293"/>
      <c r="BC99" s="293"/>
      <c r="BD99" s="293"/>
      <c r="BE99" s="293"/>
      <c r="BF99" s="293"/>
      <c r="BG99" s="293"/>
      <c r="BH99" s="293"/>
      <c r="BI99" s="293"/>
      <c r="BJ99" s="293"/>
      <c r="BK99" s="293"/>
      <c r="BL99" s="293"/>
      <c r="BM99" s="293"/>
      <c r="BN99" s="293"/>
      <c r="BO99" s="293"/>
      <c r="BP99" s="53"/>
      <c r="BQ99" s="162" t="s">
        <v>20</v>
      </c>
      <c r="BR99" s="162" t="s">
        <v>21</v>
      </c>
      <c r="BS99" s="162" t="s">
        <v>154</v>
      </c>
      <c r="BT99" s="162" t="s">
        <v>23</v>
      </c>
      <c r="BU99" s="162" t="s">
        <v>36</v>
      </c>
      <c r="BV99" s="162" t="s">
        <v>37</v>
      </c>
      <c r="BW99" s="162" t="s">
        <v>221</v>
      </c>
      <c r="BX99" s="162" t="s">
        <v>222</v>
      </c>
      <c r="BY99" s="162" t="s">
        <v>223</v>
      </c>
      <c r="BZ99" s="162" t="s">
        <v>224</v>
      </c>
      <c r="CA99" s="162" t="s">
        <v>225</v>
      </c>
      <c r="CB99" s="293"/>
      <c r="CC99" s="293"/>
      <c r="CD99" s="293"/>
      <c r="CE99" s="293"/>
      <c r="CF99" s="293"/>
      <c r="CG99" s="293"/>
      <c r="CH99" s="293"/>
      <c r="CI99" s="293"/>
      <c r="CJ99" s="293"/>
      <c r="CK99" s="293"/>
      <c r="CL99" s="293"/>
      <c r="CM99" s="293"/>
      <c r="CN99" s="293"/>
      <c r="CO99" s="293"/>
      <c r="CP99" s="293"/>
      <c r="CQ99" s="293"/>
      <c r="CR99" s="293"/>
      <c r="CS99" s="293"/>
      <c r="CT99" s="293"/>
      <c r="CU99" s="293"/>
      <c r="CV99" s="293"/>
      <c r="CW99" s="53"/>
      <c r="CX99" s="162" t="s">
        <v>20</v>
      </c>
      <c r="CY99" s="162" t="s">
        <v>21</v>
      </c>
      <c r="CZ99" s="162" t="s">
        <v>154</v>
      </c>
      <c r="DA99" s="162" t="s">
        <v>23</v>
      </c>
      <c r="DB99" s="162" t="s">
        <v>36</v>
      </c>
      <c r="DC99" s="162" t="s">
        <v>37</v>
      </c>
      <c r="DD99" s="162" t="s">
        <v>221</v>
      </c>
      <c r="DE99" s="162" t="s">
        <v>222</v>
      </c>
      <c r="DF99" s="162" t="s">
        <v>223</v>
      </c>
      <c r="DG99" s="162" t="s">
        <v>224</v>
      </c>
      <c r="DH99" s="162" t="s">
        <v>225</v>
      </c>
      <c r="DI99" s="293"/>
      <c r="DJ99" s="293"/>
      <c r="DK99" s="293"/>
      <c r="DL99" s="293"/>
      <c r="DM99" s="293"/>
      <c r="DN99" s="293"/>
      <c r="DO99" s="293"/>
      <c r="DP99" s="293"/>
      <c r="DQ99" s="293"/>
      <c r="DR99" s="293"/>
      <c r="DS99" s="293"/>
      <c r="DT99" s="293"/>
      <c r="DU99" s="293"/>
      <c r="DV99" s="293"/>
      <c r="DW99" s="293"/>
      <c r="DX99" s="293"/>
      <c r="DY99" s="293"/>
      <c r="DZ99" s="293"/>
      <c r="EA99" s="293"/>
      <c r="EB99" s="293"/>
      <c r="EC99" s="293"/>
      <c r="ED99" s="53"/>
      <c r="EE99" s="347" t="s">
        <v>20</v>
      </c>
      <c r="EF99" s="347" t="s">
        <v>21</v>
      </c>
      <c r="EG99" s="347" t="s">
        <v>154</v>
      </c>
      <c r="EH99" s="347" t="s">
        <v>23</v>
      </c>
      <c r="EI99" s="347" t="s">
        <v>219</v>
      </c>
      <c r="EJ99" s="347" t="s">
        <v>27</v>
      </c>
      <c r="EK99" s="347" t="s">
        <v>28</v>
      </c>
      <c r="EL99" s="347" t="s">
        <v>29</v>
      </c>
      <c r="EM99" s="347" t="s">
        <v>32</v>
      </c>
      <c r="EN99" s="347" t="s">
        <v>220</v>
      </c>
      <c r="EO99" s="347" t="s">
        <v>157</v>
      </c>
      <c r="EP99" s="53"/>
      <c r="EQ99" s="53"/>
      <c r="ER99" s="192"/>
      <c r="ES99" s="192"/>
      <c r="ET99" s="192"/>
      <c r="EU99" s="192"/>
      <c r="EV99" s="192"/>
      <c r="EW99" s="192"/>
      <c r="EX99" s="192"/>
      <c r="EY99" s="192"/>
      <c r="EZ99" s="192"/>
      <c r="FA99" s="192"/>
      <c r="FB99" s="192"/>
      <c r="FC99" s="192"/>
      <c r="FD99" s="192"/>
      <c r="FE99" s="192"/>
      <c r="FF99" s="192"/>
      <c r="FG99" s="192"/>
      <c r="FH99" s="192"/>
      <c r="FI99" s="192"/>
      <c r="FJ99" s="192"/>
      <c r="FK99" s="53"/>
      <c r="FL99" s="53"/>
      <c r="FM99" s="53"/>
      <c r="FN99" s="347" t="s">
        <v>20</v>
      </c>
      <c r="FO99" s="347" t="s">
        <v>21</v>
      </c>
      <c r="FP99" s="347" t="s">
        <v>154</v>
      </c>
      <c r="FQ99" s="347" t="s">
        <v>23</v>
      </c>
      <c r="FR99" s="347" t="s">
        <v>36</v>
      </c>
      <c r="FS99" s="347" t="s">
        <v>37</v>
      </c>
      <c r="FT99" s="347" t="s">
        <v>221</v>
      </c>
      <c r="FU99" s="347" t="s">
        <v>222</v>
      </c>
      <c r="FV99" s="347" t="s">
        <v>223</v>
      </c>
      <c r="FW99" s="347" t="s">
        <v>224</v>
      </c>
      <c r="FX99" s="347" t="s">
        <v>225</v>
      </c>
      <c r="FY99" s="53"/>
      <c r="FZ99" s="192"/>
      <c r="GA99" s="192"/>
      <c r="GB99" s="192"/>
      <c r="GC99" s="192"/>
      <c r="GD99" s="192"/>
      <c r="GE99" s="192"/>
      <c r="GF99" s="192"/>
      <c r="GG99" s="192"/>
      <c r="GH99" s="192"/>
      <c r="GI99" s="192"/>
      <c r="GJ99" s="192"/>
      <c r="GK99" s="192"/>
      <c r="GL99" s="192"/>
      <c r="GM99" s="192"/>
      <c r="GN99" s="192"/>
      <c r="GO99" s="192"/>
      <c r="GP99" s="192"/>
      <c r="GQ99" s="192"/>
      <c r="GR99" s="192"/>
      <c r="GS99" s="192"/>
      <c r="GT99" s="53"/>
      <c r="GU99" s="53"/>
      <c r="GV99" s="347" t="s">
        <v>20</v>
      </c>
      <c r="GW99" s="347" t="s">
        <v>21</v>
      </c>
      <c r="GX99" s="347" t="s">
        <v>154</v>
      </c>
      <c r="GY99" s="347" t="s">
        <v>23</v>
      </c>
      <c r="GZ99" s="347" t="s">
        <v>36</v>
      </c>
      <c r="HA99" s="347" t="s">
        <v>37</v>
      </c>
      <c r="HB99" s="347" t="s">
        <v>221</v>
      </c>
      <c r="HC99" s="347" t="s">
        <v>222</v>
      </c>
      <c r="HD99" s="347" t="s">
        <v>223</v>
      </c>
      <c r="HE99" s="347" t="s">
        <v>224</v>
      </c>
      <c r="HF99" s="347" t="s">
        <v>225</v>
      </c>
      <c r="HI99" s="192"/>
      <c r="HJ99" s="192"/>
      <c r="HK99" s="192"/>
      <c r="HL99" s="192"/>
      <c r="HM99" s="192"/>
      <c r="HN99" s="192"/>
      <c r="HO99" s="192"/>
      <c r="HP99" s="192"/>
      <c r="HQ99" s="192"/>
      <c r="HR99" s="192"/>
      <c r="HS99" s="192"/>
      <c r="HT99" s="192"/>
      <c r="HU99" s="192"/>
      <c r="HV99" s="192"/>
      <c r="HW99" s="192"/>
      <c r="HX99" s="192"/>
      <c r="HY99" s="192"/>
      <c r="HZ99" s="192"/>
      <c r="IA99" s="192"/>
      <c r="IB99" s="53"/>
      <c r="IC99" s="53"/>
      <c r="ID99" s="326" t="s">
        <v>20</v>
      </c>
      <c r="IE99" s="326" t="s">
        <v>21</v>
      </c>
      <c r="IF99" s="326" t="s">
        <v>22</v>
      </c>
      <c r="IG99" s="326" t="s">
        <v>23</v>
      </c>
      <c r="IH99" s="326" t="s">
        <v>219</v>
      </c>
      <c r="II99" s="326" t="s">
        <v>27</v>
      </c>
      <c r="IJ99" s="326" t="s">
        <v>159</v>
      </c>
      <c r="IK99" s="326" t="s">
        <v>29</v>
      </c>
      <c r="IL99" s="326" t="s">
        <v>32</v>
      </c>
      <c r="IM99" s="326" t="s">
        <v>220</v>
      </c>
      <c r="IN99" s="326" t="s">
        <v>157</v>
      </c>
      <c r="IP99" s="11"/>
      <c r="IQ99" s="192"/>
      <c r="IR99" s="192"/>
      <c r="IS99" s="192"/>
      <c r="IT99" s="192"/>
      <c r="IU99" s="192"/>
      <c r="IV99" s="192"/>
      <c r="IW99" s="192"/>
      <c r="IX99" s="192"/>
      <c r="IY99" s="192"/>
      <c r="IZ99" s="192"/>
      <c r="JA99" s="192"/>
      <c r="JB99" s="192"/>
      <c r="JC99" s="192"/>
      <c r="JD99" s="192"/>
      <c r="JE99" s="192"/>
      <c r="JF99" s="192"/>
      <c r="JG99" s="192"/>
      <c r="JH99" s="192"/>
      <c r="JI99" s="192"/>
      <c r="JJ99" s="53"/>
      <c r="JK99" s="53"/>
      <c r="JL99" s="347" t="s">
        <v>20</v>
      </c>
      <c r="JM99" s="347" t="s">
        <v>21</v>
      </c>
      <c r="JN99" s="347" t="s">
        <v>23</v>
      </c>
      <c r="JO99" s="347" t="s">
        <v>219</v>
      </c>
      <c r="JP99" s="347" t="s">
        <v>27</v>
      </c>
      <c r="JQ99" s="347" t="s">
        <v>159</v>
      </c>
      <c r="JR99" s="347" t="s">
        <v>29</v>
      </c>
      <c r="JS99" s="347" t="s">
        <v>32</v>
      </c>
      <c r="JT99" s="347" t="s">
        <v>220</v>
      </c>
      <c r="JU99" s="347" t="s">
        <v>157</v>
      </c>
      <c r="JX99" s="192"/>
      <c r="JY99" s="192"/>
      <c r="JZ99" s="192"/>
      <c r="KA99" s="192"/>
      <c r="KB99" s="192"/>
      <c r="KC99" s="192"/>
      <c r="KD99" s="192"/>
      <c r="KE99" s="192"/>
      <c r="KF99" s="192"/>
      <c r="KG99" s="192"/>
      <c r="KH99" s="192"/>
      <c r="KI99" s="192"/>
      <c r="KJ99" s="192"/>
      <c r="KK99" s="192"/>
      <c r="KL99" s="192"/>
      <c r="KM99" s="192"/>
      <c r="KN99" s="192"/>
      <c r="KO99" s="192"/>
      <c r="KP99" s="192"/>
      <c r="KQ99" s="192"/>
      <c r="KR99" s="53"/>
      <c r="KS99" s="53"/>
      <c r="KT99" s="326" t="s">
        <v>20</v>
      </c>
      <c r="KU99" s="326" t="s">
        <v>21</v>
      </c>
      <c r="KV99" s="326" t="s">
        <v>23</v>
      </c>
      <c r="KW99" s="326" t="s">
        <v>219</v>
      </c>
      <c r="KX99" s="326" t="s">
        <v>27</v>
      </c>
      <c r="KY99" s="326" t="s">
        <v>159</v>
      </c>
      <c r="KZ99" s="326" t="s">
        <v>29</v>
      </c>
      <c r="LA99" s="326" t="s">
        <v>32</v>
      </c>
      <c r="LB99" s="326" t="s">
        <v>220</v>
      </c>
      <c r="LC99" s="326" t="s">
        <v>157</v>
      </c>
      <c r="LF99" s="11"/>
      <c r="LG99" s="192"/>
      <c r="LH99" s="192"/>
      <c r="LI99" s="192"/>
      <c r="LJ99" s="192"/>
      <c r="LK99" s="192"/>
      <c r="LL99" s="192"/>
      <c r="LM99" s="192"/>
      <c r="LN99" s="192"/>
      <c r="LO99" s="192"/>
      <c r="LP99" s="192"/>
      <c r="LQ99" s="192"/>
      <c r="LR99" s="192"/>
      <c r="LS99" s="192"/>
      <c r="LT99" s="192"/>
      <c r="LU99" s="192"/>
      <c r="LV99" s="192"/>
      <c r="LW99" s="192"/>
      <c r="LX99" s="192"/>
      <c r="LY99" s="192"/>
      <c r="LZ99" s="192"/>
      <c r="MA99" s="192"/>
      <c r="MB99" s="326" t="s">
        <v>20</v>
      </c>
      <c r="MC99" s="326" t="s">
        <v>21</v>
      </c>
      <c r="MD99" s="326" t="s">
        <v>23</v>
      </c>
      <c r="ME99" s="326" t="s">
        <v>219</v>
      </c>
      <c r="MF99" s="326" t="s">
        <v>27</v>
      </c>
      <c r="MG99" s="326" t="s">
        <v>159</v>
      </c>
      <c r="MH99" s="326" t="s">
        <v>29</v>
      </c>
      <c r="MI99" s="326" t="s">
        <v>32</v>
      </c>
      <c r="MJ99" s="326" t="s">
        <v>220</v>
      </c>
      <c r="MK99" s="326" t="s">
        <v>157</v>
      </c>
      <c r="MO99" s="192"/>
      <c r="MP99" s="192"/>
      <c r="MQ99" s="192"/>
      <c r="MR99" s="192"/>
      <c r="MS99" s="192"/>
      <c r="MT99" s="192"/>
      <c r="MU99" s="192"/>
      <c r="MV99" s="192"/>
      <c r="MW99" s="192"/>
      <c r="MX99" s="192"/>
      <c r="MY99" s="192"/>
      <c r="MZ99" s="192"/>
      <c r="NA99" s="192"/>
      <c r="NB99" s="192"/>
      <c r="NC99" s="192"/>
      <c r="ND99" s="192"/>
      <c r="NE99" s="192"/>
      <c r="NF99" s="192"/>
      <c r="NG99" s="192"/>
      <c r="NH99" s="53"/>
      <c r="NI99" s="53"/>
      <c r="NJ99" s="326" t="s">
        <v>20</v>
      </c>
      <c r="NK99" s="326" t="s">
        <v>21</v>
      </c>
      <c r="NL99" s="326" t="s">
        <v>23</v>
      </c>
      <c r="NM99" s="326" t="s">
        <v>219</v>
      </c>
      <c r="NN99" s="326" t="s">
        <v>27</v>
      </c>
      <c r="NO99" s="326" t="s">
        <v>159</v>
      </c>
      <c r="NP99" s="326" t="s">
        <v>29</v>
      </c>
      <c r="NQ99" s="326" t="s">
        <v>32</v>
      </c>
      <c r="NR99" s="326" t="s">
        <v>220</v>
      </c>
      <c r="NS99" s="326" t="s">
        <v>157</v>
      </c>
      <c r="NT99" s="53"/>
      <c r="NU99" s="53"/>
      <c r="NV99" s="53"/>
      <c r="NW99" s="53"/>
      <c r="NX99" s="53"/>
      <c r="NY99" s="53"/>
      <c r="NZ99" s="53"/>
      <c r="OA99" s="53"/>
      <c r="OB99" s="53"/>
      <c r="OC99" s="53"/>
      <c r="OD99" s="53"/>
      <c r="OE99" s="53"/>
      <c r="OF99" s="53"/>
      <c r="OG99" s="53"/>
      <c r="OH99" s="53"/>
      <c r="OI99" s="53"/>
      <c r="OJ99" s="53"/>
      <c r="OK99" s="53"/>
      <c r="OL99" s="53"/>
      <c r="OM99" s="53"/>
      <c r="ON99" s="53"/>
      <c r="OO99" s="53"/>
      <c r="OP99" s="53"/>
      <c r="OQ99" s="53"/>
      <c r="OR99" s="53"/>
      <c r="OS99" s="170" t="s">
        <v>20</v>
      </c>
      <c r="OT99" s="170" t="s">
        <v>21</v>
      </c>
      <c r="OU99" s="170" t="s">
        <v>23</v>
      </c>
      <c r="OV99" s="170" t="s">
        <v>36</v>
      </c>
      <c r="OW99" s="170" t="s">
        <v>37</v>
      </c>
      <c r="OX99" s="170" t="s">
        <v>221</v>
      </c>
      <c r="OY99" s="170" t="s">
        <v>222</v>
      </c>
      <c r="OZ99" s="170" t="s">
        <v>223</v>
      </c>
      <c r="PA99" s="170" t="s">
        <v>224</v>
      </c>
      <c r="PB99" s="170" t="s">
        <v>225</v>
      </c>
      <c r="PC99" s="144"/>
      <c r="PD99" s="144"/>
      <c r="PE99" s="144"/>
      <c r="PF99" s="144"/>
      <c r="PG99" s="144"/>
      <c r="PH99" s="144"/>
      <c r="PI99" s="144"/>
      <c r="PJ99" s="144"/>
      <c r="PK99" s="144"/>
      <c r="PL99" s="144"/>
      <c r="PM99" s="144"/>
      <c r="PN99" s="144"/>
      <c r="PO99" s="144"/>
      <c r="PP99" s="144"/>
      <c r="PQ99" s="144"/>
      <c r="PR99" s="144"/>
      <c r="PS99" s="146"/>
      <c r="PT99" s="146"/>
      <c r="PU99" s="170" t="s">
        <v>20</v>
      </c>
      <c r="PV99" s="170" t="s">
        <v>21</v>
      </c>
      <c r="PW99" s="170" t="s">
        <v>23</v>
      </c>
      <c r="PX99" s="170" t="s">
        <v>36</v>
      </c>
      <c r="PY99" s="170" t="s">
        <v>37</v>
      </c>
      <c r="PZ99" s="170" t="s">
        <v>221</v>
      </c>
      <c r="QA99" s="170" t="s">
        <v>222</v>
      </c>
      <c r="QB99" s="170" t="s">
        <v>223</v>
      </c>
      <c r="QC99" s="170" t="s">
        <v>224</v>
      </c>
      <c r="QD99" s="170" t="s">
        <v>225</v>
      </c>
      <c r="QE99" s="146"/>
      <c r="QF99" s="146"/>
      <c r="QG99" s="146"/>
      <c r="QH99" s="146"/>
      <c r="QI99" s="146"/>
      <c r="QJ99" s="146"/>
      <c r="QK99" s="146"/>
      <c r="QL99" s="146"/>
      <c r="QM99" s="146"/>
      <c r="QN99" s="146"/>
      <c r="QO99" s="146"/>
      <c r="QP99" s="146"/>
      <c r="QQ99" s="146"/>
      <c r="QR99" s="144"/>
      <c r="QS99" s="144"/>
      <c r="QT99" s="144"/>
      <c r="QU99" s="144"/>
      <c r="QV99" s="144"/>
      <c r="QW99" s="144"/>
      <c r="QX99" s="144"/>
      <c r="QY99" s="144"/>
      <c r="QZ99" s="144"/>
      <c r="RA99" s="144"/>
      <c r="RB99" s="144"/>
      <c r="RC99" s="144"/>
      <c r="RD99" s="144"/>
      <c r="RE99" s="144"/>
      <c r="RF99" s="144"/>
      <c r="RG99" s="144"/>
      <c r="RH99" s="144"/>
      <c r="RI99" s="144"/>
      <c r="RJ99" s="144"/>
      <c r="RK99" s="144"/>
      <c r="RL99" s="144"/>
      <c r="RM99" s="144"/>
      <c r="RN99" s="144"/>
      <c r="RO99" s="144"/>
      <c r="RP99" s="144"/>
      <c r="RQ99" s="144"/>
      <c r="RR99" s="144"/>
      <c r="RS99" s="144"/>
      <c r="RT99" s="144"/>
      <c r="RU99" s="144"/>
      <c r="RV99" s="144"/>
      <c r="RW99" s="144"/>
      <c r="RX99" s="144"/>
      <c r="RY99" s="144"/>
      <c r="RZ99" s="144"/>
      <c r="SA99" s="144"/>
      <c r="SB99" s="144"/>
      <c r="SC99" s="144"/>
      <c r="SD99" s="144"/>
      <c r="SE99" s="144"/>
      <c r="SF99" s="144"/>
      <c r="SG99" s="144"/>
      <c r="SH99" s="144"/>
      <c r="SI99" s="144"/>
      <c r="SJ99" s="144"/>
      <c r="SK99" s="144"/>
      <c r="SL99" s="84"/>
      <c r="SM99" s="84"/>
      <c r="SN99" s="154"/>
      <c r="SO99" s="154"/>
      <c r="SP99" s="154"/>
      <c r="SQ99" s="154"/>
      <c r="SR99" s="154"/>
      <c r="SS99" s="154"/>
      <c r="ST99" s="155"/>
      <c r="SU99" s="154"/>
      <c r="SV99" s="154"/>
      <c r="SW99" s="155"/>
      <c r="SX99" s="155"/>
      <c r="SY99" s="155"/>
      <c r="SZ99" s="155"/>
      <c r="TA99" s="155"/>
      <c r="TB99" s="155"/>
      <c r="TC99" s="155"/>
      <c r="TD99" s="156"/>
      <c r="TE99" s="144"/>
      <c r="TF99" s="84"/>
      <c r="TG99" s="144"/>
      <c r="TH99" s="144"/>
      <c r="TI99" s="144"/>
      <c r="TJ99" s="144"/>
      <c r="TK99" s="157"/>
      <c r="TL99" s="157"/>
      <c r="TM99" s="157"/>
      <c r="TN99" s="157"/>
      <c r="TO99" s="157"/>
      <c r="TP99" s="157"/>
      <c r="TQ99" s="157"/>
      <c r="TR99" s="157"/>
      <c r="TS99" s="157"/>
      <c r="TT99" s="158"/>
      <c r="TU99" s="157"/>
      <c r="TV99" s="158"/>
      <c r="TW99" s="144"/>
      <c r="TX99" s="144"/>
      <c r="TY99" s="144"/>
      <c r="TZ99" s="84"/>
      <c r="UA99" s="144"/>
      <c r="UB99" s="144"/>
      <c r="UC99" s="144"/>
      <c r="UD99" s="144"/>
      <c r="UE99" s="157"/>
      <c r="UF99" s="157"/>
      <c r="UG99" s="157"/>
      <c r="UH99" s="157"/>
      <c r="UI99" s="157"/>
      <c r="UJ99" s="157"/>
      <c r="UK99" s="157"/>
      <c r="UL99" s="157"/>
      <c r="UM99" s="157"/>
      <c r="UN99" s="157"/>
      <c r="UO99" s="157"/>
      <c r="UP99" s="158"/>
      <c r="UQ99" s="157"/>
      <c r="UR99" s="158"/>
      <c r="US99" s="144"/>
      <c r="UT99" s="144"/>
      <c r="UU99" s="144"/>
      <c r="UV99" s="144"/>
      <c r="UW99" s="144"/>
      <c r="UX99" s="144"/>
      <c r="UY99" s="144"/>
      <c r="UZ99" s="144"/>
      <c r="VA99" s="157"/>
      <c r="VB99" s="157"/>
      <c r="VC99" s="157"/>
      <c r="VD99" s="157"/>
      <c r="VE99" s="157"/>
      <c r="VF99" s="157"/>
      <c r="VG99" s="157"/>
      <c r="VH99" s="157"/>
      <c r="VI99" s="157"/>
      <c r="VJ99" s="157"/>
      <c r="VK99" s="157"/>
      <c r="VL99" s="157"/>
      <c r="VM99" s="157"/>
      <c r="VN99" s="157"/>
      <c r="VO99" s="144"/>
      <c r="VP99" s="144"/>
      <c r="VQ99" s="84"/>
      <c r="VR99" s="84"/>
      <c r="VS99" s="144"/>
      <c r="VT99" s="53"/>
      <c r="VU99" s="53"/>
    </row>
    <row r="100" ht="15.75" hidden="1" spans="1:1024 1025:16384">
      <c r="A100" s="53"/>
      <c r="B100" s="53"/>
      <c r="C100" s="327" t="s">
        <v>161</v>
      </c>
      <c r="D100" s="327"/>
      <c r="E100" s="327"/>
      <c r="F100" s="327"/>
      <c r="G100" s="161"/>
      <c r="H100" s="161"/>
      <c r="I100" s="161"/>
      <c r="J100" s="161"/>
      <c r="K100" s="179"/>
      <c r="L100" s="328"/>
      <c r="M100" s="162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  <c r="AB100" s="293"/>
      <c r="AC100" s="293"/>
      <c r="AD100" s="293"/>
      <c r="AE100" s="293"/>
      <c r="AF100" s="293"/>
      <c r="AG100" s="293"/>
      <c r="AH100" s="293"/>
      <c r="AI100" s="53"/>
      <c r="AJ100" s="327" t="s">
        <v>161</v>
      </c>
      <c r="AK100" s="327"/>
      <c r="AL100" s="327"/>
      <c r="AM100" s="327"/>
      <c r="AN100" s="161"/>
      <c r="AO100" s="161"/>
      <c r="AP100" s="161"/>
      <c r="AQ100" s="161"/>
      <c r="AR100" s="179"/>
      <c r="AS100" s="328"/>
      <c r="AT100" s="162"/>
      <c r="AU100" s="293"/>
      <c r="AV100" s="293"/>
      <c r="AW100" s="293"/>
      <c r="AX100" s="293"/>
      <c r="AY100" s="293"/>
      <c r="AZ100" s="293"/>
      <c r="BA100" s="293"/>
      <c r="BB100" s="293"/>
      <c r="BC100" s="293"/>
      <c r="BD100" s="293"/>
      <c r="BE100" s="293"/>
      <c r="BF100" s="293"/>
      <c r="BG100" s="293"/>
      <c r="BH100" s="293"/>
      <c r="BI100" s="293"/>
      <c r="BJ100" s="293"/>
      <c r="BK100" s="293"/>
      <c r="BL100" s="293"/>
      <c r="BM100" s="293"/>
      <c r="BN100" s="293"/>
      <c r="BO100" s="293"/>
      <c r="BP100" s="53"/>
      <c r="BQ100" s="327" t="s">
        <v>161</v>
      </c>
      <c r="BR100" s="327"/>
      <c r="BS100" s="327"/>
      <c r="BT100" s="327"/>
      <c r="BU100" s="161"/>
      <c r="BV100" s="161"/>
      <c r="BW100" s="161"/>
      <c r="BX100" s="161"/>
      <c r="BY100" s="179"/>
      <c r="BZ100" s="328"/>
      <c r="CA100" s="162"/>
      <c r="CB100" s="293"/>
      <c r="CC100" s="293"/>
      <c r="CD100" s="293"/>
      <c r="CE100" s="293"/>
      <c r="CF100" s="293"/>
      <c r="CG100" s="293"/>
      <c r="CH100" s="293"/>
      <c r="CI100" s="293"/>
      <c r="CJ100" s="293"/>
      <c r="CK100" s="293"/>
      <c r="CL100" s="293"/>
      <c r="CM100" s="293"/>
      <c r="CN100" s="293"/>
      <c r="CO100" s="293"/>
      <c r="CP100" s="293"/>
      <c r="CQ100" s="293"/>
      <c r="CR100" s="293"/>
      <c r="CS100" s="293"/>
      <c r="CT100" s="293"/>
      <c r="CU100" s="293"/>
      <c r="CV100" s="293"/>
      <c r="CW100" s="53"/>
      <c r="CX100" s="327" t="s">
        <v>161</v>
      </c>
      <c r="CY100" s="327"/>
      <c r="CZ100" s="327"/>
      <c r="DA100" s="327"/>
      <c r="DB100" s="161"/>
      <c r="DC100" s="161"/>
      <c r="DD100" s="161"/>
      <c r="DE100" s="161"/>
      <c r="DF100" s="179"/>
      <c r="DG100" s="328"/>
      <c r="DH100" s="162"/>
      <c r="DI100" s="293"/>
      <c r="DJ100" s="293"/>
      <c r="DK100" s="293"/>
      <c r="DL100" s="293"/>
      <c r="DM100" s="293"/>
      <c r="DN100" s="293"/>
      <c r="DO100" s="293"/>
      <c r="DP100" s="293"/>
      <c r="DQ100" s="293"/>
      <c r="DR100" s="293"/>
      <c r="DS100" s="293"/>
      <c r="DT100" s="293"/>
      <c r="DU100" s="293"/>
      <c r="DV100" s="293"/>
      <c r="DW100" s="293"/>
      <c r="DX100" s="293"/>
      <c r="DY100" s="293"/>
      <c r="DZ100" s="293"/>
      <c r="EA100" s="293"/>
      <c r="EB100" s="293"/>
      <c r="EC100" s="293"/>
      <c r="ED100" s="53"/>
      <c r="EE100" s="329" t="s">
        <v>161</v>
      </c>
      <c r="EF100" s="329"/>
      <c r="EG100" s="329"/>
      <c r="EH100" s="329"/>
      <c r="EI100" s="330"/>
      <c r="EJ100" s="330"/>
      <c r="EK100" s="330"/>
      <c r="EL100" s="330"/>
      <c r="EM100" s="331"/>
      <c r="EN100" s="332"/>
      <c r="EO100" s="333"/>
      <c r="EP100" s="53"/>
      <c r="EQ100" s="53"/>
      <c r="ER100" s="192"/>
      <c r="ES100" s="192"/>
      <c r="ET100" s="192"/>
      <c r="EU100" s="192"/>
      <c r="EV100" s="192"/>
      <c r="EW100" s="192"/>
      <c r="EX100" s="192"/>
      <c r="EY100" s="192"/>
      <c r="EZ100" s="192"/>
      <c r="FA100" s="192"/>
      <c r="FB100" s="192"/>
      <c r="FC100" s="192"/>
      <c r="FD100" s="192"/>
      <c r="FE100" s="192"/>
      <c r="FF100" s="192"/>
      <c r="FG100" s="192"/>
      <c r="FH100" s="192"/>
      <c r="FI100" s="192"/>
      <c r="FJ100" s="192"/>
      <c r="FK100" s="53"/>
      <c r="FL100" s="53"/>
      <c r="FM100" s="53"/>
      <c r="FN100" s="329" t="s">
        <v>161</v>
      </c>
      <c r="FO100" s="329"/>
      <c r="FP100" s="329"/>
      <c r="FQ100" s="329"/>
      <c r="FR100" s="330"/>
      <c r="FS100" s="330"/>
      <c r="FT100" s="330"/>
      <c r="FU100" s="330"/>
      <c r="FV100" s="331"/>
      <c r="FW100" s="332"/>
      <c r="FX100" s="333"/>
      <c r="FY100" s="53"/>
      <c r="FZ100" s="192"/>
      <c r="GA100" s="192"/>
      <c r="GB100" s="192"/>
      <c r="GC100" s="192"/>
      <c r="GD100" s="192"/>
      <c r="GE100" s="192"/>
      <c r="GF100" s="192"/>
      <c r="GG100" s="192"/>
      <c r="GH100" s="192"/>
      <c r="GI100" s="192"/>
      <c r="GJ100" s="192"/>
      <c r="GK100" s="192"/>
      <c r="GL100" s="192"/>
      <c r="GM100" s="192"/>
      <c r="GN100" s="192"/>
      <c r="GO100" s="192"/>
      <c r="GP100" s="192"/>
      <c r="GQ100" s="192"/>
      <c r="GR100" s="192"/>
      <c r="GS100" s="192"/>
      <c r="GT100" s="53"/>
      <c r="GU100" s="53"/>
      <c r="GV100" s="329" t="s">
        <v>161</v>
      </c>
      <c r="GW100" s="329"/>
      <c r="GX100" s="329"/>
      <c r="GY100" s="329"/>
      <c r="GZ100" s="330"/>
      <c r="HA100" s="330"/>
      <c r="HB100" s="330"/>
      <c r="HC100" s="330"/>
      <c r="HD100" s="331"/>
      <c r="HE100" s="332"/>
      <c r="HF100" s="333"/>
      <c r="HI100" s="192"/>
      <c r="HJ100" s="192"/>
      <c r="HK100" s="192"/>
      <c r="HL100" s="192"/>
      <c r="HM100" s="192"/>
      <c r="HN100" s="192"/>
      <c r="HO100" s="192"/>
      <c r="HP100" s="192"/>
      <c r="HQ100" s="192"/>
      <c r="HR100" s="192"/>
      <c r="HS100" s="192"/>
      <c r="HT100" s="192"/>
      <c r="HU100" s="192"/>
      <c r="HV100" s="192"/>
      <c r="HW100" s="192"/>
      <c r="HX100" s="192"/>
      <c r="HY100" s="192"/>
      <c r="HZ100" s="192"/>
      <c r="IA100" s="192"/>
      <c r="IB100" s="53"/>
      <c r="IC100" s="53"/>
      <c r="ID100" s="329" t="s">
        <v>161</v>
      </c>
      <c r="IE100" s="329"/>
      <c r="IF100" s="329"/>
      <c r="IG100" s="329"/>
      <c r="IH100" s="330"/>
      <c r="II100" s="330"/>
      <c r="IJ100" s="330"/>
      <c r="IK100" s="330"/>
      <c r="IL100" s="331"/>
      <c r="IM100" s="332"/>
      <c r="IN100" s="333"/>
      <c r="IP100" s="11"/>
      <c r="IQ100" s="192"/>
      <c r="IR100" s="192"/>
      <c r="IS100" s="192"/>
      <c r="IT100" s="192"/>
      <c r="IU100" s="192"/>
      <c r="IV100" s="192"/>
      <c r="IW100" s="192"/>
      <c r="IX100" s="192"/>
      <c r="IY100" s="192"/>
      <c r="IZ100" s="192"/>
      <c r="JA100" s="192"/>
      <c r="JB100" s="192"/>
      <c r="JC100" s="192"/>
      <c r="JD100" s="192"/>
      <c r="JE100" s="192"/>
      <c r="JF100" s="192"/>
      <c r="JG100" s="192"/>
      <c r="JH100" s="192"/>
      <c r="JI100" s="192"/>
      <c r="JJ100" s="53"/>
      <c r="JK100" s="53"/>
      <c r="JL100" s="329" t="s">
        <v>161</v>
      </c>
      <c r="JM100" s="329"/>
      <c r="JN100" s="329"/>
      <c r="JO100" s="329"/>
      <c r="JP100" s="330"/>
      <c r="JQ100" s="330"/>
      <c r="JR100" s="330"/>
      <c r="JS100" s="330"/>
      <c r="JT100" s="331"/>
      <c r="JU100" s="335"/>
      <c r="JX100" s="192"/>
      <c r="JY100" s="192"/>
      <c r="JZ100" s="192"/>
      <c r="KA100" s="192"/>
      <c r="KB100" s="192"/>
      <c r="KC100" s="192"/>
      <c r="KD100" s="192"/>
      <c r="KE100" s="192"/>
      <c r="KF100" s="192"/>
      <c r="KG100" s="192"/>
      <c r="KH100" s="192"/>
      <c r="KI100" s="192"/>
      <c r="KJ100" s="192"/>
      <c r="KK100" s="192"/>
      <c r="KL100" s="192"/>
      <c r="KM100" s="192"/>
      <c r="KN100" s="192"/>
      <c r="KO100" s="192"/>
      <c r="KP100" s="192"/>
      <c r="KQ100" s="192"/>
      <c r="KR100" s="53"/>
      <c r="KS100" s="53"/>
      <c r="KT100" s="329" t="s">
        <v>161</v>
      </c>
      <c r="KU100" s="329"/>
      <c r="KV100" s="329"/>
      <c r="KW100" s="329"/>
      <c r="KX100" s="330"/>
      <c r="KY100" s="330"/>
      <c r="KZ100" s="330"/>
      <c r="LA100" s="330"/>
      <c r="LB100" s="334"/>
      <c r="LC100" s="335"/>
      <c r="LF100" s="11"/>
      <c r="LG100" s="192"/>
      <c r="LH100" s="192"/>
      <c r="LI100" s="192"/>
      <c r="LJ100" s="192"/>
      <c r="LK100" s="192"/>
      <c r="LL100" s="192"/>
      <c r="LM100" s="192"/>
      <c r="LN100" s="192"/>
      <c r="LO100" s="192"/>
      <c r="LP100" s="192"/>
      <c r="LQ100" s="192"/>
      <c r="LR100" s="192"/>
      <c r="LS100" s="192"/>
      <c r="LT100" s="192"/>
      <c r="LU100" s="192"/>
      <c r="LV100" s="192"/>
      <c r="LW100" s="192"/>
      <c r="LX100" s="192"/>
      <c r="LY100" s="192"/>
      <c r="LZ100" s="192"/>
      <c r="MA100" s="192"/>
      <c r="MB100" s="329" t="s">
        <v>161</v>
      </c>
      <c r="MC100" s="329"/>
      <c r="MD100" s="329"/>
      <c r="ME100" s="329"/>
      <c r="MF100" s="330"/>
      <c r="MG100" s="330"/>
      <c r="MH100" s="330"/>
      <c r="MI100" s="330"/>
      <c r="MJ100" s="334"/>
      <c r="MK100" s="335"/>
      <c r="MO100" s="192"/>
      <c r="MP100" s="192"/>
      <c r="MQ100" s="192"/>
      <c r="MR100" s="192"/>
      <c r="MS100" s="192"/>
      <c r="MT100" s="192"/>
      <c r="MU100" s="192"/>
      <c r="MV100" s="192"/>
      <c r="MW100" s="192"/>
      <c r="MX100" s="192"/>
      <c r="MY100" s="192"/>
      <c r="MZ100" s="192"/>
      <c r="NA100" s="192"/>
      <c r="NB100" s="192"/>
      <c r="NC100" s="192"/>
      <c r="ND100" s="192"/>
      <c r="NE100" s="192"/>
      <c r="NF100" s="192"/>
      <c r="NG100" s="192"/>
      <c r="NH100" s="53"/>
      <c r="NI100" s="53"/>
      <c r="NJ100" s="329" t="s">
        <v>161</v>
      </c>
      <c r="NK100" s="329">
        <f t="shared" ref="NK100:NK104" si="1127">NK67</f>
        <v>2</v>
      </c>
      <c r="NL100" s="329">
        <f t="shared" ref="NL100:NL104" si="1128">NL67</f>
        <v>23</v>
      </c>
      <c r="NM100" s="329">
        <f t="shared" ref="NM100:NM104" si="1129">NZ19</f>
        <v>2080</v>
      </c>
      <c r="NN100" s="330">
        <f t="shared" ref="NN100:NN104" si="1130">OA19</f>
        <v>1852</v>
      </c>
      <c r="NO100" s="330">
        <f t="shared" ref="NO100:NO104" si="1131">OB19-NO67</f>
        <v>1232349</v>
      </c>
      <c r="NP100" s="330">
        <f t="shared" ref="NP100:NP104" si="1132">OC19-NP67</f>
        <v>931036.29</v>
      </c>
      <c r="NQ100" s="330">
        <f t="shared" si="1116"/>
        <v>301312.71</v>
      </c>
      <c r="NR100" s="334">
        <f t="shared" si="1117"/>
        <v>0.244502742323806</v>
      </c>
      <c r="NS100" s="335">
        <f t="shared" si="1118"/>
        <v>665.415226781857</v>
      </c>
      <c r="NT100" s="53"/>
      <c r="NU100" s="53"/>
      <c r="NV100" s="53"/>
      <c r="NW100" s="53"/>
      <c r="NX100" s="53"/>
      <c r="NY100" s="53"/>
      <c r="NZ100" s="53"/>
      <c r="OA100" s="53"/>
      <c r="OB100" s="53"/>
      <c r="OC100" s="53"/>
      <c r="OD100" s="53"/>
      <c r="OE100" s="53"/>
      <c r="OF100" s="53"/>
      <c r="OG100" s="53"/>
      <c r="OH100" s="53"/>
      <c r="OI100" s="53"/>
      <c r="OJ100" s="53"/>
      <c r="OK100" s="53"/>
      <c r="OL100" s="53"/>
      <c r="OM100" s="53"/>
      <c r="ON100" s="53"/>
      <c r="OO100" s="53"/>
      <c r="OP100" s="53"/>
      <c r="OQ100" s="53"/>
      <c r="OR100" s="53"/>
      <c r="OS100" s="336" t="s">
        <v>161</v>
      </c>
      <c r="OT100" s="336">
        <f t="shared" ref="OT100:OT104" si="1133">OT67</f>
        <v>2</v>
      </c>
      <c r="OU100" s="336">
        <f t="shared" ref="OU100:OU104" si="1134">OU67</f>
        <v>19</v>
      </c>
      <c r="OV100" s="172">
        <f t="shared" ref="OV100:OV104" si="1135">PC19</f>
        <v>2607</v>
      </c>
      <c r="OW100" s="172">
        <f t="shared" ref="OW100:OW104" si="1136">PD19</f>
        <v>2146</v>
      </c>
      <c r="OX100" s="172">
        <f t="shared" ref="OX100:OX104" si="1137">PE19-OX67</f>
        <v>1368132</v>
      </c>
      <c r="OY100" s="172">
        <f t="shared" ref="OY100:OY104" si="1138">PF19-OY67</f>
        <v>1180465</v>
      </c>
      <c r="OZ100" s="171">
        <f t="shared" si="1120"/>
        <v>187667</v>
      </c>
      <c r="PA100" s="337">
        <f t="shared" si="1121"/>
        <v>0.137170243806884</v>
      </c>
      <c r="PB100" s="170">
        <f t="shared" si="1122"/>
        <v>637.526561043802</v>
      </c>
      <c r="PC100" s="144"/>
      <c r="PD100" s="144"/>
      <c r="PE100" s="144"/>
      <c r="PF100" s="144"/>
      <c r="PG100" s="144"/>
      <c r="PH100" s="144"/>
      <c r="PI100" s="144"/>
      <c r="PJ100" s="144"/>
      <c r="PK100" s="144"/>
      <c r="PL100" s="144"/>
      <c r="PM100" s="144"/>
      <c r="PN100" s="144"/>
      <c r="PO100" s="144"/>
      <c r="PP100" s="144"/>
      <c r="PQ100" s="144"/>
      <c r="PR100" s="144"/>
      <c r="PS100" s="146"/>
      <c r="PT100" s="146"/>
      <c r="PU100" s="336" t="s">
        <v>161</v>
      </c>
      <c r="PV100" s="336">
        <f t="shared" ref="PV100:PV104" si="1139">PV67</f>
        <v>2</v>
      </c>
      <c r="PW100" s="336">
        <f t="shared" ref="PW100:PW104" si="1140">PW67</f>
        <v>22</v>
      </c>
      <c r="PX100" s="172">
        <f t="shared" ref="PX100:PX104" si="1141">QC19</f>
        <v>3110</v>
      </c>
      <c r="PY100" s="172">
        <f t="shared" ref="PY100:PY104" si="1142">QD19</f>
        <v>2403</v>
      </c>
      <c r="PZ100" s="172">
        <f t="shared" ref="PZ100:PZ104" si="1143">QE19-PZ67</f>
        <v>1692005</v>
      </c>
      <c r="QA100" s="172">
        <f t="shared" ref="QA100:QA104" si="1144">QF19-QA67</f>
        <v>1497811</v>
      </c>
      <c r="QB100" s="171">
        <f t="shared" si="1124"/>
        <v>194194</v>
      </c>
      <c r="QC100" s="337">
        <f t="shared" si="1125"/>
        <v>0.11477152845293</v>
      </c>
      <c r="QD100" s="170">
        <f t="shared" si="1126"/>
        <v>704.121930919684</v>
      </c>
      <c r="QE100" s="146"/>
      <c r="QF100" s="146"/>
      <c r="QG100" s="146"/>
      <c r="QH100" s="146"/>
      <c r="QI100" s="146"/>
      <c r="QJ100" s="146"/>
      <c r="QK100" s="146"/>
      <c r="QL100" s="146"/>
      <c r="QM100" s="146"/>
      <c r="QN100" s="146"/>
      <c r="QO100" s="146"/>
      <c r="QP100" s="146"/>
      <c r="QQ100" s="146"/>
      <c r="QR100" s="144"/>
      <c r="QS100" s="144"/>
      <c r="QT100" s="144"/>
      <c r="QU100" s="144"/>
      <c r="QV100" s="144"/>
      <c r="QW100" s="144"/>
      <c r="QX100" s="144"/>
      <c r="QY100" s="144"/>
      <c r="QZ100" s="144"/>
      <c r="RA100" s="144"/>
      <c r="RB100" s="144"/>
      <c r="RC100" s="144"/>
      <c r="RD100" s="144"/>
      <c r="RE100" s="144"/>
      <c r="RF100" s="144"/>
      <c r="RG100" s="144"/>
      <c r="RH100" s="144"/>
      <c r="RI100" s="144"/>
      <c r="RJ100" s="144"/>
      <c r="RK100" s="144"/>
      <c r="RL100" s="144"/>
      <c r="RM100" s="144"/>
      <c r="RN100" s="144"/>
      <c r="RO100" s="144"/>
      <c r="RP100" s="144"/>
      <c r="RQ100" s="144"/>
      <c r="RR100" s="144"/>
      <c r="RS100" s="144"/>
      <c r="RT100" s="144"/>
      <c r="RU100" s="144"/>
      <c r="RV100" s="144"/>
      <c r="RW100" s="144"/>
      <c r="RX100" s="144"/>
      <c r="RY100" s="144"/>
      <c r="RZ100" s="144"/>
      <c r="SA100" s="144"/>
      <c r="SB100" s="144"/>
      <c r="SC100" s="144"/>
      <c r="SD100" s="144"/>
      <c r="SE100" s="144"/>
      <c r="SF100" s="144"/>
      <c r="SG100" s="144"/>
      <c r="SH100" s="144"/>
      <c r="SI100" s="144"/>
      <c r="SJ100" s="144"/>
      <c r="SK100" s="144"/>
      <c r="SL100" s="84"/>
      <c r="SM100" s="84"/>
      <c r="SN100" s="154"/>
      <c r="SO100" s="154"/>
      <c r="SP100" s="154"/>
      <c r="SQ100" s="154"/>
      <c r="SR100" s="154"/>
      <c r="SS100" s="154"/>
      <c r="ST100" s="155"/>
      <c r="SU100" s="154"/>
      <c r="SV100" s="154"/>
      <c r="SW100" s="155"/>
      <c r="SX100" s="155"/>
      <c r="SY100" s="155"/>
      <c r="SZ100" s="155"/>
      <c r="TA100" s="155"/>
      <c r="TB100" s="155"/>
      <c r="TC100" s="155"/>
      <c r="TD100" s="156"/>
      <c r="TE100" s="144"/>
      <c r="TF100" s="84"/>
      <c r="TG100" s="144"/>
      <c r="TH100" s="144"/>
      <c r="TI100" s="144"/>
      <c r="TJ100" s="144"/>
      <c r="TK100" s="157"/>
      <c r="TL100" s="157"/>
      <c r="TM100" s="157"/>
      <c r="TN100" s="157"/>
      <c r="TO100" s="157"/>
      <c r="TP100" s="157"/>
      <c r="TQ100" s="157"/>
      <c r="TR100" s="157"/>
      <c r="TS100" s="157"/>
      <c r="TT100" s="158"/>
      <c r="TU100" s="157"/>
      <c r="TV100" s="158"/>
      <c r="TW100" s="144"/>
      <c r="TX100" s="144"/>
      <c r="TY100" s="144"/>
      <c r="TZ100" s="84"/>
      <c r="UA100" s="144"/>
      <c r="UB100" s="144"/>
      <c r="UC100" s="144"/>
      <c r="UD100" s="144"/>
      <c r="UE100" s="157"/>
      <c r="UF100" s="157"/>
      <c r="UG100" s="157"/>
      <c r="UH100" s="157"/>
      <c r="UI100" s="157"/>
      <c r="UJ100" s="157"/>
      <c r="UK100" s="157"/>
      <c r="UL100" s="157"/>
      <c r="UM100" s="157"/>
      <c r="UN100" s="157"/>
      <c r="UO100" s="157"/>
      <c r="UP100" s="158"/>
      <c r="UQ100" s="157"/>
      <c r="UR100" s="158"/>
      <c r="US100" s="144"/>
      <c r="UT100" s="144"/>
      <c r="UU100" s="144"/>
      <c r="UV100" s="144"/>
      <c r="UW100" s="144"/>
      <c r="UX100" s="144"/>
      <c r="UY100" s="144"/>
      <c r="UZ100" s="144"/>
      <c r="VA100" s="157"/>
      <c r="VB100" s="157"/>
      <c r="VC100" s="157"/>
      <c r="VD100" s="157"/>
      <c r="VE100" s="157"/>
      <c r="VF100" s="157"/>
      <c r="VG100" s="157"/>
      <c r="VH100" s="157"/>
      <c r="VI100" s="157"/>
      <c r="VJ100" s="157"/>
      <c r="VK100" s="157"/>
      <c r="VL100" s="157"/>
      <c r="VM100" s="157"/>
      <c r="VN100" s="157"/>
      <c r="VO100" s="144"/>
      <c r="VP100" s="144"/>
      <c r="VQ100" s="84"/>
      <c r="VR100" s="84"/>
      <c r="VS100" s="144"/>
      <c r="VT100" s="53"/>
      <c r="VU100" s="53"/>
    </row>
    <row r="101" ht="15.75" hidden="1" spans="1:1024 1025:16384">
      <c r="A101" s="53"/>
      <c r="B101" s="53"/>
      <c r="C101" s="327" t="s">
        <v>165</v>
      </c>
      <c r="D101" s="327"/>
      <c r="E101" s="327"/>
      <c r="F101" s="327"/>
      <c r="G101" s="161"/>
      <c r="H101" s="161"/>
      <c r="I101" s="161"/>
      <c r="J101" s="161"/>
      <c r="K101" s="179"/>
      <c r="L101" s="328"/>
      <c r="M101" s="162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93"/>
      <c r="AB101" s="293"/>
      <c r="AC101" s="293"/>
      <c r="AD101" s="293"/>
      <c r="AE101" s="293"/>
      <c r="AF101" s="293"/>
      <c r="AG101" s="293"/>
      <c r="AH101" s="293"/>
      <c r="AI101" s="53"/>
      <c r="AJ101" s="327" t="s">
        <v>165</v>
      </c>
      <c r="AK101" s="327"/>
      <c r="AL101" s="327"/>
      <c r="AM101" s="327"/>
      <c r="AN101" s="161"/>
      <c r="AO101" s="161"/>
      <c r="AP101" s="161"/>
      <c r="AQ101" s="161"/>
      <c r="AR101" s="179"/>
      <c r="AS101" s="328"/>
      <c r="AT101" s="162"/>
      <c r="AU101" s="293"/>
      <c r="AV101" s="293"/>
      <c r="AW101" s="293"/>
      <c r="AX101" s="293"/>
      <c r="AY101" s="293"/>
      <c r="AZ101" s="293"/>
      <c r="BA101" s="293"/>
      <c r="BB101" s="293"/>
      <c r="BC101" s="293"/>
      <c r="BD101" s="293"/>
      <c r="BE101" s="293"/>
      <c r="BF101" s="293"/>
      <c r="BG101" s="293"/>
      <c r="BH101" s="293"/>
      <c r="BI101" s="293"/>
      <c r="BJ101" s="293"/>
      <c r="BK101" s="293"/>
      <c r="BL101" s="293"/>
      <c r="BM101" s="293"/>
      <c r="BN101" s="293"/>
      <c r="BO101" s="293"/>
      <c r="BP101" s="53"/>
      <c r="BQ101" s="327" t="s">
        <v>165</v>
      </c>
      <c r="BR101" s="327" t="str">
        <f t="shared" ref="BR101:BT101" si="1145">BR68</f>
        <v>BD02</v>
      </c>
      <c r="BS101" s="327">
        <f t="shared" si="1145"/>
        <v>2</v>
      </c>
      <c r="BT101" s="327">
        <f t="shared" si="1145"/>
        <v>0</v>
      </c>
      <c r="BU101" s="161">
        <f>CG20</f>
        <v>1897</v>
      </c>
      <c r="BV101" s="161">
        <f>CH20</f>
        <v>1573</v>
      </c>
      <c r="BW101" s="161">
        <f>CI20-BW68</f>
        <v>2360168</v>
      </c>
      <c r="BX101" s="161">
        <f>CJ20-BX68</f>
        <v>2216658</v>
      </c>
      <c r="BY101" s="179">
        <f t="shared" ref="BY101:BY105" si="1146">BW101-BX101</f>
        <v>143510</v>
      </c>
      <c r="BZ101" s="328">
        <f t="shared" ref="BZ101:BZ105" si="1147">BY101/BW101</f>
        <v>0.0608049935428325</v>
      </c>
      <c r="CA101" s="162">
        <f t="shared" ref="CA101:CA105" si="1148">BW101/BV101</f>
        <v>1500.42466624285</v>
      </c>
      <c r="CB101" s="293"/>
      <c r="CC101" s="293"/>
      <c r="CD101" s="293"/>
      <c r="CE101" s="293"/>
      <c r="CF101" s="293"/>
      <c r="CG101" s="293"/>
      <c r="CH101" s="293"/>
      <c r="CI101" s="293"/>
      <c r="CJ101" s="293"/>
      <c r="CK101" s="293"/>
      <c r="CL101" s="293"/>
      <c r="CM101" s="293"/>
      <c r="CN101" s="293"/>
      <c r="CO101" s="293"/>
      <c r="CP101" s="293"/>
      <c r="CQ101" s="293"/>
      <c r="CR101" s="293"/>
      <c r="CS101" s="293"/>
      <c r="CT101" s="293"/>
      <c r="CU101" s="293"/>
      <c r="CV101" s="293"/>
      <c r="CW101" s="53"/>
      <c r="CX101" s="327" t="s">
        <v>165</v>
      </c>
      <c r="CY101" s="327" t="str">
        <f t="shared" ref="CY101:DA101" si="1149">CY68</f>
        <v>BD02</v>
      </c>
      <c r="CZ101" s="327">
        <f t="shared" si="1149"/>
        <v>2</v>
      </c>
      <c r="DA101" s="327">
        <f t="shared" si="1149"/>
        <v>0</v>
      </c>
      <c r="DB101" s="161">
        <f>DN20</f>
        <v>1559</v>
      </c>
      <c r="DC101" s="161">
        <f>DO20</f>
        <v>1370</v>
      </c>
      <c r="DD101" s="161">
        <f>DP20-DD68</f>
        <v>1926961</v>
      </c>
      <c r="DE101" s="161">
        <f>DQ20-DE68</f>
        <v>1775607</v>
      </c>
      <c r="DF101" s="179">
        <f t="shared" ref="DF101:DF105" si="1150">DD101-DE101</f>
        <v>151354</v>
      </c>
      <c r="DG101" s="328">
        <f t="shared" ref="DG101:DG105" si="1151">DF101/DD101</f>
        <v>0.0785454402035122</v>
      </c>
      <c r="DH101" s="162">
        <f t="shared" ref="DH101:DH105" si="1152">DD101/DC101</f>
        <v>1406.54087591241</v>
      </c>
      <c r="DI101" s="293"/>
      <c r="DJ101" s="293"/>
      <c r="DK101" s="293"/>
      <c r="DL101" s="293"/>
      <c r="DM101" s="293"/>
      <c r="DN101" s="293"/>
      <c r="DO101" s="293"/>
      <c r="DP101" s="293"/>
      <c r="DQ101" s="293"/>
      <c r="DR101" s="293"/>
      <c r="DS101" s="293"/>
      <c r="DT101" s="293"/>
      <c r="DU101" s="293"/>
      <c r="DV101" s="293"/>
      <c r="DW101" s="293"/>
      <c r="DX101" s="293"/>
      <c r="DY101" s="293"/>
      <c r="DZ101" s="293"/>
      <c r="EA101" s="293"/>
      <c r="EB101" s="293"/>
      <c r="EC101" s="293"/>
      <c r="ED101" s="53"/>
      <c r="EE101" s="329" t="s">
        <v>165</v>
      </c>
      <c r="EF101" s="329">
        <f t="shared" ref="EF101:EH101" si="1153">EF68</f>
        <v>1</v>
      </c>
      <c r="EG101" s="329">
        <f t="shared" si="1153"/>
        <v>0</v>
      </c>
      <c r="EH101" s="329">
        <f t="shared" si="1153"/>
        <v>12</v>
      </c>
      <c r="EI101" s="330">
        <f>EU20</f>
        <v>1879</v>
      </c>
      <c r="EJ101" s="330">
        <f>EV20</f>
        <v>1597</v>
      </c>
      <c r="EK101" s="330">
        <f>EW20-EK68</f>
        <v>3699359</v>
      </c>
      <c r="EL101" s="330">
        <f>EX20-EL68</f>
        <v>3959030</v>
      </c>
      <c r="EM101" s="331">
        <f t="shared" ref="EM101:EM105" si="1154">EK101-EL101</f>
        <v>-259671</v>
      </c>
      <c r="EN101" s="332">
        <f t="shared" ref="EN101:EN105" si="1155">EM101/EK101</f>
        <v>-0.0701935119030081</v>
      </c>
      <c r="EO101" s="333">
        <f t="shared" ref="EO101:EO105" si="1156">EK101/EJ101</f>
        <v>2316.44270507201</v>
      </c>
      <c r="EP101" s="53"/>
      <c r="EQ101" s="53"/>
      <c r="ER101" s="192"/>
      <c r="ES101" s="192"/>
      <c r="ET101" s="192"/>
      <c r="EU101" s="192"/>
      <c r="EV101" s="192"/>
      <c r="EW101" s="192"/>
      <c r="EX101" s="192"/>
      <c r="EY101" s="192"/>
      <c r="EZ101" s="192"/>
      <c r="FA101" s="192"/>
      <c r="FB101" s="192"/>
      <c r="FC101" s="192"/>
      <c r="FD101" s="192"/>
      <c r="FE101" s="192"/>
      <c r="FF101" s="192"/>
      <c r="FG101" s="192"/>
      <c r="FH101" s="192"/>
      <c r="FI101" s="192"/>
      <c r="FJ101" s="192"/>
      <c r="FK101" s="53"/>
      <c r="FL101" s="53"/>
      <c r="FM101" s="53"/>
      <c r="FN101" s="329" t="s">
        <v>165</v>
      </c>
      <c r="FO101" s="329">
        <f t="shared" ref="FO101:FQ101" si="1157">FO68</f>
        <v>1</v>
      </c>
      <c r="FP101" s="329">
        <f t="shared" si="1157"/>
        <v>0</v>
      </c>
      <c r="FQ101" s="329">
        <f t="shared" si="1157"/>
        <v>13</v>
      </c>
      <c r="FR101" s="330">
        <f>GD20</f>
        <v>1549</v>
      </c>
      <c r="FS101" s="330">
        <f>GE20</f>
        <v>1319</v>
      </c>
      <c r="FT101" s="330">
        <f>GF20-FT68</f>
        <v>3314316</v>
      </c>
      <c r="FU101" s="330">
        <f>GG20-FU68</f>
        <v>3223091.07</v>
      </c>
      <c r="FV101" s="331">
        <f t="shared" ref="FV101:FV105" si="1158">FT101-FU101</f>
        <v>91224.9300000002</v>
      </c>
      <c r="FW101" s="332">
        <f t="shared" ref="FW101:FW105" si="1159">FV101/FT101</f>
        <v>0.027524511844978</v>
      </c>
      <c r="FX101" s="333">
        <f t="shared" ref="FX101:FX105" si="1160">FT101/FS101</f>
        <v>2512.74905231236</v>
      </c>
      <c r="FY101" s="53"/>
      <c r="FZ101" s="192"/>
      <c r="GA101" s="192"/>
      <c r="GB101" s="192"/>
      <c r="GC101" s="192"/>
      <c r="GD101" s="192"/>
      <c r="GE101" s="192"/>
      <c r="GF101" s="192"/>
      <c r="GG101" s="192"/>
      <c r="GH101" s="192"/>
      <c r="GI101" s="192"/>
      <c r="GJ101" s="192"/>
      <c r="GK101" s="192"/>
      <c r="GL101" s="192"/>
      <c r="GM101" s="192"/>
      <c r="GN101" s="192"/>
      <c r="GO101" s="192"/>
      <c r="GP101" s="192"/>
      <c r="GQ101" s="192"/>
      <c r="GR101" s="192"/>
      <c r="GS101" s="192"/>
      <c r="GT101" s="53"/>
      <c r="GU101" s="53"/>
      <c r="GV101" s="329" t="s">
        <v>165</v>
      </c>
      <c r="GW101" s="329">
        <f t="shared" ref="GW101:GY101" si="1161">GW68</f>
        <v>1</v>
      </c>
      <c r="GX101" s="329">
        <f t="shared" si="1161"/>
        <v>0</v>
      </c>
      <c r="GY101" s="329">
        <f t="shared" si="1161"/>
        <v>4</v>
      </c>
      <c r="GZ101" s="330">
        <f>HL20</f>
        <v>1536</v>
      </c>
      <c r="HA101" s="330">
        <f>HM20</f>
        <v>1384</v>
      </c>
      <c r="HB101" s="330">
        <f>HN20-HB68</f>
        <v>1449135</v>
      </c>
      <c r="HC101" s="330">
        <f>HO20-HC68</f>
        <v>1394366.4843</v>
      </c>
      <c r="HD101" s="331">
        <f t="shared" ref="HD101:HD105" si="1162">HB101-HC101</f>
        <v>54768.5157000001</v>
      </c>
      <c r="HE101" s="332">
        <f t="shared" ref="HE101:HE105" si="1163">HD101/HB101</f>
        <v>0.0377939361757187</v>
      </c>
      <c r="HF101" s="333">
        <f t="shared" ref="HF101:HF105" si="1164">HB101/HA101</f>
        <v>1047.06286127168</v>
      </c>
      <c r="HI101" s="192"/>
      <c r="HJ101" s="192"/>
      <c r="HK101" s="192"/>
      <c r="HL101" s="192"/>
      <c r="HM101" s="192"/>
      <c r="HN101" s="192"/>
      <c r="HO101" s="192"/>
      <c r="HP101" s="192"/>
      <c r="HQ101" s="192"/>
      <c r="HR101" s="192"/>
      <c r="HS101" s="192"/>
      <c r="HT101" s="192"/>
      <c r="HU101" s="192"/>
      <c r="HV101" s="192"/>
      <c r="HW101" s="192"/>
      <c r="HX101" s="192"/>
      <c r="HY101" s="192"/>
      <c r="HZ101" s="192"/>
      <c r="IA101" s="192"/>
      <c r="IB101" s="53"/>
      <c r="IC101" s="53"/>
      <c r="ID101" s="329" t="s">
        <v>165</v>
      </c>
      <c r="IE101" s="329">
        <f>IE68</f>
        <v>1</v>
      </c>
      <c r="IF101" s="329">
        <v>0</v>
      </c>
      <c r="IG101" s="329">
        <f>IG68</f>
        <v>16</v>
      </c>
      <c r="IH101" s="330">
        <f>IT20</f>
        <v>1505</v>
      </c>
      <c r="II101" s="330">
        <f>IU20</f>
        <v>1385</v>
      </c>
      <c r="IJ101" s="330">
        <f>IV20-IJ68</f>
        <v>2143459</v>
      </c>
      <c r="IK101" s="330">
        <f>IW20-IK68</f>
        <v>1476663</v>
      </c>
      <c r="IL101" s="331">
        <f t="shared" ref="IL101:IL105" si="1165">IJ101-IK101</f>
        <v>666796</v>
      </c>
      <c r="IM101" s="332">
        <f t="shared" ref="IM101:IM105" si="1166">IL101/IJ101</f>
        <v>0.311084093514268</v>
      </c>
      <c r="IN101" s="333">
        <f t="shared" ref="IN101:IN105" si="1167">IJ101/II101</f>
        <v>1547.6238267148</v>
      </c>
      <c r="IP101" s="11"/>
      <c r="IQ101" s="192"/>
      <c r="IR101" s="192"/>
      <c r="IS101" s="192"/>
      <c r="IT101" s="192"/>
      <c r="IU101" s="192"/>
      <c r="IV101" s="192"/>
      <c r="IW101" s="192"/>
      <c r="IX101" s="192"/>
      <c r="IY101" s="192"/>
      <c r="IZ101" s="192"/>
      <c r="JA101" s="192"/>
      <c r="JB101" s="192"/>
      <c r="JC101" s="192"/>
      <c r="JD101" s="192"/>
      <c r="JE101" s="192"/>
      <c r="JF101" s="192"/>
      <c r="JG101" s="192"/>
      <c r="JH101" s="192"/>
      <c r="JI101" s="192"/>
      <c r="JJ101" s="53"/>
      <c r="JK101" s="53"/>
      <c r="JL101" s="329" t="s">
        <v>165</v>
      </c>
      <c r="JM101" s="329">
        <f>JM68</f>
        <v>1</v>
      </c>
      <c r="JN101" s="329">
        <f>JN68</f>
        <v>23</v>
      </c>
      <c r="JO101" s="329">
        <f>KB20</f>
        <v>2851</v>
      </c>
      <c r="JP101" s="330">
        <f>KC20</f>
        <v>1357</v>
      </c>
      <c r="JQ101" s="330">
        <f>KD20-JQ68</f>
        <v>1534433</v>
      </c>
      <c r="JR101" s="330">
        <f>KE20-JR68</f>
        <v>1892801</v>
      </c>
      <c r="JS101" s="330">
        <f t="shared" ref="JS101:JS105" si="1168">JQ101-JR101</f>
        <v>-358368</v>
      </c>
      <c r="JT101" s="334">
        <f t="shared" ref="JT101:JT105" si="1169">JS101/JQ101</f>
        <v>-0.233550764353999</v>
      </c>
      <c r="JU101" s="335">
        <f t="shared" ref="JU101:JU105" si="1170">JQ101/JP101</f>
        <v>1130.7538688283</v>
      </c>
      <c r="JX101" s="192"/>
      <c r="JY101" s="192"/>
      <c r="JZ101" s="192"/>
      <c r="KA101" s="192"/>
      <c r="KB101" s="192"/>
      <c r="KC101" s="192"/>
      <c r="KD101" s="192"/>
      <c r="KE101" s="192"/>
      <c r="KF101" s="192"/>
      <c r="KG101" s="192"/>
      <c r="KH101" s="192"/>
      <c r="KI101" s="192"/>
      <c r="KJ101" s="192"/>
      <c r="KK101" s="192"/>
      <c r="KL101" s="192"/>
      <c r="KM101" s="192"/>
      <c r="KN101" s="192"/>
      <c r="KO101" s="192"/>
      <c r="KP101" s="192"/>
      <c r="KQ101" s="192"/>
      <c r="KR101" s="53"/>
      <c r="KS101" s="53"/>
      <c r="KT101" s="329" t="s">
        <v>165</v>
      </c>
      <c r="KU101" s="329">
        <v>2</v>
      </c>
      <c r="KV101" s="329">
        <v>94</v>
      </c>
      <c r="KW101" s="329">
        <v>2256</v>
      </c>
      <c r="KX101" s="330">
        <v>1697</v>
      </c>
      <c r="KY101" s="330">
        <v>1432017</v>
      </c>
      <c r="KZ101" s="330">
        <v>1428862</v>
      </c>
      <c r="LA101" s="330">
        <v>3155</v>
      </c>
      <c r="LB101" s="334">
        <v>0.00220318613536012</v>
      </c>
      <c r="LC101" s="335">
        <v>843.85209192693</v>
      </c>
      <c r="LF101" s="11"/>
      <c r="LG101" s="192"/>
      <c r="LH101" s="192"/>
      <c r="LI101" s="192"/>
      <c r="LJ101" s="192"/>
      <c r="LK101" s="192"/>
      <c r="LL101" s="192"/>
      <c r="LM101" s="192"/>
      <c r="LN101" s="192"/>
      <c r="LO101" s="192"/>
      <c r="LP101" s="192"/>
      <c r="LQ101" s="192"/>
      <c r="LR101" s="192"/>
      <c r="LS101" s="192"/>
      <c r="LT101" s="192"/>
      <c r="LU101" s="192"/>
      <c r="LV101" s="192"/>
      <c r="LW101" s="192"/>
      <c r="LX101" s="192"/>
      <c r="LY101" s="192"/>
      <c r="LZ101" s="192"/>
      <c r="MA101" s="192"/>
      <c r="MB101" s="329" t="s">
        <v>165</v>
      </c>
      <c r="MC101" s="329">
        <f>MC68</f>
        <v>2</v>
      </c>
      <c r="MD101" s="329">
        <f>MD68</f>
        <v>47</v>
      </c>
      <c r="ME101" s="329">
        <f>MR20</f>
        <v>1639</v>
      </c>
      <c r="MF101" s="330">
        <f>MS20</f>
        <v>1414</v>
      </c>
      <c r="MG101" s="330">
        <f>MT20-MG68</f>
        <v>1181922</v>
      </c>
      <c r="MH101" s="330">
        <f>MU20-MH68</f>
        <v>1008213</v>
      </c>
      <c r="MI101" s="330">
        <f t="shared" ref="MI101:MI105" si="1171">MG101-MH101</f>
        <v>173709</v>
      </c>
      <c r="MJ101" s="334">
        <f t="shared" ref="MJ101:MJ105" si="1172">MI101/MG101</f>
        <v>0.146971627569332</v>
      </c>
      <c r="MK101" s="335">
        <f t="shared" ref="MK101:MK105" si="1173">MG101/MF101</f>
        <v>835.871287128713</v>
      </c>
      <c r="MO101" s="192"/>
      <c r="MP101" s="192"/>
      <c r="MQ101" s="192"/>
      <c r="MR101" s="192"/>
      <c r="MS101" s="192"/>
      <c r="MT101" s="192"/>
      <c r="MU101" s="192"/>
      <c r="MV101" s="192"/>
      <c r="MW101" s="192"/>
      <c r="MX101" s="192"/>
      <c r="MY101" s="192"/>
      <c r="MZ101" s="192"/>
      <c r="NA101" s="192"/>
      <c r="NB101" s="192"/>
      <c r="NC101" s="192"/>
      <c r="ND101" s="192"/>
      <c r="NE101" s="192"/>
      <c r="NF101" s="192"/>
      <c r="NG101" s="192"/>
      <c r="NH101" s="53"/>
      <c r="NI101" s="53"/>
      <c r="NJ101" s="329" t="s">
        <v>165</v>
      </c>
      <c r="NK101" s="329">
        <f t="shared" si="1127"/>
        <v>2</v>
      </c>
      <c r="NL101" s="329">
        <f t="shared" si="1128"/>
        <v>16</v>
      </c>
      <c r="NM101" s="329">
        <f t="shared" si="1129"/>
        <v>1575</v>
      </c>
      <c r="NN101" s="330">
        <f t="shared" si="1130"/>
        <v>1459</v>
      </c>
      <c r="NO101" s="330">
        <f t="shared" si="1131"/>
        <v>1945230</v>
      </c>
      <c r="NP101" s="330">
        <f t="shared" si="1132"/>
        <v>1529562</v>
      </c>
      <c r="NQ101" s="330">
        <f t="shared" si="1116"/>
        <v>415668</v>
      </c>
      <c r="NR101" s="334">
        <f t="shared" si="1117"/>
        <v>0.213685785228482</v>
      </c>
      <c r="NS101" s="335">
        <f t="shared" si="1118"/>
        <v>1333.26250856751</v>
      </c>
      <c r="NT101" s="53"/>
      <c r="NU101" s="53"/>
      <c r="NV101" s="53"/>
      <c r="NW101" s="53"/>
      <c r="NX101" s="53"/>
      <c r="NY101" s="53"/>
      <c r="NZ101" s="53"/>
      <c r="OA101" s="53"/>
      <c r="OB101" s="53"/>
      <c r="OC101" s="53"/>
      <c r="OD101" s="53"/>
      <c r="OE101" s="53"/>
      <c r="OF101" s="53"/>
      <c r="OG101" s="53"/>
      <c r="OH101" s="53"/>
      <c r="OI101" s="53"/>
      <c r="OJ101" s="53"/>
      <c r="OK101" s="53"/>
      <c r="OL101" s="53"/>
      <c r="OM101" s="53"/>
      <c r="ON101" s="53"/>
      <c r="OO101" s="53"/>
      <c r="OP101" s="53"/>
      <c r="OQ101" s="53"/>
      <c r="OR101" s="53"/>
      <c r="OS101" s="336" t="s">
        <v>165</v>
      </c>
      <c r="OT101" s="336">
        <f t="shared" si="1133"/>
        <v>1</v>
      </c>
      <c r="OU101" s="336">
        <f t="shared" si="1134"/>
        <v>24</v>
      </c>
      <c r="OV101" s="172">
        <f t="shared" si="1135"/>
        <v>1491</v>
      </c>
      <c r="OW101" s="172">
        <f t="shared" si="1136"/>
        <v>1279</v>
      </c>
      <c r="OX101" s="172">
        <f t="shared" si="1137"/>
        <v>1311830</v>
      </c>
      <c r="OY101" s="172">
        <f t="shared" si="1138"/>
        <v>1058258</v>
      </c>
      <c r="OZ101" s="171">
        <f t="shared" si="1120"/>
        <v>253572</v>
      </c>
      <c r="PA101" s="337">
        <f t="shared" si="1121"/>
        <v>0.193296387489233</v>
      </c>
      <c r="PB101" s="170">
        <f t="shared" si="1122"/>
        <v>1025.6684910086</v>
      </c>
      <c r="PC101" s="144"/>
      <c r="PD101" s="144"/>
      <c r="PE101" s="144"/>
      <c r="PF101" s="144"/>
      <c r="PG101" s="144"/>
      <c r="PH101" s="144"/>
      <c r="PI101" s="144"/>
      <c r="PJ101" s="144"/>
      <c r="PK101" s="144"/>
      <c r="PL101" s="144"/>
      <c r="PM101" s="144"/>
      <c r="PN101" s="144"/>
      <c r="PO101" s="144"/>
      <c r="PP101" s="144"/>
      <c r="PQ101" s="144"/>
      <c r="PR101" s="144"/>
      <c r="PS101" s="146"/>
      <c r="PT101" s="146"/>
      <c r="PU101" s="336" t="s">
        <v>165</v>
      </c>
      <c r="PV101" s="336">
        <f t="shared" si="1139"/>
        <v>1</v>
      </c>
      <c r="PW101" s="336">
        <f t="shared" si="1140"/>
        <v>9</v>
      </c>
      <c r="PX101" s="172">
        <f t="shared" si="1141"/>
        <v>1281</v>
      </c>
      <c r="PY101" s="172">
        <f t="shared" si="1142"/>
        <v>1090</v>
      </c>
      <c r="PZ101" s="172">
        <f t="shared" si="1143"/>
        <v>1069376</v>
      </c>
      <c r="QA101" s="172">
        <f t="shared" si="1144"/>
        <v>878651</v>
      </c>
      <c r="QB101" s="171">
        <f t="shared" si="1124"/>
        <v>190725</v>
      </c>
      <c r="QC101" s="337">
        <f t="shared" si="1125"/>
        <v>0.178351674247412</v>
      </c>
      <c r="QD101" s="170">
        <f t="shared" si="1126"/>
        <v>981.078899082569</v>
      </c>
      <c r="QE101" s="146"/>
      <c r="QF101" s="146"/>
      <c r="QG101" s="146"/>
      <c r="QH101" s="146"/>
      <c r="QI101" s="146"/>
      <c r="QJ101" s="146"/>
      <c r="QK101" s="146"/>
      <c r="QL101" s="146"/>
      <c r="QM101" s="146"/>
      <c r="QN101" s="146"/>
      <c r="QO101" s="146"/>
      <c r="QP101" s="146"/>
      <c r="QQ101" s="146"/>
      <c r="QR101" s="144"/>
      <c r="QS101" s="144"/>
      <c r="QT101" s="144"/>
      <c r="QU101" s="144"/>
      <c r="QV101" s="144"/>
      <c r="QW101" s="144"/>
      <c r="QX101" s="144"/>
      <c r="QY101" s="144"/>
      <c r="QZ101" s="144"/>
      <c r="RA101" s="144"/>
      <c r="RB101" s="144"/>
      <c r="RC101" s="144"/>
      <c r="RD101" s="144"/>
      <c r="RE101" s="144"/>
      <c r="RF101" s="144"/>
      <c r="RG101" s="144"/>
      <c r="RH101" s="144"/>
      <c r="RI101" s="144"/>
      <c r="RJ101" s="144"/>
      <c r="RK101" s="144"/>
      <c r="RL101" s="144"/>
      <c r="RM101" s="144"/>
      <c r="RN101" s="144"/>
      <c r="RO101" s="144"/>
      <c r="RP101" s="144"/>
      <c r="RQ101" s="144"/>
      <c r="RR101" s="144"/>
      <c r="RS101" s="144"/>
      <c r="RT101" s="144"/>
      <c r="RU101" s="144"/>
      <c r="RV101" s="144"/>
      <c r="RW101" s="144"/>
      <c r="RX101" s="144"/>
      <c r="RY101" s="144"/>
      <c r="RZ101" s="144"/>
      <c r="SA101" s="144"/>
      <c r="SB101" s="144"/>
      <c r="SC101" s="144"/>
      <c r="SD101" s="144"/>
      <c r="SE101" s="144"/>
      <c r="SF101" s="144"/>
      <c r="SG101" s="144"/>
      <c r="SH101" s="144"/>
      <c r="SI101" s="144"/>
      <c r="SJ101" s="144"/>
      <c r="SK101" s="144"/>
      <c r="SL101" s="84"/>
      <c r="SM101" s="84"/>
      <c r="SN101" s="154"/>
      <c r="SO101" s="154"/>
      <c r="SP101" s="154"/>
      <c r="SQ101" s="154"/>
      <c r="SR101" s="154"/>
      <c r="SS101" s="154"/>
      <c r="ST101" s="155"/>
      <c r="SU101" s="154"/>
      <c r="SV101" s="154"/>
      <c r="SW101" s="155"/>
      <c r="SX101" s="155"/>
      <c r="SY101" s="155"/>
      <c r="SZ101" s="155"/>
      <c r="TA101" s="155"/>
      <c r="TB101" s="155"/>
      <c r="TC101" s="155"/>
      <c r="TD101" s="156"/>
      <c r="TE101" s="144"/>
      <c r="TF101" s="84"/>
      <c r="TG101" s="144"/>
      <c r="TH101" s="144"/>
      <c r="TI101" s="144"/>
      <c r="TJ101" s="144"/>
      <c r="TK101" s="157"/>
      <c r="TL101" s="157"/>
      <c r="TM101" s="157"/>
      <c r="TN101" s="157"/>
      <c r="TO101" s="157"/>
      <c r="TP101" s="157"/>
      <c r="TQ101" s="157"/>
      <c r="TR101" s="157"/>
      <c r="TS101" s="157"/>
      <c r="TT101" s="158"/>
      <c r="TU101" s="157"/>
      <c r="TV101" s="158"/>
      <c r="TW101" s="144"/>
      <c r="TX101" s="144"/>
      <c r="TY101" s="144"/>
      <c r="TZ101" s="84"/>
      <c r="UA101" s="144"/>
      <c r="UB101" s="144"/>
      <c r="UC101" s="144"/>
      <c r="UD101" s="144"/>
      <c r="UE101" s="157"/>
      <c r="UF101" s="157"/>
      <c r="UG101" s="157"/>
      <c r="UH101" s="157"/>
      <c r="UI101" s="157"/>
      <c r="UJ101" s="157"/>
      <c r="UK101" s="157"/>
      <c r="UL101" s="157"/>
      <c r="UM101" s="157"/>
      <c r="UN101" s="157"/>
      <c r="UO101" s="157"/>
      <c r="UP101" s="158"/>
      <c r="UQ101" s="157"/>
      <c r="UR101" s="158"/>
      <c r="US101" s="144"/>
      <c r="UT101" s="144"/>
      <c r="UU101" s="144"/>
      <c r="UV101" s="144"/>
      <c r="UW101" s="144"/>
      <c r="UX101" s="144"/>
      <c r="UY101" s="144"/>
      <c r="UZ101" s="144"/>
      <c r="VA101" s="157"/>
      <c r="VB101" s="157"/>
      <c r="VC101" s="157"/>
      <c r="VD101" s="157"/>
      <c r="VE101" s="157"/>
      <c r="VF101" s="157"/>
      <c r="VG101" s="157"/>
      <c r="VH101" s="157"/>
      <c r="VI101" s="157"/>
      <c r="VJ101" s="157"/>
      <c r="VK101" s="157"/>
      <c r="VL101" s="157"/>
      <c r="VM101" s="157"/>
      <c r="VN101" s="157"/>
      <c r="VO101" s="144"/>
      <c r="VP101" s="144"/>
      <c r="VQ101" s="84"/>
      <c r="VR101" s="84"/>
      <c r="VS101" s="144"/>
      <c r="VT101" s="53"/>
      <c r="VU101" s="53"/>
    </row>
    <row r="102" ht="15.75" hidden="1" spans="1:1024 1025:16384">
      <c r="A102" s="53"/>
      <c r="B102" s="53"/>
      <c r="C102" s="327" t="s">
        <v>169</v>
      </c>
      <c r="D102" s="327"/>
      <c r="E102" s="327"/>
      <c r="F102" s="327"/>
      <c r="G102" s="161"/>
      <c r="H102" s="161"/>
      <c r="I102" s="161"/>
      <c r="J102" s="161"/>
      <c r="K102" s="179"/>
      <c r="L102" s="328"/>
      <c r="M102" s="162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  <c r="AB102" s="293"/>
      <c r="AC102" s="293"/>
      <c r="AD102" s="293"/>
      <c r="AE102" s="293"/>
      <c r="AF102" s="293"/>
      <c r="AG102" s="293"/>
      <c r="AH102" s="293"/>
      <c r="AI102" s="53"/>
      <c r="AJ102" s="327" t="s">
        <v>169</v>
      </c>
      <c r="AK102" s="327"/>
      <c r="AL102" s="327"/>
      <c r="AM102" s="327"/>
      <c r="AN102" s="161"/>
      <c r="AO102" s="161"/>
      <c r="AP102" s="161"/>
      <c r="AQ102" s="161"/>
      <c r="AR102" s="179"/>
      <c r="AS102" s="328"/>
      <c r="AT102" s="162"/>
      <c r="AU102" s="293"/>
      <c r="AV102" s="293"/>
      <c r="AW102" s="293"/>
      <c r="AX102" s="293"/>
      <c r="AY102" s="293"/>
      <c r="AZ102" s="293"/>
      <c r="BA102" s="293"/>
      <c r="BB102" s="293"/>
      <c r="BC102" s="293"/>
      <c r="BD102" s="293"/>
      <c r="BE102" s="293"/>
      <c r="BF102" s="293"/>
      <c r="BG102" s="293"/>
      <c r="BH102" s="293"/>
      <c r="BI102" s="293"/>
      <c r="BJ102" s="293"/>
      <c r="BK102" s="293"/>
      <c r="BL102" s="293"/>
      <c r="BM102" s="293"/>
      <c r="BN102" s="293"/>
      <c r="BO102" s="293"/>
      <c r="BP102" s="53"/>
      <c r="BQ102" s="327" t="s">
        <v>169</v>
      </c>
      <c r="BR102" s="327"/>
      <c r="BS102" s="327"/>
      <c r="BT102" s="327"/>
      <c r="BU102" s="161"/>
      <c r="BV102" s="161"/>
      <c r="BW102" s="161"/>
      <c r="BX102" s="161"/>
      <c r="BY102" s="179"/>
      <c r="BZ102" s="328"/>
      <c r="CA102" s="162"/>
      <c r="CB102" s="293"/>
      <c r="CC102" s="293"/>
      <c r="CD102" s="293"/>
      <c r="CE102" s="293"/>
      <c r="CF102" s="293"/>
      <c r="CG102" s="293"/>
      <c r="CH102" s="293"/>
      <c r="CI102" s="293"/>
      <c r="CJ102" s="293"/>
      <c r="CK102" s="293"/>
      <c r="CL102" s="293"/>
      <c r="CM102" s="293"/>
      <c r="CN102" s="293"/>
      <c r="CO102" s="293"/>
      <c r="CP102" s="293"/>
      <c r="CQ102" s="293"/>
      <c r="CR102" s="293"/>
      <c r="CS102" s="293"/>
      <c r="CT102" s="293"/>
      <c r="CU102" s="293"/>
      <c r="CV102" s="293"/>
      <c r="CW102" s="53"/>
      <c r="CX102" s="327" t="s">
        <v>169</v>
      </c>
      <c r="CY102" s="327"/>
      <c r="CZ102" s="327"/>
      <c r="DA102" s="327"/>
      <c r="DB102" s="161"/>
      <c r="DC102" s="161"/>
      <c r="DD102" s="161"/>
      <c r="DE102" s="161"/>
      <c r="DF102" s="179"/>
      <c r="DG102" s="328"/>
      <c r="DH102" s="162"/>
      <c r="DI102" s="293"/>
      <c r="DJ102" s="293"/>
      <c r="DK102" s="293"/>
      <c r="DL102" s="293"/>
      <c r="DM102" s="293"/>
      <c r="DN102" s="293"/>
      <c r="DO102" s="293"/>
      <c r="DP102" s="293"/>
      <c r="DQ102" s="293"/>
      <c r="DR102" s="293"/>
      <c r="DS102" s="293"/>
      <c r="DT102" s="293"/>
      <c r="DU102" s="293"/>
      <c r="DV102" s="293"/>
      <c r="DW102" s="293"/>
      <c r="DX102" s="293"/>
      <c r="DY102" s="293"/>
      <c r="DZ102" s="293"/>
      <c r="EA102" s="293"/>
      <c r="EB102" s="293"/>
      <c r="EC102" s="293"/>
      <c r="ED102" s="53"/>
      <c r="EE102" s="329" t="s">
        <v>169</v>
      </c>
      <c r="EF102" s="329"/>
      <c r="EG102" s="329"/>
      <c r="EH102" s="329"/>
      <c r="EI102" s="330"/>
      <c r="EJ102" s="330"/>
      <c r="EK102" s="330"/>
      <c r="EL102" s="330"/>
      <c r="EM102" s="331"/>
      <c r="EN102" s="332"/>
      <c r="EO102" s="333"/>
      <c r="EP102" s="53"/>
      <c r="EQ102" s="53"/>
      <c r="ER102" s="192"/>
      <c r="ES102" s="192"/>
      <c r="ET102" s="192"/>
      <c r="EU102" s="192"/>
      <c r="EV102" s="192"/>
      <c r="EW102" s="192"/>
      <c r="EX102" s="192"/>
      <c r="EY102" s="192"/>
      <c r="EZ102" s="192"/>
      <c r="FA102" s="192"/>
      <c r="FB102" s="192"/>
      <c r="FC102" s="192"/>
      <c r="FD102" s="192"/>
      <c r="FE102" s="192"/>
      <c r="FF102" s="192"/>
      <c r="FG102" s="192"/>
      <c r="FH102" s="192"/>
      <c r="FI102" s="192"/>
      <c r="FJ102" s="192"/>
      <c r="FK102" s="53"/>
      <c r="FL102" s="53"/>
      <c r="FM102" s="53"/>
      <c r="FN102" s="329" t="s">
        <v>169</v>
      </c>
      <c r="FO102" s="329"/>
      <c r="FP102" s="329"/>
      <c r="FQ102" s="329"/>
      <c r="FR102" s="330"/>
      <c r="FS102" s="330"/>
      <c r="FT102" s="330"/>
      <c r="FU102" s="330"/>
      <c r="FV102" s="331"/>
      <c r="FW102" s="332"/>
      <c r="FX102" s="333"/>
      <c r="FY102" s="53"/>
      <c r="FZ102" s="192"/>
      <c r="GA102" s="192"/>
      <c r="GB102" s="192"/>
      <c r="GC102" s="192"/>
      <c r="GD102" s="192"/>
      <c r="GE102" s="192"/>
      <c r="GF102" s="192"/>
      <c r="GG102" s="192"/>
      <c r="GH102" s="192"/>
      <c r="GI102" s="192"/>
      <c r="GJ102" s="192"/>
      <c r="GK102" s="192"/>
      <c r="GL102" s="192"/>
      <c r="GM102" s="192"/>
      <c r="GN102" s="192"/>
      <c r="GO102" s="192"/>
      <c r="GP102" s="192"/>
      <c r="GQ102" s="192"/>
      <c r="GR102" s="192"/>
      <c r="GS102" s="192"/>
      <c r="GT102" s="53"/>
      <c r="GU102" s="53"/>
      <c r="GV102" s="329" t="s">
        <v>169</v>
      </c>
      <c r="GW102" s="329"/>
      <c r="GX102" s="329"/>
      <c r="GY102" s="329"/>
      <c r="GZ102" s="330"/>
      <c r="HA102" s="330"/>
      <c r="HB102" s="330"/>
      <c r="HC102" s="330"/>
      <c r="HD102" s="331"/>
      <c r="HE102" s="332"/>
      <c r="HF102" s="333"/>
      <c r="HI102" s="192"/>
      <c r="HJ102" s="192"/>
      <c r="HK102" s="192"/>
      <c r="HL102" s="192"/>
      <c r="HM102" s="192"/>
      <c r="HN102" s="192"/>
      <c r="HO102" s="192"/>
      <c r="HP102" s="192"/>
      <c r="HQ102" s="192"/>
      <c r="HR102" s="192"/>
      <c r="HS102" s="192"/>
      <c r="HT102" s="192"/>
      <c r="HU102" s="192"/>
      <c r="HV102" s="192"/>
      <c r="HW102" s="192"/>
      <c r="HX102" s="192"/>
      <c r="HY102" s="192"/>
      <c r="HZ102" s="192"/>
      <c r="IA102" s="192"/>
      <c r="IB102" s="53"/>
      <c r="IC102" s="53"/>
      <c r="ID102" s="329" t="s">
        <v>169</v>
      </c>
      <c r="IE102" s="329"/>
      <c r="IF102" s="329"/>
      <c r="IG102" s="329"/>
      <c r="IH102" s="330"/>
      <c r="II102" s="330"/>
      <c r="IJ102" s="330"/>
      <c r="IK102" s="330"/>
      <c r="IL102" s="331"/>
      <c r="IM102" s="332"/>
      <c r="IN102" s="333"/>
      <c r="IP102" s="11"/>
      <c r="IQ102" s="192"/>
      <c r="IR102" s="192"/>
      <c r="IS102" s="192"/>
      <c r="IT102" s="192"/>
      <c r="IU102" s="192"/>
      <c r="IV102" s="192"/>
      <c r="IW102" s="192"/>
      <c r="IX102" s="192"/>
      <c r="IY102" s="192"/>
      <c r="IZ102" s="192"/>
      <c r="JA102" s="192"/>
      <c r="JB102" s="192"/>
      <c r="JC102" s="192"/>
      <c r="JD102" s="192"/>
      <c r="JE102" s="192"/>
      <c r="JF102" s="192"/>
      <c r="JG102" s="192"/>
      <c r="JH102" s="192"/>
      <c r="JI102" s="192"/>
      <c r="JJ102" s="53"/>
      <c r="JK102" s="53"/>
      <c r="JL102" s="329" t="s">
        <v>169</v>
      </c>
      <c r="JM102" s="329"/>
      <c r="JN102" s="329"/>
      <c r="JO102" s="329"/>
      <c r="JP102" s="330"/>
      <c r="JQ102" s="330"/>
      <c r="JR102" s="330"/>
      <c r="JS102" s="330"/>
      <c r="JT102" s="331"/>
      <c r="JU102" s="335"/>
      <c r="JX102" s="192"/>
      <c r="JY102" s="192"/>
      <c r="JZ102" s="192"/>
      <c r="KA102" s="192"/>
      <c r="KB102" s="192"/>
      <c r="KC102" s="192"/>
      <c r="KD102" s="192"/>
      <c r="KE102" s="192"/>
      <c r="KF102" s="192"/>
      <c r="KG102" s="192"/>
      <c r="KH102" s="192"/>
      <c r="KI102" s="192"/>
      <c r="KJ102" s="192"/>
      <c r="KK102" s="192"/>
      <c r="KL102" s="192"/>
      <c r="KM102" s="192"/>
      <c r="KN102" s="192"/>
      <c r="KO102" s="192"/>
      <c r="KP102" s="192"/>
      <c r="KQ102" s="192"/>
      <c r="KR102" s="53"/>
      <c r="KS102" s="53"/>
      <c r="KT102" s="329" t="s">
        <v>169</v>
      </c>
      <c r="KU102" s="329"/>
      <c r="KV102" s="329"/>
      <c r="KW102" s="329"/>
      <c r="KX102" s="330"/>
      <c r="KY102" s="330"/>
      <c r="KZ102" s="330"/>
      <c r="LA102" s="330"/>
      <c r="LB102" s="334"/>
      <c r="LC102" s="335"/>
      <c r="LF102" s="11"/>
      <c r="LG102" s="192"/>
      <c r="LH102" s="192"/>
      <c r="LI102" s="192"/>
      <c r="LJ102" s="192"/>
      <c r="LK102" s="192"/>
      <c r="LL102" s="192"/>
      <c r="LM102" s="192"/>
      <c r="LN102" s="192"/>
      <c r="LO102" s="192"/>
      <c r="LP102" s="192"/>
      <c r="LQ102" s="192"/>
      <c r="LR102" s="192"/>
      <c r="LS102" s="192"/>
      <c r="LT102" s="192"/>
      <c r="LU102" s="192"/>
      <c r="LV102" s="192"/>
      <c r="LW102" s="192"/>
      <c r="LX102" s="192"/>
      <c r="LY102" s="192"/>
      <c r="LZ102" s="192"/>
      <c r="MA102" s="192"/>
      <c r="MB102" s="329" t="s">
        <v>169</v>
      </c>
      <c r="MC102" s="329"/>
      <c r="MD102" s="329"/>
      <c r="ME102" s="329"/>
      <c r="MF102" s="330"/>
      <c r="MG102" s="330"/>
      <c r="MH102" s="330"/>
      <c r="MI102" s="330"/>
      <c r="MJ102" s="334"/>
      <c r="MK102" s="335"/>
      <c r="MO102" s="192"/>
      <c r="MP102" s="192"/>
      <c r="MQ102" s="192"/>
      <c r="MR102" s="192"/>
      <c r="MS102" s="192"/>
      <c r="MT102" s="192"/>
      <c r="MU102" s="192"/>
      <c r="MV102" s="192"/>
      <c r="MW102" s="192"/>
      <c r="MX102" s="192"/>
      <c r="MY102" s="192"/>
      <c r="MZ102" s="192"/>
      <c r="NA102" s="192"/>
      <c r="NB102" s="192"/>
      <c r="NC102" s="192"/>
      <c r="ND102" s="192"/>
      <c r="NE102" s="192"/>
      <c r="NF102" s="192"/>
      <c r="NG102" s="192"/>
      <c r="NH102" s="53"/>
      <c r="NI102" s="53"/>
      <c r="NJ102" s="329" t="s">
        <v>169</v>
      </c>
      <c r="NK102" s="329">
        <f t="shared" si="1127"/>
        <v>2</v>
      </c>
      <c r="NL102" s="329">
        <f t="shared" si="1128"/>
        <v>28</v>
      </c>
      <c r="NM102" s="329">
        <f t="shared" si="1129"/>
        <v>1865</v>
      </c>
      <c r="NN102" s="330">
        <f t="shared" si="1130"/>
        <v>1414</v>
      </c>
      <c r="NO102" s="330">
        <f t="shared" si="1131"/>
        <v>1233258</v>
      </c>
      <c r="NP102" s="330">
        <f t="shared" si="1132"/>
        <v>1242800</v>
      </c>
      <c r="NQ102" s="354">
        <f t="shared" si="1116"/>
        <v>-9542</v>
      </c>
      <c r="NR102" s="355">
        <f t="shared" si="1117"/>
        <v>-0.00773722935509034</v>
      </c>
      <c r="NS102" s="335">
        <f t="shared" si="1118"/>
        <v>872.176803394625</v>
      </c>
      <c r="NT102" s="53"/>
      <c r="NU102" s="53"/>
      <c r="NV102" s="53"/>
      <c r="NW102" s="53"/>
      <c r="NX102" s="53"/>
      <c r="NY102" s="53"/>
      <c r="NZ102" s="53"/>
      <c r="OA102" s="53"/>
      <c r="OB102" s="53"/>
      <c r="OC102" s="53"/>
      <c r="OD102" s="53"/>
      <c r="OE102" s="53"/>
      <c r="OF102" s="53"/>
      <c r="OG102" s="53"/>
      <c r="OH102" s="53"/>
      <c r="OI102" s="53"/>
      <c r="OJ102" s="53"/>
      <c r="OK102" s="53"/>
      <c r="OL102" s="53"/>
      <c r="OM102" s="53"/>
      <c r="ON102" s="53"/>
      <c r="OO102" s="53"/>
      <c r="OP102" s="53"/>
      <c r="OQ102" s="53"/>
      <c r="OR102" s="53"/>
      <c r="OS102" s="336" t="s">
        <v>169</v>
      </c>
      <c r="OT102" s="336">
        <f t="shared" si="1133"/>
        <v>2</v>
      </c>
      <c r="OU102" s="336">
        <f t="shared" si="1134"/>
        <v>35</v>
      </c>
      <c r="OV102" s="172">
        <f t="shared" si="1135"/>
        <v>2101</v>
      </c>
      <c r="OW102" s="172">
        <f t="shared" si="1136"/>
        <v>1509</v>
      </c>
      <c r="OX102" s="172">
        <f t="shared" si="1137"/>
        <v>1112719</v>
      </c>
      <c r="OY102" s="172">
        <f t="shared" si="1138"/>
        <v>952239</v>
      </c>
      <c r="OZ102" s="171">
        <f t="shared" si="1120"/>
        <v>160480</v>
      </c>
      <c r="PA102" s="337">
        <f t="shared" si="1121"/>
        <v>0.144223294470572</v>
      </c>
      <c r="PB102" s="170">
        <f t="shared" si="1122"/>
        <v>737.388336646786</v>
      </c>
      <c r="PC102" s="144"/>
      <c r="PD102" s="144"/>
      <c r="PE102" s="144"/>
      <c r="PF102" s="144"/>
      <c r="PG102" s="144"/>
      <c r="PH102" s="144"/>
      <c r="PI102" s="144"/>
      <c r="PJ102" s="144"/>
      <c r="PK102" s="144"/>
      <c r="PL102" s="144"/>
      <c r="PM102" s="144"/>
      <c r="PN102" s="144"/>
      <c r="PO102" s="144"/>
      <c r="PP102" s="144"/>
      <c r="PQ102" s="144"/>
      <c r="PR102" s="144"/>
      <c r="PS102" s="146"/>
      <c r="PT102" s="146"/>
      <c r="PU102" s="336" t="s">
        <v>169</v>
      </c>
      <c r="PV102" s="336">
        <f t="shared" si="1139"/>
        <v>2</v>
      </c>
      <c r="PW102" s="336">
        <f t="shared" si="1140"/>
        <v>43</v>
      </c>
      <c r="PX102" s="172">
        <f t="shared" si="1141"/>
        <v>1858</v>
      </c>
      <c r="PY102" s="172">
        <f t="shared" si="1142"/>
        <v>1372</v>
      </c>
      <c r="PZ102" s="172">
        <f t="shared" si="1143"/>
        <v>954580</v>
      </c>
      <c r="QA102" s="172">
        <f t="shared" si="1144"/>
        <v>805969</v>
      </c>
      <c r="QB102" s="171">
        <f t="shared" si="1124"/>
        <v>148611</v>
      </c>
      <c r="QC102" s="337">
        <f t="shared" si="1125"/>
        <v>0.155682080077102</v>
      </c>
      <c r="QD102" s="170">
        <f t="shared" si="1126"/>
        <v>695.758017492711</v>
      </c>
      <c r="QE102" s="146"/>
      <c r="QF102" s="146"/>
      <c r="QG102" s="146"/>
      <c r="QH102" s="146"/>
      <c r="QI102" s="146"/>
      <c r="QJ102" s="146"/>
      <c r="QK102" s="146"/>
      <c r="QL102" s="146"/>
      <c r="QM102" s="146"/>
      <c r="QN102" s="146"/>
      <c r="QO102" s="146"/>
      <c r="QP102" s="146"/>
      <c r="QQ102" s="146"/>
      <c r="QR102" s="144"/>
      <c r="QS102" s="144"/>
      <c r="QT102" s="144"/>
      <c r="QU102" s="144"/>
      <c r="QV102" s="144"/>
      <c r="QW102" s="144"/>
      <c r="QX102" s="144"/>
      <c r="QY102" s="144"/>
      <c r="QZ102" s="144"/>
      <c r="RA102" s="144"/>
      <c r="RB102" s="144"/>
      <c r="RC102" s="144"/>
      <c r="RD102" s="144"/>
      <c r="RE102" s="144"/>
      <c r="RF102" s="144"/>
      <c r="RG102" s="144"/>
      <c r="RH102" s="144"/>
      <c r="RI102" s="144"/>
      <c r="RJ102" s="144"/>
      <c r="RK102" s="144"/>
      <c r="RL102" s="144"/>
      <c r="RM102" s="144"/>
      <c r="RN102" s="144"/>
      <c r="RO102" s="144"/>
      <c r="RP102" s="144"/>
      <c r="RQ102" s="144"/>
      <c r="RR102" s="144"/>
      <c r="RS102" s="144"/>
      <c r="RT102" s="144"/>
      <c r="RU102" s="144"/>
      <c r="RV102" s="144"/>
      <c r="RW102" s="144"/>
      <c r="RX102" s="144"/>
      <c r="RY102" s="144"/>
      <c r="RZ102" s="144"/>
      <c r="SA102" s="144"/>
      <c r="SB102" s="144"/>
      <c r="SC102" s="144"/>
      <c r="SD102" s="144"/>
      <c r="SE102" s="144"/>
      <c r="SF102" s="144"/>
      <c r="SG102" s="144"/>
      <c r="SH102" s="144"/>
      <c r="SI102" s="144"/>
      <c r="SJ102" s="144"/>
      <c r="SK102" s="144"/>
      <c r="SL102" s="84"/>
      <c r="SM102" s="84"/>
      <c r="SN102" s="154"/>
      <c r="SO102" s="154"/>
      <c r="SP102" s="154"/>
      <c r="SQ102" s="154"/>
      <c r="SR102" s="154"/>
      <c r="SS102" s="154"/>
      <c r="ST102" s="155"/>
      <c r="SU102" s="154"/>
      <c r="SV102" s="154"/>
      <c r="SW102" s="155"/>
      <c r="SX102" s="155"/>
      <c r="SY102" s="155"/>
      <c r="SZ102" s="155"/>
      <c r="TA102" s="155"/>
      <c r="TB102" s="155"/>
      <c r="TC102" s="155"/>
      <c r="TD102" s="156"/>
      <c r="TE102" s="144"/>
      <c r="TF102" s="84"/>
      <c r="TG102" s="144"/>
      <c r="TH102" s="144"/>
      <c r="TI102" s="144"/>
      <c r="TJ102" s="144"/>
      <c r="TK102" s="157"/>
      <c r="TL102" s="157"/>
      <c r="TM102" s="157"/>
      <c r="TN102" s="157"/>
      <c r="TO102" s="157"/>
      <c r="TP102" s="157"/>
      <c r="TQ102" s="157"/>
      <c r="TR102" s="157"/>
      <c r="TS102" s="157"/>
      <c r="TT102" s="158"/>
      <c r="TU102" s="157"/>
      <c r="TV102" s="158"/>
      <c r="TW102" s="144"/>
      <c r="TX102" s="144"/>
      <c r="TY102" s="144"/>
      <c r="TZ102" s="84"/>
      <c r="UA102" s="144"/>
      <c r="UB102" s="144"/>
      <c r="UC102" s="144"/>
      <c r="UD102" s="144"/>
      <c r="UE102" s="157"/>
      <c r="UF102" s="157"/>
      <c r="UG102" s="157"/>
      <c r="UH102" s="157"/>
      <c r="UI102" s="157"/>
      <c r="UJ102" s="157"/>
      <c r="UK102" s="157"/>
      <c r="UL102" s="157"/>
      <c r="UM102" s="157"/>
      <c r="UN102" s="157"/>
      <c r="UO102" s="157"/>
      <c r="UP102" s="158"/>
      <c r="UQ102" s="157"/>
      <c r="UR102" s="158"/>
      <c r="US102" s="144"/>
      <c r="UT102" s="144"/>
      <c r="UU102" s="144"/>
      <c r="UV102" s="144"/>
      <c r="UW102" s="144"/>
      <c r="UX102" s="144"/>
      <c r="UY102" s="144"/>
      <c r="UZ102" s="144"/>
      <c r="VA102" s="157"/>
      <c r="VB102" s="157"/>
      <c r="VC102" s="157"/>
      <c r="VD102" s="157"/>
      <c r="VE102" s="157"/>
      <c r="VF102" s="157"/>
      <c r="VG102" s="157"/>
      <c r="VH102" s="157"/>
      <c r="VI102" s="157"/>
      <c r="VJ102" s="157"/>
      <c r="VK102" s="157"/>
      <c r="VL102" s="157"/>
      <c r="VM102" s="157"/>
      <c r="VN102" s="157"/>
      <c r="VO102" s="144"/>
      <c r="VP102" s="144"/>
      <c r="VQ102" s="84"/>
      <c r="VR102" s="84"/>
      <c r="VS102" s="144"/>
      <c r="VT102" s="53"/>
      <c r="VU102" s="53"/>
    </row>
    <row r="103" ht="15.75" hidden="1" spans="1:1024 1025:16384">
      <c r="A103" s="53"/>
      <c r="B103" s="53"/>
      <c r="C103" s="327" t="s">
        <v>172</v>
      </c>
      <c r="D103" s="327"/>
      <c r="E103" s="327"/>
      <c r="F103" s="327"/>
      <c r="G103" s="161"/>
      <c r="H103" s="161"/>
      <c r="I103" s="161"/>
      <c r="J103" s="161"/>
      <c r="K103" s="179"/>
      <c r="L103" s="328"/>
      <c r="M103" s="162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  <c r="AB103" s="293"/>
      <c r="AC103" s="293"/>
      <c r="AD103" s="293"/>
      <c r="AE103" s="293"/>
      <c r="AF103" s="293"/>
      <c r="AG103" s="293"/>
      <c r="AH103" s="293"/>
      <c r="AI103" s="53"/>
      <c r="AJ103" s="327" t="s">
        <v>172</v>
      </c>
      <c r="AK103" s="327"/>
      <c r="AL103" s="327"/>
      <c r="AM103" s="327"/>
      <c r="AN103" s="161"/>
      <c r="AO103" s="161"/>
      <c r="AP103" s="161"/>
      <c r="AQ103" s="161"/>
      <c r="AR103" s="179"/>
      <c r="AS103" s="328"/>
      <c r="AT103" s="162"/>
      <c r="AU103" s="293"/>
      <c r="AV103" s="293"/>
      <c r="AW103" s="293"/>
      <c r="AX103" s="293"/>
      <c r="AY103" s="293"/>
      <c r="AZ103" s="293"/>
      <c r="BA103" s="293"/>
      <c r="BB103" s="293"/>
      <c r="BC103" s="293"/>
      <c r="BD103" s="293"/>
      <c r="BE103" s="293"/>
      <c r="BF103" s="293"/>
      <c r="BG103" s="293"/>
      <c r="BH103" s="293"/>
      <c r="BI103" s="293"/>
      <c r="BJ103" s="293"/>
      <c r="BK103" s="293"/>
      <c r="BL103" s="293"/>
      <c r="BM103" s="293"/>
      <c r="BN103" s="293"/>
      <c r="BO103" s="293"/>
      <c r="BP103" s="53"/>
      <c r="BQ103" s="327" t="s">
        <v>172</v>
      </c>
      <c r="BR103" s="327"/>
      <c r="BS103" s="327"/>
      <c r="BT103" s="327"/>
      <c r="BU103" s="161"/>
      <c r="BV103" s="161"/>
      <c r="BW103" s="161"/>
      <c r="BX103" s="161"/>
      <c r="BY103" s="179"/>
      <c r="BZ103" s="328"/>
      <c r="CA103" s="162"/>
      <c r="CB103" s="293"/>
      <c r="CC103" s="293"/>
      <c r="CD103" s="293"/>
      <c r="CE103" s="293"/>
      <c r="CF103" s="293"/>
      <c r="CG103" s="293"/>
      <c r="CH103" s="293"/>
      <c r="CI103" s="293"/>
      <c r="CJ103" s="293"/>
      <c r="CK103" s="293"/>
      <c r="CL103" s="293"/>
      <c r="CM103" s="293"/>
      <c r="CN103" s="293"/>
      <c r="CO103" s="293"/>
      <c r="CP103" s="293"/>
      <c r="CQ103" s="293"/>
      <c r="CR103" s="293"/>
      <c r="CS103" s="293"/>
      <c r="CT103" s="293"/>
      <c r="CU103" s="293"/>
      <c r="CV103" s="293"/>
      <c r="CW103" s="53"/>
      <c r="CX103" s="327" t="s">
        <v>172</v>
      </c>
      <c r="CY103" s="327"/>
      <c r="CZ103" s="327"/>
      <c r="DA103" s="327"/>
      <c r="DB103" s="161"/>
      <c r="DC103" s="161"/>
      <c r="DD103" s="161"/>
      <c r="DE103" s="161"/>
      <c r="DF103" s="179"/>
      <c r="DG103" s="328"/>
      <c r="DH103" s="162"/>
      <c r="DI103" s="293"/>
      <c r="DJ103" s="293"/>
      <c r="DK103" s="293"/>
      <c r="DL103" s="293"/>
      <c r="DM103" s="293"/>
      <c r="DN103" s="293"/>
      <c r="DO103" s="293"/>
      <c r="DP103" s="293"/>
      <c r="DQ103" s="293"/>
      <c r="DR103" s="293"/>
      <c r="DS103" s="293"/>
      <c r="DT103" s="293"/>
      <c r="DU103" s="293"/>
      <c r="DV103" s="293"/>
      <c r="DW103" s="293"/>
      <c r="DX103" s="293"/>
      <c r="DY103" s="293"/>
      <c r="DZ103" s="293"/>
      <c r="EA103" s="293"/>
      <c r="EB103" s="293"/>
      <c r="EC103" s="293"/>
      <c r="ED103" s="53"/>
      <c r="EE103" s="329" t="s">
        <v>172</v>
      </c>
      <c r="EF103" s="329"/>
      <c r="EG103" s="329"/>
      <c r="EH103" s="329"/>
      <c r="EI103" s="330"/>
      <c r="EJ103" s="330"/>
      <c r="EK103" s="330"/>
      <c r="EL103" s="330"/>
      <c r="EM103" s="331"/>
      <c r="EN103" s="332"/>
      <c r="EO103" s="333"/>
      <c r="EP103" s="53"/>
      <c r="EQ103" s="53"/>
      <c r="ER103" s="192"/>
      <c r="ES103" s="192"/>
      <c r="ET103" s="192"/>
      <c r="EU103" s="192"/>
      <c r="EV103" s="192"/>
      <c r="EW103" s="192"/>
      <c r="EX103" s="192"/>
      <c r="EY103" s="192"/>
      <c r="EZ103" s="192"/>
      <c r="FA103" s="192"/>
      <c r="FB103" s="192"/>
      <c r="FC103" s="192"/>
      <c r="FD103" s="192"/>
      <c r="FE103" s="192"/>
      <c r="FF103" s="192"/>
      <c r="FG103" s="192"/>
      <c r="FH103" s="192"/>
      <c r="FI103" s="192"/>
      <c r="FJ103" s="192"/>
      <c r="FK103" s="53"/>
      <c r="FL103" s="53"/>
      <c r="FM103" s="53"/>
      <c r="FN103" s="329" t="s">
        <v>172</v>
      </c>
      <c r="FO103" s="329"/>
      <c r="FP103" s="329"/>
      <c r="FQ103" s="329"/>
      <c r="FR103" s="330"/>
      <c r="FS103" s="330"/>
      <c r="FT103" s="330"/>
      <c r="FU103" s="330"/>
      <c r="FV103" s="331"/>
      <c r="FW103" s="332"/>
      <c r="FX103" s="333"/>
      <c r="FY103" s="53"/>
      <c r="FZ103" s="192"/>
      <c r="GA103" s="192"/>
      <c r="GB103" s="192"/>
      <c r="GC103" s="192"/>
      <c r="GD103" s="192"/>
      <c r="GE103" s="192"/>
      <c r="GF103" s="192"/>
      <c r="GG103" s="192"/>
      <c r="GH103" s="192"/>
      <c r="GI103" s="192"/>
      <c r="GJ103" s="192"/>
      <c r="GK103" s="192"/>
      <c r="GL103" s="192"/>
      <c r="GM103" s="192"/>
      <c r="GN103" s="192"/>
      <c r="GO103" s="192"/>
      <c r="GP103" s="192"/>
      <c r="GQ103" s="192"/>
      <c r="GR103" s="192"/>
      <c r="GS103" s="192"/>
      <c r="GT103" s="53"/>
      <c r="GU103" s="53"/>
      <c r="GV103" s="329" t="s">
        <v>172</v>
      </c>
      <c r="GW103" s="329"/>
      <c r="GX103" s="329"/>
      <c r="GY103" s="329"/>
      <c r="GZ103" s="330"/>
      <c r="HA103" s="330"/>
      <c r="HB103" s="330"/>
      <c r="HC103" s="330"/>
      <c r="HD103" s="331"/>
      <c r="HE103" s="332"/>
      <c r="HF103" s="333"/>
      <c r="HI103" s="192"/>
      <c r="HJ103" s="192"/>
      <c r="HK103" s="192"/>
      <c r="HL103" s="192"/>
      <c r="HM103" s="192"/>
      <c r="HN103" s="192"/>
      <c r="HO103" s="192"/>
      <c r="HP103" s="192"/>
      <c r="HQ103" s="192"/>
      <c r="HR103" s="192"/>
      <c r="HS103" s="192"/>
      <c r="HT103" s="192"/>
      <c r="HU103" s="192"/>
      <c r="HV103" s="192"/>
      <c r="HW103" s="192"/>
      <c r="HX103" s="192"/>
      <c r="HY103" s="192"/>
      <c r="HZ103" s="192"/>
      <c r="IA103" s="192"/>
      <c r="IB103" s="53"/>
      <c r="IC103" s="53"/>
      <c r="ID103" s="329" t="s">
        <v>172</v>
      </c>
      <c r="IE103" s="329"/>
      <c r="IF103" s="329"/>
      <c r="IG103" s="329"/>
      <c r="IH103" s="330"/>
      <c r="II103" s="330"/>
      <c r="IJ103" s="330"/>
      <c r="IK103" s="330"/>
      <c r="IL103" s="331"/>
      <c r="IM103" s="332"/>
      <c r="IN103" s="333"/>
      <c r="IP103" s="11"/>
      <c r="IQ103" s="192"/>
      <c r="IR103" s="192"/>
      <c r="IS103" s="192"/>
      <c r="IT103" s="192"/>
      <c r="IU103" s="192"/>
      <c r="IV103" s="192"/>
      <c r="IW103" s="192"/>
      <c r="IX103" s="192"/>
      <c r="IY103" s="192"/>
      <c r="IZ103" s="192"/>
      <c r="JA103" s="192"/>
      <c r="JB103" s="192"/>
      <c r="JC103" s="192"/>
      <c r="JD103" s="192"/>
      <c r="JE103" s="192"/>
      <c r="JF103" s="192"/>
      <c r="JG103" s="192"/>
      <c r="JH103" s="192"/>
      <c r="JI103" s="192"/>
      <c r="JJ103" s="53"/>
      <c r="JK103" s="53"/>
      <c r="JL103" s="329" t="s">
        <v>172</v>
      </c>
      <c r="JM103" s="329"/>
      <c r="JN103" s="329"/>
      <c r="JO103" s="329"/>
      <c r="JP103" s="330"/>
      <c r="JQ103" s="330"/>
      <c r="JR103" s="330"/>
      <c r="JS103" s="330"/>
      <c r="JT103" s="331"/>
      <c r="JU103" s="335"/>
      <c r="JX103" s="192"/>
      <c r="JY103" s="192"/>
      <c r="JZ103" s="192"/>
      <c r="KA103" s="192"/>
      <c r="KB103" s="192"/>
      <c r="KC103" s="192"/>
      <c r="KD103" s="192"/>
      <c r="KE103" s="192"/>
      <c r="KF103" s="192"/>
      <c r="KG103" s="192"/>
      <c r="KH103" s="192"/>
      <c r="KI103" s="192"/>
      <c r="KJ103" s="192"/>
      <c r="KK103" s="192"/>
      <c r="KL103" s="192"/>
      <c r="KM103" s="192"/>
      <c r="KN103" s="192"/>
      <c r="KO103" s="192"/>
      <c r="KP103" s="192"/>
      <c r="KQ103" s="192"/>
      <c r="KR103" s="53"/>
      <c r="KS103" s="53"/>
      <c r="KT103" s="329" t="s">
        <v>172</v>
      </c>
      <c r="KU103" s="329"/>
      <c r="KV103" s="329"/>
      <c r="KW103" s="329"/>
      <c r="KX103" s="330"/>
      <c r="KY103" s="330"/>
      <c r="KZ103" s="330"/>
      <c r="LA103" s="330"/>
      <c r="LB103" s="334"/>
      <c r="LC103" s="335"/>
      <c r="LF103" s="11"/>
      <c r="LG103" s="192"/>
      <c r="LH103" s="192"/>
      <c r="LI103" s="192"/>
      <c r="LJ103" s="192"/>
      <c r="LK103" s="192"/>
      <c r="LL103" s="192"/>
      <c r="LM103" s="192"/>
      <c r="LN103" s="192"/>
      <c r="LO103" s="192"/>
      <c r="LP103" s="192"/>
      <c r="LQ103" s="192"/>
      <c r="LR103" s="192"/>
      <c r="LS103" s="192"/>
      <c r="LT103" s="192"/>
      <c r="LU103" s="192"/>
      <c r="LV103" s="192"/>
      <c r="LW103" s="192"/>
      <c r="LX103" s="192"/>
      <c r="LY103" s="192"/>
      <c r="LZ103" s="192"/>
      <c r="MA103" s="192"/>
      <c r="MB103" s="329" t="s">
        <v>172</v>
      </c>
      <c r="MC103" s="329"/>
      <c r="MD103" s="329"/>
      <c r="ME103" s="329"/>
      <c r="MF103" s="330"/>
      <c r="MG103" s="330"/>
      <c r="MH103" s="330"/>
      <c r="MI103" s="330"/>
      <c r="MJ103" s="334"/>
      <c r="MK103" s="335"/>
      <c r="MO103" s="192"/>
      <c r="MP103" s="192"/>
      <c r="MQ103" s="192"/>
      <c r="MR103" s="192"/>
      <c r="MS103" s="192"/>
      <c r="MT103" s="192"/>
      <c r="MU103" s="192"/>
      <c r="MV103" s="192"/>
      <c r="MW103" s="192"/>
      <c r="MX103" s="192"/>
      <c r="MY103" s="192"/>
      <c r="MZ103" s="192"/>
      <c r="NA103" s="192"/>
      <c r="NB103" s="192"/>
      <c r="NC103" s="192"/>
      <c r="ND103" s="192"/>
      <c r="NE103" s="192"/>
      <c r="NF103" s="192"/>
      <c r="NG103" s="192"/>
      <c r="NH103" s="53"/>
      <c r="NI103" s="53"/>
      <c r="NJ103" s="329" t="s">
        <v>172</v>
      </c>
      <c r="NK103" s="329">
        <f t="shared" si="1127"/>
        <v>1</v>
      </c>
      <c r="NL103" s="329">
        <f t="shared" si="1128"/>
        <v>27</v>
      </c>
      <c r="NM103" s="329">
        <f t="shared" si="1129"/>
        <v>1960</v>
      </c>
      <c r="NN103" s="330">
        <f t="shared" si="1130"/>
        <v>1724</v>
      </c>
      <c r="NO103" s="330">
        <f t="shared" si="1131"/>
        <v>1218231</v>
      </c>
      <c r="NP103" s="330">
        <f t="shared" si="1132"/>
        <v>938807</v>
      </c>
      <c r="NQ103" s="330">
        <f t="shared" si="1116"/>
        <v>279424</v>
      </c>
      <c r="NR103" s="334">
        <f t="shared" si="1117"/>
        <v>0.229368650116439</v>
      </c>
      <c r="NS103" s="335">
        <f t="shared" si="1118"/>
        <v>706.630510440835</v>
      </c>
      <c r="NT103" s="53"/>
      <c r="NU103" s="53"/>
      <c r="NV103" s="53"/>
      <c r="NW103" s="53"/>
      <c r="NX103" s="53"/>
      <c r="NY103" s="53"/>
      <c r="NZ103" s="53"/>
      <c r="OA103" s="53"/>
      <c r="OB103" s="53"/>
      <c r="OC103" s="53"/>
      <c r="OD103" s="53"/>
      <c r="OE103" s="53"/>
      <c r="OF103" s="53"/>
      <c r="OG103" s="53"/>
      <c r="OH103" s="53"/>
      <c r="OI103" s="53"/>
      <c r="OJ103" s="53"/>
      <c r="OK103" s="53"/>
      <c r="OL103" s="53"/>
      <c r="OM103" s="53"/>
      <c r="ON103" s="53"/>
      <c r="OO103" s="53"/>
      <c r="OP103" s="53"/>
      <c r="OQ103" s="53"/>
      <c r="OR103" s="53"/>
      <c r="OS103" s="336" t="s">
        <v>172</v>
      </c>
      <c r="OT103" s="336">
        <f t="shared" si="1133"/>
        <v>2</v>
      </c>
      <c r="OU103" s="336">
        <f t="shared" si="1134"/>
        <v>32</v>
      </c>
      <c r="OV103" s="172">
        <f t="shared" si="1135"/>
        <v>2407</v>
      </c>
      <c r="OW103" s="172">
        <f t="shared" si="1136"/>
        <v>1883</v>
      </c>
      <c r="OX103" s="172">
        <f t="shared" si="1137"/>
        <v>1338490</v>
      </c>
      <c r="OY103" s="172">
        <f t="shared" si="1138"/>
        <v>1117481</v>
      </c>
      <c r="OZ103" s="171">
        <f t="shared" si="1120"/>
        <v>221009</v>
      </c>
      <c r="PA103" s="337">
        <f t="shared" si="1121"/>
        <v>0.165118155533474</v>
      </c>
      <c r="PB103" s="170">
        <f t="shared" si="1122"/>
        <v>710.828465215082</v>
      </c>
      <c r="PC103" s="144"/>
      <c r="PD103" s="144"/>
      <c r="PE103" s="144"/>
      <c r="PF103" s="144"/>
      <c r="PG103" s="144"/>
      <c r="PH103" s="144"/>
      <c r="PI103" s="144"/>
      <c r="PJ103" s="144"/>
      <c r="PK103" s="144"/>
      <c r="PL103" s="144"/>
      <c r="PM103" s="144"/>
      <c r="PN103" s="144"/>
      <c r="PO103" s="144"/>
      <c r="PP103" s="144"/>
      <c r="PQ103" s="144"/>
      <c r="PR103" s="144"/>
      <c r="PS103" s="146"/>
      <c r="PT103" s="146"/>
      <c r="PU103" s="336" t="s">
        <v>172</v>
      </c>
      <c r="PV103" s="336">
        <f t="shared" si="1139"/>
        <v>2</v>
      </c>
      <c r="PW103" s="336">
        <f t="shared" si="1140"/>
        <v>38</v>
      </c>
      <c r="PX103" s="172">
        <f t="shared" si="1141"/>
        <v>2390</v>
      </c>
      <c r="PY103" s="172">
        <f t="shared" si="1142"/>
        <v>1873</v>
      </c>
      <c r="PZ103" s="172">
        <f t="shared" si="1143"/>
        <v>1606397</v>
      </c>
      <c r="QA103" s="172">
        <f t="shared" si="1144"/>
        <v>1460936</v>
      </c>
      <c r="QB103" s="171">
        <f t="shared" si="1124"/>
        <v>145461</v>
      </c>
      <c r="QC103" s="337">
        <f t="shared" si="1125"/>
        <v>0.0905510904216081</v>
      </c>
      <c r="QD103" s="170">
        <f t="shared" si="1126"/>
        <v>857.659903897491</v>
      </c>
      <c r="QE103" s="146"/>
      <c r="QF103" s="146"/>
      <c r="QG103" s="146"/>
      <c r="QH103" s="146"/>
      <c r="QI103" s="146"/>
      <c r="QJ103" s="146"/>
      <c r="QK103" s="146"/>
      <c r="QL103" s="146"/>
      <c r="QM103" s="146"/>
      <c r="QN103" s="146"/>
      <c r="QO103" s="146"/>
      <c r="QP103" s="146"/>
      <c r="QQ103" s="146"/>
      <c r="QR103" s="144"/>
      <c r="QS103" s="144"/>
      <c r="QT103" s="144"/>
      <c r="QU103" s="144"/>
      <c r="QV103" s="144"/>
      <c r="QW103" s="144"/>
      <c r="QX103" s="144"/>
      <c r="QY103" s="144"/>
      <c r="QZ103" s="144"/>
      <c r="RA103" s="144"/>
      <c r="RB103" s="144"/>
      <c r="RC103" s="144"/>
      <c r="RD103" s="144"/>
      <c r="RE103" s="144"/>
      <c r="RF103" s="144"/>
      <c r="RG103" s="144"/>
      <c r="RH103" s="144"/>
      <c r="RI103" s="144"/>
      <c r="RJ103" s="144"/>
      <c r="RK103" s="144"/>
      <c r="RL103" s="144"/>
      <c r="RM103" s="144"/>
      <c r="RN103" s="144"/>
      <c r="RO103" s="144"/>
      <c r="RP103" s="144"/>
      <c r="RQ103" s="144"/>
      <c r="RR103" s="144"/>
      <c r="RS103" s="144"/>
      <c r="RT103" s="144"/>
      <c r="RU103" s="144"/>
      <c r="RV103" s="144"/>
      <c r="RW103" s="144"/>
      <c r="RX103" s="144"/>
      <c r="RY103" s="144"/>
      <c r="RZ103" s="144"/>
      <c r="SA103" s="144"/>
      <c r="SB103" s="144"/>
      <c r="SC103" s="144"/>
      <c r="SD103" s="144"/>
      <c r="SE103" s="144"/>
      <c r="SF103" s="144"/>
      <c r="SG103" s="144"/>
      <c r="SH103" s="144"/>
      <c r="SI103" s="144"/>
      <c r="SJ103" s="144"/>
      <c r="SK103" s="144"/>
      <c r="SL103" s="84"/>
      <c r="SM103" s="84"/>
      <c r="SN103" s="154"/>
      <c r="SO103" s="154"/>
      <c r="SP103" s="154"/>
      <c r="SQ103" s="154"/>
      <c r="SR103" s="154"/>
      <c r="SS103" s="154"/>
      <c r="ST103" s="155"/>
      <c r="SU103" s="154"/>
      <c r="SV103" s="154"/>
      <c r="SW103" s="155"/>
      <c r="SX103" s="155"/>
      <c r="SY103" s="155"/>
      <c r="SZ103" s="155"/>
      <c r="TA103" s="155"/>
      <c r="TB103" s="155"/>
      <c r="TC103" s="155"/>
      <c r="TD103" s="156"/>
      <c r="TE103" s="144"/>
      <c r="TF103" s="84"/>
      <c r="TG103" s="144"/>
      <c r="TH103" s="144"/>
      <c r="TI103" s="144"/>
      <c r="TJ103" s="144"/>
      <c r="TK103" s="157"/>
      <c r="TL103" s="157"/>
      <c r="TM103" s="157"/>
      <c r="TN103" s="157"/>
      <c r="TO103" s="157"/>
      <c r="TP103" s="157"/>
      <c r="TQ103" s="157"/>
      <c r="TR103" s="157"/>
      <c r="TS103" s="157"/>
      <c r="TT103" s="158"/>
      <c r="TU103" s="157"/>
      <c r="TV103" s="158"/>
      <c r="TW103" s="144"/>
      <c r="TX103" s="144"/>
      <c r="TY103" s="144"/>
      <c r="TZ103" s="84"/>
      <c r="UA103" s="144"/>
      <c r="UB103" s="144"/>
      <c r="UC103" s="144"/>
      <c r="UD103" s="144"/>
      <c r="UE103" s="157"/>
      <c r="UF103" s="157"/>
      <c r="UG103" s="157"/>
      <c r="UH103" s="157"/>
      <c r="UI103" s="157"/>
      <c r="UJ103" s="157"/>
      <c r="UK103" s="157"/>
      <c r="UL103" s="157"/>
      <c r="UM103" s="157"/>
      <c r="UN103" s="157"/>
      <c r="UO103" s="157"/>
      <c r="UP103" s="158"/>
      <c r="UQ103" s="157"/>
      <c r="UR103" s="158"/>
      <c r="US103" s="144"/>
      <c r="UT103" s="144"/>
      <c r="UU103" s="144"/>
      <c r="UV103" s="144"/>
      <c r="UW103" s="144"/>
      <c r="UX103" s="144"/>
      <c r="UY103" s="144"/>
      <c r="UZ103" s="144"/>
      <c r="VA103" s="157"/>
      <c r="VB103" s="157"/>
      <c r="VC103" s="157"/>
      <c r="VD103" s="157"/>
      <c r="VE103" s="157"/>
      <c r="VF103" s="157"/>
      <c r="VG103" s="157"/>
      <c r="VH103" s="157"/>
      <c r="VI103" s="157"/>
      <c r="VJ103" s="157"/>
      <c r="VK103" s="157"/>
      <c r="VL103" s="157"/>
      <c r="VM103" s="157"/>
      <c r="VN103" s="157"/>
      <c r="VO103" s="144"/>
      <c r="VP103" s="144"/>
      <c r="VQ103" s="84"/>
      <c r="VR103" s="84"/>
      <c r="VS103" s="144"/>
      <c r="VT103" s="53"/>
      <c r="VU103" s="53"/>
    </row>
    <row r="104" ht="15.75" hidden="1" spans="1:1024 1025:16384">
      <c r="A104" s="53"/>
      <c r="B104" s="53"/>
      <c r="C104" s="327" t="s">
        <v>176</v>
      </c>
      <c r="D104" s="327">
        <f t="shared" ref="D104:F104" si="1174">D71</f>
        <v>0</v>
      </c>
      <c r="E104" s="327">
        <f t="shared" si="1174"/>
        <v>0</v>
      </c>
      <c r="F104" s="327">
        <f t="shared" si="1174"/>
        <v>0</v>
      </c>
      <c r="G104" s="161">
        <f>S23</f>
        <v>0</v>
      </c>
      <c r="H104" s="161">
        <f>T23</f>
        <v>0</v>
      </c>
      <c r="I104" s="161">
        <f>U23-I71</f>
        <v>0</v>
      </c>
      <c r="J104" s="161">
        <f>V23-J71</f>
        <v>0</v>
      </c>
      <c r="K104" s="179">
        <f t="shared" ref="K104:K109" si="1175">I104-J104</f>
        <v>0</v>
      </c>
      <c r="L104" s="328" t="e">
        <f t="shared" ref="L104:L109" si="1176">K104/I104</f>
        <v>#DIV/0!</v>
      </c>
      <c r="M104" s="162" t="e">
        <f t="shared" ref="M104:M109" si="1177">I104/H104</f>
        <v>#DIV/0!</v>
      </c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  <c r="AC104" s="293"/>
      <c r="AD104" s="293"/>
      <c r="AE104" s="293"/>
      <c r="AF104" s="293"/>
      <c r="AG104" s="293"/>
      <c r="AH104" s="293"/>
      <c r="AI104" s="53"/>
      <c r="AJ104" s="327" t="s">
        <v>176</v>
      </c>
      <c r="AK104" s="327">
        <f t="shared" ref="AK104:AM104" si="1178">AK71</f>
        <v>0</v>
      </c>
      <c r="AL104" s="327">
        <f t="shared" si="1178"/>
        <v>0</v>
      </c>
      <c r="AM104" s="327">
        <f t="shared" si="1178"/>
        <v>0</v>
      </c>
      <c r="AN104" s="161">
        <f>AZ23</f>
        <v>3625</v>
      </c>
      <c r="AO104" s="161">
        <f>BA23</f>
        <v>2957</v>
      </c>
      <c r="AP104" s="161">
        <f>BB23-AP71</f>
        <v>2635209</v>
      </c>
      <c r="AQ104" s="161">
        <f>BC23-AQ71</f>
        <v>2488164.71</v>
      </c>
      <c r="AR104" s="179">
        <f t="shared" ref="AR104:AR109" si="1179">AP104-AQ104</f>
        <v>147044.29</v>
      </c>
      <c r="AS104" s="328">
        <f t="shared" ref="AS104:AS109" si="1180">AR104/AP104</f>
        <v>0.0557998587588309</v>
      </c>
      <c r="AT104" s="162">
        <f t="shared" ref="AT104:AT109" si="1181">AP104/AO104</f>
        <v>891.176530267163</v>
      </c>
      <c r="AU104" s="293"/>
      <c r="AV104" s="293"/>
      <c r="AW104" s="293"/>
      <c r="AX104" s="293"/>
      <c r="AY104" s="293"/>
      <c r="AZ104" s="293"/>
      <c r="BA104" s="293"/>
      <c r="BB104" s="293"/>
      <c r="BC104" s="293"/>
      <c r="BD104" s="293"/>
      <c r="BE104" s="293"/>
      <c r="BF104" s="293"/>
      <c r="BG104" s="293"/>
      <c r="BH104" s="293"/>
      <c r="BI104" s="293"/>
      <c r="BJ104" s="293"/>
      <c r="BK104" s="293"/>
      <c r="BL104" s="293"/>
      <c r="BM104" s="293"/>
      <c r="BN104" s="293"/>
      <c r="BO104" s="293"/>
      <c r="BP104" s="53"/>
      <c r="BQ104" s="327" t="s">
        <v>176</v>
      </c>
      <c r="BR104" s="327" t="str">
        <f t="shared" ref="BR104:BT104" si="1182">BR71</f>
        <v>BD05</v>
      </c>
      <c r="BS104" s="327">
        <f t="shared" si="1182"/>
        <v>1</v>
      </c>
      <c r="BT104" s="327">
        <f t="shared" si="1182"/>
        <v>1</v>
      </c>
      <c r="BU104" s="161">
        <f>CG23</f>
        <v>3084</v>
      </c>
      <c r="BV104" s="161">
        <f>CH23</f>
        <v>2722</v>
      </c>
      <c r="BW104" s="161">
        <f>CI23-BW71</f>
        <v>4201332</v>
      </c>
      <c r="BX104" s="161">
        <f>CJ23-BX71</f>
        <v>4253456</v>
      </c>
      <c r="BY104" s="179">
        <f t="shared" si="1146"/>
        <v>-52124</v>
      </c>
      <c r="BZ104" s="328">
        <f t="shared" si="1147"/>
        <v>-0.0124065415444435</v>
      </c>
      <c r="CA104" s="162">
        <f t="shared" si="1148"/>
        <v>1543.47244673035</v>
      </c>
      <c r="CB104" s="293"/>
      <c r="CC104" s="293"/>
      <c r="CD104" s="293"/>
      <c r="CE104" s="293"/>
      <c r="CF104" s="293"/>
      <c r="CG104" s="293"/>
      <c r="CH104" s="293"/>
      <c r="CI104" s="293"/>
      <c r="CJ104" s="293"/>
      <c r="CK104" s="293"/>
      <c r="CL104" s="293"/>
      <c r="CM104" s="293"/>
      <c r="CN104" s="293"/>
      <c r="CO104" s="293"/>
      <c r="CP104" s="293"/>
      <c r="CQ104" s="293"/>
      <c r="CR104" s="293"/>
      <c r="CS104" s="293"/>
      <c r="CT104" s="293"/>
      <c r="CU104" s="293"/>
      <c r="CV104" s="293"/>
      <c r="CW104" s="53"/>
      <c r="CX104" s="327" t="s">
        <v>176</v>
      </c>
      <c r="CY104" s="327" t="str">
        <f t="shared" ref="CY104:DA104" si="1183">CY71</f>
        <v>BD05</v>
      </c>
      <c r="CZ104" s="327">
        <f t="shared" si="1183"/>
        <v>1</v>
      </c>
      <c r="DA104" s="327">
        <f t="shared" si="1183"/>
        <v>1</v>
      </c>
      <c r="DB104" s="161">
        <f>DN23</f>
        <v>2780</v>
      </c>
      <c r="DC104" s="161">
        <f>DO23</f>
        <v>2415</v>
      </c>
      <c r="DD104" s="161">
        <f>DP23-DD71</f>
        <v>2285421</v>
      </c>
      <c r="DE104" s="161">
        <f>DQ23-DE71</f>
        <v>1927731</v>
      </c>
      <c r="DF104" s="179">
        <f t="shared" si="1150"/>
        <v>357690</v>
      </c>
      <c r="DG104" s="328">
        <f t="shared" si="1151"/>
        <v>0.156509457119717</v>
      </c>
      <c r="DH104" s="162">
        <f t="shared" si="1152"/>
        <v>946.344099378882</v>
      </c>
      <c r="DI104" s="293"/>
      <c r="DJ104" s="293"/>
      <c r="DK104" s="293"/>
      <c r="DL104" s="293"/>
      <c r="DM104" s="293"/>
      <c r="DN104" s="293"/>
      <c r="DO104" s="293"/>
      <c r="DP104" s="293"/>
      <c r="DQ104" s="293"/>
      <c r="DR104" s="293"/>
      <c r="DS104" s="293"/>
      <c r="DT104" s="293"/>
      <c r="DU104" s="293"/>
      <c r="DV104" s="293"/>
      <c r="DW104" s="293"/>
      <c r="DX104" s="293"/>
      <c r="DY104" s="293"/>
      <c r="DZ104" s="293"/>
      <c r="EA104" s="293"/>
      <c r="EB104" s="293"/>
      <c r="EC104" s="293"/>
      <c r="ED104" s="53"/>
      <c r="EE104" s="329" t="s">
        <v>176</v>
      </c>
      <c r="EF104" s="329">
        <f t="shared" ref="EF104:EH104" si="1184">EF71</f>
        <v>1</v>
      </c>
      <c r="EG104" s="329">
        <f t="shared" si="1184"/>
        <v>1</v>
      </c>
      <c r="EH104" s="329">
        <f t="shared" si="1184"/>
        <v>45</v>
      </c>
      <c r="EI104" s="330">
        <f>EU23</f>
        <v>3893</v>
      </c>
      <c r="EJ104" s="330">
        <f>EV23</f>
        <v>3210</v>
      </c>
      <c r="EK104" s="330">
        <f>EW23-EK71</f>
        <v>2980397</v>
      </c>
      <c r="EL104" s="330">
        <f>EX23-EL71</f>
        <v>3038752</v>
      </c>
      <c r="EM104" s="331">
        <f t="shared" si="1154"/>
        <v>-58355</v>
      </c>
      <c r="EN104" s="332">
        <f t="shared" si="1155"/>
        <v>-0.0195796063410344</v>
      </c>
      <c r="EO104" s="333">
        <f t="shared" si="1156"/>
        <v>928.472585669782</v>
      </c>
      <c r="EP104" s="53"/>
      <c r="EQ104" s="53"/>
      <c r="ER104" s="192"/>
      <c r="ES104" s="192"/>
      <c r="ET104" s="192"/>
      <c r="EU104" s="192"/>
      <c r="EV104" s="192"/>
      <c r="EW104" s="192"/>
      <c r="EX104" s="192"/>
      <c r="EY104" s="192"/>
      <c r="EZ104" s="192"/>
      <c r="FA104" s="192"/>
      <c r="FB104" s="192"/>
      <c r="FC104" s="192"/>
      <c r="FD104" s="192"/>
      <c r="FE104" s="192"/>
      <c r="FF104" s="192"/>
      <c r="FG104" s="192"/>
      <c r="FH104" s="192"/>
      <c r="FI104" s="192"/>
      <c r="FJ104" s="192"/>
      <c r="FK104" s="53"/>
      <c r="FL104" s="53"/>
      <c r="FM104" s="53"/>
      <c r="FN104" s="329" t="s">
        <v>176</v>
      </c>
      <c r="FO104" s="329">
        <f t="shared" ref="FO104:FQ104" si="1185">FO71</f>
        <v>1</v>
      </c>
      <c r="FP104" s="329">
        <f t="shared" si="1185"/>
        <v>1</v>
      </c>
      <c r="FQ104" s="329">
        <f t="shared" si="1185"/>
        <v>82</v>
      </c>
      <c r="FR104" s="330">
        <f>GD23</f>
        <v>2858</v>
      </c>
      <c r="FS104" s="330">
        <f>GE23</f>
        <v>2387</v>
      </c>
      <c r="FT104" s="330">
        <f>GF23-FT71</f>
        <v>4454276</v>
      </c>
      <c r="FU104" s="330">
        <f>GG23-FU71</f>
        <v>4276841.85</v>
      </c>
      <c r="FV104" s="331">
        <f t="shared" si="1158"/>
        <v>177434.149999999</v>
      </c>
      <c r="FW104" s="332">
        <f t="shared" si="1159"/>
        <v>0.039834565707199</v>
      </c>
      <c r="FX104" s="333">
        <f t="shared" si="1160"/>
        <v>1866.05613741098</v>
      </c>
      <c r="FY104" s="53"/>
      <c r="FZ104" s="192"/>
      <c r="GA104" s="192"/>
      <c r="GB104" s="192"/>
      <c r="GC104" s="192"/>
      <c r="GD104" s="192"/>
      <c r="GE104" s="192"/>
      <c r="GF104" s="192"/>
      <c r="GG104" s="192"/>
      <c r="GH104" s="192"/>
      <c r="GI104" s="192"/>
      <c r="GJ104" s="192"/>
      <c r="GK104" s="192"/>
      <c r="GL104" s="192"/>
      <c r="GM104" s="192"/>
      <c r="GN104" s="192"/>
      <c r="GO104" s="192"/>
      <c r="GP104" s="192"/>
      <c r="GQ104" s="192"/>
      <c r="GR104" s="192"/>
      <c r="GS104" s="192"/>
      <c r="GT104" s="53"/>
      <c r="GU104" s="53"/>
      <c r="GV104" s="329" t="s">
        <v>176</v>
      </c>
      <c r="GW104" s="329">
        <f t="shared" ref="GW104:GY104" si="1186">GW71</f>
        <v>2</v>
      </c>
      <c r="GX104" s="329">
        <f t="shared" si="1186"/>
        <v>0</v>
      </c>
      <c r="GY104" s="329">
        <f t="shared" si="1186"/>
        <v>23</v>
      </c>
      <c r="GZ104" s="330">
        <f>HL23</f>
        <v>3913</v>
      </c>
      <c r="HA104" s="330">
        <f>HM23</f>
        <v>3340</v>
      </c>
      <c r="HB104" s="330">
        <f>HN23-HB71</f>
        <v>4150767</v>
      </c>
      <c r="HC104" s="330">
        <f>HO23-HC71</f>
        <v>4186910.76</v>
      </c>
      <c r="HD104" s="331">
        <f t="shared" si="1162"/>
        <v>-36143.7599999998</v>
      </c>
      <c r="HE104" s="332">
        <f t="shared" si="1163"/>
        <v>-0.00870773040259783</v>
      </c>
      <c r="HF104" s="333">
        <f t="shared" si="1164"/>
        <v>1242.74461077844</v>
      </c>
      <c r="HI104" s="192"/>
      <c r="HJ104" s="192"/>
      <c r="HK104" s="192"/>
      <c r="HL104" s="192"/>
      <c r="HM104" s="192"/>
      <c r="HN104" s="192"/>
      <c r="HO104" s="192"/>
      <c r="HP104" s="192"/>
      <c r="HQ104" s="192"/>
      <c r="HR104" s="192"/>
      <c r="HS104" s="192"/>
      <c r="HT104" s="192"/>
      <c r="HU104" s="192"/>
      <c r="HV104" s="192"/>
      <c r="HW104" s="192"/>
      <c r="HX104" s="192"/>
      <c r="HY104" s="192"/>
      <c r="HZ104" s="192"/>
      <c r="IA104" s="192"/>
      <c r="IB104" s="53"/>
      <c r="IC104" s="53"/>
      <c r="ID104" s="329" t="s">
        <v>176</v>
      </c>
      <c r="IE104" s="329">
        <f>IE71</f>
        <v>2</v>
      </c>
      <c r="IF104" s="329">
        <v>0</v>
      </c>
      <c r="IG104" s="329">
        <f>IG71</f>
        <v>85</v>
      </c>
      <c r="IH104" s="330">
        <f>IT23</f>
        <v>2618</v>
      </c>
      <c r="II104" s="330">
        <f>IU23</f>
        <v>2170</v>
      </c>
      <c r="IJ104" s="330">
        <f>IV23-IJ71</f>
        <v>1685925</v>
      </c>
      <c r="IK104" s="330">
        <f>IW23-IK71</f>
        <v>1474219</v>
      </c>
      <c r="IL104" s="331">
        <f t="shared" si="1165"/>
        <v>211706</v>
      </c>
      <c r="IM104" s="332">
        <f t="shared" si="1166"/>
        <v>0.125572608508682</v>
      </c>
      <c r="IN104" s="333">
        <f t="shared" si="1167"/>
        <v>776.923963133641</v>
      </c>
      <c r="IP104" s="11"/>
      <c r="IQ104" s="192"/>
      <c r="IR104" s="192"/>
      <c r="IS104" s="192"/>
      <c r="IT104" s="192"/>
      <c r="IU104" s="192"/>
      <c r="IV104" s="192"/>
      <c r="IW104" s="192"/>
      <c r="IX104" s="192"/>
      <c r="IY104" s="192"/>
      <c r="IZ104" s="192"/>
      <c r="JA104" s="192"/>
      <c r="JB104" s="192"/>
      <c r="JC104" s="192"/>
      <c r="JD104" s="192"/>
      <c r="JE104" s="192"/>
      <c r="JF104" s="192"/>
      <c r="JG104" s="192"/>
      <c r="JH104" s="192"/>
      <c r="JI104" s="192"/>
      <c r="JJ104" s="53"/>
      <c r="JK104" s="53"/>
      <c r="JL104" s="329" t="s">
        <v>176</v>
      </c>
      <c r="JM104" s="329">
        <f>JM71</f>
        <v>2</v>
      </c>
      <c r="JN104" s="329">
        <f>JN71</f>
        <v>89</v>
      </c>
      <c r="JO104" s="329">
        <f>KB23</f>
        <v>2205</v>
      </c>
      <c r="JP104" s="330">
        <f>KC23</f>
        <v>1935</v>
      </c>
      <c r="JQ104" s="330">
        <f>KD23-JQ71</f>
        <v>1948633</v>
      </c>
      <c r="JR104" s="330">
        <f>KE23-JR71</f>
        <v>1649941</v>
      </c>
      <c r="JS104" s="330">
        <f t="shared" si="1168"/>
        <v>298692</v>
      </c>
      <c r="JT104" s="334">
        <f t="shared" si="1169"/>
        <v>0.153282839816425</v>
      </c>
      <c r="JU104" s="335">
        <f t="shared" si="1170"/>
        <v>1007.04547803618</v>
      </c>
      <c r="JX104" s="192"/>
      <c r="JY104" s="192"/>
      <c r="JZ104" s="192"/>
      <c r="KA104" s="192"/>
      <c r="KB104" s="192"/>
      <c r="KC104" s="192"/>
      <c r="KD104" s="192"/>
      <c r="KE104" s="192"/>
      <c r="KF104" s="192"/>
      <c r="KG104" s="192"/>
      <c r="KH104" s="192"/>
      <c r="KI104" s="192"/>
      <c r="KJ104" s="192"/>
      <c r="KK104" s="192"/>
      <c r="KL104" s="192"/>
      <c r="KM104" s="192"/>
      <c r="KN104" s="192"/>
      <c r="KO104" s="192"/>
      <c r="KP104" s="192"/>
      <c r="KQ104" s="192"/>
      <c r="KR104" s="53"/>
      <c r="KS104" s="53"/>
      <c r="KT104" s="329" t="s">
        <v>176</v>
      </c>
      <c r="KU104" s="329">
        <v>3</v>
      </c>
      <c r="KV104" s="329">
        <v>257</v>
      </c>
      <c r="KW104" s="329">
        <v>2602</v>
      </c>
      <c r="KX104" s="330">
        <v>2071</v>
      </c>
      <c r="KY104" s="330">
        <v>2199585</v>
      </c>
      <c r="KZ104" s="330">
        <v>1523439</v>
      </c>
      <c r="LA104" s="330">
        <v>676146</v>
      </c>
      <c r="LB104" s="334">
        <v>0.307397077175922</v>
      </c>
      <c r="LC104" s="335">
        <v>1062.08836310961</v>
      </c>
      <c r="LF104" s="11"/>
      <c r="LG104" s="192"/>
      <c r="LH104" s="192"/>
      <c r="LI104" s="192"/>
      <c r="LJ104" s="192"/>
      <c r="LK104" s="192"/>
      <c r="LL104" s="192"/>
      <c r="LM104" s="192"/>
      <c r="LN104" s="192"/>
      <c r="LO104" s="192"/>
      <c r="LP104" s="192"/>
      <c r="LQ104" s="192"/>
      <c r="LR104" s="192"/>
      <c r="LS104" s="192"/>
      <c r="LT104" s="192"/>
      <c r="LU104" s="192"/>
      <c r="LV104" s="192"/>
      <c r="LW104" s="192"/>
      <c r="LX104" s="192"/>
      <c r="LY104" s="192"/>
      <c r="LZ104" s="192"/>
      <c r="MA104" s="192"/>
      <c r="MB104" s="329" t="s">
        <v>176</v>
      </c>
      <c r="MC104" s="329">
        <f>MC71</f>
        <v>4</v>
      </c>
      <c r="MD104" s="329">
        <f>MD71</f>
        <v>180</v>
      </c>
      <c r="ME104" s="329">
        <f>MR23</f>
        <v>1992</v>
      </c>
      <c r="MF104" s="330">
        <f>MS23</f>
        <v>1583</v>
      </c>
      <c r="MG104" s="330">
        <f>MT23-MG71</f>
        <v>1667151</v>
      </c>
      <c r="MH104" s="330">
        <f>MU23-MH71</f>
        <v>1338064</v>
      </c>
      <c r="MI104" s="330">
        <f t="shared" si="1171"/>
        <v>329087</v>
      </c>
      <c r="MJ104" s="334">
        <f t="shared" si="1172"/>
        <v>0.19739483706035</v>
      </c>
      <c r="MK104" s="335">
        <f t="shared" si="1173"/>
        <v>1053.15919140872</v>
      </c>
      <c r="MO104" s="192"/>
      <c r="MP104" s="192"/>
      <c r="MQ104" s="192"/>
      <c r="MR104" s="192"/>
      <c r="MS104" s="192"/>
      <c r="MT104" s="192"/>
      <c r="MU104" s="192"/>
      <c r="MV104" s="192"/>
      <c r="MW104" s="192"/>
      <c r="MX104" s="192"/>
      <c r="MY104" s="192"/>
      <c r="MZ104" s="192"/>
      <c r="NA104" s="192"/>
      <c r="NB104" s="192"/>
      <c r="NC104" s="192"/>
      <c r="ND104" s="192"/>
      <c r="NE104" s="192"/>
      <c r="NF104" s="192"/>
      <c r="NG104" s="192"/>
      <c r="NH104" s="53"/>
      <c r="NI104" s="53"/>
      <c r="NJ104" s="329" t="s">
        <v>176</v>
      </c>
      <c r="NK104" s="329">
        <f t="shared" si="1127"/>
        <v>1</v>
      </c>
      <c r="NL104" s="329">
        <f t="shared" si="1128"/>
        <v>102</v>
      </c>
      <c r="NM104" s="329">
        <f t="shared" si="1129"/>
        <v>1757</v>
      </c>
      <c r="NN104" s="330">
        <f t="shared" si="1130"/>
        <v>1505</v>
      </c>
      <c r="NO104" s="330">
        <f t="shared" si="1131"/>
        <v>2173538</v>
      </c>
      <c r="NP104" s="330">
        <f t="shared" si="1132"/>
        <v>1513768</v>
      </c>
      <c r="NQ104" s="330">
        <f t="shared" si="1116"/>
        <v>659770</v>
      </c>
      <c r="NR104" s="334">
        <f t="shared" si="1117"/>
        <v>0.303546567853886</v>
      </c>
      <c r="NS104" s="335">
        <f t="shared" si="1118"/>
        <v>1444.21129568106</v>
      </c>
      <c r="NT104" s="53"/>
      <c r="NU104" s="53"/>
      <c r="NV104" s="53"/>
      <c r="NW104" s="53"/>
      <c r="NX104" s="53"/>
      <c r="NY104" s="53"/>
      <c r="NZ104" s="53"/>
      <c r="OA104" s="53"/>
      <c r="OB104" s="53"/>
      <c r="OC104" s="53"/>
      <c r="OD104" s="53"/>
      <c r="OE104" s="53"/>
      <c r="OF104" s="53"/>
      <c r="OG104" s="53"/>
      <c r="OH104" s="53"/>
      <c r="OI104" s="53"/>
      <c r="OJ104" s="53"/>
      <c r="OK104" s="53"/>
      <c r="OL104" s="53"/>
      <c r="OM104" s="53"/>
      <c r="ON104" s="53"/>
      <c r="OO104" s="53"/>
      <c r="OP104" s="53"/>
      <c r="OQ104" s="53"/>
      <c r="OR104" s="53"/>
      <c r="OS104" s="336" t="s">
        <v>176</v>
      </c>
      <c r="OT104" s="336">
        <f t="shared" si="1133"/>
        <v>1</v>
      </c>
      <c r="OU104" s="336">
        <f t="shared" si="1134"/>
        <v>10</v>
      </c>
      <c r="OV104" s="172">
        <f t="shared" si="1135"/>
        <v>1481</v>
      </c>
      <c r="OW104" s="172">
        <f t="shared" si="1136"/>
        <v>1248</v>
      </c>
      <c r="OX104" s="172">
        <f t="shared" si="1137"/>
        <v>1937688</v>
      </c>
      <c r="OY104" s="172">
        <f t="shared" si="1138"/>
        <v>1402150</v>
      </c>
      <c r="OZ104" s="171">
        <f t="shared" si="1120"/>
        <v>535538</v>
      </c>
      <c r="PA104" s="337">
        <f t="shared" si="1121"/>
        <v>0.276379891912423</v>
      </c>
      <c r="PB104" s="170">
        <f t="shared" si="1122"/>
        <v>1552.63461538462</v>
      </c>
      <c r="PC104" s="144"/>
      <c r="PD104" s="144"/>
      <c r="PE104" s="144"/>
      <c r="PF104" s="144"/>
      <c r="PG104" s="144"/>
      <c r="PH104" s="144"/>
      <c r="PI104" s="144"/>
      <c r="PJ104" s="144"/>
      <c r="PK104" s="144"/>
      <c r="PL104" s="144"/>
      <c r="PM104" s="144"/>
      <c r="PN104" s="144"/>
      <c r="PO104" s="144"/>
      <c r="PP104" s="144"/>
      <c r="PQ104" s="144"/>
      <c r="PR104" s="144"/>
      <c r="PS104" s="146"/>
      <c r="PT104" s="146"/>
      <c r="PU104" s="336" t="s">
        <v>176</v>
      </c>
      <c r="PV104" s="336">
        <f t="shared" si="1139"/>
        <v>1</v>
      </c>
      <c r="PW104" s="336">
        <f t="shared" si="1140"/>
        <v>10</v>
      </c>
      <c r="PX104" s="172">
        <f t="shared" si="1141"/>
        <v>1222</v>
      </c>
      <c r="PY104" s="172">
        <f t="shared" si="1142"/>
        <v>1062</v>
      </c>
      <c r="PZ104" s="172">
        <f t="shared" si="1143"/>
        <v>1924234</v>
      </c>
      <c r="QA104" s="172">
        <f t="shared" si="1144"/>
        <v>1640604</v>
      </c>
      <c r="QB104" s="171">
        <f t="shared" si="1124"/>
        <v>283630</v>
      </c>
      <c r="QC104" s="337">
        <f t="shared" si="1125"/>
        <v>0.147398913022013</v>
      </c>
      <c r="QD104" s="170">
        <f t="shared" si="1126"/>
        <v>1811.89642184557</v>
      </c>
      <c r="QE104" s="146"/>
      <c r="QF104" s="146"/>
      <c r="QG104" s="146"/>
      <c r="QH104" s="146"/>
      <c r="QI104" s="146"/>
      <c r="QJ104" s="146"/>
      <c r="QK104" s="146"/>
      <c r="QL104" s="146"/>
      <c r="QM104" s="146"/>
      <c r="QN104" s="146"/>
      <c r="QO104" s="146"/>
      <c r="QP104" s="146"/>
      <c r="QQ104" s="146"/>
      <c r="QR104" s="144"/>
      <c r="QS104" s="144"/>
      <c r="QT104" s="144"/>
      <c r="QU104" s="144"/>
      <c r="QV104" s="144"/>
      <c r="QW104" s="144"/>
      <c r="QX104" s="144"/>
      <c r="QY104" s="144"/>
      <c r="QZ104" s="144"/>
      <c r="RA104" s="144"/>
      <c r="RB104" s="144"/>
      <c r="RC104" s="144"/>
      <c r="RD104" s="144"/>
      <c r="RE104" s="144"/>
      <c r="RF104" s="144"/>
      <c r="RG104" s="144"/>
      <c r="RH104" s="144"/>
      <c r="RI104" s="144"/>
      <c r="RJ104" s="144"/>
      <c r="RK104" s="144"/>
      <c r="RL104" s="144"/>
      <c r="RM104" s="144"/>
      <c r="RN104" s="144"/>
      <c r="RO104" s="144"/>
      <c r="RP104" s="144"/>
      <c r="RQ104" s="144"/>
      <c r="RR104" s="144"/>
      <c r="RS104" s="144"/>
      <c r="RT104" s="144"/>
      <c r="RU104" s="144"/>
      <c r="RV104" s="144"/>
      <c r="RW104" s="144"/>
      <c r="RX104" s="144"/>
      <c r="RY104" s="144"/>
      <c r="RZ104" s="144"/>
      <c r="SA104" s="144"/>
      <c r="SB104" s="144"/>
      <c r="SC104" s="144"/>
      <c r="SD104" s="144"/>
      <c r="SE104" s="144"/>
      <c r="SF104" s="144"/>
      <c r="SG104" s="144"/>
      <c r="SH104" s="144"/>
      <c r="SI104" s="144"/>
      <c r="SJ104" s="144"/>
      <c r="SK104" s="144"/>
      <c r="SL104" s="84"/>
      <c r="SM104" s="84"/>
      <c r="SN104" s="154"/>
      <c r="SO104" s="154"/>
      <c r="SP104" s="154"/>
      <c r="SQ104" s="154"/>
      <c r="SR104" s="154"/>
      <c r="SS104" s="154"/>
      <c r="ST104" s="155"/>
      <c r="SU104" s="154"/>
      <c r="SV104" s="154"/>
      <c r="SW104" s="155"/>
      <c r="SX104" s="155"/>
      <c r="SY104" s="155"/>
      <c r="SZ104" s="155"/>
      <c r="TA104" s="155"/>
      <c r="TB104" s="155"/>
      <c r="TC104" s="155"/>
      <c r="TD104" s="156"/>
      <c r="TE104" s="144"/>
      <c r="TF104" s="84"/>
      <c r="TG104" s="144"/>
      <c r="TH104" s="144"/>
      <c r="TI104" s="144"/>
      <c r="TJ104" s="144"/>
      <c r="TK104" s="157"/>
      <c r="TL104" s="157"/>
      <c r="TM104" s="157"/>
      <c r="TN104" s="157"/>
      <c r="TO104" s="157"/>
      <c r="TP104" s="157"/>
      <c r="TQ104" s="157"/>
      <c r="TR104" s="157"/>
      <c r="TS104" s="157"/>
      <c r="TT104" s="158"/>
      <c r="TU104" s="157"/>
      <c r="TV104" s="158"/>
      <c r="TW104" s="144"/>
      <c r="TX104" s="144"/>
      <c r="TY104" s="144"/>
      <c r="TZ104" s="84"/>
      <c r="UA104" s="144"/>
      <c r="UB104" s="144"/>
      <c r="UC104" s="144"/>
      <c r="UD104" s="144"/>
      <c r="UE104" s="157"/>
      <c r="UF104" s="157"/>
      <c r="UG104" s="157"/>
      <c r="UH104" s="157"/>
      <c r="UI104" s="157"/>
      <c r="UJ104" s="157"/>
      <c r="UK104" s="157"/>
      <c r="UL104" s="157"/>
      <c r="UM104" s="157"/>
      <c r="UN104" s="157"/>
      <c r="UO104" s="157"/>
      <c r="UP104" s="158"/>
      <c r="UQ104" s="157"/>
      <c r="UR104" s="158"/>
      <c r="US104" s="144"/>
      <c r="UT104" s="144"/>
      <c r="UU104" s="144"/>
      <c r="UV104" s="144"/>
      <c r="UW104" s="144"/>
      <c r="UX104" s="144"/>
      <c r="UY104" s="144"/>
      <c r="UZ104" s="144"/>
      <c r="VA104" s="157"/>
      <c r="VB104" s="157"/>
      <c r="VC104" s="157"/>
      <c r="VD104" s="157"/>
      <c r="VE104" s="157"/>
      <c r="VF104" s="157"/>
      <c r="VG104" s="157"/>
      <c r="VH104" s="157"/>
      <c r="VI104" s="157"/>
      <c r="VJ104" s="157"/>
      <c r="VK104" s="157"/>
      <c r="VL104" s="157"/>
      <c r="VM104" s="157"/>
      <c r="VN104" s="157"/>
      <c r="VO104" s="144"/>
      <c r="VP104" s="144"/>
      <c r="VQ104" s="84"/>
      <c r="VR104" s="84"/>
      <c r="VS104" s="144"/>
      <c r="VT104" s="53"/>
      <c r="VU104" s="53"/>
    </row>
    <row r="105" ht="15.75" hidden="1" spans="1:1024 1025:16384">
      <c r="A105" s="53"/>
      <c r="B105" s="53"/>
      <c r="C105" s="236" t="s">
        <v>153</v>
      </c>
      <c r="D105" s="235">
        <f t="shared" ref="D105:J105" si="1187">SUM(D100:D104)</f>
        <v>0</v>
      </c>
      <c r="E105" s="235">
        <f t="shared" si="1187"/>
        <v>0</v>
      </c>
      <c r="F105" s="235">
        <f t="shared" si="1187"/>
        <v>0</v>
      </c>
      <c r="G105" s="236">
        <f t="shared" si="1187"/>
        <v>0</v>
      </c>
      <c r="H105" s="236">
        <f t="shared" si="1187"/>
        <v>0</v>
      </c>
      <c r="I105" s="236">
        <f t="shared" si="1187"/>
        <v>0</v>
      </c>
      <c r="J105" s="236">
        <f t="shared" si="1187"/>
        <v>0</v>
      </c>
      <c r="K105" s="237">
        <f t="shared" si="1175"/>
        <v>0</v>
      </c>
      <c r="L105" s="240" t="e">
        <f t="shared" si="1176"/>
        <v>#DIV/0!</v>
      </c>
      <c r="M105" s="236" t="e">
        <f t="shared" si="1177"/>
        <v>#DIV/0!</v>
      </c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  <c r="AB105" s="293"/>
      <c r="AC105" s="293"/>
      <c r="AD105" s="293"/>
      <c r="AE105" s="293"/>
      <c r="AF105" s="293"/>
      <c r="AG105" s="293"/>
      <c r="AH105" s="293"/>
      <c r="AI105" s="53"/>
      <c r="AJ105" s="236" t="s">
        <v>153</v>
      </c>
      <c r="AK105" s="235">
        <f t="shared" ref="AK105:AQ105" si="1188">SUM(AK100:AK104)</f>
        <v>0</v>
      </c>
      <c r="AL105" s="235">
        <f t="shared" si="1188"/>
        <v>0</v>
      </c>
      <c r="AM105" s="235">
        <f t="shared" si="1188"/>
        <v>0</v>
      </c>
      <c r="AN105" s="236">
        <f t="shared" si="1188"/>
        <v>3625</v>
      </c>
      <c r="AO105" s="236">
        <f t="shared" si="1188"/>
        <v>2957</v>
      </c>
      <c r="AP105" s="236">
        <f t="shared" si="1188"/>
        <v>2635209</v>
      </c>
      <c r="AQ105" s="236">
        <f t="shared" si="1188"/>
        <v>2488164.71</v>
      </c>
      <c r="AR105" s="237">
        <f t="shared" si="1179"/>
        <v>147044.29</v>
      </c>
      <c r="AS105" s="240">
        <f t="shared" si="1180"/>
        <v>0.0557998587588309</v>
      </c>
      <c r="AT105" s="236">
        <f t="shared" si="1181"/>
        <v>891.176530267163</v>
      </c>
      <c r="AU105" s="293"/>
      <c r="AV105" s="293"/>
      <c r="AW105" s="293"/>
      <c r="AX105" s="293"/>
      <c r="AY105" s="293"/>
      <c r="AZ105" s="293"/>
      <c r="BA105" s="293"/>
      <c r="BB105" s="293"/>
      <c r="BC105" s="293"/>
      <c r="BD105" s="293"/>
      <c r="BE105" s="293"/>
      <c r="BF105" s="293"/>
      <c r="BG105" s="293"/>
      <c r="BH105" s="293"/>
      <c r="BI105" s="293"/>
      <c r="BJ105" s="293"/>
      <c r="BK105" s="293"/>
      <c r="BL105" s="293"/>
      <c r="BM105" s="293"/>
      <c r="BN105" s="293"/>
      <c r="BO105" s="293"/>
      <c r="BP105" s="53"/>
      <c r="BQ105" s="236" t="s">
        <v>153</v>
      </c>
      <c r="BR105" s="235">
        <f t="shared" ref="BR105:BX105" si="1189">SUM(BR100:BR104)</f>
        <v>0</v>
      </c>
      <c r="BS105" s="235">
        <f t="shared" si="1189"/>
        <v>3</v>
      </c>
      <c r="BT105" s="235">
        <f t="shared" si="1189"/>
        <v>1</v>
      </c>
      <c r="BU105" s="236">
        <f t="shared" si="1189"/>
        <v>4981</v>
      </c>
      <c r="BV105" s="236">
        <f t="shared" si="1189"/>
        <v>4295</v>
      </c>
      <c r="BW105" s="236">
        <f t="shared" si="1189"/>
        <v>6561500</v>
      </c>
      <c r="BX105" s="236">
        <f t="shared" si="1189"/>
        <v>6470114</v>
      </c>
      <c r="BY105" s="237">
        <f t="shared" si="1146"/>
        <v>91386</v>
      </c>
      <c r="BZ105" s="240">
        <f t="shared" si="1147"/>
        <v>0.0139276080164597</v>
      </c>
      <c r="CA105" s="236">
        <f t="shared" si="1148"/>
        <v>1527.70663562282</v>
      </c>
      <c r="CB105" s="293"/>
      <c r="CC105" s="293"/>
      <c r="CD105" s="293"/>
      <c r="CE105" s="293"/>
      <c r="CF105" s="293"/>
      <c r="CG105" s="293"/>
      <c r="CH105" s="293"/>
      <c r="CI105" s="293"/>
      <c r="CJ105" s="293"/>
      <c r="CK105" s="293"/>
      <c r="CL105" s="293"/>
      <c r="CM105" s="293"/>
      <c r="CN105" s="293"/>
      <c r="CO105" s="293"/>
      <c r="CP105" s="293"/>
      <c r="CQ105" s="293"/>
      <c r="CR105" s="293"/>
      <c r="CS105" s="293"/>
      <c r="CT105" s="293"/>
      <c r="CU105" s="293"/>
      <c r="CV105" s="293"/>
      <c r="CW105" s="53"/>
      <c r="CX105" s="236" t="s">
        <v>153</v>
      </c>
      <c r="CY105" s="235">
        <f t="shared" ref="CY105:DE105" si="1190">SUM(CY100:CY104)</f>
        <v>0</v>
      </c>
      <c r="CZ105" s="235">
        <f t="shared" si="1190"/>
        <v>3</v>
      </c>
      <c r="DA105" s="235">
        <f t="shared" si="1190"/>
        <v>1</v>
      </c>
      <c r="DB105" s="236">
        <f t="shared" si="1190"/>
        <v>4339</v>
      </c>
      <c r="DC105" s="236">
        <f t="shared" si="1190"/>
        <v>3785</v>
      </c>
      <c r="DD105" s="236">
        <f t="shared" si="1190"/>
        <v>4212382</v>
      </c>
      <c r="DE105" s="236">
        <f t="shared" si="1190"/>
        <v>3703338</v>
      </c>
      <c r="DF105" s="237">
        <f t="shared" si="1150"/>
        <v>509044</v>
      </c>
      <c r="DG105" s="240">
        <f t="shared" si="1151"/>
        <v>0.120844690723681</v>
      </c>
      <c r="DH105" s="236">
        <f t="shared" si="1152"/>
        <v>1112.91466314399</v>
      </c>
      <c r="DI105" s="293"/>
      <c r="DJ105" s="293"/>
      <c r="DK105" s="293"/>
      <c r="DL105" s="293"/>
      <c r="DM105" s="293"/>
      <c r="DN105" s="293"/>
      <c r="DO105" s="293"/>
      <c r="DP105" s="293"/>
      <c r="DQ105" s="293"/>
      <c r="DR105" s="293"/>
      <c r="DS105" s="293"/>
      <c r="DT105" s="293"/>
      <c r="DU105" s="293"/>
      <c r="DV105" s="293"/>
      <c r="DW105" s="293"/>
      <c r="DX105" s="293"/>
      <c r="DY105" s="293"/>
      <c r="DZ105" s="293"/>
      <c r="EA105" s="293"/>
      <c r="EB105" s="293"/>
      <c r="EC105" s="293"/>
      <c r="ED105" s="53"/>
      <c r="EE105" s="341" t="s">
        <v>153</v>
      </c>
      <c r="EF105" s="342">
        <f>SUM(EF100:EF104)</f>
        <v>2</v>
      </c>
      <c r="EG105" s="342"/>
      <c r="EH105" s="342">
        <f>SUM(EH100:EH104)</f>
        <v>57</v>
      </c>
      <c r="EI105" s="343">
        <f>SUM(EI100:EI104)</f>
        <v>5772</v>
      </c>
      <c r="EJ105" s="343">
        <f>SUM(EJ100:EJ104)</f>
        <v>4807</v>
      </c>
      <c r="EK105" s="343">
        <f>SUM(EK100:EK104)</f>
        <v>6679756</v>
      </c>
      <c r="EL105" s="343">
        <f>SUM(EL100:EL104)</f>
        <v>6997782</v>
      </c>
      <c r="EM105" s="344">
        <f t="shared" si="1154"/>
        <v>-318026</v>
      </c>
      <c r="EN105" s="345">
        <f t="shared" si="1155"/>
        <v>-0.0476104216980381</v>
      </c>
      <c r="EO105" s="343">
        <f t="shared" si="1156"/>
        <v>1389.58934886624</v>
      </c>
      <c r="EP105" s="53"/>
      <c r="EQ105" s="53"/>
      <c r="ER105" s="192"/>
      <c r="ES105" s="192"/>
      <c r="ET105" s="192"/>
      <c r="EU105" s="192"/>
      <c r="EV105" s="192"/>
      <c r="EW105" s="192"/>
      <c r="EX105" s="192"/>
      <c r="EY105" s="192"/>
      <c r="EZ105" s="192"/>
      <c r="FA105" s="192"/>
      <c r="FB105" s="192"/>
      <c r="FC105" s="192"/>
      <c r="FD105" s="192"/>
      <c r="FE105" s="192"/>
      <c r="FF105" s="192"/>
      <c r="FG105" s="192"/>
      <c r="FH105" s="192"/>
      <c r="FI105" s="192"/>
      <c r="FJ105" s="192"/>
      <c r="FK105" s="53"/>
      <c r="FL105" s="53"/>
      <c r="FM105" s="53"/>
      <c r="FN105" s="341" t="s">
        <v>153</v>
      </c>
      <c r="FO105" s="342">
        <f>SUM(FO100:FO104)</f>
        <v>2</v>
      </c>
      <c r="FP105" s="342"/>
      <c r="FQ105" s="342">
        <f>SUM(FQ100:FQ104)</f>
        <v>95</v>
      </c>
      <c r="FR105" s="343">
        <f>SUM(FR100:FR104)</f>
        <v>4407</v>
      </c>
      <c r="FS105" s="343">
        <f>SUM(FS100:FS104)</f>
        <v>3706</v>
      </c>
      <c r="FT105" s="343">
        <f>SUM(FT100:FT104)</f>
        <v>7768592</v>
      </c>
      <c r="FU105" s="343">
        <f>SUM(FU100:FU104)</f>
        <v>7499932.92</v>
      </c>
      <c r="FV105" s="344">
        <f t="shared" si="1158"/>
        <v>268659.08</v>
      </c>
      <c r="FW105" s="345">
        <f t="shared" si="1159"/>
        <v>0.034582724900471</v>
      </c>
      <c r="FX105" s="343">
        <f t="shared" si="1160"/>
        <v>2096.22018348624</v>
      </c>
      <c r="FY105" s="53"/>
      <c r="FZ105" s="192"/>
      <c r="GA105" s="192"/>
      <c r="GB105" s="192"/>
      <c r="GC105" s="192"/>
      <c r="GD105" s="192"/>
      <c r="GE105" s="192"/>
      <c r="GF105" s="192"/>
      <c r="GG105" s="192"/>
      <c r="GH105" s="192"/>
      <c r="GI105" s="192"/>
      <c r="GJ105" s="192"/>
      <c r="GK105" s="192"/>
      <c r="GL105" s="192"/>
      <c r="GM105" s="192"/>
      <c r="GN105" s="192"/>
      <c r="GO105" s="192"/>
      <c r="GP105" s="192"/>
      <c r="GQ105" s="192"/>
      <c r="GR105" s="192"/>
      <c r="GS105" s="192"/>
      <c r="GT105" s="53"/>
      <c r="GU105" s="53"/>
      <c r="GV105" s="343" t="s">
        <v>153</v>
      </c>
      <c r="GW105" s="343">
        <f t="shared" ref="GW105:HC105" si="1191">SUM(GW100:GW104)</f>
        <v>3</v>
      </c>
      <c r="GX105" s="343">
        <f t="shared" si="1191"/>
        <v>0</v>
      </c>
      <c r="GY105" s="343">
        <f t="shared" si="1191"/>
        <v>27</v>
      </c>
      <c r="GZ105" s="343">
        <f t="shared" si="1191"/>
        <v>5449</v>
      </c>
      <c r="HA105" s="343">
        <f t="shared" si="1191"/>
        <v>4724</v>
      </c>
      <c r="HB105" s="343">
        <f t="shared" si="1191"/>
        <v>5599902</v>
      </c>
      <c r="HC105" s="343">
        <f t="shared" si="1191"/>
        <v>5581277.2443</v>
      </c>
      <c r="HD105" s="343">
        <f t="shared" si="1162"/>
        <v>18624.7557000006</v>
      </c>
      <c r="HE105" s="357">
        <f t="shared" si="1163"/>
        <v>0.00332590743552308</v>
      </c>
      <c r="HF105" s="343">
        <f t="shared" si="1164"/>
        <v>1185.41532599492</v>
      </c>
      <c r="HI105" s="192"/>
      <c r="HJ105" s="192"/>
      <c r="HK105" s="192"/>
      <c r="HL105" s="192"/>
      <c r="HM105" s="192"/>
      <c r="HN105" s="192"/>
      <c r="HO105" s="192"/>
      <c r="HP105" s="192"/>
      <c r="HQ105" s="192"/>
      <c r="HR105" s="192"/>
      <c r="HS105" s="192"/>
      <c r="HT105" s="192"/>
      <c r="HU105" s="192"/>
      <c r="HV105" s="192"/>
      <c r="HW105" s="192"/>
      <c r="HX105" s="192"/>
      <c r="HY105" s="192"/>
      <c r="HZ105" s="192"/>
      <c r="IA105" s="192"/>
      <c r="IB105" s="53"/>
      <c r="IC105" s="53"/>
      <c r="ID105" s="343" t="s">
        <v>153</v>
      </c>
      <c r="IE105" s="343">
        <f t="shared" ref="IE105:IK105" si="1192">SUM(IE100:IE104)</f>
        <v>3</v>
      </c>
      <c r="IF105" s="343">
        <f t="shared" si="1192"/>
        <v>0</v>
      </c>
      <c r="IG105" s="343">
        <f t="shared" si="1192"/>
        <v>101</v>
      </c>
      <c r="IH105" s="343">
        <f t="shared" si="1192"/>
        <v>4123</v>
      </c>
      <c r="II105" s="343">
        <f t="shared" si="1192"/>
        <v>3555</v>
      </c>
      <c r="IJ105" s="343">
        <f t="shared" si="1192"/>
        <v>3829384</v>
      </c>
      <c r="IK105" s="343">
        <f t="shared" si="1192"/>
        <v>2950882</v>
      </c>
      <c r="IL105" s="343">
        <f t="shared" si="1165"/>
        <v>878502</v>
      </c>
      <c r="IM105" s="343">
        <f t="shared" si="1166"/>
        <v>0.229410787740274</v>
      </c>
      <c r="IN105" s="343">
        <f t="shared" si="1167"/>
        <v>1077.18255977496</v>
      </c>
      <c r="IP105" s="11"/>
      <c r="IQ105" s="192"/>
      <c r="IR105" s="192"/>
      <c r="IS105" s="192"/>
      <c r="IT105" s="192"/>
      <c r="IU105" s="192"/>
      <c r="IV105" s="192"/>
      <c r="IW105" s="192"/>
      <c r="IX105" s="192"/>
      <c r="IY105" s="192"/>
      <c r="IZ105" s="192"/>
      <c r="JA105" s="192"/>
      <c r="JB105" s="192"/>
      <c r="JC105" s="192"/>
      <c r="JD105" s="192"/>
      <c r="JE105" s="192"/>
      <c r="JF105" s="192"/>
      <c r="JG105" s="192"/>
      <c r="JH105" s="192"/>
      <c r="JI105" s="192"/>
      <c r="JJ105" s="53"/>
      <c r="JK105" s="53"/>
      <c r="JL105" s="343" t="s">
        <v>153</v>
      </c>
      <c r="JM105" s="343">
        <f t="shared" ref="JM105:JR105" si="1193">SUM(JM100:JM104)</f>
        <v>3</v>
      </c>
      <c r="JN105" s="343">
        <f t="shared" si="1193"/>
        <v>112</v>
      </c>
      <c r="JO105" s="343">
        <f t="shared" si="1193"/>
        <v>5056</v>
      </c>
      <c r="JP105" s="343">
        <f t="shared" si="1193"/>
        <v>3292</v>
      </c>
      <c r="JQ105" s="343">
        <f t="shared" si="1193"/>
        <v>3483066</v>
      </c>
      <c r="JR105" s="343">
        <f t="shared" si="1193"/>
        <v>3542742</v>
      </c>
      <c r="JS105" s="343">
        <f t="shared" si="1168"/>
        <v>-59676</v>
      </c>
      <c r="JT105" s="346">
        <f t="shared" si="1169"/>
        <v>-0.0171331809388625</v>
      </c>
      <c r="JU105" s="343">
        <f t="shared" si="1170"/>
        <v>1058.03948967193</v>
      </c>
      <c r="JX105" s="192"/>
      <c r="JY105" s="192"/>
      <c r="JZ105" s="192"/>
      <c r="KA105" s="192"/>
      <c r="KB105" s="192"/>
      <c r="KC105" s="192"/>
      <c r="KD105" s="192"/>
      <c r="KE105" s="192"/>
      <c r="KF105" s="192"/>
      <c r="KG105" s="192"/>
      <c r="KH105" s="192"/>
      <c r="KI105" s="192"/>
      <c r="KJ105" s="192"/>
      <c r="KK105" s="192"/>
      <c r="KL105" s="192"/>
      <c r="KM105" s="192"/>
      <c r="KN105" s="192"/>
      <c r="KO105" s="192"/>
      <c r="KP105" s="192"/>
      <c r="KQ105" s="192"/>
      <c r="KR105" s="53"/>
      <c r="KS105" s="53"/>
      <c r="KT105" s="343" t="s">
        <v>153</v>
      </c>
      <c r="KU105" s="343">
        <v>5</v>
      </c>
      <c r="KV105" s="343">
        <v>351</v>
      </c>
      <c r="KW105" s="343">
        <v>4858</v>
      </c>
      <c r="KX105" s="343">
        <v>3768</v>
      </c>
      <c r="KY105" s="343">
        <v>3631602</v>
      </c>
      <c r="KZ105" s="343">
        <v>2952301</v>
      </c>
      <c r="LA105" s="343">
        <v>679301</v>
      </c>
      <c r="LB105" s="346">
        <v>0.187052711172645</v>
      </c>
      <c r="LC105" s="343">
        <v>963.800955414013</v>
      </c>
      <c r="LF105" s="11"/>
      <c r="LG105" s="192"/>
      <c r="LH105" s="192"/>
      <c r="LI105" s="192"/>
      <c r="LJ105" s="192"/>
      <c r="LK105" s="192"/>
      <c r="LL105" s="192"/>
      <c r="LM105" s="192"/>
      <c r="LN105" s="192"/>
      <c r="LO105" s="192"/>
      <c r="LP105" s="192"/>
      <c r="LQ105" s="192"/>
      <c r="LR105" s="192"/>
      <c r="LS105" s="192"/>
      <c r="LT105" s="192"/>
      <c r="LU105" s="192"/>
      <c r="LV105" s="192"/>
      <c r="LW105" s="192"/>
      <c r="LX105" s="192"/>
      <c r="LY105" s="192"/>
      <c r="LZ105" s="192"/>
      <c r="MA105" s="192"/>
      <c r="MB105" s="343" t="s">
        <v>153</v>
      </c>
      <c r="MC105" s="343">
        <f t="shared" ref="MC105:MH105" si="1194">SUM(MC100:MC104)</f>
        <v>6</v>
      </c>
      <c r="MD105" s="343">
        <f t="shared" si="1194"/>
        <v>227</v>
      </c>
      <c r="ME105" s="343">
        <f t="shared" si="1194"/>
        <v>3631</v>
      </c>
      <c r="MF105" s="343">
        <f t="shared" si="1194"/>
        <v>2997</v>
      </c>
      <c r="MG105" s="343">
        <f t="shared" si="1194"/>
        <v>2849073</v>
      </c>
      <c r="MH105" s="343">
        <f t="shared" si="1194"/>
        <v>2346277</v>
      </c>
      <c r="MI105" s="343">
        <f t="shared" si="1171"/>
        <v>502796</v>
      </c>
      <c r="MJ105" s="346">
        <f t="shared" si="1172"/>
        <v>0.176477050605583</v>
      </c>
      <c r="MK105" s="343">
        <f t="shared" si="1173"/>
        <v>950.641641641642</v>
      </c>
      <c r="MO105" s="192"/>
      <c r="MP105" s="192"/>
      <c r="MQ105" s="192"/>
      <c r="MR105" s="192"/>
      <c r="MS105" s="192"/>
      <c r="MT105" s="192"/>
      <c r="MU105" s="192"/>
      <c r="MV105" s="192"/>
      <c r="MW105" s="192"/>
      <c r="MX105" s="192"/>
      <c r="MY105" s="192"/>
      <c r="MZ105" s="192"/>
      <c r="NA105" s="192"/>
      <c r="NB105" s="192"/>
      <c r="NC105" s="192"/>
      <c r="ND105" s="192"/>
      <c r="NE105" s="192"/>
      <c r="NF105" s="192"/>
      <c r="NG105" s="192"/>
      <c r="NH105" s="53"/>
      <c r="NI105" s="53"/>
      <c r="NJ105" s="343" t="s">
        <v>153</v>
      </c>
      <c r="NK105" s="343">
        <f t="shared" ref="NK105:NP105" si="1195">SUM(NK100:NK104)</f>
        <v>8</v>
      </c>
      <c r="NL105" s="343">
        <f t="shared" si="1195"/>
        <v>196</v>
      </c>
      <c r="NM105" s="343">
        <f t="shared" si="1195"/>
        <v>9237</v>
      </c>
      <c r="NN105" s="343">
        <f t="shared" si="1195"/>
        <v>7954</v>
      </c>
      <c r="NO105" s="343">
        <f t="shared" si="1195"/>
        <v>7802606</v>
      </c>
      <c r="NP105" s="343">
        <f t="shared" si="1195"/>
        <v>6155973.29</v>
      </c>
      <c r="NQ105" s="343">
        <f t="shared" si="1116"/>
        <v>1646632.71</v>
      </c>
      <c r="NR105" s="346">
        <f t="shared" si="1117"/>
        <v>0.211036249940084</v>
      </c>
      <c r="NS105" s="343">
        <f t="shared" si="1118"/>
        <v>980.966306261001</v>
      </c>
      <c r="NT105" s="53"/>
      <c r="NU105" s="53"/>
      <c r="NV105" s="53"/>
      <c r="NW105" s="53"/>
      <c r="NX105" s="53"/>
      <c r="NY105" s="53"/>
      <c r="NZ105" s="53"/>
      <c r="OA105" s="53"/>
      <c r="OB105" s="53"/>
      <c r="OC105" s="53"/>
      <c r="OD105" s="53"/>
      <c r="OE105" s="53"/>
      <c r="OF105" s="53"/>
      <c r="OG105" s="53"/>
      <c r="OH105" s="53"/>
      <c r="OI105" s="53"/>
      <c r="OJ105" s="53"/>
      <c r="OK105" s="53"/>
      <c r="OL105" s="53"/>
      <c r="OM105" s="53"/>
      <c r="ON105" s="53"/>
      <c r="OO105" s="53"/>
      <c r="OP105" s="53"/>
      <c r="OQ105" s="53"/>
      <c r="OR105" s="53"/>
      <c r="OS105" s="243" t="s">
        <v>153</v>
      </c>
      <c r="OT105" s="242">
        <f t="shared" ref="OT105:OY105" si="1196">SUM(OT100:OT104)</f>
        <v>8</v>
      </c>
      <c r="OU105" s="242">
        <f t="shared" si="1196"/>
        <v>120</v>
      </c>
      <c r="OV105" s="243">
        <f t="shared" si="1196"/>
        <v>10087</v>
      </c>
      <c r="OW105" s="243">
        <f t="shared" si="1196"/>
        <v>8065</v>
      </c>
      <c r="OX105" s="243">
        <f t="shared" si="1196"/>
        <v>7068859</v>
      </c>
      <c r="OY105" s="243">
        <f t="shared" si="1196"/>
        <v>5710593</v>
      </c>
      <c r="OZ105" s="244">
        <f t="shared" si="1120"/>
        <v>1358266</v>
      </c>
      <c r="PA105" s="247">
        <f t="shared" si="1121"/>
        <v>0.19214784168138</v>
      </c>
      <c r="PB105" s="243">
        <f t="shared" si="1122"/>
        <v>876.485926844389</v>
      </c>
      <c r="PC105" s="144"/>
      <c r="PD105" s="144"/>
      <c r="PE105" s="144"/>
      <c r="PF105" s="144"/>
      <c r="PG105" s="144"/>
      <c r="PH105" s="144"/>
      <c r="PI105" s="144"/>
      <c r="PJ105" s="144"/>
      <c r="PK105" s="144"/>
      <c r="PL105" s="144"/>
      <c r="PM105" s="144"/>
      <c r="PN105" s="144"/>
      <c r="PO105" s="144"/>
      <c r="PP105" s="144"/>
      <c r="PQ105" s="144"/>
      <c r="PR105" s="144"/>
      <c r="PS105" s="146"/>
      <c r="PT105" s="146"/>
      <c r="PU105" s="243" t="s">
        <v>153</v>
      </c>
      <c r="PV105" s="242">
        <f t="shared" ref="PV105:QA105" si="1197">SUM(PV100:PV104)</f>
        <v>8</v>
      </c>
      <c r="PW105" s="242">
        <f t="shared" si="1197"/>
        <v>122</v>
      </c>
      <c r="PX105" s="243">
        <f t="shared" si="1197"/>
        <v>9861</v>
      </c>
      <c r="PY105" s="243">
        <f t="shared" si="1197"/>
        <v>7800</v>
      </c>
      <c r="PZ105" s="243">
        <f t="shared" si="1197"/>
        <v>7246592</v>
      </c>
      <c r="QA105" s="243">
        <f t="shared" si="1197"/>
        <v>6283971</v>
      </c>
      <c r="QB105" s="244">
        <f t="shared" si="1124"/>
        <v>962621</v>
      </c>
      <c r="QC105" s="247">
        <f t="shared" si="1125"/>
        <v>0.132837753250079</v>
      </c>
      <c r="QD105" s="243">
        <f t="shared" si="1126"/>
        <v>929.050256410256</v>
      </c>
      <c r="QE105" s="146"/>
      <c r="QF105" s="146"/>
      <c r="QG105" s="146"/>
      <c r="QH105" s="146"/>
      <c r="QI105" s="146"/>
      <c r="QJ105" s="146"/>
      <c r="QK105" s="146"/>
      <c r="QL105" s="146"/>
      <c r="QM105" s="146"/>
      <c r="QN105" s="146"/>
      <c r="QO105" s="146"/>
      <c r="QP105" s="146"/>
      <c r="QQ105" s="146"/>
      <c r="QR105" s="144"/>
      <c r="QS105" s="144"/>
      <c r="QT105" s="144"/>
      <c r="QU105" s="144"/>
      <c r="QV105" s="144"/>
      <c r="QW105" s="144"/>
      <c r="QX105" s="144"/>
      <c r="QY105" s="144"/>
      <c r="QZ105" s="144"/>
      <c r="RA105" s="144"/>
      <c r="RB105" s="144"/>
      <c r="RC105" s="144"/>
      <c r="RD105" s="144"/>
      <c r="RE105" s="144"/>
      <c r="RF105" s="144"/>
      <c r="RG105" s="144"/>
      <c r="RH105" s="144"/>
      <c r="RI105" s="144"/>
      <c r="RJ105" s="144"/>
      <c r="RK105" s="144"/>
      <c r="RL105" s="144"/>
      <c r="RM105" s="144"/>
      <c r="RN105" s="144"/>
      <c r="RO105" s="144"/>
      <c r="RP105" s="144"/>
      <c r="RQ105" s="144"/>
      <c r="RR105" s="144"/>
      <c r="RS105" s="144"/>
      <c r="RT105" s="144"/>
      <c r="RU105" s="144"/>
      <c r="RV105" s="144"/>
      <c r="RW105" s="144"/>
      <c r="RX105" s="144"/>
      <c r="RY105" s="144"/>
      <c r="RZ105" s="144"/>
      <c r="SA105" s="144"/>
      <c r="SB105" s="144"/>
      <c r="SC105" s="144"/>
      <c r="SD105" s="144"/>
      <c r="SE105" s="144"/>
      <c r="SF105" s="144"/>
      <c r="SG105" s="144"/>
      <c r="SH105" s="144"/>
      <c r="SI105" s="144"/>
      <c r="SJ105" s="144"/>
      <c r="SK105" s="144"/>
      <c r="SL105" s="84"/>
      <c r="SM105" s="84"/>
      <c r="SN105" s="154"/>
      <c r="SO105" s="154"/>
      <c r="SP105" s="154"/>
      <c r="SQ105" s="154"/>
      <c r="SR105" s="154"/>
      <c r="SS105" s="154"/>
      <c r="ST105" s="155"/>
      <c r="SU105" s="154"/>
      <c r="SV105" s="154"/>
      <c r="SW105" s="155"/>
      <c r="SX105" s="155"/>
      <c r="SY105" s="155"/>
      <c r="SZ105" s="155"/>
      <c r="TA105" s="155"/>
      <c r="TB105" s="155"/>
      <c r="TC105" s="155"/>
      <c r="TD105" s="156"/>
      <c r="TE105" s="144"/>
      <c r="TF105" s="84"/>
      <c r="TG105" s="144"/>
      <c r="TH105" s="144"/>
      <c r="TI105" s="144"/>
      <c r="TJ105" s="144"/>
      <c r="TK105" s="157"/>
      <c r="TL105" s="157"/>
      <c r="TM105" s="157"/>
      <c r="TN105" s="157"/>
      <c r="TO105" s="157"/>
      <c r="TP105" s="157"/>
      <c r="TQ105" s="157"/>
      <c r="TR105" s="157"/>
      <c r="TS105" s="157"/>
      <c r="TT105" s="158"/>
      <c r="TU105" s="157"/>
      <c r="TV105" s="158"/>
      <c r="TW105" s="144"/>
      <c r="TX105" s="144"/>
      <c r="TY105" s="144"/>
      <c r="TZ105" s="84"/>
      <c r="UA105" s="144"/>
      <c r="UB105" s="144"/>
      <c r="UC105" s="144"/>
      <c r="UD105" s="144"/>
      <c r="UE105" s="157"/>
      <c r="UF105" s="157"/>
      <c r="UG105" s="157"/>
      <c r="UH105" s="157"/>
      <c r="UI105" s="157"/>
      <c r="UJ105" s="157"/>
      <c r="UK105" s="157"/>
      <c r="UL105" s="157"/>
      <c r="UM105" s="157"/>
      <c r="UN105" s="157"/>
      <c r="UO105" s="157"/>
      <c r="UP105" s="158"/>
      <c r="UQ105" s="157"/>
      <c r="UR105" s="158"/>
      <c r="US105" s="144"/>
      <c r="UT105" s="144"/>
      <c r="UU105" s="144"/>
      <c r="UV105" s="144"/>
      <c r="UW105" s="144"/>
      <c r="UX105" s="144"/>
      <c r="UY105" s="144"/>
      <c r="UZ105" s="144"/>
      <c r="VA105" s="157"/>
      <c r="VB105" s="157"/>
      <c r="VC105" s="157"/>
      <c r="VD105" s="157"/>
      <c r="VE105" s="157"/>
      <c r="VF105" s="157"/>
      <c r="VG105" s="157"/>
      <c r="VH105" s="157"/>
      <c r="VI105" s="157"/>
      <c r="VJ105" s="157"/>
      <c r="VK105" s="157"/>
      <c r="VL105" s="157"/>
      <c r="VM105" s="157"/>
      <c r="VN105" s="157"/>
      <c r="VO105" s="144"/>
      <c r="VP105" s="144"/>
      <c r="VQ105" s="84"/>
      <c r="VR105" s="84"/>
      <c r="VS105" s="144"/>
      <c r="VT105" s="53"/>
      <c r="VU105" s="53"/>
    </row>
    <row r="106" ht="15.75" hidden="1" spans="1:1024 1025:16384">
      <c r="A106" s="53"/>
      <c r="B106" s="53"/>
      <c r="C106" s="251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93"/>
      <c r="AB106" s="293"/>
      <c r="AC106" s="293"/>
      <c r="AD106" s="293"/>
      <c r="AE106" s="293"/>
      <c r="AF106" s="293"/>
      <c r="AG106" s="293"/>
      <c r="AH106" s="293"/>
      <c r="AI106" s="53"/>
      <c r="AJ106" s="251"/>
      <c r="AK106" s="293"/>
      <c r="AL106" s="293"/>
      <c r="AM106" s="293"/>
      <c r="AN106" s="293"/>
      <c r="AO106" s="293"/>
      <c r="AP106" s="293"/>
      <c r="AQ106" s="293"/>
      <c r="AR106" s="293"/>
      <c r="AS106" s="293"/>
      <c r="AT106" s="293"/>
      <c r="AU106" s="293"/>
      <c r="AV106" s="293"/>
      <c r="AW106" s="293"/>
      <c r="AX106" s="293"/>
      <c r="AY106" s="293"/>
      <c r="AZ106" s="293"/>
      <c r="BA106" s="293"/>
      <c r="BB106" s="293"/>
      <c r="BC106" s="293"/>
      <c r="BD106" s="293"/>
      <c r="BE106" s="293"/>
      <c r="BF106" s="293"/>
      <c r="BG106" s="293"/>
      <c r="BH106" s="293"/>
      <c r="BI106" s="293"/>
      <c r="BJ106" s="293"/>
      <c r="BK106" s="293"/>
      <c r="BL106" s="293"/>
      <c r="BM106" s="293"/>
      <c r="BN106" s="293"/>
      <c r="BO106" s="293"/>
      <c r="BP106" s="53"/>
      <c r="BQ106" s="251"/>
      <c r="BR106" s="293"/>
      <c r="BS106" s="293"/>
      <c r="BT106" s="293"/>
      <c r="BU106" s="293"/>
      <c r="BV106" s="293"/>
      <c r="BW106" s="293"/>
      <c r="BX106" s="293"/>
      <c r="BY106" s="293"/>
      <c r="BZ106" s="293"/>
      <c r="CA106" s="293"/>
      <c r="CB106" s="293"/>
      <c r="CC106" s="293"/>
      <c r="CD106" s="293"/>
      <c r="CE106" s="293"/>
      <c r="CF106" s="293"/>
      <c r="CG106" s="293"/>
      <c r="CH106" s="293"/>
      <c r="CI106" s="293"/>
      <c r="CJ106" s="293"/>
      <c r="CK106" s="293"/>
      <c r="CL106" s="293"/>
      <c r="CM106" s="293"/>
      <c r="CN106" s="293"/>
      <c r="CO106" s="293"/>
      <c r="CP106" s="293"/>
      <c r="CQ106" s="293"/>
      <c r="CR106" s="293"/>
      <c r="CS106" s="293"/>
      <c r="CT106" s="293"/>
      <c r="CU106" s="293"/>
      <c r="CV106" s="293"/>
      <c r="CW106" s="53"/>
      <c r="CX106" s="251"/>
      <c r="CY106" s="293"/>
      <c r="CZ106" s="293"/>
      <c r="DA106" s="293"/>
      <c r="DB106" s="293"/>
      <c r="DC106" s="293"/>
      <c r="DD106" s="293"/>
      <c r="DE106" s="293"/>
      <c r="DF106" s="293"/>
      <c r="DG106" s="293"/>
      <c r="DH106" s="293"/>
      <c r="DI106" s="293"/>
      <c r="DJ106" s="293"/>
      <c r="DK106" s="293"/>
      <c r="DL106" s="293"/>
      <c r="DM106" s="293"/>
      <c r="DN106" s="293"/>
      <c r="DO106" s="293"/>
      <c r="DP106" s="293"/>
      <c r="DQ106" s="293"/>
      <c r="DR106" s="293"/>
      <c r="DS106" s="293"/>
      <c r="DT106" s="293"/>
      <c r="DU106" s="293"/>
      <c r="DV106" s="293"/>
      <c r="DW106" s="293"/>
      <c r="DX106" s="293"/>
      <c r="DY106" s="293"/>
      <c r="DZ106" s="293"/>
      <c r="EA106" s="293"/>
      <c r="EB106" s="293"/>
      <c r="EC106" s="293"/>
      <c r="ED106" s="53"/>
      <c r="EE106" s="142"/>
      <c r="EF106" s="46"/>
      <c r="EG106" s="46"/>
      <c r="EH106" s="46"/>
      <c r="EI106" s="46"/>
      <c r="EJ106" s="46"/>
      <c r="EK106" s="46"/>
      <c r="EL106" s="46"/>
      <c r="EM106" s="46"/>
      <c r="EN106" s="46"/>
      <c r="EO106" s="46"/>
      <c r="EP106" s="53"/>
      <c r="EQ106" s="53"/>
      <c r="ER106" s="192"/>
      <c r="ES106" s="192"/>
      <c r="ET106" s="192"/>
      <c r="EU106" s="192"/>
      <c r="EV106" s="192"/>
      <c r="EW106" s="192"/>
      <c r="EX106" s="192"/>
      <c r="EY106" s="192"/>
      <c r="EZ106" s="192"/>
      <c r="FA106" s="192"/>
      <c r="FB106" s="192"/>
      <c r="FC106" s="192"/>
      <c r="FD106" s="192"/>
      <c r="FE106" s="192"/>
      <c r="FF106" s="192"/>
      <c r="FG106" s="192"/>
      <c r="FH106" s="192"/>
      <c r="FI106" s="192"/>
      <c r="FJ106" s="192"/>
      <c r="FK106" s="53"/>
      <c r="FL106" s="53"/>
      <c r="FM106" s="53"/>
      <c r="FN106" s="159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192"/>
      <c r="GA106" s="192"/>
      <c r="GB106" s="192"/>
      <c r="GC106" s="192"/>
      <c r="GD106" s="192"/>
      <c r="GE106" s="192"/>
      <c r="GF106" s="192"/>
      <c r="GG106" s="192"/>
      <c r="GH106" s="192"/>
      <c r="GI106" s="192"/>
      <c r="GJ106" s="192"/>
      <c r="GK106" s="192"/>
      <c r="GL106" s="192"/>
      <c r="GM106" s="192"/>
      <c r="GN106" s="192"/>
      <c r="GO106" s="192"/>
      <c r="GP106" s="192"/>
      <c r="GQ106" s="192"/>
      <c r="GR106" s="192"/>
      <c r="GS106" s="192"/>
      <c r="GT106" s="53"/>
      <c r="GU106" s="53"/>
      <c r="GV106" s="159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I106" s="192"/>
      <c r="HJ106" s="192"/>
      <c r="HK106" s="192"/>
      <c r="HL106" s="192"/>
      <c r="HM106" s="192"/>
      <c r="HN106" s="192"/>
      <c r="HO106" s="192"/>
      <c r="HP106" s="192"/>
      <c r="HQ106" s="192"/>
      <c r="HR106" s="192"/>
      <c r="HS106" s="192"/>
      <c r="HT106" s="192"/>
      <c r="HU106" s="192"/>
      <c r="HV106" s="192"/>
      <c r="HW106" s="192"/>
      <c r="HX106" s="192"/>
      <c r="HY106" s="192"/>
      <c r="HZ106" s="192"/>
      <c r="IA106" s="192"/>
      <c r="IB106" s="53"/>
      <c r="IC106" s="53"/>
      <c r="ID106" s="159"/>
      <c r="IE106" s="53"/>
      <c r="IF106" s="53"/>
      <c r="IG106" s="53"/>
      <c r="IH106" s="53"/>
      <c r="II106" s="53"/>
      <c r="IJ106" s="53"/>
      <c r="IK106" s="53"/>
      <c r="IL106" s="53"/>
      <c r="IM106" s="53"/>
      <c r="IN106" s="53"/>
      <c r="IP106" s="11"/>
      <c r="IQ106" s="192"/>
      <c r="IR106" s="192"/>
      <c r="IS106" s="192"/>
      <c r="IT106" s="192"/>
      <c r="IU106" s="192"/>
      <c r="IV106" s="192"/>
      <c r="IW106" s="192"/>
      <c r="IX106" s="192"/>
      <c r="IY106" s="192"/>
      <c r="IZ106" s="192"/>
      <c r="JA106" s="192"/>
      <c r="JB106" s="192"/>
      <c r="JC106" s="192"/>
      <c r="JD106" s="192"/>
      <c r="JE106" s="192"/>
      <c r="JF106" s="192"/>
      <c r="JG106" s="192"/>
      <c r="JH106" s="192"/>
      <c r="JI106" s="192"/>
      <c r="JJ106" s="53"/>
      <c r="JK106" s="53"/>
      <c r="JL106" s="159"/>
      <c r="JM106" s="53"/>
      <c r="JN106" s="53"/>
      <c r="JO106" s="53"/>
      <c r="JP106" s="53"/>
      <c r="JQ106" s="53"/>
      <c r="JR106" s="53"/>
      <c r="JS106" s="53"/>
      <c r="JT106" s="53"/>
      <c r="JU106" s="53"/>
      <c r="JX106" s="192"/>
      <c r="JY106" s="192"/>
      <c r="JZ106" s="192"/>
      <c r="KA106" s="192"/>
      <c r="KB106" s="192"/>
      <c r="KC106" s="192"/>
      <c r="KD106" s="192"/>
      <c r="KE106" s="192"/>
      <c r="KF106" s="192"/>
      <c r="KG106" s="192"/>
      <c r="KH106" s="192"/>
      <c r="KI106" s="192"/>
      <c r="KJ106" s="192"/>
      <c r="KK106" s="192"/>
      <c r="KL106" s="192"/>
      <c r="KM106" s="192"/>
      <c r="KN106" s="192"/>
      <c r="KO106" s="192"/>
      <c r="KP106" s="192"/>
      <c r="KQ106" s="192"/>
      <c r="KR106" s="53"/>
      <c r="KS106" s="53"/>
      <c r="KT106" s="159"/>
      <c r="KU106" s="53"/>
      <c r="KV106" s="53"/>
      <c r="KW106" s="53"/>
      <c r="KX106" s="53"/>
      <c r="KY106" s="53"/>
      <c r="KZ106" s="53"/>
      <c r="LA106" s="53"/>
      <c r="LB106" s="53"/>
      <c r="LC106" s="53"/>
      <c r="LF106" s="11"/>
      <c r="LG106" s="192"/>
      <c r="LH106" s="192"/>
      <c r="LI106" s="192"/>
      <c r="LJ106" s="192"/>
      <c r="LK106" s="192"/>
      <c r="LL106" s="192"/>
      <c r="LM106" s="192"/>
      <c r="LN106" s="192"/>
      <c r="LO106" s="192"/>
      <c r="LP106" s="192"/>
      <c r="LQ106" s="192"/>
      <c r="LR106" s="192"/>
      <c r="LS106" s="192"/>
      <c r="LT106" s="192"/>
      <c r="LU106" s="192"/>
      <c r="LV106" s="192"/>
      <c r="LW106" s="192"/>
      <c r="LX106" s="192"/>
      <c r="LY106" s="192"/>
      <c r="LZ106" s="192"/>
      <c r="MA106" s="192"/>
      <c r="MB106" s="159"/>
      <c r="MC106" s="53"/>
      <c r="MD106" s="53"/>
      <c r="ME106" s="53"/>
      <c r="MF106" s="53"/>
      <c r="MG106" s="53"/>
      <c r="MH106" s="53"/>
      <c r="MI106" s="53"/>
      <c r="MJ106" s="53"/>
      <c r="MK106" s="53"/>
      <c r="MO106" s="192"/>
      <c r="MP106" s="192"/>
      <c r="MQ106" s="192"/>
      <c r="MR106" s="192"/>
      <c r="MS106" s="192"/>
      <c r="MT106" s="192"/>
      <c r="MU106" s="192"/>
      <c r="MV106" s="192"/>
      <c r="MW106" s="192"/>
      <c r="MX106" s="192"/>
      <c r="MY106" s="192"/>
      <c r="MZ106" s="192"/>
      <c r="NA106" s="192"/>
      <c r="NB106" s="192"/>
      <c r="NC106" s="192"/>
      <c r="ND106" s="192"/>
      <c r="NE106" s="192"/>
      <c r="NF106" s="192"/>
      <c r="NG106" s="192"/>
      <c r="NH106" s="53"/>
      <c r="NI106" s="53"/>
      <c r="NJ106" s="159"/>
      <c r="NK106" s="53"/>
      <c r="NL106" s="53"/>
      <c r="NM106" s="53"/>
      <c r="NN106" s="53"/>
      <c r="NO106" s="53"/>
      <c r="NP106" s="53"/>
      <c r="NQ106" s="53"/>
      <c r="NR106" s="53"/>
      <c r="NS106" s="53"/>
      <c r="NT106" s="53"/>
      <c r="NU106" s="53"/>
      <c r="NV106" s="53"/>
      <c r="NW106" s="53"/>
      <c r="NX106" s="53"/>
      <c r="NY106" s="53"/>
      <c r="NZ106" s="53"/>
      <c r="OA106" s="53"/>
      <c r="OB106" s="53"/>
      <c r="OC106" s="53"/>
      <c r="OD106" s="53"/>
      <c r="OE106" s="53"/>
      <c r="OF106" s="53"/>
      <c r="OG106" s="53"/>
      <c r="OH106" s="53"/>
      <c r="OI106" s="53"/>
      <c r="OJ106" s="53"/>
      <c r="OK106" s="53"/>
      <c r="OL106" s="53"/>
      <c r="OM106" s="53"/>
      <c r="ON106" s="53"/>
      <c r="OO106" s="53"/>
      <c r="OP106" s="53"/>
      <c r="OQ106" s="53"/>
      <c r="OR106" s="53"/>
      <c r="OS106" s="144"/>
      <c r="OT106" s="144"/>
      <c r="OU106" s="144"/>
      <c r="OV106" s="144"/>
      <c r="OW106" s="144"/>
      <c r="OX106" s="144"/>
      <c r="OY106" s="144"/>
      <c r="OZ106" s="144"/>
      <c r="PA106" s="144"/>
      <c r="PB106" s="144"/>
      <c r="PC106" s="144"/>
      <c r="PD106" s="144"/>
      <c r="PE106" s="144"/>
      <c r="PF106" s="144"/>
      <c r="PG106" s="144"/>
      <c r="PH106" s="144"/>
      <c r="PI106" s="144"/>
      <c r="PJ106" s="144"/>
      <c r="PK106" s="144"/>
      <c r="PL106" s="144"/>
      <c r="PM106" s="144"/>
      <c r="PN106" s="144"/>
      <c r="PO106" s="144"/>
      <c r="PP106" s="144"/>
      <c r="PQ106" s="144"/>
      <c r="PR106" s="144"/>
      <c r="PS106" s="144"/>
      <c r="PT106" s="146"/>
      <c r="PU106" s="146"/>
      <c r="PV106" s="146"/>
      <c r="PW106" s="146"/>
      <c r="PX106" s="146"/>
      <c r="PY106" s="146"/>
      <c r="PZ106" s="146"/>
      <c r="QA106" s="146"/>
      <c r="QB106" s="146"/>
      <c r="QC106" s="146"/>
      <c r="QD106" s="146"/>
      <c r="QE106" s="146"/>
      <c r="QF106" s="146"/>
      <c r="QG106" s="146"/>
      <c r="QH106" s="146"/>
      <c r="QI106" s="146"/>
      <c r="QJ106" s="146"/>
      <c r="QK106" s="146"/>
      <c r="QL106" s="146"/>
      <c r="QM106" s="146"/>
      <c r="QN106" s="146"/>
      <c r="QO106" s="146"/>
      <c r="QP106" s="146"/>
      <c r="QQ106" s="146"/>
      <c r="QR106" s="146"/>
      <c r="QS106" s="144"/>
      <c r="QT106" s="144"/>
      <c r="QU106" s="144"/>
      <c r="QV106" s="144"/>
      <c r="QW106" s="144"/>
      <c r="QX106" s="144"/>
      <c r="QY106" s="144"/>
      <c r="QZ106" s="144"/>
      <c r="RA106" s="144"/>
      <c r="RB106" s="144"/>
      <c r="RC106" s="144"/>
      <c r="RD106" s="144"/>
      <c r="RE106" s="144"/>
      <c r="RF106" s="144"/>
      <c r="RG106" s="144"/>
      <c r="RH106" s="144"/>
      <c r="RI106" s="144"/>
      <c r="RJ106" s="144"/>
      <c r="RK106" s="144"/>
      <c r="RL106" s="144"/>
      <c r="RM106" s="144"/>
      <c r="RN106" s="144"/>
      <c r="RO106" s="144"/>
      <c r="RP106" s="144"/>
      <c r="RQ106" s="144"/>
      <c r="RR106" s="144"/>
      <c r="RS106" s="144"/>
      <c r="RT106" s="144"/>
      <c r="RU106" s="144"/>
      <c r="RV106" s="144"/>
      <c r="RW106" s="144"/>
      <c r="RX106" s="144"/>
      <c r="RY106" s="144"/>
      <c r="RZ106" s="144"/>
      <c r="SA106" s="144"/>
      <c r="SB106" s="144"/>
      <c r="SC106" s="144"/>
      <c r="SD106" s="144"/>
      <c r="SE106" s="144"/>
      <c r="SF106" s="144"/>
      <c r="SG106" s="144"/>
      <c r="SH106" s="144"/>
      <c r="SI106" s="144"/>
      <c r="SJ106" s="144"/>
      <c r="SK106" s="144"/>
      <c r="SL106" s="144"/>
      <c r="SM106" s="84"/>
      <c r="SN106" s="84"/>
      <c r="SO106" s="154"/>
      <c r="SP106" s="154"/>
      <c r="SQ106" s="154"/>
      <c r="SR106" s="154"/>
      <c r="SS106" s="154"/>
      <c r="ST106" s="154"/>
      <c r="SU106" s="155"/>
      <c r="SV106" s="154"/>
      <c r="SW106" s="154"/>
      <c r="SX106" s="155"/>
      <c r="SY106" s="155"/>
      <c r="SZ106" s="155"/>
      <c r="TA106" s="155"/>
      <c r="TB106" s="155"/>
      <c r="TC106" s="155"/>
      <c r="TD106" s="155"/>
      <c r="TE106" s="156"/>
      <c r="TF106" s="144"/>
      <c r="TG106" s="84"/>
      <c r="TH106" s="144"/>
      <c r="TI106" s="144"/>
      <c r="TJ106" s="144"/>
      <c r="TK106" s="144"/>
      <c r="TL106" s="157"/>
      <c r="TM106" s="157"/>
      <c r="TN106" s="157"/>
      <c r="TO106" s="157"/>
      <c r="TP106" s="157"/>
      <c r="TQ106" s="157"/>
      <c r="TR106" s="157"/>
      <c r="TS106" s="157"/>
      <c r="TT106" s="157"/>
      <c r="TU106" s="158"/>
      <c r="TV106" s="157"/>
      <c r="TW106" s="158"/>
      <c r="TX106" s="144"/>
      <c r="TY106" s="144"/>
      <c r="TZ106" s="144"/>
      <c r="UA106" s="84"/>
      <c r="UB106" s="144"/>
      <c r="UC106" s="144"/>
      <c r="UD106" s="144"/>
      <c r="UE106" s="144"/>
      <c r="UF106" s="157"/>
      <c r="UG106" s="157"/>
      <c r="UH106" s="157"/>
      <c r="UI106" s="157"/>
      <c r="UJ106" s="157"/>
      <c r="UK106" s="157"/>
      <c r="UL106" s="157"/>
      <c r="UM106" s="157"/>
      <c r="UN106" s="157"/>
      <c r="UO106" s="157"/>
      <c r="UP106" s="157"/>
      <c r="UQ106" s="158"/>
      <c r="UR106" s="157"/>
      <c r="US106" s="158"/>
      <c r="UT106" s="144"/>
      <c r="UU106" s="144"/>
      <c r="UV106" s="144"/>
      <c r="UW106" s="144"/>
      <c r="UX106" s="144"/>
      <c r="UY106" s="144"/>
      <c r="UZ106" s="144"/>
      <c r="VA106" s="144"/>
      <c r="VB106" s="157"/>
      <c r="VC106" s="157"/>
      <c r="VD106" s="157"/>
      <c r="VE106" s="157"/>
      <c r="VF106" s="157"/>
      <c r="VG106" s="157"/>
      <c r="VH106" s="157"/>
      <c r="VI106" s="157"/>
      <c r="VJ106" s="157"/>
      <c r="VK106" s="157"/>
      <c r="VL106" s="157"/>
      <c r="VM106" s="157"/>
      <c r="VN106" s="157"/>
      <c r="VO106" s="157"/>
      <c r="VP106" s="144"/>
      <c r="VQ106" s="144"/>
      <c r="VR106" s="84"/>
      <c r="VS106" s="84"/>
      <c r="VT106" s="53"/>
      <c r="VU106" s="53"/>
    </row>
    <row r="107" ht="15.75" hidden="1" spans="1:1024 1025:16384">
      <c r="A107" s="53"/>
      <c r="B107" s="53"/>
      <c r="C107" s="162" t="s">
        <v>20</v>
      </c>
      <c r="D107" s="162" t="s">
        <v>21</v>
      </c>
      <c r="E107" s="162" t="s">
        <v>154</v>
      </c>
      <c r="F107" s="162" t="s">
        <v>23</v>
      </c>
      <c r="G107" s="162" t="s">
        <v>36</v>
      </c>
      <c r="H107" s="162" t="s">
        <v>37</v>
      </c>
      <c r="I107" s="162" t="s">
        <v>221</v>
      </c>
      <c r="J107" s="162" t="s">
        <v>222</v>
      </c>
      <c r="K107" s="162" t="s">
        <v>223</v>
      </c>
      <c r="L107" s="162" t="s">
        <v>224</v>
      </c>
      <c r="M107" s="162" t="s">
        <v>225</v>
      </c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93"/>
      <c r="AB107" s="293"/>
      <c r="AC107" s="293"/>
      <c r="AD107" s="293"/>
      <c r="AE107" s="293"/>
      <c r="AF107" s="293"/>
      <c r="AG107" s="293"/>
      <c r="AH107" s="293"/>
      <c r="AI107" s="53"/>
      <c r="AJ107" s="162" t="s">
        <v>20</v>
      </c>
      <c r="AK107" s="162" t="s">
        <v>21</v>
      </c>
      <c r="AL107" s="162" t="s">
        <v>154</v>
      </c>
      <c r="AM107" s="162" t="s">
        <v>23</v>
      </c>
      <c r="AN107" s="162" t="s">
        <v>36</v>
      </c>
      <c r="AO107" s="162" t="s">
        <v>37</v>
      </c>
      <c r="AP107" s="162" t="s">
        <v>221</v>
      </c>
      <c r="AQ107" s="162" t="s">
        <v>222</v>
      </c>
      <c r="AR107" s="162" t="s">
        <v>223</v>
      </c>
      <c r="AS107" s="162" t="s">
        <v>224</v>
      </c>
      <c r="AT107" s="162" t="s">
        <v>225</v>
      </c>
      <c r="AU107" s="293"/>
      <c r="AV107" s="293"/>
      <c r="AW107" s="293"/>
      <c r="AX107" s="293"/>
      <c r="AY107" s="293"/>
      <c r="AZ107" s="293"/>
      <c r="BA107" s="293"/>
      <c r="BB107" s="293"/>
      <c r="BC107" s="293"/>
      <c r="BD107" s="293"/>
      <c r="BE107" s="293"/>
      <c r="BF107" s="293"/>
      <c r="BG107" s="293"/>
      <c r="BH107" s="293"/>
      <c r="BI107" s="293"/>
      <c r="BJ107" s="293"/>
      <c r="BK107" s="293"/>
      <c r="BL107" s="293"/>
      <c r="BM107" s="293"/>
      <c r="BN107" s="293"/>
      <c r="BO107" s="293"/>
      <c r="BP107" s="53"/>
      <c r="BQ107" s="162" t="s">
        <v>20</v>
      </c>
      <c r="BR107" s="162" t="s">
        <v>21</v>
      </c>
      <c r="BS107" s="162" t="s">
        <v>154</v>
      </c>
      <c r="BT107" s="162" t="s">
        <v>23</v>
      </c>
      <c r="BU107" s="162" t="s">
        <v>36</v>
      </c>
      <c r="BV107" s="162" t="s">
        <v>37</v>
      </c>
      <c r="BW107" s="162" t="s">
        <v>221</v>
      </c>
      <c r="BX107" s="162" t="s">
        <v>222</v>
      </c>
      <c r="BY107" s="162" t="s">
        <v>223</v>
      </c>
      <c r="BZ107" s="162" t="s">
        <v>224</v>
      </c>
      <c r="CA107" s="162" t="s">
        <v>225</v>
      </c>
      <c r="CB107" s="293"/>
      <c r="CC107" s="293"/>
      <c r="CD107" s="293"/>
      <c r="CE107" s="293"/>
      <c r="CF107" s="293"/>
      <c r="CG107" s="293"/>
      <c r="CH107" s="293"/>
      <c r="CI107" s="293"/>
      <c r="CJ107" s="293"/>
      <c r="CK107" s="293"/>
      <c r="CL107" s="293"/>
      <c r="CM107" s="293"/>
      <c r="CN107" s="293"/>
      <c r="CO107" s="293"/>
      <c r="CP107" s="293"/>
      <c r="CQ107" s="293"/>
      <c r="CR107" s="293"/>
      <c r="CS107" s="293"/>
      <c r="CT107" s="293"/>
      <c r="CU107" s="293"/>
      <c r="CV107" s="293"/>
      <c r="CW107" s="53"/>
      <c r="CX107" s="162" t="s">
        <v>20</v>
      </c>
      <c r="CY107" s="162" t="s">
        <v>21</v>
      </c>
      <c r="CZ107" s="162" t="s">
        <v>154</v>
      </c>
      <c r="DA107" s="162" t="s">
        <v>23</v>
      </c>
      <c r="DB107" s="162" t="s">
        <v>36</v>
      </c>
      <c r="DC107" s="162" t="s">
        <v>37</v>
      </c>
      <c r="DD107" s="162" t="s">
        <v>221</v>
      </c>
      <c r="DE107" s="162" t="s">
        <v>222</v>
      </c>
      <c r="DF107" s="162" t="s">
        <v>223</v>
      </c>
      <c r="DG107" s="162" t="s">
        <v>224</v>
      </c>
      <c r="DH107" s="162" t="s">
        <v>225</v>
      </c>
      <c r="DI107" s="293"/>
      <c r="DJ107" s="293"/>
      <c r="DK107" s="293"/>
      <c r="DL107" s="293"/>
      <c r="DM107" s="293"/>
      <c r="DN107" s="293"/>
      <c r="DO107" s="293"/>
      <c r="DP107" s="293"/>
      <c r="DQ107" s="293"/>
      <c r="DR107" s="293"/>
      <c r="DS107" s="293"/>
      <c r="DT107" s="293"/>
      <c r="DU107" s="293"/>
      <c r="DV107" s="293"/>
      <c r="DW107" s="293"/>
      <c r="DX107" s="293"/>
      <c r="DY107" s="293"/>
      <c r="DZ107" s="293"/>
      <c r="EA107" s="293"/>
      <c r="EB107" s="293"/>
      <c r="EC107" s="293"/>
      <c r="ED107" s="53"/>
      <c r="EE107" s="347" t="s">
        <v>20</v>
      </c>
      <c r="EF107" s="347" t="s">
        <v>21</v>
      </c>
      <c r="EG107" s="347" t="s">
        <v>154</v>
      </c>
      <c r="EH107" s="347" t="s">
        <v>23</v>
      </c>
      <c r="EI107" s="347" t="s">
        <v>219</v>
      </c>
      <c r="EJ107" s="347" t="s">
        <v>27</v>
      </c>
      <c r="EK107" s="347" t="s">
        <v>28</v>
      </c>
      <c r="EL107" s="347" t="s">
        <v>29</v>
      </c>
      <c r="EM107" s="347" t="s">
        <v>32</v>
      </c>
      <c r="EN107" s="347" t="s">
        <v>220</v>
      </c>
      <c r="EO107" s="347" t="s">
        <v>157</v>
      </c>
      <c r="EP107" s="53"/>
      <c r="EQ107" s="53"/>
      <c r="ER107" s="192"/>
      <c r="ES107" s="192"/>
      <c r="ET107" s="192"/>
      <c r="EU107" s="192"/>
      <c r="EV107" s="192"/>
      <c r="EW107" s="192"/>
      <c r="EX107" s="192"/>
      <c r="EY107" s="192"/>
      <c r="EZ107" s="192"/>
      <c r="FA107" s="192"/>
      <c r="FB107" s="192"/>
      <c r="FC107" s="192"/>
      <c r="FD107" s="192"/>
      <c r="FE107" s="192"/>
      <c r="FF107" s="192"/>
      <c r="FG107" s="192"/>
      <c r="FH107" s="192"/>
      <c r="FI107" s="192"/>
      <c r="FJ107" s="192"/>
      <c r="FK107" s="53"/>
      <c r="FL107" s="53"/>
      <c r="FM107" s="53"/>
      <c r="FN107" s="347" t="s">
        <v>20</v>
      </c>
      <c r="FO107" s="347" t="s">
        <v>21</v>
      </c>
      <c r="FP107" s="347" t="s">
        <v>154</v>
      </c>
      <c r="FQ107" s="347" t="s">
        <v>23</v>
      </c>
      <c r="FR107" s="347" t="s">
        <v>36</v>
      </c>
      <c r="FS107" s="347" t="s">
        <v>37</v>
      </c>
      <c r="FT107" s="347" t="s">
        <v>221</v>
      </c>
      <c r="FU107" s="347" t="s">
        <v>222</v>
      </c>
      <c r="FV107" s="347" t="s">
        <v>223</v>
      </c>
      <c r="FW107" s="347" t="s">
        <v>224</v>
      </c>
      <c r="FX107" s="347" t="s">
        <v>225</v>
      </c>
      <c r="FY107" s="53"/>
      <c r="FZ107" s="192"/>
      <c r="GA107" s="192"/>
      <c r="GB107" s="192"/>
      <c r="GC107" s="192"/>
      <c r="GD107" s="192"/>
      <c r="GE107" s="192"/>
      <c r="GF107" s="192"/>
      <c r="GG107" s="192"/>
      <c r="GH107" s="192"/>
      <c r="GI107" s="192"/>
      <c r="GJ107" s="192"/>
      <c r="GK107" s="192"/>
      <c r="GL107" s="192"/>
      <c r="GM107" s="192"/>
      <c r="GN107" s="192"/>
      <c r="GO107" s="192"/>
      <c r="GP107" s="192"/>
      <c r="GQ107" s="192"/>
      <c r="GR107" s="192"/>
      <c r="GS107" s="192"/>
      <c r="GT107" s="53"/>
      <c r="GU107" s="53"/>
      <c r="GV107" s="347" t="s">
        <v>20</v>
      </c>
      <c r="GW107" s="347" t="s">
        <v>21</v>
      </c>
      <c r="GX107" s="347" t="s">
        <v>154</v>
      </c>
      <c r="GY107" s="347" t="s">
        <v>23</v>
      </c>
      <c r="GZ107" s="347" t="s">
        <v>36</v>
      </c>
      <c r="HA107" s="347" t="s">
        <v>37</v>
      </c>
      <c r="HB107" s="347" t="s">
        <v>221</v>
      </c>
      <c r="HC107" s="347" t="s">
        <v>222</v>
      </c>
      <c r="HD107" s="347" t="s">
        <v>223</v>
      </c>
      <c r="HE107" s="347" t="s">
        <v>224</v>
      </c>
      <c r="HF107" s="347" t="s">
        <v>225</v>
      </c>
      <c r="HI107" s="192"/>
      <c r="HJ107" s="192"/>
      <c r="HK107" s="192"/>
      <c r="HL107" s="192"/>
      <c r="HM107" s="192"/>
      <c r="HN107" s="192"/>
      <c r="HO107" s="192"/>
      <c r="HP107" s="192"/>
      <c r="HQ107" s="192"/>
      <c r="HR107" s="192"/>
      <c r="HS107" s="192"/>
      <c r="HT107" s="192"/>
      <c r="HU107" s="192"/>
      <c r="HV107" s="192"/>
      <c r="HW107" s="192"/>
      <c r="HX107" s="192"/>
      <c r="HY107" s="192"/>
      <c r="HZ107" s="192"/>
      <c r="IA107" s="192"/>
      <c r="IB107" s="53"/>
      <c r="IC107" s="53"/>
      <c r="ID107" s="347" t="s">
        <v>20</v>
      </c>
      <c r="IE107" s="347" t="s">
        <v>21</v>
      </c>
      <c r="IF107" s="347" t="s">
        <v>22</v>
      </c>
      <c r="IG107" s="347" t="s">
        <v>23</v>
      </c>
      <c r="IH107" s="347" t="s">
        <v>219</v>
      </c>
      <c r="II107" s="347" t="s">
        <v>27</v>
      </c>
      <c r="IJ107" s="347" t="s">
        <v>159</v>
      </c>
      <c r="IK107" s="347" t="s">
        <v>29</v>
      </c>
      <c r="IL107" s="347" t="s">
        <v>32</v>
      </c>
      <c r="IM107" s="347" t="s">
        <v>220</v>
      </c>
      <c r="IN107" s="347" t="s">
        <v>157</v>
      </c>
      <c r="IP107" s="11"/>
      <c r="IQ107" s="192"/>
      <c r="IR107" s="192"/>
      <c r="IS107" s="192"/>
      <c r="IT107" s="192"/>
      <c r="IU107" s="192"/>
      <c r="IV107" s="192"/>
      <c r="IW107" s="192"/>
      <c r="IX107" s="192"/>
      <c r="IY107" s="192"/>
      <c r="IZ107" s="192"/>
      <c r="JA107" s="192"/>
      <c r="JB107" s="192"/>
      <c r="JC107" s="192"/>
      <c r="JD107" s="192"/>
      <c r="JE107" s="192"/>
      <c r="JF107" s="192"/>
      <c r="JG107" s="192"/>
      <c r="JH107" s="192"/>
      <c r="JI107" s="192"/>
      <c r="JJ107" s="53"/>
      <c r="JK107" s="53"/>
      <c r="JL107" s="347" t="s">
        <v>20</v>
      </c>
      <c r="JM107" s="347" t="s">
        <v>21</v>
      </c>
      <c r="JN107" s="347" t="s">
        <v>23</v>
      </c>
      <c r="JO107" s="347" t="s">
        <v>219</v>
      </c>
      <c r="JP107" s="347" t="s">
        <v>27</v>
      </c>
      <c r="JQ107" s="347" t="s">
        <v>159</v>
      </c>
      <c r="JR107" s="347" t="s">
        <v>29</v>
      </c>
      <c r="JS107" s="347" t="s">
        <v>32</v>
      </c>
      <c r="JT107" s="347" t="s">
        <v>220</v>
      </c>
      <c r="JU107" s="347" t="s">
        <v>157</v>
      </c>
      <c r="JX107" s="192"/>
      <c r="JY107" s="192"/>
      <c r="JZ107" s="192"/>
      <c r="KA107" s="192"/>
      <c r="KB107" s="192"/>
      <c r="KC107" s="192"/>
      <c r="KD107" s="192"/>
      <c r="KE107" s="192"/>
      <c r="KF107" s="192"/>
      <c r="KG107" s="192"/>
      <c r="KH107" s="192"/>
      <c r="KI107" s="192"/>
      <c r="KJ107" s="192"/>
      <c r="KK107" s="192"/>
      <c r="KL107" s="192"/>
      <c r="KM107" s="192"/>
      <c r="KN107" s="192"/>
      <c r="KO107" s="192"/>
      <c r="KP107" s="192"/>
      <c r="KQ107" s="192"/>
      <c r="KR107" s="53"/>
      <c r="KS107" s="53"/>
      <c r="KT107" s="347" t="s">
        <v>20</v>
      </c>
      <c r="KU107" s="347" t="s">
        <v>21</v>
      </c>
      <c r="KV107" s="347" t="s">
        <v>23</v>
      </c>
      <c r="KW107" s="347" t="s">
        <v>219</v>
      </c>
      <c r="KX107" s="347" t="s">
        <v>27</v>
      </c>
      <c r="KY107" s="347" t="s">
        <v>159</v>
      </c>
      <c r="KZ107" s="347" t="s">
        <v>29</v>
      </c>
      <c r="LA107" s="347" t="s">
        <v>32</v>
      </c>
      <c r="LB107" s="347" t="s">
        <v>220</v>
      </c>
      <c r="LC107" s="347" t="s">
        <v>157</v>
      </c>
      <c r="LF107" s="11"/>
      <c r="LG107" s="192"/>
      <c r="LH107" s="192"/>
      <c r="LI107" s="192"/>
      <c r="LJ107" s="192"/>
      <c r="LK107" s="192"/>
      <c r="LL107" s="192"/>
      <c r="LM107" s="192"/>
      <c r="LN107" s="192"/>
      <c r="LO107" s="192"/>
      <c r="LP107" s="192"/>
      <c r="LQ107" s="192"/>
      <c r="LR107" s="192"/>
      <c r="LS107" s="192"/>
      <c r="LT107" s="192"/>
      <c r="LU107" s="192"/>
      <c r="LV107" s="192"/>
      <c r="LW107" s="192"/>
      <c r="LX107" s="192"/>
      <c r="LY107" s="192"/>
      <c r="LZ107" s="192"/>
      <c r="MA107" s="192"/>
      <c r="MB107" s="326" t="s">
        <v>20</v>
      </c>
      <c r="MC107" s="326" t="s">
        <v>21</v>
      </c>
      <c r="MD107" s="326" t="s">
        <v>23</v>
      </c>
      <c r="ME107" s="326" t="s">
        <v>219</v>
      </c>
      <c r="MF107" s="326" t="s">
        <v>27</v>
      </c>
      <c r="MG107" s="326" t="s">
        <v>159</v>
      </c>
      <c r="MH107" s="326" t="s">
        <v>29</v>
      </c>
      <c r="MI107" s="326" t="s">
        <v>32</v>
      </c>
      <c r="MJ107" s="326" t="s">
        <v>220</v>
      </c>
      <c r="MK107" s="326" t="s">
        <v>157</v>
      </c>
      <c r="MO107" s="192"/>
      <c r="MP107" s="192"/>
      <c r="MQ107" s="192"/>
      <c r="MR107" s="192"/>
      <c r="MS107" s="192"/>
      <c r="MT107" s="192"/>
      <c r="MU107" s="192"/>
      <c r="MV107" s="192"/>
      <c r="MW107" s="192"/>
      <c r="MX107" s="192"/>
      <c r="MY107" s="192"/>
      <c r="MZ107" s="192"/>
      <c r="NA107" s="192"/>
      <c r="NB107" s="192"/>
      <c r="NC107" s="192"/>
      <c r="ND107" s="192"/>
      <c r="NE107" s="192"/>
      <c r="NF107" s="192"/>
      <c r="NG107" s="192"/>
      <c r="NH107" s="53"/>
      <c r="NI107" s="53"/>
      <c r="NJ107" s="326" t="s">
        <v>20</v>
      </c>
      <c r="NK107" s="326" t="s">
        <v>21</v>
      </c>
      <c r="NL107" s="326" t="s">
        <v>23</v>
      </c>
      <c r="NM107" s="326" t="s">
        <v>219</v>
      </c>
      <c r="NN107" s="326" t="s">
        <v>27</v>
      </c>
      <c r="NO107" s="326" t="s">
        <v>159</v>
      </c>
      <c r="NP107" s="326" t="s">
        <v>29</v>
      </c>
      <c r="NQ107" s="326" t="s">
        <v>32</v>
      </c>
      <c r="NR107" s="326" t="s">
        <v>220</v>
      </c>
      <c r="NS107" s="326" t="s">
        <v>157</v>
      </c>
      <c r="NT107" s="53"/>
      <c r="NU107" s="53"/>
      <c r="NV107" s="53"/>
      <c r="NW107" s="53"/>
      <c r="NX107" s="53"/>
      <c r="NY107" s="53"/>
      <c r="NZ107" s="53"/>
      <c r="OA107" s="53"/>
      <c r="OB107" s="53"/>
      <c r="OC107" s="53"/>
      <c r="OD107" s="53"/>
      <c r="OE107" s="53"/>
      <c r="OF107" s="53"/>
      <c r="OG107" s="53"/>
      <c r="OH107" s="53"/>
      <c r="OI107" s="53"/>
      <c r="OJ107" s="53"/>
      <c r="OK107" s="53"/>
      <c r="OL107" s="53"/>
      <c r="OM107" s="53"/>
      <c r="ON107" s="53"/>
      <c r="OO107" s="53"/>
      <c r="OP107" s="53"/>
      <c r="OQ107" s="53"/>
      <c r="OR107" s="53"/>
      <c r="OS107" s="144"/>
      <c r="OT107" s="144"/>
      <c r="OU107" s="144"/>
      <c r="OV107" s="144"/>
      <c r="OW107" s="144"/>
      <c r="OX107" s="144"/>
      <c r="OY107" s="144"/>
      <c r="OZ107" s="144"/>
      <c r="PA107" s="144"/>
      <c r="PB107" s="144"/>
      <c r="PC107" s="144"/>
      <c r="PD107" s="144"/>
      <c r="PE107" s="144"/>
      <c r="PF107" s="144"/>
      <c r="PG107" s="144"/>
      <c r="PH107" s="144"/>
      <c r="PI107" s="144"/>
      <c r="PJ107" s="144"/>
      <c r="PK107" s="144"/>
      <c r="PL107" s="144"/>
      <c r="PM107" s="144"/>
      <c r="PN107" s="144"/>
      <c r="PO107" s="144"/>
      <c r="PP107" s="144"/>
      <c r="PQ107" s="144"/>
      <c r="PR107" s="144"/>
      <c r="PS107" s="144"/>
      <c r="PT107" s="146"/>
      <c r="PU107" s="146"/>
      <c r="PV107" s="146"/>
      <c r="PW107" s="146"/>
      <c r="PX107" s="146"/>
      <c r="PY107" s="146"/>
      <c r="PZ107" s="146"/>
      <c r="QA107" s="146"/>
      <c r="QB107" s="146"/>
      <c r="QC107" s="146"/>
      <c r="QD107" s="146"/>
      <c r="QE107" s="146"/>
      <c r="QF107" s="146"/>
      <c r="QG107" s="146"/>
      <c r="QH107" s="146"/>
      <c r="QI107" s="146"/>
      <c r="QJ107" s="146"/>
      <c r="QK107" s="146"/>
      <c r="QL107" s="146"/>
      <c r="QM107" s="146"/>
      <c r="QN107" s="146"/>
      <c r="QO107" s="146"/>
      <c r="QP107" s="146"/>
      <c r="QQ107" s="146"/>
      <c r="QR107" s="146"/>
      <c r="QS107" s="144"/>
      <c r="QT107" s="144"/>
      <c r="QU107" s="144"/>
      <c r="QV107" s="144"/>
      <c r="QW107" s="144"/>
      <c r="QX107" s="144"/>
      <c r="QY107" s="144"/>
      <c r="QZ107" s="144"/>
      <c r="RA107" s="144"/>
      <c r="RB107" s="144"/>
      <c r="RC107" s="144"/>
      <c r="RD107" s="144"/>
      <c r="RE107" s="144"/>
      <c r="RF107" s="144"/>
      <c r="RG107" s="144"/>
      <c r="RH107" s="144"/>
      <c r="RI107" s="144"/>
      <c r="RJ107" s="144"/>
      <c r="RK107" s="144"/>
      <c r="RL107" s="144"/>
      <c r="RM107" s="144"/>
      <c r="RN107" s="144"/>
      <c r="RO107" s="144"/>
      <c r="RP107" s="144"/>
      <c r="RQ107" s="144"/>
      <c r="RR107" s="144"/>
      <c r="RS107" s="144"/>
      <c r="RT107" s="144"/>
      <c r="RU107" s="144"/>
      <c r="RV107" s="144"/>
      <c r="RW107" s="144"/>
      <c r="RX107" s="144"/>
      <c r="RY107" s="144"/>
      <c r="RZ107" s="144"/>
      <c r="SA107" s="144"/>
      <c r="SB107" s="144"/>
      <c r="SC107" s="144"/>
      <c r="SD107" s="144"/>
      <c r="SE107" s="144"/>
      <c r="SF107" s="144"/>
      <c r="SG107" s="144"/>
      <c r="SH107" s="144"/>
      <c r="SI107" s="144"/>
      <c r="SJ107" s="144"/>
      <c r="SK107" s="144"/>
      <c r="SL107" s="144"/>
      <c r="SM107" s="84"/>
      <c r="SN107" s="84"/>
      <c r="SO107" s="154"/>
      <c r="SP107" s="154"/>
      <c r="SQ107" s="154"/>
      <c r="SR107" s="154"/>
      <c r="SS107" s="154"/>
      <c r="ST107" s="154"/>
      <c r="SU107" s="155"/>
      <c r="SV107" s="154"/>
      <c r="SW107" s="154"/>
      <c r="SX107" s="155"/>
      <c r="SY107" s="155"/>
      <c r="SZ107" s="155"/>
      <c r="TA107" s="155"/>
      <c r="TB107" s="155"/>
      <c r="TC107" s="155"/>
      <c r="TD107" s="155"/>
      <c r="TE107" s="156"/>
      <c r="TF107" s="144"/>
      <c r="TG107" s="84"/>
      <c r="TH107" s="144"/>
      <c r="TI107" s="144"/>
      <c r="TJ107" s="144"/>
      <c r="TK107" s="144"/>
      <c r="TL107" s="157"/>
      <c r="TM107" s="157"/>
      <c r="TN107" s="157"/>
      <c r="TO107" s="157"/>
      <c r="TP107" s="157"/>
      <c r="TQ107" s="157"/>
      <c r="TR107" s="157"/>
      <c r="TS107" s="157"/>
      <c r="TT107" s="157"/>
      <c r="TU107" s="158"/>
      <c r="TV107" s="157"/>
      <c r="TW107" s="158"/>
      <c r="TX107" s="144"/>
      <c r="TY107" s="144"/>
      <c r="TZ107" s="144"/>
      <c r="UA107" s="84"/>
      <c r="UB107" s="144"/>
      <c r="UC107" s="144"/>
      <c r="UD107" s="144"/>
      <c r="UE107" s="144"/>
      <c r="UF107" s="157"/>
      <c r="UG107" s="157"/>
      <c r="UH107" s="157"/>
      <c r="UI107" s="157"/>
      <c r="UJ107" s="157"/>
      <c r="UK107" s="157"/>
      <c r="UL107" s="157"/>
      <c r="UM107" s="157"/>
      <c r="UN107" s="157"/>
      <c r="UO107" s="157"/>
      <c r="UP107" s="157"/>
      <c r="UQ107" s="158"/>
      <c r="UR107" s="157"/>
      <c r="US107" s="158"/>
      <c r="UT107" s="144"/>
      <c r="UU107" s="144"/>
      <c r="UV107" s="144"/>
      <c r="UW107" s="144"/>
      <c r="UX107" s="144"/>
      <c r="UY107" s="144"/>
      <c r="UZ107" s="144"/>
      <c r="VA107" s="144"/>
      <c r="VB107" s="157"/>
      <c r="VC107" s="157"/>
      <c r="VD107" s="157"/>
      <c r="VE107" s="157"/>
      <c r="VF107" s="157"/>
      <c r="VG107" s="157"/>
      <c r="VH107" s="157"/>
      <c r="VI107" s="157"/>
      <c r="VJ107" s="157"/>
      <c r="VK107" s="157"/>
      <c r="VL107" s="157"/>
      <c r="VM107" s="157"/>
      <c r="VN107" s="157"/>
      <c r="VO107" s="157"/>
      <c r="VP107" s="144"/>
      <c r="VQ107" s="144"/>
      <c r="VR107" s="84"/>
      <c r="VS107" s="84"/>
      <c r="VT107" s="53"/>
      <c r="VU107" s="53"/>
    </row>
    <row r="108" ht="15.75" hidden="1" spans="1:1024 1025:16384">
      <c r="A108" s="53"/>
      <c r="B108" s="53"/>
      <c r="C108" s="327" t="s">
        <v>183</v>
      </c>
      <c r="D108" s="327" t="str">
        <f>C29</f>
        <v>MM01</v>
      </c>
      <c r="E108" s="327">
        <f>D29</f>
        <v>0</v>
      </c>
      <c r="F108" s="327">
        <f>E29</f>
        <v>0</v>
      </c>
      <c r="G108" s="161">
        <f>S29</f>
        <v>0</v>
      </c>
      <c r="H108" s="161">
        <f>T29</f>
        <v>0</v>
      </c>
      <c r="I108" s="161">
        <f>U29-I75</f>
        <v>0</v>
      </c>
      <c r="J108" s="161">
        <f>V29-J75</f>
        <v>0</v>
      </c>
      <c r="K108" s="179">
        <f t="shared" si="1175"/>
        <v>0</v>
      </c>
      <c r="L108" s="328" t="e">
        <f t="shared" si="1176"/>
        <v>#DIV/0!</v>
      </c>
      <c r="M108" s="162" t="e">
        <f>I108/G108</f>
        <v>#DIV/0!</v>
      </c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93"/>
      <c r="AB108" s="293"/>
      <c r="AC108" s="293"/>
      <c r="AD108" s="293"/>
      <c r="AE108" s="293"/>
      <c r="AF108" s="293"/>
      <c r="AG108" s="293"/>
      <c r="AH108" s="293"/>
      <c r="AI108" s="53"/>
      <c r="AJ108" s="327" t="s">
        <v>183</v>
      </c>
      <c r="AK108" s="327" t="str">
        <f t="shared" ref="AK108:AM108" si="1198">AJ29</f>
        <v>MM01</v>
      </c>
      <c r="AL108" s="327">
        <f t="shared" si="1198"/>
        <v>0</v>
      </c>
      <c r="AM108" s="327">
        <f t="shared" si="1198"/>
        <v>0</v>
      </c>
      <c r="AN108" s="161">
        <f>AZ29</f>
        <v>1362</v>
      </c>
      <c r="AO108" s="161">
        <f>BA29</f>
        <v>1068</v>
      </c>
      <c r="AP108" s="161">
        <f>BB29-AP75</f>
        <v>709794.833333333</v>
      </c>
      <c r="AQ108" s="161">
        <f>BC29-AQ75</f>
        <v>672652.71344086</v>
      </c>
      <c r="AR108" s="179">
        <f t="shared" si="1179"/>
        <v>37142.1198924734</v>
      </c>
      <c r="AS108" s="328">
        <f t="shared" si="1180"/>
        <v>0.0523279659814469</v>
      </c>
      <c r="AT108" s="162">
        <f>AP108/AN108</f>
        <v>521.141581008321</v>
      </c>
      <c r="AU108" s="293"/>
      <c r="AV108" s="293"/>
      <c r="AW108" s="293"/>
      <c r="AX108" s="293"/>
      <c r="AY108" s="293"/>
      <c r="AZ108" s="293"/>
      <c r="BA108" s="293"/>
      <c r="BB108" s="293"/>
      <c r="BC108" s="293"/>
      <c r="BD108" s="293"/>
      <c r="BE108" s="293"/>
      <c r="BF108" s="293"/>
      <c r="BG108" s="293"/>
      <c r="BH108" s="293"/>
      <c r="BI108" s="293"/>
      <c r="BJ108" s="293"/>
      <c r="BK108" s="293"/>
      <c r="BL108" s="293"/>
      <c r="BM108" s="293"/>
      <c r="BN108" s="293"/>
      <c r="BO108" s="293"/>
      <c r="BP108" s="53"/>
      <c r="BQ108" s="327" t="s">
        <v>183</v>
      </c>
      <c r="BR108" s="327" t="str">
        <f t="shared" ref="BR108:BT108" si="1199">BQ29</f>
        <v>MM01</v>
      </c>
      <c r="BS108" s="327">
        <f t="shared" si="1199"/>
        <v>0</v>
      </c>
      <c r="BT108" s="327">
        <f t="shared" si="1199"/>
        <v>3</v>
      </c>
      <c r="BU108" s="161">
        <f>CG29</f>
        <v>1646</v>
      </c>
      <c r="BV108" s="161">
        <f>CH29</f>
        <v>1213</v>
      </c>
      <c r="BW108" s="161">
        <f>CI29-BW75</f>
        <v>1021864.13333334</v>
      </c>
      <c r="BX108" s="161">
        <f>CJ29-BX75</f>
        <v>797794.430434782</v>
      </c>
      <c r="BY108" s="179">
        <f t="shared" ref="BY108:BY113" si="1200">BW108-BX108</f>
        <v>224069.702898555</v>
      </c>
      <c r="BZ108" s="328">
        <f t="shared" ref="BZ108:BZ113" si="1201">BY108/BW108</f>
        <v>0.2192754355392</v>
      </c>
      <c r="CA108" s="162">
        <f>BW108/BU108</f>
        <v>620.816605913328</v>
      </c>
      <c r="CB108" s="293"/>
      <c r="CC108" s="293"/>
      <c r="CD108" s="293"/>
      <c r="CE108" s="293"/>
      <c r="CF108" s="293"/>
      <c r="CG108" s="293"/>
      <c r="CH108" s="293"/>
      <c r="CI108" s="293"/>
      <c r="CJ108" s="293"/>
      <c r="CK108" s="293"/>
      <c r="CL108" s="293"/>
      <c r="CM108" s="293"/>
      <c r="CN108" s="293"/>
      <c r="CO108" s="293"/>
      <c r="CP108" s="293"/>
      <c r="CQ108" s="293"/>
      <c r="CR108" s="293"/>
      <c r="CS108" s="293"/>
      <c r="CT108" s="293"/>
      <c r="CU108" s="293"/>
      <c r="CV108" s="293"/>
      <c r="CW108" s="53"/>
      <c r="CX108" s="327" t="s">
        <v>183</v>
      </c>
      <c r="CY108" s="327" t="str">
        <f t="shared" ref="CY108:DA108" si="1202">CX29</f>
        <v>MM01</v>
      </c>
      <c r="CZ108" s="327">
        <f t="shared" si="1202"/>
        <v>0</v>
      </c>
      <c r="DA108" s="327">
        <f t="shared" si="1202"/>
        <v>3</v>
      </c>
      <c r="DB108" s="161">
        <f>DN29</f>
        <v>866</v>
      </c>
      <c r="DC108" s="161">
        <f>DO29</f>
        <v>764</v>
      </c>
      <c r="DD108" s="161">
        <f>DP29-DD75</f>
        <v>688932.525</v>
      </c>
      <c r="DE108" s="161">
        <f>DQ29-DE75</f>
        <v>529883.475</v>
      </c>
      <c r="DF108" s="179">
        <f t="shared" ref="DF108:DF113" si="1203">DD108-DE108</f>
        <v>159049.05</v>
      </c>
      <c r="DG108" s="328">
        <f t="shared" ref="DG108:DG113" si="1204">DF108/DD108</f>
        <v>0.230863029728492</v>
      </c>
      <c r="DH108" s="162">
        <f>DD108/DB108</f>
        <v>795.534093533487</v>
      </c>
      <c r="DI108" s="293"/>
      <c r="DJ108" s="293"/>
      <c r="DK108" s="293"/>
      <c r="DL108" s="293"/>
      <c r="DM108" s="293"/>
      <c r="DN108" s="293"/>
      <c r="DO108" s="293"/>
      <c r="DP108" s="293"/>
      <c r="DQ108" s="293"/>
      <c r="DR108" s="293"/>
      <c r="DS108" s="293"/>
      <c r="DT108" s="293"/>
      <c r="DU108" s="293"/>
      <c r="DV108" s="293"/>
      <c r="DW108" s="293"/>
      <c r="DX108" s="293"/>
      <c r="DY108" s="293"/>
      <c r="DZ108" s="293"/>
      <c r="EA108" s="293"/>
      <c r="EB108" s="293"/>
      <c r="EC108" s="293"/>
      <c r="ED108" s="53"/>
      <c r="EE108" s="329" t="s">
        <v>183</v>
      </c>
      <c r="EF108" s="329">
        <f t="shared" ref="EF108:EH108" si="1205">EF29</f>
        <v>0</v>
      </c>
      <c r="EG108" s="329">
        <f t="shared" si="1205"/>
        <v>3</v>
      </c>
      <c r="EH108" s="329">
        <f t="shared" si="1205"/>
        <v>13</v>
      </c>
      <c r="EI108" s="330">
        <f>EU29</f>
        <v>991</v>
      </c>
      <c r="EJ108" s="330">
        <f>EV29</f>
        <v>920</v>
      </c>
      <c r="EK108" s="330">
        <f>EW29-EK75</f>
        <v>838863.0125</v>
      </c>
      <c r="EL108" s="330">
        <f>EX29-EL75</f>
        <v>643333.7375</v>
      </c>
      <c r="EM108" s="331">
        <f>EK108-EL108</f>
        <v>195529.275</v>
      </c>
      <c r="EN108" s="332">
        <f>EM108/EK108</f>
        <v>0.233088444819231</v>
      </c>
      <c r="EO108" s="333">
        <f>EK108/EI108</f>
        <v>846.481344601413</v>
      </c>
      <c r="EP108" s="53"/>
      <c r="EQ108" s="53"/>
      <c r="ER108" s="192"/>
      <c r="ES108" s="192"/>
      <c r="ET108" s="192"/>
      <c r="EU108" s="192"/>
      <c r="EV108" s="192"/>
      <c r="EW108" s="192"/>
      <c r="EX108" s="192"/>
      <c r="EY108" s="192"/>
      <c r="EZ108" s="192"/>
      <c r="FA108" s="192"/>
      <c r="FB108" s="192"/>
      <c r="FC108" s="192"/>
      <c r="FD108" s="192"/>
      <c r="FE108" s="192"/>
      <c r="FF108" s="192"/>
      <c r="FG108" s="192"/>
      <c r="FH108" s="192"/>
      <c r="FI108" s="192"/>
      <c r="FJ108" s="192"/>
      <c r="FK108" s="53"/>
      <c r="FL108" s="53"/>
      <c r="FM108" s="53"/>
      <c r="FN108" s="329" t="s">
        <v>183</v>
      </c>
      <c r="FO108" s="329">
        <f t="shared" ref="FO108:FQ108" si="1206">FO29</f>
        <v>0</v>
      </c>
      <c r="FP108" s="329">
        <f t="shared" si="1206"/>
        <v>3</v>
      </c>
      <c r="FQ108" s="329">
        <f t="shared" si="1206"/>
        <v>40</v>
      </c>
      <c r="FR108" s="330">
        <f>GD29</f>
        <v>911</v>
      </c>
      <c r="FS108" s="330">
        <f>GE29</f>
        <v>809</v>
      </c>
      <c r="FT108" s="330">
        <f>GF29-FT75</f>
        <v>600534.8375</v>
      </c>
      <c r="FU108" s="330">
        <f>GG29-FU75</f>
        <v>524336.875</v>
      </c>
      <c r="FV108" s="331">
        <f t="shared" ref="FV108:FV113" si="1207">FT108-FU108</f>
        <v>76197.9625</v>
      </c>
      <c r="FW108" s="332">
        <f t="shared" ref="FW108:FW113" si="1208">FV108/FT108</f>
        <v>0.126883500742786</v>
      </c>
      <c r="FX108" s="333">
        <f>FT108/FR108</f>
        <v>659.203992864984</v>
      </c>
      <c r="FY108" s="53"/>
      <c r="FZ108" s="192"/>
      <c r="GA108" s="192"/>
      <c r="GB108" s="192"/>
      <c r="GC108" s="192"/>
      <c r="GD108" s="192"/>
      <c r="GE108" s="192"/>
      <c r="GF108" s="192"/>
      <c r="GG108" s="192"/>
      <c r="GH108" s="192"/>
      <c r="GI108" s="192"/>
      <c r="GJ108" s="192"/>
      <c r="GK108" s="192"/>
      <c r="GL108" s="192"/>
      <c r="GM108" s="192"/>
      <c r="GN108" s="192"/>
      <c r="GO108" s="192"/>
      <c r="GP108" s="192"/>
      <c r="GQ108" s="192"/>
      <c r="GR108" s="192"/>
      <c r="GS108" s="192"/>
      <c r="GT108" s="53"/>
      <c r="GU108" s="53"/>
      <c r="GV108" s="329" t="s">
        <v>183</v>
      </c>
      <c r="GW108" s="329">
        <f t="shared" ref="GW108:GY108" si="1209">GW29</f>
        <v>0</v>
      </c>
      <c r="GX108" s="329">
        <f t="shared" si="1209"/>
        <v>4</v>
      </c>
      <c r="GY108" s="329">
        <f t="shared" si="1209"/>
        <v>11</v>
      </c>
      <c r="GZ108" s="330">
        <f>HL29</f>
        <v>1040</v>
      </c>
      <c r="HA108" s="330">
        <f>HM29</f>
        <v>961</v>
      </c>
      <c r="HB108" s="330">
        <f>HN29-HB75</f>
        <v>443872.55</v>
      </c>
      <c r="HC108" s="330">
        <f>HO29-HC75</f>
        <v>256979.625</v>
      </c>
      <c r="HD108" s="331">
        <f t="shared" ref="HD108:HD113" si="1210">HB108-HC108</f>
        <v>186892.925</v>
      </c>
      <c r="HE108" s="332">
        <f t="shared" ref="HE108:HE113" si="1211">HD108/HB108</f>
        <v>0.421050873724901</v>
      </c>
      <c r="HF108" s="333">
        <f>HB108/GZ108</f>
        <v>426.800528846154</v>
      </c>
      <c r="HI108" s="192"/>
      <c r="HJ108" s="192"/>
      <c r="HK108" s="192"/>
      <c r="HL108" s="192"/>
      <c r="HM108" s="192"/>
      <c r="HN108" s="192"/>
      <c r="HO108" s="192"/>
      <c r="HP108" s="192"/>
      <c r="HQ108" s="192"/>
      <c r="HR108" s="192"/>
      <c r="HS108" s="192"/>
      <c r="HT108" s="192"/>
      <c r="HU108" s="192"/>
      <c r="HV108" s="192"/>
      <c r="HW108" s="192"/>
      <c r="HX108" s="192"/>
      <c r="HY108" s="192"/>
      <c r="HZ108" s="192"/>
      <c r="IA108" s="192"/>
      <c r="IB108" s="53"/>
      <c r="IC108" s="53"/>
      <c r="ID108" s="329" t="s">
        <v>183</v>
      </c>
      <c r="IE108" s="329">
        <f>IE29</f>
        <v>3</v>
      </c>
      <c r="IF108" s="329">
        <v>0</v>
      </c>
      <c r="IG108" s="329">
        <f>IG29</f>
        <v>31</v>
      </c>
      <c r="IH108" s="330">
        <f>IT29</f>
        <v>1164</v>
      </c>
      <c r="II108" s="330">
        <f>IU29</f>
        <v>1045</v>
      </c>
      <c r="IJ108" s="330">
        <f>IV29-IJ75</f>
        <v>508054.75</v>
      </c>
      <c r="IK108" s="330">
        <f>IW29-IK75</f>
        <v>457103.75</v>
      </c>
      <c r="IL108" s="331">
        <f t="shared" ref="IL108:IL113" si="1212">IJ108-IK108</f>
        <v>50951</v>
      </c>
      <c r="IM108" s="332">
        <f t="shared" ref="IM108:IM113" si="1213">IL108/IJ108</f>
        <v>0.10028643566466</v>
      </c>
      <c r="IN108" s="333">
        <f>IJ108/IH108</f>
        <v>436.473152920962</v>
      </c>
      <c r="IP108" s="11"/>
      <c r="IQ108" s="192"/>
      <c r="IR108" s="192"/>
      <c r="IS108" s="192"/>
      <c r="IT108" s="192"/>
      <c r="IU108" s="192"/>
      <c r="IV108" s="192"/>
      <c r="IW108" s="192"/>
      <c r="IX108" s="192"/>
      <c r="IY108" s="192"/>
      <c r="IZ108" s="192"/>
      <c r="JA108" s="192"/>
      <c r="JB108" s="192"/>
      <c r="JC108" s="192"/>
      <c r="JD108" s="192"/>
      <c r="JE108" s="192"/>
      <c r="JF108" s="192"/>
      <c r="JG108" s="192"/>
      <c r="JH108" s="192"/>
      <c r="JI108" s="192"/>
      <c r="JJ108" s="53"/>
      <c r="JK108" s="53"/>
      <c r="JL108" s="329" t="s">
        <v>183</v>
      </c>
      <c r="JM108" s="329">
        <f>JM29</f>
        <v>4</v>
      </c>
      <c r="JN108" s="329">
        <f>JN29</f>
        <v>9</v>
      </c>
      <c r="JO108" s="329">
        <f>KB29</f>
        <v>1154</v>
      </c>
      <c r="JP108" s="330">
        <f>KC29</f>
        <v>1058</v>
      </c>
      <c r="JQ108" s="330">
        <f>KD29-JQ75</f>
        <v>525883.9</v>
      </c>
      <c r="JR108" s="330">
        <f>KE29-JR75</f>
        <v>398948.825</v>
      </c>
      <c r="JS108" s="330">
        <f t="shared" ref="JS108:JS113" si="1214">JQ108-JR108</f>
        <v>126935.075</v>
      </c>
      <c r="JT108" s="334">
        <f t="shared" ref="JT108:JT113" si="1215">JS108/JQ108</f>
        <v>0.241374712175064</v>
      </c>
      <c r="JU108" s="335">
        <f>JQ108/JO108</f>
        <v>455.705285961872</v>
      </c>
      <c r="JX108" s="192"/>
      <c r="JY108" s="192"/>
      <c r="JZ108" s="192"/>
      <c r="KA108" s="192"/>
      <c r="KB108" s="192"/>
      <c r="KC108" s="192"/>
      <c r="KD108" s="192"/>
      <c r="KE108" s="192"/>
      <c r="KF108" s="192"/>
      <c r="KG108" s="192"/>
      <c r="KH108" s="192"/>
      <c r="KI108" s="192"/>
      <c r="KJ108" s="192"/>
      <c r="KK108" s="192"/>
      <c r="KL108" s="192"/>
      <c r="KM108" s="192"/>
      <c r="KN108" s="192"/>
      <c r="KO108" s="192"/>
      <c r="KP108" s="192"/>
      <c r="KQ108" s="192"/>
      <c r="KR108" s="53"/>
      <c r="KS108" s="53"/>
      <c r="KT108" s="329" t="s">
        <v>183</v>
      </c>
      <c r="KU108" s="329">
        <v>6</v>
      </c>
      <c r="KV108" s="329">
        <v>162</v>
      </c>
      <c r="KW108" s="329">
        <v>1737</v>
      </c>
      <c r="KX108" s="330">
        <v>1343</v>
      </c>
      <c r="KY108" s="330">
        <v>511544.15</v>
      </c>
      <c r="KZ108" s="330">
        <v>462084.7625</v>
      </c>
      <c r="LA108" s="330">
        <v>49459.3875000001</v>
      </c>
      <c r="LB108" s="334">
        <v>0.096686449253696</v>
      </c>
      <c r="LC108" s="335">
        <v>294.498647092689</v>
      </c>
      <c r="LF108" s="11"/>
      <c r="LG108" s="192"/>
      <c r="LH108" s="192"/>
      <c r="LI108" s="192"/>
      <c r="LJ108" s="192"/>
      <c r="LK108" s="192"/>
      <c r="LL108" s="192"/>
      <c r="LM108" s="192"/>
      <c r="LN108" s="192"/>
      <c r="LO108" s="192"/>
      <c r="LP108" s="192"/>
      <c r="LQ108" s="192"/>
      <c r="LR108" s="192"/>
      <c r="LS108" s="192"/>
      <c r="LT108" s="192"/>
      <c r="LU108" s="192"/>
      <c r="LV108" s="192"/>
      <c r="LW108" s="192"/>
      <c r="LX108" s="192"/>
      <c r="LY108" s="192"/>
      <c r="LZ108" s="192"/>
      <c r="MA108" s="192"/>
      <c r="MB108" s="329" t="s">
        <v>183</v>
      </c>
      <c r="MC108" s="329">
        <f>MC29</f>
        <v>6</v>
      </c>
      <c r="MD108" s="329">
        <f>ME29</f>
        <v>90</v>
      </c>
      <c r="ME108" s="329">
        <f>MR29</f>
        <v>1082</v>
      </c>
      <c r="MF108" s="330">
        <f>MS29</f>
        <v>699</v>
      </c>
      <c r="MG108" s="330">
        <f>MT29-MG75</f>
        <v>309910.8</v>
      </c>
      <c r="MH108" s="330">
        <f>MU29-MH75</f>
        <v>258266.4875</v>
      </c>
      <c r="MI108" s="330">
        <f t="shared" ref="MI108:MI113" si="1216">MG108-MH108</f>
        <v>51644.3125</v>
      </c>
      <c r="MJ108" s="334">
        <f t="shared" ref="MJ108:MJ113" si="1217">MI108/MG108</f>
        <v>0.166642506488964</v>
      </c>
      <c r="MK108" s="335">
        <f>MG108/ME108</f>
        <v>286.424029574861</v>
      </c>
      <c r="MO108" s="192"/>
      <c r="MP108" s="192"/>
      <c r="MQ108" s="192"/>
      <c r="MR108" s="192"/>
      <c r="MS108" s="192"/>
      <c r="MT108" s="192"/>
      <c r="MU108" s="192"/>
      <c r="MV108" s="192"/>
      <c r="MW108" s="192"/>
      <c r="MX108" s="192"/>
      <c r="MY108" s="192"/>
      <c r="MZ108" s="192"/>
      <c r="NA108" s="192"/>
      <c r="NB108" s="192"/>
      <c r="NC108" s="192"/>
      <c r="ND108" s="192"/>
      <c r="NE108" s="192"/>
      <c r="NF108" s="192"/>
      <c r="NG108" s="192"/>
      <c r="NH108" s="53"/>
      <c r="NI108" s="53"/>
      <c r="NJ108" s="329" t="s">
        <v>183</v>
      </c>
      <c r="NK108" s="329">
        <f>NK29</f>
        <v>4</v>
      </c>
      <c r="NL108" s="329">
        <f>NM29</f>
        <v>13</v>
      </c>
      <c r="NM108" s="329">
        <f>NZ29</f>
        <v>288</v>
      </c>
      <c r="NN108" s="330">
        <f>OA29</f>
        <v>105</v>
      </c>
      <c r="NO108" s="330">
        <f>OB29-NO75</f>
        <v>22112.5</v>
      </c>
      <c r="NP108" s="330">
        <f>OC29-NP75</f>
        <v>36034.6625</v>
      </c>
      <c r="NQ108" s="354">
        <f>NO108-NP108</f>
        <v>-13922.1625</v>
      </c>
      <c r="NR108" s="355">
        <f>NQ108/NO108</f>
        <v>-0.629605992085924</v>
      </c>
      <c r="NS108" s="335">
        <f>NO108/NM108</f>
        <v>76.7795138888889</v>
      </c>
      <c r="NT108" s="53"/>
      <c r="NU108" s="53"/>
      <c r="NV108" s="53"/>
      <c r="NW108" s="53"/>
      <c r="NX108" s="53"/>
      <c r="NY108" s="53"/>
      <c r="NZ108" s="53"/>
      <c r="OA108" s="53"/>
      <c r="OB108" s="53"/>
      <c r="OC108" s="53"/>
      <c r="OD108" s="53"/>
      <c r="OE108" s="53"/>
      <c r="OF108" s="53"/>
      <c r="OG108" s="53"/>
      <c r="OH108" s="53"/>
      <c r="OI108" s="53"/>
      <c r="OJ108" s="53"/>
      <c r="OK108" s="53"/>
      <c r="OL108" s="53"/>
      <c r="OM108" s="53"/>
      <c r="ON108" s="53"/>
      <c r="OO108" s="53"/>
      <c r="OP108" s="53"/>
      <c r="OQ108" s="53"/>
      <c r="OR108" s="53"/>
      <c r="OS108" s="144"/>
      <c r="OT108" s="144"/>
      <c r="OU108" s="144"/>
      <c r="OV108" s="144"/>
      <c r="OW108" s="144"/>
      <c r="OX108" s="144"/>
      <c r="OY108" s="144"/>
      <c r="OZ108" s="144"/>
      <c r="PA108" s="144"/>
      <c r="PB108" s="144"/>
      <c r="PC108" s="144"/>
      <c r="PD108" s="144"/>
      <c r="PE108" s="144"/>
      <c r="PF108" s="144"/>
      <c r="PG108" s="144"/>
      <c r="PH108" s="144"/>
      <c r="PI108" s="144"/>
      <c r="PJ108" s="144"/>
      <c r="PK108" s="144"/>
      <c r="PL108" s="144"/>
      <c r="PM108" s="144"/>
      <c r="PN108" s="144"/>
      <c r="PO108" s="144"/>
      <c r="PP108" s="144"/>
      <c r="PQ108" s="144"/>
      <c r="PR108" s="144"/>
      <c r="PS108" s="144"/>
      <c r="PT108" s="146"/>
      <c r="PU108" s="146"/>
      <c r="PV108" s="146"/>
      <c r="PW108" s="146"/>
      <c r="PX108" s="146"/>
      <c r="PY108" s="146"/>
      <c r="PZ108" s="146"/>
      <c r="QA108" s="146"/>
      <c r="QB108" s="146"/>
      <c r="QC108" s="146"/>
      <c r="QD108" s="146"/>
      <c r="QE108" s="146"/>
      <c r="QF108" s="146"/>
      <c r="QG108" s="146"/>
      <c r="QH108" s="146"/>
      <c r="QI108" s="146"/>
      <c r="QJ108" s="146"/>
      <c r="QK108" s="146"/>
      <c r="QL108" s="146"/>
      <c r="QM108" s="146"/>
      <c r="QN108" s="146"/>
      <c r="QO108" s="146"/>
      <c r="QP108" s="146"/>
      <c r="QQ108" s="146"/>
      <c r="QR108" s="146"/>
      <c r="QS108" s="144"/>
      <c r="QT108" s="144"/>
      <c r="QU108" s="144"/>
      <c r="QV108" s="144"/>
      <c r="QW108" s="144"/>
      <c r="QX108" s="144"/>
      <c r="QY108" s="144"/>
      <c r="QZ108" s="144"/>
      <c r="RA108" s="144"/>
      <c r="RB108" s="144"/>
      <c r="RC108" s="144"/>
      <c r="RD108" s="144"/>
      <c r="RE108" s="144"/>
      <c r="RF108" s="144"/>
      <c r="RG108" s="144"/>
      <c r="RH108" s="144"/>
      <c r="RI108" s="144"/>
      <c r="RJ108" s="144"/>
      <c r="RK108" s="144"/>
      <c r="RL108" s="144"/>
      <c r="RM108" s="144"/>
      <c r="RN108" s="144"/>
      <c r="RO108" s="144"/>
      <c r="RP108" s="144"/>
      <c r="RQ108" s="144"/>
      <c r="RR108" s="144"/>
      <c r="RS108" s="144"/>
      <c r="RT108" s="144"/>
      <c r="RU108" s="144"/>
      <c r="RV108" s="144"/>
      <c r="RW108" s="144"/>
      <c r="RX108" s="144"/>
      <c r="RY108" s="144"/>
      <c r="RZ108" s="144"/>
      <c r="SA108" s="144"/>
      <c r="SB108" s="144"/>
      <c r="SC108" s="144"/>
      <c r="SD108" s="144"/>
      <c r="SE108" s="144"/>
      <c r="SF108" s="144"/>
      <c r="SG108" s="144"/>
      <c r="SH108" s="144"/>
      <c r="SI108" s="144"/>
      <c r="SJ108" s="144"/>
      <c r="SK108" s="144"/>
      <c r="SL108" s="144"/>
      <c r="SM108" s="84"/>
      <c r="SN108" s="84"/>
      <c r="SO108" s="154"/>
      <c r="SP108" s="154"/>
      <c r="SQ108" s="154"/>
      <c r="SR108" s="154"/>
      <c r="SS108" s="154"/>
      <c r="ST108" s="154"/>
      <c r="SU108" s="155"/>
      <c r="SV108" s="154"/>
      <c r="SW108" s="154"/>
      <c r="SX108" s="155"/>
      <c r="SY108" s="155"/>
      <c r="SZ108" s="155"/>
      <c r="TA108" s="155"/>
      <c r="TB108" s="155"/>
      <c r="TC108" s="155"/>
      <c r="TD108" s="155"/>
      <c r="TE108" s="156"/>
      <c r="TF108" s="144"/>
      <c r="TG108" s="84"/>
      <c r="TH108" s="144"/>
      <c r="TI108" s="144"/>
      <c r="TJ108" s="144"/>
      <c r="TK108" s="144"/>
      <c r="TL108" s="157"/>
      <c r="TM108" s="157"/>
      <c r="TN108" s="157"/>
      <c r="TO108" s="157"/>
      <c r="TP108" s="157"/>
      <c r="TQ108" s="157"/>
      <c r="TR108" s="157"/>
      <c r="TS108" s="157"/>
      <c r="TT108" s="157"/>
      <c r="TU108" s="158"/>
      <c r="TV108" s="157"/>
      <c r="TW108" s="158"/>
      <c r="TX108" s="144"/>
      <c r="TY108" s="144"/>
      <c r="TZ108" s="144"/>
      <c r="UA108" s="84"/>
      <c r="UB108" s="144"/>
      <c r="UC108" s="144"/>
      <c r="UD108" s="144"/>
      <c r="UE108" s="144"/>
      <c r="UF108" s="157"/>
      <c r="UG108" s="157"/>
      <c r="UH108" s="157"/>
      <c r="UI108" s="157"/>
      <c r="UJ108" s="157"/>
      <c r="UK108" s="157"/>
      <c r="UL108" s="157"/>
      <c r="UM108" s="157"/>
      <c r="UN108" s="157"/>
      <c r="UO108" s="157"/>
      <c r="UP108" s="157"/>
      <c r="UQ108" s="158"/>
      <c r="UR108" s="157"/>
      <c r="US108" s="158"/>
      <c r="UT108" s="144"/>
      <c r="UU108" s="144"/>
      <c r="UV108" s="144"/>
      <c r="UW108" s="144"/>
      <c r="UX108" s="144"/>
      <c r="UY108" s="144"/>
      <c r="UZ108" s="144"/>
      <c r="VA108" s="144"/>
      <c r="VB108" s="157"/>
      <c r="VC108" s="157"/>
      <c r="VD108" s="157"/>
      <c r="VE108" s="157"/>
      <c r="VF108" s="157"/>
      <c r="VG108" s="157"/>
      <c r="VH108" s="157"/>
      <c r="VI108" s="157"/>
      <c r="VJ108" s="157"/>
      <c r="VK108" s="157"/>
      <c r="VL108" s="157"/>
      <c r="VM108" s="157"/>
      <c r="VN108" s="157"/>
      <c r="VO108" s="157"/>
      <c r="VP108" s="144"/>
      <c r="VQ108" s="144"/>
      <c r="VR108" s="84"/>
      <c r="VS108" s="84"/>
      <c r="VT108" s="53"/>
      <c r="VU108" s="53"/>
    </row>
    <row r="109" ht="15.75" hidden="1" spans="1:1024 1025:16384">
      <c r="A109" s="53"/>
      <c r="B109" s="53"/>
      <c r="C109" s="236" t="s">
        <v>153</v>
      </c>
      <c r="D109" s="236">
        <f t="shared" ref="D109:J109" si="1218">SUM(D108)</f>
        <v>0</v>
      </c>
      <c r="E109" s="236">
        <f t="shared" si="1218"/>
        <v>0</v>
      </c>
      <c r="F109" s="236">
        <f t="shared" si="1218"/>
        <v>0</v>
      </c>
      <c r="G109" s="236">
        <f t="shared" si="1218"/>
        <v>0</v>
      </c>
      <c r="H109" s="236">
        <f t="shared" si="1218"/>
        <v>0</v>
      </c>
      <c r="I109" s="236">
        <f t="shared" si="1218"/>
        <v>0</v>
      </c>
      <c r="J109" s="236">
        <f t="shared" si="1218"/>
        <v>0</v>
      </c>
      <c r="K109" s="237">
        <f t="shared" si="1175"/>
        <v>0</v>
      </c>
      <c r="L109" s="240" t="e">
        <f t="shared" si="1176"/>
        <v>#DIV/0!</v>
      </c>
      <c r="M109" s="236" t="e">
        <f t="shared" si="1177"/>
        <v>#DIV/0!</v>
      </c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  <c r="AB109" s="293"/>
      <c r="AC109" s="293"/>
      <c r="AD109" s="293"/>
      <c r="AE109" s="293"/>
      <c r="AF109" s="293"/>
      <c r="AG109" s="293"/>
      <c r="AH109" s="293"/>
      <c r="AI109" s="53"/>
      <c r="AJ109" s="236" t="s">
        <v>153</v>
      </c>
      <c r="AK109" s="236">
        <f t="shared" ref="AK109:AQ109" si="1219">SUM(AK108)</f>
        <v>0</v>
      </c>
      <c r="AL109" s="236">
        <f t="shared" si="1219"/>
        <v>0</v>
      </c>
      <c r="AM109" s="236">
        <f t="shared" si="1219"/>
        <v>0</v>
      </c>
      <c r="AN109" s="236">
        <f t="shared" si="1219"/>
        <v>1362</v>
      </c>
      <c r="AO109" s="236">
        <f t="shared" si="1219"/>
        <v>1068</v>
      </c>
      <c r="AP109" s="236">
        <f t="shared" si="1219"/>
        <v>709794.833333333</v>
      </c>
      <c r="AQ109" s="236">
        <f t="shared" si="1219"/>
        <v>672652.71344086</v>
      </c>
      <c r="AR109" s="237">
        <f t="shared" si="1179"/>
        <v>37142.1198924734</v>
      </c>
      <c r="AS109" s="240">
        <f t="shared" si="1180"/>
        <v>0.0523279659814469</v>
      </c>
      <c r="AT109" s="236">
        <f t="shared" si="1181"/>
        <v>664.601903870162</v>
      </c>
      <c r="AU109" s="293"/>
      <c r="AV109" s="293"/>
      <c r="AW109" s="293"/>
      <c r="AX109" s="293"/>
      <c r="AY109" s="293"/>
      <c r="AZ109" s="293"/>
      <c r="BA109" s="293"/>
      <c r="BB109" s="293"/>
      <c r="BC109" s="293"/>
      <c r="BD109" s="293"/>
      <c r="BE109" s="293"/>
      <c r="BF109" s="293"/>
      <c r="BG109" s="293"/>
      <c r="BH109" s="293"/>
      <c r="BI109" s="293"/>
      <c r="BJ109" s="293"/>
      <c r="BK109" s="293"/>
      <c r="BL109" s="293"/>
      <c r="BM109" s="293"/>
      <c r="BN109" s="293"/>
      <c r="BO109" s="293"/>
      <c r="BP109" s="53"/>
      <c r="BQ109" s="236" t="s">
        <v>153</v>
      </c>
      <c r="BR109" s="236">
        <f t="shared" ref="BR109:BX109" si="1220">SUM(BR108)</f>
        <v>0</v>
      </c>
      <c r="BS109" s="236">
        <f t="shared" si="1220"/>
        <v>0</v>
      </c>
      <c r="BT109" s="236">
        <f t="shared" si="1220"/>
        <v>3</v>
      </c>
      <c r="BU109" s="236">
        <f t="shared" si="1220"/>
        <v>1646</v>
      </c>
      <c r="BV109" s="236">
        <f t="shared" si="1220"/>
        <v>1213</v>
      </c>
      <c r="BW109" s="236">
        <f t="shared" si="1220"/>
        <v>1021864.13333334</v>
      </c>
      <c r="BX109" s="236">
        <f t="shared" si="1220"/>
        <v>797794.430434782</v>
      </c>
      <c r="BY109" s="237">
        <f t="shared" si="1200"/>
        <v>224069.702898555</v>
      </c>
      <c r="BZ109" s="240">
        <f t="shared" si="1201"/>
        <v>0.2192754355392</v>
      </c>
      <c r="CA109" s="236">
        <f>BW109/BV109</f>
        <v>842.427150316024</v>
      </c>
      <c r="CB109" s="293"/>
      <c r="CC109" s="293"/>
      <c r="CD109" s="293"/>
      <c r="CE109" s="293"/>
      <c r="CF109" s="293"/>
      <c r="CG109" s="293"/>
      <c r="CH109" s="293"/>
      <c r="CI109" s="293"/>
      <c r="CJ109" s="293"/>
      <c r="CK109" s="293"/>
      <c r="CL109" s="293"/>
      <c r="CM109" s="293"/>
      <c r="CN109" s="293"/>
      <c r="CO109" s="293"/>
      <c r="CP109" s="293"/>
      <c r="CQ109" s="293"/>
      <c r="CR109" s="293"/>
      <c r="CS109" s="293"/>
      <c r="CT109" s="293"/>
      <c r="CU109" s="293"/>
      <c r="CV109" s="293"/>
      <c r="CW109" s="53"/>
      <c r="CX109" s="236" t="s">
        <v>153</v>
      </c>
      <c r="CY109" s="236">
        <f t="shared" ref="CY109:DE109" si="1221">SUM(CY108)</f>
        <v>0</v>
      </c>
      <c r="CZ109" s="236">
        <f t="shared" si="1221"/>
        <v>0</v>
      </c>
      <c r="DA109" s="236">
        <f t="shared" si="1221"/>
        <v>3</v>
      </c>
      <c r="DB109" s="236">
        <f t="shared" si="1221"/>
        <v>866</v>
      </c>
      <c r="DC109" s="236">
        <f t="shared" si="1221"/>
        <v>764</v>
      </c>
      <c r="DD109" s="236">
        <f t="shared" si="1221"/>
        <v>688932.525</v>
      </c>
      <c r="DE109" s="236">
        <f t="shared" si="1221"/>
        <v>529883.475</v>
      </c>
      <c r="DF109" s="237">
        <f t="shared" si="1203"/>
        <v>159049.05</v>
      </c>
      <c r="DG109" s="240">
        <f t="shared" si="1204"/>
        <v>0.230863029728492</v>
      </c>
      <c r="DH109" s="236">
        <f>DD109/DC109</f>
        <v>901.744142670157</v>
      </c>
      <c r="DI109" s="293"/>
      <c r="DJ109" s="293"/>
      <c r="DK109" s="293"/>
      <c r="DL109" s="293"/>
      <c r="DM109" s="293"/>
      <c r="DN109" s="293"/>
      <c r="DO109" s="293"/>
      <c r="DP109" s="293"/>
      <c r="DQ109" s="293"/>
      <c r="DR109" s="293"/>
      <c r="DS109" s="293"/>
      <c r="DT109" s="293"/>
      <c r="DU109" s="293"/>
      <c r="DV109" s="293"/>
      <c r="DW109" s="293"/>
      <c r="DX109" s="293"/>
      <c r="DY109" s="293"/>
      <c r="DZ109" s="293"/>
      <c r="EA109" s="293"/>
      <c r="EB109" s="293"/>
      <c r="EC109" s="293"/>
      <c r="ED109" s="53"/>
      <c r="EE109" s="341" t="s">
        <v>153</v>
      </c>
      <c r="EF109" s="343">
        <f>SUM(EF108)</f>
        <v>0</v>
      </c>
      <c r="EG109" s="343"/>
      <c r="EH109" s="343">
        <f>SUM(EH108)</f>
        <v>13</v>
      </c>
      <c r="EI109" s="343">
        <f>SUM(EI108)</f>
        <v>991</v>
      </c>
      <c r="EJ109" s="343">
        <f>SUM(EJ108)</f>
        <v>920</v>
      </c>
      <c r="EK109" s="343">
        <f>SUM(EK108)</f>
        <v>838863.0125</v>
      </c>
      <c r="EL109" s="343">
        <f>SUM(EL108)</f>
        <v>643333.7375</v>
      </c>
      <c r="EM109" s="344">
        <f>EK109-EL109</f>
        <v>195529.275</v>
      </c>
      <c r="EN109" s="345">
        <f>EM109/EK109</f>
        <v>0.233088444819231</v>
      </c>
      <c r="EO109" s="343">
        <f>EK109/EJ109</f>
        <v>911.807622282609</v>
      </c>
      <c r="EP109" s="53"/>
      <c r="EQ109" s="53"/>
      <c r="ER109" s="192"/>
      <c r="ES109" s="192"/>
      <c r="ET109" s="192"/>
      <c r="EU109" s="192"/>
      <c r="EV109" s="192"/>
      <c r="EW109" s="192"/>
      <c r="EX109" s="192"/>
      <c r="EY109" s="192"/>
      <c r="EZ109" s="192"/>
      <c r="FA109" s="192"/>
      <c r="FB109" s="192"/>
      <c r="FC109" s="192"/>
      <c r="FD109" s="192"/>
      <c r="FE109" s="192"/>
      <c r="FF109" s="192"/>
      <c r="FG109" s="192"/>
      <c r="FH109" s="192"/>
      <c r="FI109" s="192"/>
      <c r="FJ109" s="192"/>
      <c r="FK109" s="53"/>
      <c r="FL109" s="53"/>
      <c r="FM109" s="53"/>
      <c r="FN109" s="341" t="s">
        <v>153</v>
      </c>
      <c r="FO109" s="342">
        <f>SUM(FO108)</f>
        <v>0</v>
      </c>
      <c r="FP109" s="342"/>
      <c r="FQ109" s="342">
        <f>SUM(FQ108)</f>
        <v>40</v>
      </c>
      <c r="FR109" s="343">
        <f>SUM(FR108)</f>
        <v>911</v>
      </c>
      <c r="FS109" s="343">
        <f>SUM(FS108)</f>
        <v>809</v>
      </c>
      <c r="FT109" s="343">
        <f>SUM(FT108)</f>
        <v>600534.8375</v>
      </c>
      <c r="FU109" s="343">
        <f>SUM(FU108)</f>
        <v>524336.875</v>
      </c>
      <c r="FV109" s="344">
        <f t="shared" si="1207"/>
        <v>76197.9625</v>
      </c>
      <c r="FW109" s="345">
        <f t="shared" si="1208"/>
        <v>0.126883500742786</v>
      </c>
      <c r="FX109" s="343">
        <f>FT109/FS109</f>
        <v>742.317475278121</v>
      </c>
      <c r="FY109" s="53"/>
      <c r="FZ109" s="192"/>
      <c r="GA109" s="192"/>
      <c r="GB109" s="192"/>
      <c r="GC109" s="192"/>
      <c r="GD109" s="192"/>
      <c r="GE109" s="192"/>
      <c r="GF109" s="192"/>
      <c r="GG109" s="192"/>
      <c r="GH109" s="192"/>
      <c r="GI109" s="192"/>
      <c r="GJ109" s="192"/>
      <c r="GK109" s="192"/>
      <c r="GL109" s="192"/>
      <c r="GM109" s="192"/>
      <c r="GN109" s="192"/>
      <c r="GO109" s="192"/>
      <c r="GP109" s="192"/>
      <c r="GQ109" s="192"/>
      <c r="GR109" s="192"/>
      <c r="GS109" s="192"/>
      <c r="GT109" s="53"/>
      <c r="GU109" s="53"/>
      <c r="GV109" s="343" t="s">
        <v>153</v>
      </c>
      <c r="GW109" s="343">
        <f t="shared" ref="GW109:HC109" si="1222">SUM(GW108)</f>
        <v>0</v>
      </c>
      <c r="GX109" s="343">
        <f t="shared" si="1222"/>
        <v>4</v>
      </c>
      <c r="GY109" s="343">
        <f t="shared" si="1222"/>
        <v>11</v>
      </c>
      <c r="GZ109" s="343">
        <f t="shared" si="1222"/>
        <v>1040</v>
      </c>
      <c r="HA109" s="343">
        <f t="shared" si="1222"/>
        <v>961</v>
      </c>
      <c r="HB109" s="343">
        <f t="shared" si="1222"/>
        <v>443872.55</v>
      </c>
      <c r="HC109" s="343">
        <f t="shared" si="1222"/>
        <v>256979.625</v>
      </c>
      <c r="HD109" s="343">
        <f t="shared" si="1210"/>
        <v>186892.925</v>
      </c>
      <c r="HE109" s="357">
        <f t="shared" si="1211"/>
        <v>0.421050873724901</v>
      </c>
      <c r="HF109" s="343">
        <f>HB109/HA109</f>
        <v>461.886108220604</v>
      </c>
      <c r="HI109" s="192"/>
      <c r="HJ109" s="192"/>
      <c r="HK109" s="192"/>
      <c r="HL109" s="192"/>
      <c r="HM109" s="192"/>
      <c r="HN109" s="192"/>
      <c r="HO109" s="192"/>
      <c r="HP109" s="192"/>
      <c r="HQ109" s="192"/>
      <c r="HR109" s="192"/>
      <c r="HS109" s="192"/>
      <c r="HT109" s="192"/>
      <c r="HU109" s="192"/>
      <c r="HV109" s="192"/>
      <c r="HW109" s="192"/>
      <c r="HX109" s="192"/>
      <c r="HY109" s="192"/>
      <c r="HZ109" s="192"/>
      <c r="IA109" s="192"/>
      <c r="IB109" s="53"/>
      <c r="IC109" s="53"/>
      <c r="ID109" s="343" t="s">
        <v>153</v>
      </c>
      <c r="IE109" s="343">
        <f t="shared" ref="IE109:IK109" si="1223">SUM(IE108)</f>
        <v>3</v>
      </c>
      <c r="IF109" s="343">
        <f t="shared" si="1223"/>
        <v>0</v>
      </c>
      <c r="IG109" s="343">
        <f t="shared" si="1223"/>
        <v>31</v>
      </c>
      <c r="IH109" s="343">
        <f t="shared" si="1223"/>
        <v>1164</v>
      </c>
      <c r="II109" s="343">
        <f t="shared" si="1223"/>
        <v>1045</v>
      </c>
      <c r="IJ109" s="343">
        <f t="shared" si="1223"/>
        <v>508054.75</v>
      </c>
      <c r="IK109" s="343">
        <f t="shared" si="1223"/>
        <v>457103.75</v>
      </c>
      <c r="IL109" s="343">
        <f t="shared" si="1212"/>
        <v>50951</v>
      </c>
      <c r="IM109" s="343">
        <f t="shared" si="1213"/>
        <v>0.10028643566466</v>
      </c>
      <c r="IN109" s="343">
        <f>IJ109/II109</f>
        <v>486.176794258373</v>
      </c>
      <c r="IP109" s="11"/>
      <c r="IQ109" s="192"/>
      <c r="IR109" s="192"/>
      <c r="IS109" s="192"/>
      <c r="IT109" s="192"/>
      <c r="IU109" s="192"/>
      <c r="IV109" s="192"/>
      <c r="IW109" s="192"/>
      <c r="IX109" s="192"/>
      <c r="IY109" s="192"/>
      <c r="IZ109" s="192"/>
      <c r="JA109" s="192"/>
      <c r="JB109" s="192"/>
      <c r="JC109" s="192"/>
      <c r="JD109" s="192"/>
      <c r="JE109" s="192"/>
      <c r="JF109" s="192"/>
      <c r="JG109" s="192"/>
      <c r="JH109" s="192"/>
      <c r="JI109" s="192"/>
      <c r="JJ109" s="53"/>
      <c r="JK109" s="53"/>
      <c r="JL109" s="343" t="s">
        <v>153</v>
      </c>
      <c r="JM109" s="343">
        <f t="shared" ref="JM109:JR109" si="1224">SUM(JM108)</f>
        <v>4</v>
      </c>
      <c r="JN109" s="343">
        <f t="shared" si="1224"/>
        <v>9</v>
      </c>
      <c r="JO109" s="343">
        <f t="shared" si="1224"/>
        <v>1154</v>
      </c>
      <c r="JP109" s="343">
        <f t="shared" si="1224"/>
        <v>1058</v>
      </c>
      <c r="JQ109" s="343">
        <f t="shared" si="1224"/>
        <v>525883.9</v>
      </c>
      <c r="JR109" s="343">
        <f t="shared" si="1224"/>
        <v>398948.825</v>
      </c>
      <c r="JS109" s="343">
        <f t="shared" si="1214"/>
        <v>126935.075</v>
      </c>
      <c r="JT109" s="346">
        <f t="shared" si="1215"/>
        <v>0.241374712175064</v>
      </c>
      <c r="JU109" s="343">
        <f>JQ109/JP109</f>
        <v>497.054725897921</v>
      </c>
      <c r="JX109" s="192"/>
      <c r="JY109" s="192"/>
      <c r="JZ109" s="192"/>
      <c r="KA109" s="192"/>
      <c r="KB109" s="192"/>
      <c r="KC109" s="192"/>
      <c r="KD109" s="192"/>
      <c r="KE109" s="192"/>
      <c r="KF109" s="192"/>
      <c r="KG109" s="192"/>
      <c r="KH109" s="192"/>
      <c r="KI109" s="192"/>
      <c r="KJ109" s="192"/>
      <c r="KK109" s="192"/>
      <c r="KL109" s="192"/>
      <c r="KM109" s="192"/>
      <c r="KN109" s="192"/>
      <c r="KO109" s="192"/>
      <c r="KP109" s="192"/>
      <c r="KQ109" s="192"/>
      <c r="KR109" s="53"/>
      <c r="KS109" s="53"/>
      <c r="KT109" s="343" t="s">
        <v>153</v>
      </c>
      <c r="KU109" s="343">
        <v>6</v>
      </c>
      <c r="KV109" s="343">
        <v>162</v>
      </c>
      <c r="KW109" s="343">
        <v>1737</v>
      </c>
      <c r="KX109" s="343">
        <v>1343</v>
      </c>
      <c r="KY109" s="343">
        <v>511544.15</v>
      </c>
      <c r="KZ109" s="343">
        <v>462084.7625</v>
      </c>
      <c r="LA109" s="343">
        <v>49459.3875000001</v>
      </c>
      <c r="LB109" s="346">
        <v>0.096686449253696</v>
      </c>
      <c r="LC109" s="343">
        <v>380.896612062547</v>
      </c>
      <c r="LF109" s="11"/>
      <c r="LG109" s="192"/>
      <c r="LH109" s="192"/>
      <c r="LI109" s="192"/>
      <c r="LJ109" s="192"/>
      <c r="LK109" s="192"/>
      <c r="LL109" s="192"/>
      <c r="LM109" s="192"/>
      <c r="LN109" s="192"/>
      <c r="LO109" s="192"/>
      <c r="LP109" s="192"/>
      <c r="LQ109" s="192"/>
      <c r="LR109" s="192"/>
      <c r="LS109" s="192"/>
      <c r="LT109" s="192"/>
      <c r="LU109" s="192"/>
      <c r="LV109" s="192"/>
      <c r="LW109" s="192"/>
      <c r="LX109" s="192"/>
      <c r="LY109" s="192"/>
      <c r="LZ109" s="192"/>
      <c r="MA109" s="192"/>
      <c r="MB109" s="343" t="s">
        <v>153</v>
      </c>
      <c r="MC109" s="343">
        <f t="shared" ref="MC109:MH109" si="1225">SUM(MC108)</f>
        <v>6</v>
      </c>
      <c r="MD109" s="343">
        <f t="shared" si="1225"/>
        <v>90</v>
      </c>
      <c r="ME109" s="343">
        <f t="shared" si="1225"/>
        <v>1082</v>
      </c>
      <c r="MF109" s="343">
        <f t="shared" si="1225"/>
        <v>699</v>
      </c>
      <c r="MG109" s="343">
        <f t="shared" si="1225"/>
        <v>309910.8</v>
      </c>
      <c r="MH109" s="343">
        <f t="shared" si="1225"/>
        <v>258266.4875</v>
      </c>
      <c r="MI109" s="343">
        <f t="shared" si="1216"/>
        <v>51644.3125</v>
      </c>
      <c r="MJ109" s="346">
        <f t="shared" si="1217"/>
        <v>0.166642506488964</v>
      </c>
      <c r="MK109" s="343">
        <f>MG109/MF109</f>
        <v>443.363090128755</v>
      </c>
      <c r="MO109" s="192"/>
      <c r="MP109" s="192"/>
      <c r="MQ109" s="192"/>
      <c r="MR109" s="192"/>
      <c r="MS109" s="192"/>
      <c r="MT109" s="192"/>
      <c r="MU109" s="192"/>
      <c r="MV109" s="192"/>
      <c r="MW109" s="192"/>
      <c r="MX109" s="192"/>
      <c r="MY109" s="192"/>
      <c r="MZ109" s="192"/>
      <c r="NA109" s="192"/>
      <c r="NB109" s="192"/>
      <c r="NC109" s="192"/>
      <c r="ND109" s="192"/>
      <c r="NE109" s="192"/>
      <c r="NF109" s="192"/>
      <c r="NG109" s="192"/>
      <c r="NH109" s="53"/>
      <c r="NI109" s="53"/>
      <c r="NJ109" s="343" t="s">
        <v>153</v>
      </c>
      <c r="NK109" s="343">
        <f t="shared" ref="NK109:NP109" si="1226">SUM(NK108)</f>
        <v>4</v>
      </c>
      <c r="NL109" s="343">
        <f t="shared" si="1226"/>
        <v>13</v>
      </c>
      <c r="NM109" s="343">
        <f t="shared" si="1226"/>
        <v>288</v>
      </c>
      <c r="NN109" s="343">
        <f t="shared" si="1226"/>
        <v>105</v>
      </c>
      <c r="NO109" s="343">
        <f t="shared" si="1226"/>
        <v>22112.5</v>
      </c>
      <c r="NP109" s="343">
        <f t="shared" si="1226"/>
        <v>36034.6625</v>
      </c>
      <c r="NQ109" s="343">
        <f>NO109-NP109</f>
        <v>-13922.1625</v>
      </c>
      <c r="NR109" s="346">
        <f>NQ109/NO109</f>
        <v>-0.629605992085924</v>
      </c>
      <c r="NS109" s="343">
        <f>NO109/NN109</f>
        <v>210.595238095238</v>
      </c>
      <c r="NT109" s="53"/>
      <c r="NU109" s="53"/>
      <c r="NV109" s="53"/>
      <c r="NW109" s="53"/>
      <c r="NX109" s="53"/>
      <c r="NY109" s="53"/>
      <c r="NZ109" s="53"/>
      <c r="OA109" s="53"/>
      <c r="OB109" s="53"/>
      <c r="OC109" s="53"/>
      <c r="OD109" s="53"/>
      <c r="OE109" s="53"/>
      <c r="OF109" s="53"/>
      <c r="OG109" s="53"/>
      <c r="OH109" s="53"/>
      <c r="OI109" s="53"/>
      <c r="OJ109" s="53"/>
      <c r="OK109" s="53"/>
      <c r="OL109" s="53"/>
      <c r="OM109" s="53"/>
      <c r="ON109" s="53"/>
      <c r="OO109" s="53"/>
      <c r="OP109" s="53"/>
      <c r="OQ109" s="53"/>
      <c r="OR109" s="53"/>
      <c r="OS109" s="144"/>
      <c r="OT109" s="144"/>
      <c r="OU109" s="144"/>
      <c r="OV109" s="144"/>
      <c r="OW109" s="144"/>
      <c r="OX109" s="144"/>
      <c r="OY109" s="144"/>
      <c r="OZ109" s="144"/>
      <c r="PA109" s="144"/>
      <c r="PB109" s="144"/>
      <c r="PC109" s="144"/>
      <c r="PD109" s="144"/>
      <c r="PE109" s="144"/>
      <c r="PF109" s="144"/>
      <c r="PG109" s="144"/>
      <c r="PH109" s="144"/>
      <c r="PI109" s="144"/>
      <c r="PJ109" s="144"/>
      <c r="PK109" s="144"/>
      <c r="PL109" s="144"/>
      <c r="PM109" s="144"/>
      <c r="PN109" s="144"/>
      <c r="PO109" s="144"/>
      <c r="PP109" s="144"/>
      <c r="PQ109" s="144"/>
      <c r="PR109" s="144"/>
      <c r="PS109" s="144"/>
      <c r="PT109" s="146"/>
      <c r="PU109" s="146"/>
      <c r="PV109" s="146"/>
      <c r="PW109" s="146"/>
      <c r="PX109" s="146"/>
      <c r="PY109" s="146"/>
      <c r="PZ109" s="146"/>
      <c r="QA109" s="146"/>
      <c r="QB109" s="146"/>
      <c r="QC109" s="146"/>
      <c r="QD109" s="146"/>
      <c r="QE109" s="146"/>
      <c r="QF109" s="146"/>
      <c r="QG109" s="146"/>
      <c r="QH109" s="146"/>
      <c r="QI109" s="146"/>
      <c r="QJ109" s="146"/>
      <c r="QK109" s="146"/>
      <c r="QL109" s="146"/>
      <c r="QM109" s="146"/>
      <c r="QN109" s="146"/>
      <c r="QO109" s="146"/>
      <c r="QP109" s="146"/>
      <c r="QQ109" s="146"/>
      <c r="QR109" s="146"/>
      <c r="QS109" s="144"/>
      <c r="QT109" s="144"/>
      <c r="QU109" s="144"/>
      <c r="QV109" s="144"/>
      <c r="QW109" s="144"/>
      <c r="QX109" s="144"/>
      <c r="QY109" s="144"/>
      <c r="QZ109" s="144"/>
      <c r="RA109" s="144"/>
      <c r="RB109" s="144"/>
      <c r="RC109" s="144"/>
      <c r="RD109" s="144"/>
      <c r="RE109" s="144"/>
      <c r="RF109" s="144"/>
      <c r="RG109" s="144"/>
      <c r="RH109" s="144"/>
      <c r="RI109" s="144"/>
      <c r="RJ109" s="144"/>
      <c r="RK109" s="144"/>
      <c r="RL109" s="144"/>
      <c r="RM109" s="144"/>
      <c r="RN109" s="144"/>
      <c r="RO109" s="144"/>
      <c r="RP109" s="144"/>
      <c r="RQ109" s="144"/>
      <c r="RR109" s="144"/>
      <c r="RS109" s="144"/>
      <c r="RT109" s="144"/>
      <c r="RU109" s="144"/>
      <c r="RV109" s="144"/>
      <c r="RW109" s="144"/>
      <c r="RX109" s="144"/>
      <c r="RY109" s="144"/>
      <c r="RZ109" s="144"/>
      <c r="SA109" s="144"/>
      <c r="SB109" s="144"/>
      <c r="SC109" s="144"/>
      <c r="SD109" s="144"/>
      <c r="SE109" s="144"/>
      <c r="SF109" s="144"/>
      <c r="SG109" s="144"/>
      <c r="SH109" s="144"/>
      <c r="SI109" s="144"/>
      <c r="SJ109" s="144"/>
      <c r="SK109" s="144"/>
      <c r="SL109" s="144"/>
      <c r="SM109" s="84"/>
      <c r="SN109" s="84"/>
      <c r="SO109" s="154"/>
      <c r="SP109" s="154"/>
      <c r="SQ109" s="154"/>
      <c r="SR109" s="154"/>
      <c r="SS109" s="154"/>
      <c r="ST109" s="154"/>
      <c r="SU109" s="155"/>
      <c r="SV109" s="154"/>
      <c r="SW109" s="154"/>
      <c r="SX109" s="155"/>
      <c r="SY109" s="155"/>
      <c r="SZ109" s="155"/>
      <c r="TA109" s="155"/>
      <c r="TB109" s="155"/>
      <c r="TC109" s="155"/>
      <c r="TD109" s="155"/>
      <c r="TE109" s="156"/>
      <c r="TF109" s="144"/>
      <c r="TG109" s="84"/>
      <c r="TH109" s="144"/>
      <c r="TI109" s="144"/>
      <c r="TJ109" s="144"/>
      <c r="TK109" s="144"/>
      <c r="TL109" s="157"/>
      <c r="TM109" s="157"/>
      <c r="TN109" s="157"/>
      <c r="TO109" s="157"/>
      <c r="TP109" s="157"/>
      <c r="TQ109" s="157"/>
      <c r="TR109" s="157"/>
      <c r="TS109" s="157"/>
      <c r="TT109" s="157"/>
      <c r="TU109" s="158"/>
      <c r="TV109" s="157"/>
      <c r="TW109" s="158"/>
      <c r="TX109" s="144"/>
      <c r="TY109" s="144"/>
      <c r="TZ109" s="144"/>
      <c r="UA109" s="84"/>
      <c r="UB109" s="144"/>
      <c r="UC109" s="144"/>
      <c r="UD109" s="144"/>
      <c r="UE109" s="144"/>
      <c r="UF109" s="157"/>
      <c r="UG109" s="157"/>
      <c r="UH109" s="157"/>
      <c r="UI109" s="157"/>
      <c r="UJ109" s="157"/>
      <c r="UK109" s="157"/>
      <c r="UL109" s="157"/>
      <c r="UM109" s="157"/>
      <c r="UN109" s="157"/>
      <c r="UO109" s="157"/>
      <c r="UP109" s="157"/>
      <c r="UQ109" s="158"/>
      <c r="UR109" s="157"/>
      <c r="US109" s="158"/>
      <c r="UT109" s="144"/>
      <c r="UU109" s="144"/>
      <c r="UV109" s="144"/>
      <c r="UW109" s="144"/>
      <c r="UX109" s="144"/>
      <c r="UY109" s="144"/>
      <c r="UZ109" s="144"/>
      <c r="VA109" s="144"/>
      <c r="VB109" s="157"/>
      <c r="VC109" s="157"/>
      <c r="VD109" s="157"/>
      <c r="VE109" s="157"/>
      <c r="VF109" s="157"/>
      <c r="VG109" s="157"/>
      <c r="VH109" s="157"/>
      <c r="VI109" s="157"/>
      <c r="VJ109" s="157"/>
      <c r="VK109" s="157"/>
      <c r="VL109" s="157"/>
      <c r="VM109" s="157"/>
      <c r="VN109" s="157"/>
      <c r="VO109" s="157"/>
      <c r="VP109" s="144"/>
      <c r="VQ109" s="144"/>
      <c r="VR109" s="84"/>
      <c r="VS109" s="84"/>
      <c r="VT109" s="53"/>
      <c r="VU109" s="53"/>
    </row>
    <row r="110" ht="15.75" hidden="1" spans="1:1024 1025:16384">
      <c r="A110" s="53"/>
      <c r="B110" s="53"/>
      <c r="C110" s="302"/>
      <c r="D110" s="302"/>
      <c r="E110" s="302"/>
      <c r="F110" s="302"/>
      <c r="G110" s="302"/>
      <c r="H110" s="302"/>
      <c r="I110" s="302"/>
      <c r="J110" s="302"/>
      <c r="K110" s="302"/>
      <c r="L110" s="302"/>
      <c r="M110" s="302"/>
      <c r="N110" s="293"/>
      <c r="O110" s="293"/>
      <c r="P110" s="293"/>
      <c r="Q110" s="293"/>
      <c r="R110" s="293"/>
      <c r="S110" s="293"/>
      <c r="T110" s="293"/>
      <c r="U110" s="293"/>
      <c r="V110" s="293"/>
      <c r="W110" s="293"/>
      <c r="X110" s="293"/>
      <c r="Y110" s="293"/>
      <c r="Z110" s="293"/>
      <c r="AA110" s="293"/>
      <c r="AB110" s="293"/>
      <c r="AC110" s="293"/>
      <c r="AD110" s="293"/>
      <c r="AE110" s="293"/>
      <c r="AF110" s="293"/>
      <c r="AG110" s="293"/>
      <c r="AH110" s="293"/>
      <c r="AI110" s="53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293"/>
      <c r="AV110" s="293"/>
      <c r="AW110" s="293"/>
      <c r="AX110" s="293"/>
      <c r="AY110" s="293"/>
      <c r="AZ110" s="293"/>
      <c r="BA110" s="293"/>
      <c r="BB110" s="293"/>
      <c r="BC110" s="293"/>
      <c r="BD110" s="293"/>
      <c r="BE110" s="293"/>
      <c r="BF110" s="293"/>
      <c r="BG110" s="293"/>
      <c r="BH110" s="293"/>
      <c r="BI110" s="293"/>
      <c r="BJ110" s="293"/>
      <c r="BK110" s="293"/>
      <c r="BL110" s="293"/>
      <c r="BM110" s="293"/>
      <c r="BN110" s="293"/>
      <c r="BO110" s="293"/>
      <c r="BP110" s="53"/>
      <c r="BQ110" s="302"/>
      <c r="BR110" s="302"/>
      <c r="BS110" s="302"/>
      <c r="BT110" s="302"/>
      <c r="BU110" s="302"/>
      <c r="BV110" s="302"/>
      <c r="BW110" s="302"/>
      <c r="BX110" s="302"/>
      <c r="BY110" s="302"/>
      <c r="BZ110" s="302"/>
      <c r="CA110" s="302"/>
      <c r="CB110" s="293"/>
      <c r="CC110" s="293"/>
      <c r="CD110" s="293"/>
      <c r="CE110" s="293"/>
      <c r="CF110" s="293"/>
      <c r="CG110" s="293"/>
      <c r="CH110" s="293"/>
      <c r="CI110" s="293"/>
      <c r="CJ110" s="293"/>
      <c r="CK110" s="293"/>
      <c r="CL110" s="293"/>
      <c r="CM110" s="293"/>
      <c r="CN110" s="293"/>
      <c r="CO110" s="293"/>
      <c r="CP110" s="293"/>
      <c r="CQ110" s="293"/>
      <c r="CR110" s="293"/>
      <c r="CS110" s="293"/>
      <c r="CT110" s="293"/>
      <c r="CU110" s="293"/>
      <c r="CV110" s="293"/>
      <c r="CW110" s="53"/>
      <c r="CX110" s="302"/>
      <c r="CY110" s="302"/>
      <c r="CZ110" s="302"/>
      <c r="DA110" s="302"/>
      <c r="DB110" s="302"/>
      <c r="DC110" s="302"/>
      <c r="DD110" s="302"/>
      <c r="DE110" s="302"/>
      <c r="DF110" s="302"/>
      <c r="DG110" s="302"/>
      <c r="DH110" s="302"/>
      <c r="DI110" s="293"/>
      <c r="DJ110" s="293"/>
      <c r="DK110" s="293"/>
      <c r="DL110" s="293"/>
      <c r="DM110" s="293"/>
      <c r="DN110" s="293"/>
      <c r="DO110" s="293"/>
      <c r="DP110" s="293"/>
      <c r="DQ110" s="293"/>
      <c r="DR110" s="293"/>
      <c r="DS110" s="293"/>
      <c r="DT110" s="293"/>
      <c r="DU110" s="293"/>
      <c r="DV110" s="293"/>
      <c r="DW110" s="293"/>
      <c r="DX110" s="293"/>
      <c r="DY110" s="293"/>
      <c r="DZ110" s="293"/>
      <c r="EA110" s="293"/>
      <c r="EB110" s="293"/>
      <c r="EC110" s="293"/>
      <c r="ED110" s="53"/>
      <c r="EE110" s="358"/>
      <c r="EF110" s="358"/>
      <c r="EG110" s="358"/>
      <c r="EH110" s="358"/>
      <c r="EI110" s="358"/>
      <c r="EJ110" s="358"/>
      <c r="EK110" s="358"/>
      <c r="EL110" s="358"/>
      <c r="EM110" s="358"/>
      <c r="EN110" s="358"/>
      <c r="EO110" s="46"/>
      <c r="EP110" s="53"/>
      <c r="EQ110" s="53"/>
      <c r="ER110" s="192"/>
      <c r="ES110" s="192"/>
      <c r="ET110" s="192"/>
      <c r="EU110" s="192"/>
      <c r="EV110" s="192"/>
      <c r="EW110" s="192"/>
      <c r="EX110" s="192"/>
      <c r="EY110" s="192"/>
      <c r="EZ110" s="192"/>
      <c r="FA110" s="192"/>
      <c r="FB110" s="192"/>
      <c r="FC110" s="192"/>
      <c r="FD110" s="192"/>
      <c r="FE110" s="192"/>
      <c r="FF110" s="192"/>
      <c r="FG110" s="192"/>
      <c r="FH110" s="192"/>
      <c r="FI110" s="192"/>
      <c r="FJ110" s="192"/>
      <c r="FK110" s="53"/>
      <c r="FL110" s="53"/>
      <c r="FM110" s="53"/>
      <c r="FN110" s="192"/>
      <c r="FO110" s="192"/>
      <c r="FP110" s="192"/>
      <c r="FQ110" s="192"/>
      <c r="FR110" s="192"/>
      <c r="FS110" s="192"/>
      <c r="FT110" s="192"/>
      <c r="FU110" s="192"/>
      <c r="FV110" s="192"/>
      <c r="FW110" s="192"/>
      <c r="FX110" s="192"/>
      <c r="FY110" s="53"/>
      <c r="FZ110" s="192"/>
      <c r="GA110" s="192"/>
      <c r="GB110" s="192"/>
      <c r="GC110" s="192"/>
      <c r="GD110" s="192"/>
      <c r="GE110" s="192"/>
      <c r="GF110" s="192"/>
      <c r="GG110" s="192"/>
      <c r="GH110" s="192"/>
      <c r="GI110" s="192"/>
      <c r="GJ110" s="192"/>
      <c r="GK110" s="192"/>
      <c r="GL110" s="192"/>
      <c r="GM110" s="192"/>
      <c r="GN110" s="192"/>
      <c r="GO110" s="192"/>
      <c r="GP110" s="192"/>
      <c r="GQ110" s="192"/>
      <c r="GR110" s="192"/>
      <c r="GS110" s="192"/>
      <c r="GT110" s="53"/>
      <c r="GU110" s="53"/>
      <c r="GV110" s="192"/>
      <c r="GW110" s="192"/>
      <c r="GX110" s="192"/>
      <c r="GY110" s="192"/>
      <c r="GZ110" s="192"/>
      <c r="HA110" s="192"/>
      <c r="HB110" s="192"/>
      <c r="HC110" s="192"/>
      <c r="HD110" s="192"/>
      <c r="HE110" s="192"/>
      <c r="HF110" s="192"/>
      <c r="HI110" s="192"/>
      <c r="HJ110" s="192"/>
      <c r="HK110" s="192"/>
      <c r="HL110" s="192"/>
      <c r="HM110" s="192"/>
      <c r="HN110" s="192"/>
      <c r="HO110" s="192"/>
      <c r="HP110" s="192"/>
      <c r="HQ110" s="192"/>
      <c r="HR110" s="192"/>
      <c r="HS110" s="192"/>
      <c r="HT110" s="192"/>
      <c r="HU110" s="192"/>
      <c r="HV110" s="192"/>
      <c r="HW110" s="192"/>
      <c r="HX110" s="192"/>
      <c r="HY110" s="192"/>
      <c r="HZ110" s="192"/>
      <c r="IA110" s="192"/>
      <c r="IB110" s="53"/>
      <c r="IC110" s="53"/>
      <c r="ID110" s="192"/>
      <c r="IE110" s="192"/>
      <c r="IF110" s="192"/>
      <c r="IG110" s="192"/>
      <c r="IH110" s="192"/>
      <c r="II110" s="192"/>
      <c r="IJ110" s="192"/>
      <c r="IK110" s="192"/>
      <c r="IL110" s="192"/>
      <c r="IM110" s="192"/>
      <c r="IN110" s="192"/>
      <c r="IP110" s="11"/>
      <c r="IQ110" s="192"/>
      <c r="IR110" s="192"/>
      <c r="IS110" s="192"/>
      <c r="IT110" s="192"/>
      <c r="IU110" s="192"/>
      <c r="IV110" s="192"/>
      <c r="IW110" s="192"/>
      <c r="IX110" s="192"/>
      <c r="IY110" s="192"/>
      <c r="IZ110" s="192"/>
      <c r="JA110" s="192"/>
      <c r="JB110" s="192"/>
      <c r="JC110" s="192"/>
      <c r="JD110" s="192"/>
      <c r="JE110" s="192"/>
      <c r="JF110" s="192"/>
      <c r="JG110" s="192"/>
      <c r="JH110" s="192"/>
      <c r="JI110" s="192"/>
      <c r="JJ110" s="53"/>
      <c r="JK110" s="53"/>
      <c r="JL110" s="192"/>
      <c r="JM110" s="192"/>
      <c r="JN110" s="192"/>
      <c r="JO110" s="192"/>
      <c r="JP110" s="192"/>
      <c r="JQ110" s="192"/>
      <c r="JR110" s="192"/>
      <c r="JS110" s="192"/>
      <c r="JT110" s="192"/>
      <c r="JU110" s="192"/>
      <c r="JX110" s="192"/>
      <c r="JY110" s="192"/>
      <c r="JZ110" s="192"/>
      <c r="KA110" s="192"/>
      <c r="KB110" s="192"/>
      <c r="KC110" s="192"/>
      <c r="KD110" s="192"/>
      <c r="KE110" s="192"/>
      <c r="KF110" s="192"/>
      <c r="KG110" s="192"/>
      <c r="KH110" s="192"/>
      <c r="KI110" s="192"/>
      <c r="KJ110" s="192"/>
      <c r="KK110" s="192"/>
      <c r="KL110" s="192"/>
      <c r="KM110" s="192"/>
      <c r="KN110" s="192"/>
      <c r="KO110" s="192"/>
      <c r="KP110" s="192"/>
      <c r="KQ110" s="192"/>
      <c r="KR110" s="53"/>
      <c r="KS110" s="53"/>
      <c r="KT110" s="192"/>
      <c r="KU110" s="192"/>
      <c r="KV110" s="192"/>
      <c r="KW110" s="192"/>
      <c r="KX110" s="192"/>
      <c r="KY110" s="192"/>
      <c r="KZ110" s="192"/>
      <c r="LA110" s="192"/>
      <c r="LB110" s="192"/>
      <c r="LC110" s="192"/>
      <c r="LF110" s="11"/>
      <c r="LG110" s="192"/>
      <c r="LH110" s="192"/>
      <c r="LI110" s="192"/>
      <c r="LJ110" s="192"/>
      <c r="LK110" s="192"/>
      <c r="LL110" s="192"/>
      <c r="LM110" s="192"/>
      <c r="LN110" s="192"/>
      <c r="LO110" s="192"/>
      <c r="LP110" s="192"/>
      <c r="LQ110" s="192"/>
      <c r="LR110" s="192"/>
      <c r="LS110" s="192"/>
      <c r="LT110" s="192"/>
      <c r="LU110" s="192"/>
      <c r="LV110" s="192"/>
      <c r="LW110" s="192"/>
      <c r="LX110" s="192"/>
      <c r="LY110" s="192"/>
      <c r="LZ110" s="192"/>
      <c r="MA110" s="192"/>
      <c r="MB110" s="192"/>
      <c r="MC110" s="192"/>
      <c r="MD110" s="192"/>
      <c r="ME110" s="192"/>
      <c r="MF110" s="192"/>
      <c r="MG110" s="192"/>
      <c r="MH110" s="192"/>
      <c r="MI110" s="192"/>
      <c r="MJ110" s="192"/>
      <c r="MK110" s="192"/>
      <c r="MO110" s="192"/>
      <c r="MP110" s="192"/>
      <c r="MQ110" s="192"/>
      <c r="MR110" s="192"/>
      <c r="MS110" s="192"/>
      <c r="MT110" s="192"/>
      <c r="MU110" s="192"/>
      <c r="MV110" s="192"/>
      <c r="MW110" s="192"/>
      <c r="MX110" s="192"/>
      <c r="MY110" s="192"/>
      <c r="MZ110" s="192"/>
      <c r="NA110" s="192"/>
      <c r="NB110" s="192"/>
      <c r="NC110" s="192"/>
      <c r="ND110" s="192"/>
      <c r="NE110" s="192"/>
      <c r="NF110" s="192"/>
      <c r="NG110" s="192"/>
      <c r="NH110" s="53"/>
      <c r="NI110" s="53"/>
      <c r="NJ110" s="159"/>
      <c r="NK110" s="53"/>
      <c r="NL110" s="53"/>
      <c r="NM110" s="53"/>
      <c r="NN110" s="53"/>
      <c r="NO110" s="53"/>
      <c r="NP110" s="53"/>
      <c r="NQ110" s="53"/>
      <c r="NR110" s="53"/>
      <c r="NS110" s="53"/>
      <c r="NT110" s="53"/>
      <c r="NU110" s="53"/>
      <c r="NV110" s="53"/>
      <c r="NW110" s="53"/>
      <c r="NX110" s="53"/>
      <c r="NY110" s="53"/>
      <c r="NZ110" s="53"/>
      <c r="OA110" s="53"/>
      <c r="OB110" s="53"/>
      <c r="OC110" s="53"/>
      <c r="OD110" s="53"/>
      <c r="OE110" s="53"/>
      <c r="OF110" s="53"/>
      <c r="OG110" s="53"/>
      <c r="OH110" s="53"/>
      <c r="OI110" s="53"/>
      <c r="OJ110" s="53"/>
      <c r="OK110" s="53"/>
      <c r="OL110" s="53"/>
      <c r="OM110" s="53"/>
      <c r="ON110" s="53"/>
      <c r="OO110" s="53"/>
      <c r="OP110" s="53"/>
      <c r="OQ110" s="53"/>
      <c r="OR110" s="53"/>
      <c r="OS110" s="144"/>
      <c r="OT110" s="144"/>
      <c r="OU110" s="144"/>
      <c r="OV110" s="144"/>
      <c r="OW110" s="144"/>
      <c r="OX110" s="144"/>
      <c r="OY110" s="144"/>
      <c r="OZ110" s="144"/>
      <c r="PA110" s="144"/>
      <c r="PB110" s="144"/>
      <c r="PC110" s="144"/>
      <c r="PD110" s="144"/>
      <c r="PE110" s="144"/>
      <c r="PF110" s="144"/>
      <c r="PG110" s="144"/>
      <c r="PH110" s="144"/>
      <c r="PI110" s="144"/>
      <c r="PJ110" s="144"/>
      <c r="PK110" s="144"/>
      <c r="PL110" s="144"/>
      <c r="PM110" s="144"/>
      <c r="PN110" s="144"/>
      <c r="PO110" s="144"/>
      <c r="PP110" s="144"/>
      <c r="PQ110" s="144"/>
      <c r="PR110" s="144"/>
      <c r="PS110" s="144"/>
      <c r="PT110" s="146"/>
      <c r="PU110" s="146"/>
      <c r="PV110" s="146"/>
      <c r="PW110" s="146"/>
      <c r="PX110" s="146"/>
      <c r="PY110" s="146"/>
      <c r="PZ110" s="146"/>
      <c r="QA110" s="146"/>
      <c r="QB110" s="146"/>
      <c r="QC110" s="146"/>
      <c r="QD110" s="146"/>
      <c r="QE110" s="146"/>
      <c r="QF110" s="146"/>
      <c r="QG110" s="146"/>
      <c r="QH110" s="146"/>
      <c r="QI110" s="146"/>
      <c r="QJ110" s="146"/>
      <c r="QK110" s="146"/>
      <c r="QL110" s="146"/>
      <c r="QM110" s="146"/>
      <c r="QN110" s="146"/>
      <c r="QO110" s="146"/>
      <c r="QP110" s="146"/>
      <c r="QQ110" s="146"/>
      <c r="QR110" s="146"/>
      <c r="QS110" s="144"/>
      <c r="QT110" s="144"/>
      <c r="QU110" s="144"/>
      <c r="QV110" s="144"/>
      <c r="QW110" s="144"/>
      <c r="QX110" s="144"/>
      <c r="QY110" s="144"/>
      <c r="QZ110" s="144"/>
      <c r="RA110" s="144"/>
      <c r="RB110" s="144"/>
      <c r="RC110" s="144"/>
      <c r="RD110" s="144"/>
      <c r="RE110" s="144"/>
      <c r="RF110" s="144"/>
      <c r="RG110" s="144"/>
      <c r="RH110" s="144"/>
      <c r="RI110" s="144"/>
      <c r="RJ110" s="144"/>
      <c r="RK110" s="144"/>
      <c r="RL110" s="144"/>
      <c r="RM110" s="144"/>
      <c r="RN110" s="144"/>
      <c r="RO110" s="144"/>
      <c r="RP110" s="144"/>
      <c r="RQ110" s="144"/>
      <c r="RR110" s="144"/>
      <c r="RS110" s="144"/>
      <c r="RT110" s="144"/>
      <c r="RU110" s="144"/>
      <c r="RV110" s="144"/>
      <c r="RW110" s="144"/>
      <c r="RX110" s="144"/>
      <c r="RY110" s="144"/>
      <c r="RZ110" s="144"/>
      <c r="SA110" s="144"/>
      <c r="SB110" s="144"/>
      <c r="SC110" s="144"/>
      <c r="SD110" s="144"/>
      <c r="SE110" s="144"/>
      <c r="SF110" s="144"/>
      <c r="SG110" s="144"/>
      <c r="SH110" s="144"/>
      <c r="SI110" s="144"/>
      <c r="SJ110" s="144"/>
      <c r="SK110" s="144"/>
      <c r="SL110" s="144"/>
      <c r="SM110" s="84"/>
      <c r="SN110" s="84"/>
      <c r="SO110" s="154"/>
      <c r="SP110" s="154"/>
      <c r="SQ110" s="154"/>
      <c r="SR110" s="154"/>
      <c r="SS110" s="154"/>
      <c r="ST110" s="154"/>
      <c r="SU110" s="155"/>
      <c r="SV110" s="154"/>
      <c r="SW110" s="154"/>
      <c r="SX110" s="155"/>
      <c r="SY110" s="155"/>
      <c r="SZ110" s="155"/>
      <c r="TA110" s="155"/>
      <c r="TB110" s="155"/>
      <c r="TC110" s="155"/>
      <c r="TD110" s="155"/>
      <c r="TE110" s="156"/>
      <c r="TF110" s="144"/>
      <c r="TG110" s="84"/>
      <c r="TH110" s="144"/>
      <c r="TI110" s="144"/>
      <c r="TJ110" s="144"/>
      <c r="TK110" s="144"/>
      <c r="TL110" s="157"/>
      <c r="TM110" s="157"/>
      <c r="TN110" s="157"/>
      <c r="TO110" s="157"/>
      <c r="TP110" s="157"/>
      <c r="TQ110" s="157"/>
      <c r="TR110" s="157"/>
      <c r="TS110" s="157"/>
      <c r="TT110" s="157"/>
      <c r="TU110" s="158"/>
      <c r="TV110" s="157"/>
      <c r="TW110" s="158"/>
      <c r="TX110" s="144"/>
      <c r="TY110" s="144"/>
      <c r="TZ110" s="144"/>
      <c r="UA110" s="84"/>
      <c r="UB110" s="144"/>
      <c r="UC110" s="144"/>
      <c r="UD110" s="144"/>
      <c r="UE110" s="144"/>
      <c r="UF110" s="157"/>
      <c r="UG110" s="157"/>
      <c r="UH110" s="157"/>
      <c r="UI110" s="157"/>
      <c r="UJ110" s="157"/>
      <c r="UK110" s="157"/>
      <c r="UL110" s="157"/>
      <c r="UM110" s="157"/>
      <c r="UN110" s="157"/>
      <c r="UO110" s="157"/>
      <c r="UP110" s="157"/>
      <c r="UQ110" s="158"/>
      <c r="UR110" s="157"/>
      <c r="US110" s="158"/>
      <c r="UT110" s="144"/>
      <c r="UU110" s="144"/>
      <c r="UV110" s="144"/>
      <c r="UW110" s="144"/>
      <c r="UX110" s="144"/>
      <c r="UY110" s="144"/>
      <c r="UZ110" s="144"/>
      <c r="VA110" s="144"/>
      <c r="VB110" s="157"/>
      <c r="VC110" s="157"/>
      <c r="VD110" s="157"/>
      <c r="VE110" s="157"/>
      <c r="VF110" s="157"/>
      <c r="VG110" s="157"/>
      <c r="VH110" s="157"/>
      <c r="VI110" s="157"/>
      <c r="VJ110" s="157"/>
      <c r="VK110" s="157"/>
      <c r="VL110" s="157"/>
      <c r="VM110" s="157"/>
      <c r="VN110" s="157"/>
      <c r="VO110" s="157"/>
      <c r="VP110" s="144"/>
      <c r="VQ110" s="144"/>
      <c r="VR110" s="84"/>
      <c r="VS110" s="84"/>
      <c r="VT110" s="53"/>
      <c r="VU110" s="53"/>
    </row>
    <row r="111" ht="15.75" hidden="1" spans="1:1024 1025:16384">
      <c r="A111" s="53"/>
      <c r="B111" s="53"/>
      <c r="C111" s="162"/>
      <c r="D111" s="162"/>
      <c r="E111" s="162"/>
      <c r="F111" s="162"/>
      <c r="G111" s="162"/>
      <c r="H111" s="162"/>
      <c r="I111" s="162"/>
      <c r="J111" s="162"/>
      <c r="K111" s="162"/>
      <c r="L111" s="162"/>
      <c r="M111" s="162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93"/>
      <c r="AB111" s="293"/>
      <c r="AC111" s="293"/>
      <c r="AD111" s="293"/>
      <c r="AE111" s="293"/>
      <c r="AF111" s="293"/>
      <c r="AG111" s="293"/>
      <c r="AH111" s="293"/>
      <c r="AI111" s="53"/>
      <c r="AJ111" s="162" t="s">
        <v>20</v>
      </c>
      <c r="AK111" s="162" t="s">
        <v>21</v>
      </c>
      <c r="AL111" s="162" t="s">
        <v>154</v>
      </c>
      <c r="AM111" s="162" t="s">
        <v>23</v>
      </c>
      <c r="AN111" s="162" t="s">
        <v>36</v>
      </c>
      <c r="AO111" s="162" t="s">
        <v>37</v>
      </c>
      <c r="AP111" s="162" t="s">
        <v>221</v>
      </c>
      <c r="AQ111" s="162" t="s">
        <v>222</v>
      </c>
      <c r="AR111" s="162" t="s">
        <v>223</v>
      </c>
      <c r="AS111" s="162" t="s">
        <v>224</v>
      </c>
      <c r="AT111" s="162" t="s">
        <v>225</v>
      </c>
      <c r="AU111" s="293"/>
      <c r="AV111" s="293"/>
      <c r="AW111" s="293"/>
      <c r="AX111" s="293"/>
      <c r="AY111" s="293"/>
      <c r="AZ111" s="293"/>
      <c r="BA111" s="293"/>
      <c r="BB111" s="293"/>
      <c r="BC111" s="293"/>
      <c r="BD111" s="293"/>
      <c r="BE111" s="293"/>
      <c r="BF111" s="293"/>
      <c r="BG111" s="293"/>
      <c r="BH111" s="293"/>
      <c r="BI111" s="293"/>
      <c r="BJ111" s="293"/>
      <c r="BK111" s="293"/>
      <c r="BL111" s="293"/>
      <c r="BM111" s="293"/>
      <c r="BN111" s="293"/>
      <c r="BO111" s="293"/>
      <c r="BP111" s="53"/>
      <c r="BQ111" s="162" t="s">
        <v>20</v>
      </c>
      <c r="BR111" s="162" t="s">
        <v>21</v>
      </c>
      <c r="BS111" s="162" t="s">
        <v>154</v>
      </c>
      <c r="BT111" s="162" t="s">
        <v>23</v>
      </c>
      <c r="BU111" s="162" t="s">
        <v>36</v>
      </c>
      <c r="BV111" s="162" t="s">
        <v>37</v>
      </c>
      <c r="BW111" s="162" t="s">
        <v>221</v>
      </c>
      <c r="BX111" s="162" t="s">
        <v>222</v>
      </c>
      <c r="BY111" s="162" t="s">
        <v>223</v>
      </c>
      <c r="BZ111" s="162" t="s">
        <v>224</v>
      </c>
      <c r="CA111" s="162" t="s">
        <v>225</v>
      </c>
      <c r="CB111" s="293"/>
      <c r="CC111" s="293"/>
      <c r="CD111" s="293"/>
      <c r="CE111" s="293"/>
      <c r="CF111" s="293"/>
      <c r="CG111" s="293"/>
      <c r="CH111" s="293"/>
      <c r="CI111" s="293"/>
      <c r="CJ111" s="293"/>
      <c r="CK111" s="293"/>
      <c r="CL111" s="293"/>
      <c r="CM111" s="293"/>
      <c r="CN111" s="293"/>
      <c r="CO111" s="293"/>
      <c r="CP111" s="293"/>
      <c r="CQ111" s="293"/>
      <c r="CR111" s="293"/>
      <c r="CS111" s="293"/>
      <c r="CT111" s="293"/>
      <c r="CU111" s="293"/>
      <c r="CV111" s="293"/>
      <c r="CW111" s="53"/>
      <c r="CX111" s="162" t="s">
        <v>20</v>
      </c>
      <c r="CY111" s="162" t="s">
        <v>21</v>
      </c>
      <c r="CZ111" s="162" t="s">
        <v>154</v>
      </c>
      <c r="DA111" s="162" t="s">
        <v>23</v>
      </c>
      <c r="DB111" s="162" t="s">
        <v>36</v>
      </c>
      <c r="DC111" s="162" t="s">
        <v>37</v>
      </c>
      <c r="DD111" s="162" t="s">
        <v>221</v>
      </c>
      <c r="DE111" s="162" t="s">
        <v>222</v>
      </c>
      <c r="DF111" s="162" t="s">
        <v>223</v>
      </c>
      <c r="DG111" s="162" t="s">
        <v>224</v>
      </c>
      <c r="DH111" s="162" t="s">
        <v>225</v>
      </c>
      <c r="DI111" s="293"/>
      <c r="DJ111" s="293"/>
      <c r="DK111" s="293"/>
      <c r="DL111" s="293"/>
      <c r="DM111" s="293"/>
      <c r="DN111" s="293"/>
      <c r="DO111" s="293"/>
      <c r="DP111" s="293"/>
      <c r="DQ111" s="293"/>
      <c r="DR111" s="293"/>
      <c r="DS111" s="293"/>
      <c r="DT111" s="293"/>
      <c r="DU111" s="293"/>
      <c r="DV111" s="293"/>
      <c r="DW111" s="293"/>
      <c r="DX111" s="293"/>
      <c r="DY111" s="293"/>
      <c r="DZ111" s="293"/>
      <c r="EA111" s="293"/>
      <c r="EB111" s="293"/>
      <c r="EC111" s="293"/>
      <c r="ED111" s="53"/>
      <c r="EE111" s="347" t="s">
        <v>20</v>
      </c>
      <c r="EF111" s="347" t="s">
        <v>21</v>
      </c>
      <c r="EG111" s="347" t="s">
        <v>154</v>
      </c>
      <c r="EH111" s="347" t="s">
        <v>23</v>
      </c>
      <c r="EI111" s="347" t="s">
        <v>219</v>
      </c>
      <c r="EJ111" s="347" t="s">
        <v>27</v>
      </c>
      <c r="EK111" s="347" t="s">
        <v>28</v>
      </c>
      <c r="EL111" s="347" t="s">
        <v>29</v>
      </c>
      <c r="EM111" s="347" t="s">
        <v>32</v>
      </c>
      <c r="EN111" s="347" t="s">
        <v>220</v>
      </c>
      <c r="EO111" s="347" t="s">
        <v>157</v>
      </c>
      <c r="EP111" s="53"/>
      <c r="EQ111" s="53"/>
      <c r="ER111" s="192"/>
      <c r="ES111" s="192"/>
      <c r="ET111" s="192"/>
      <c r="EU111" s="192"/>
      <c r="EV111" s="192"/>
      <c r="EW111" s="192"/>
      <c r="EX111" s="192"/>
      <c r="EY111" s="192"/>
      <c r="EZ111" s="192"/>
      <c r="FA111" s="192"/>
      <c r="FB111" s="192"/>
      <c r="FC111" s="192"/>
      <c r="FD111" s="192"/>
      <c r="FE111" s="192"/>
      <c r="FF111" s="192"/>
      <c r="FG111" s="192"/>
      <c r="FH111" s="192"/>
      <c r="FI111" s="192"/>
      <c r="FJ111" s="192"/>
      <c r="FK111" s="53"/>
      <c r="FL111" s="53"/>
      <c r="FM111" s="53"/>
      <c r="FN111" s="347" t="s">
        <v>20</v>
      </c>
      <c r="FO111" s="347" t="s">
        <v>21</v>
      </c>
      <c r="FP111" s="347" t="s">
        <v>154</v>
      </c>
      <c r="FQ111" s="347" t="s">
        <v>23</v>
      </c>
      <c r="FR111" s="347" t="s">
        <v>36</v>
      </c>
      <c r="FS111" s="347" t="s">
        <v>37</v>
      </c>
      <c r="FT111" s="347" t="s">
        <v>221</v>
      </c>
      <c r="FU111" s="347" t="s">
        <v>222</v>
      </c>
      <c r="FV111" s="347" t="s">
        <v>223</v>
      </c>
      <c r="FW111" s="347" t="s">
        <v>224</v>
      </c>
      <c r="FX111" s="347" t="s">
        <v>225</v>
      </c>
      <c r="FY111" s="53"/>
      <c r="FZ111" s="192"/>
      <c r="GA111" s="192"/>
      <c r="GB111" s="192"/>
      <c r="GC111" s="192"/>
      <c r="GD111" s="192"/>
      <c r="GE111" s="192"/>
      <c r="GF111" s="192"/>
      <c r="GG111" s="192"/>
      <c r="GH111" s="192"/>
      <c r="GI111" s="192"/>
      <c r="GJ111" s="192"/>
      <c r="GK111" s="192"/>
      <c r="GL111" s="192"/>
      <c r="GM111" s="192"/>
      <c r="GN111" s="192"/>
      <c r="GO111" s="192"/>
      <c r="GP111" s="192"/>
      <c r="GQ111" s="192"/>
      <c r="GR111" s="192"/>
      <c r="GS111" s="192"/>
      <c r="GT111" s="53"/>
      <c r="GU111" s="53"/>
      <c r="GV111" s="347" t="s">
        <v>20</v>
      </c>
      <c r="GW111" s="347" t="s">
        <v>21</v>
      </c>
      <c r="GX111" s="347" t="s">
        <v>154</v>
      </c>
      <c r="GY111" s="347" t="s">
        <v>23</v>
      </c>
      <c r="GZ111" s="347" t="s">
        <v>36</v>
      </c>
      <c r="HA111" s="347" t="s">
        <v>37</v>
      </c>
      <c r="HB111" s="347" t="s">
        <v>221</v>
      </c>
      <c r="HC111" s="347" t="s">
        <v>222</v>
      </c>
      <c r="HD111" s="347" t="s">
        <v>223</v>
      </c>
      <c r="HE111" s="347" t="s">
        <v>224</v>
      </c>
      <c r="HF111" s="347" t="s">
        <v>225</v>
      </c>
      <c r="HI111" s="192"/>
      <c r="HJ111" s="192"/>
      <c r="HK111" s="192"/>
      <c r="HL111" s="192"/>
      <c r="HM111" s="192"/>
      <c r="HN111" s="192"/>
      <c r="HO111" s="192"/>
      <c r="HP111" s="192"/>
      <c r="HQ111" s="192"/>
      <c r="HR111" s="192"/>
      <c r="HS111" s="192"/>
      <c r="HT111" s="192"/>
      <c r="HU111" s="192"/>
      <c r="HV111" s="192"/>
      <c r="HW111" s="192"/>
      <c r="HX111" s="192"/>
      <c r="HY111" s="192"/>
      <c r="HZ111" s="192"/>
      <c r="IA111" s="192"/>
      <c r="IB111" s="53"/>
      <c r="IC111" s="53"/>
      <c r="ID111" s="347" t="s">
        <v>20</v>
      </c>
      <c r="IE111" s="347" t="s">
        <v>21</v>
      </c>
      <c r="IF111" s="347" t="s">
        <v>22</v>
      </c>
      <c r="IG111" s="347" t="s">
        <v>23</v>
      </c>
      <c r="IH111" s="347" t="s">
        <v>219</v>
      </c>
      <c r="II111" s="347" t="s">
        <v>27</v>
      </c>
      <c r="IJ111" s="347" t="s">
        <v>159</v>
      </c>
      <c r="IK111" s="347" t="s">
        <v>29</v>
      </c>
      <c r="IL111" s="347" t="s">
        <v>32</v>
      </c>
      <c r="IM111" s="347" t="s">
        <v>220</v>
      </c>
      <c r="IN111" s="347" t="s">
        <v>157</v>
      </c>
      <c r="IP111" s="11"/>
      <c r="IQ111" s="192"/>
      <c r="IR111" s="192"/>
      <c r="IS111" s="192"/>
      <c r="IT111" s="192"/>
      <c r="IU111" s="192"/>
      <c r="IV111" s="192"/>
      <c r="IW111" s="192"/>
      <c r="IX111" s="192"/>
      <c r="IY111" s="192"/>
      <c r="IZ111" s="192"/>
      <c r="JA111" s="192"/>
      <c r="JB111" s="192"/>
      <c r="JC111" s="192"/>
      <c r="JD111" s="192"/>
      <c r="JE111" s="192"/>
      <c r="JF111" s="192"/>
      <c r="JG111" s="192"/>
      <c r="JH111" s="192"/>
      <c r="JI111" s="192"/>
      <c r="JJ111" s="53"/>
      <c r="JK111" s="53"/>
      <c r="JL111" s="347" t="s">
        <v>20</v>
      </c>
      <c r="JM111" s="347" t="s">
        <v>21</v>
      </c>
      <c r="JN111" s="347" t="s">
        <v>23</v>
      </c>
      <c r="JO111" s="347" t="s">
        <v>219</v>
      </c>
      <c r="JP111" s="347" t="s">
        <v>27</v>
      </c>
      <c r="JQ111" s="347" t="s">
        <v>159</v>
      </c>
      <c r="JR111" s="347" t="s">
        <v>29</v>
      </c>
      <c r="JS111" s="347" t="s">
        <v>32</v>
      </c>
      <c r="JT111" s="347" t="s">
        <v>220</v>
      </c>
      <c r="JU111" s="347" t="s">
        <v>157</v>
      </c>
      <c r="JX111" s="192"/>
      <c r="JY111" s="192"/>
      <c r="JZ111" s="192"/>
      <c r="KA111" s="192"/>
      <c r="KB111" s="192"/>
      <c r="KC111" s="192"/>
      <c r="KD111" s="192"/>
      <c r="KE111" s="192"/>
      <c r="KF111" s="192"/>
      <c r="KG111" s="192"/>
      <c r="KH111" s="192"/>
      <c r="KI111" s="192"/>
      <c r="KJ111" s="192"/>
      <c r="KK111" s="192"/>
      <c r="KL111" s="192"/>
      <c r="KM111" s="192"/>
      <c r="KN111" s="192"/>
      <c r="KO111" s="192"/>
      <c r="KP111" s="192"/>
      <c r="KQ111" s="192"/>
      <c r="KR111" s="53"/>
      <c r="KS111" s="53"/>
      <c r="KT111" s="347" t="s">
        <v>20</v>
      </c>
      <c r="KU111" s="347" t="s">
        <v>21</v>
      </c>
      <c r="KV111" s="347" t="s">
        <v>23</v>
      </c>
      <c r="KW111" s="347" t="s">
        <v>219</v>
      </c>
      <c r="KX111" s="347" t="s">
        <v>27</v>
      </c>
      <c r="KY111" s="347" t="s">
        <v>159</v>
      </c>
      <c r="KZ111" s="347" t="s">
        <v>29</v>
      </c>
      <c r="LA111" s="347" t="s">
        <v>32</v>
      </c>
      <c r="LB111" s="347" t="s">
        <v>220</v>
      </c>
      <c r="LC111" s="347" t="s">
        <v>157</v>
      </c>
      <c r="LF111" s="11"/>
      <c r="LG111" s="192"/>
      <c r="LH111" s="192"/>
      <c r="LI111" s="192"/>
      <c r="LJ111" s="192"/>
      <c r="LK111" s="192"/>
      <c r="LL111" s="192"/>
      <c r="LM111" s="192"/>
      <c r="LN111" s="192"/>
      <c r="LO111" s="192"/>
      <c r="LP111" s="192"/>
      <c r="LQ111" s="192"/>
      <c r="LR111" s="192"/>
      <c r="LS111" s="192"/>
      <c r="LT111" s="192"/>
      <c r="LU111" s="192"/>
      <c r="LV111" s="192"/>
      <c r="LW111" s="192"/>
      <c r="LX111" s="192"/>
      <c r="LY111" s="192"/>
      <c r="LZ111" s="192"/>
      <c r="MA111" s="192"/>
      <c r="MB111" s="326" t="s">
        <v>20</v>
      </c>
      <c r="MC111" s="326" t="s">
        <v>21</v>
      </c>
      <c r="MD111" s="326" t="s">
        <v>23</v>
      </c>
      <c r="ME111" s="326" t="s">
        <v>219</v>
      </c>
      <c r="MF111" s="326" t="s">
        <v>27</v>
      </c>
      <c r="MG111" s="326" t="s">
        <v>159</v>
      </c>
      <c r="MH111" s="326" t="s">
        <v>29</v>
      </c>
      <c r="MI111" s="326" t="s">
        <v>32</v>
      </c>
      <c r="MJ111" s="326" t="s">
        <v>220</v>
      </c>
      <c r="MK111" s="326" t="s">
        <v>157</v>
      </c>
      <c r="MO111" s="192"/>
      <c r="MP111" s="192"/>
      <c r="MQ111" s="192"/>
      <c r="MR111" s="192"/>
      <c r="MS111" s="192"/>
      <c r="MT111" s="192"/>
      <c r="MU111" s="192"/>
      <c r="MV111" s="192"/>
      <c r="MW111" s="192"/>
      <c r="MX111" s="192"/>
      <c r="MY111" s="192"/>
      <c r="MZ111" s="192"/>
      <c r="NA111" s="192"/>
      <c r="NB111" s="192"/>
      <c r="NC111" s="192"/>
      <c r="ND111" s="192"/>
      <c r="NE111" s="192"/>
      <c r="NF111" s="192"/>
      <c r="NG111" s="192"/>
      <c r="NH111" s="53"/>
      <c r="NI111" s="53"/>
      <c r="NJ111" s="159"/>
      <c r="NK111" s="53"/>
      <c r="NL111" s="53"/>
      <c r="NM111" s="53"/>
      <c r="NN111" s="53"/>
      <c r="NO111" s="53"/>
      <c r="NP111" s="53"/>
      <c r="NQ111" s="53"/>
      <c r="NR111" s="53"/>
      <c r="NS111" s="53"/>
      <c r="NT111" s="53"/>
      <c r="NU111" s="53"/>
      <c r="NV111" s="53"/>
      <c r="NW111" s="53"/>
      <c r="NX111" s="53"/>
      <c r="NY111" s="53"/>
      <c r="NZ111" s="53"/>
      <c r="OA111" s="53"/>
      <c r="OB111" s="53"/>
      <c r="OC111" s="53"/>
      <c r="OD111" s="53"/>
      <c r="OE111" s="53"/>
      <c r="OF111" s="53"/>
      <c r="OG111" s="53"/>
      <c r="OH111" s="53"/>
      <c r="OI111" s="53"/>
      <c r="OJ111" s="53"/>
      <c r="OK111" s="53"/>
      <c r="OL111" s="53"/>
      <c r="OM111" s="53"/>
      <c r="ON111" s="53"/>
      <c r="OO111" s="53"/>
      <c r="OP111" s="53"/>
      <c r="OQ111" s="53"/>
      <c r="OR111" s="53"/>
      <c r="OS111" s="144"/>
      <c r="OT111" s="144"/>
      <c r="OU111" s="144"/>
      <c r="OV111" s="144"/>
      <c r="OW111" s="144"/>
      <c r="OX111" s="144"/>
      <c r="OY111" s="144"/>
      <c r="OZ111" s="144"/>
      <c r="PA111" s="144"/>
      <c r="PB111" s="144"/>
      <c r="PC111" s="144"/>
      <c r="PD111" s="144"/>
      <c r="PE111" s="144"/>
      <c r="PF111" s="144"/>
      <c r="PG111" s="144"/>
      <c r="PH111" s="144"/>
      <c r="PI111" s="144"/>
      <c r="PJ111" s="144"/>
      <c r="PK111" s="144"/>
      <c r="PL111" s="144"/>
      <c r="PM111" s="144"/>
      <c r="PN111" s="144"/>
      <c r="PO111" s="144"/>
      <c r="PP111" s="144"/>
      <c r="PQ111" s="144"/>
      <c r="PR111" s="144"/>
      <c r="PS111" s="144"/>
      <c r="PT111" s="146"/>
      <c r="PU111" s="146"/>
      <c r="PV111" s="146"/>
      <c r="PW111" s="146"/>
      <c r="PX111" s="146"/>
      <c r="PY111" s="146"/>
      <c r="PZ111" s="146"/>
      <c r="QA111" s="146"/>
      <c r="QB111" s="146"/>
      <c r="QC111" s="146"/>
      <c r="QD111" s="146"/>
      <c r="QE111" s="146"/>
      <c r="QF111" s="146"/>
      <c r="QG111" s="146"/>
      <c r="QH111" s="146"/>
      <c r="QI111" s="146"/>
      <c r="QJ111" s="146"/>
      <c r="QK111" s="146"/>
      <c r="QL111" s="146"/>
      <c r="QM111" s="146"/>
      <c r="QN111" s="146"/>
      <c r="QO111" s="146"/>
      <c r="QP111" s="146"/>
      <c r="QQ111" s="146"/>
      <c r="QR111" s="146"/>
      <c r="QS111" s="144"/>
      <c r="QT111" s="144"/>
      <c r="QU111" s="144"/>
      <c r="QV111" s="144"/>
      <c r="QW111" s="144"/>
      <c r="QX111" s="144"/>
      <c r="QY111" s="144"/>
      <c r="QZ111" s="144"/>
      <c r="RA111" s="144"/>
      <c r="RB111" s="144"/>
      <c r="RC111" s="144"/>
      <c r="RD111" s="144"/>
      <c r="RE111" s="144"/>
      <c r="RF111" s="144"/>
      <c r="RG111" s="144"/>
      <c r="RH111" s="144"/>
      <c r="RI111" s="144"/>
      <c r="RJ111" s="144"/>
      <c r="RK111" s="144"/>
      <c r="RL111" s="144"/>
      <c r="RM111" s="144"/>
      <c r="RN111" s="144"/>
      <c r="RO111" s="144"/>
      <c r="RP111" s="144"/>
      <c r="RQ111" s="144"/>
      <c r="RR111" s="144"/>
      <c r="RS111" s="144"/>
      <c r="RT111" s="144"/>
      <c r="RU111" s="144"/>
      <c r="RV111" s="144"/>
      <c r="RW111" s="144"/>
      <c r="RX111" s="144"/>
      <c r="RY111" s="144"/>
      <c r="RZ111" s="144"/>
      <c r="SA111" s="144"/>
      <c r="SB111" s="144"/>
      <c r="SC111" s="144"/>
      <c r="SD111" s="144"/>
      <c r="SE111" s="144"/>
      <c r="SF111" s="144"/>
      <c r="SG111" s="144"/>
      <c r="SH111" s="144"/>
      <c r="SI111" s="144"/>
      <c r="SJ111" s="144"/>
      <c r="SK111" s="144"/>
      <c r="SL111" s="144"/>
      <c r="SM111" s="84"/>
      <c r="SN111" s="84"/>
      <c r="SO111" s="154"/>
      <c r="SP111" s="154"/>
      <c r="SQ111" s="154"/>
      <c r="SR111" s="154"/>
      <c r="SS111" s="154"/>
      <c r="ST111" s="154"/>
      <c r="SU111" s="155"/>
      <c r="SV111" s="154"/>
      <c r="SW111" s="154"/>
      <c r="SX111" s="155"/>
      <c r="SY111" s="155"/>
      <c r="SZ111" s="155"/>
      <c r="TA111" s="155"/>
      <c r="TB111" s="155"/>
      <c r="TC111" s="155"/>
      <c r="TD111" s="155"/>
      <c r="TE111" s="156"/>
      <c r="TF111" s="144"/>
      <c r="TG111" s="84"/>
      <c r="TH111" s="144"/>
      <c r="TI111" s="144"/>
      <c r="TJ111" s="144"/>
      <c r="TK111" s="144"/>
      <c r="TL111" s="157"/>
      <c r="TM111" s="157"/>
      <c r="TN111" s="157"/>
      <c r="TO111" s="157"/>
      <c r="TP111" s="157"/>
      <c r="TQ111" s="157"/>
      <c r="TR111" s="157"/>
      <c r="TS111" s="157"/>
      <c r="TT111" s="157"/>
      <c r="TU111" s="158"/>
      <c r="TV111" s="157"/>
      <c r="TW111" s="158"/>
      <c r="TX111" s="144"/>
      <c r="TY111" s="144"/>
      <c r="TZ111" s="144"/>
      <c r="UA111" s="84"/>
      <c r="UB111" s="144"/>
      <c r="UC111" s="144"/>
      <c r="UD111" s="144"/>
      <c r="UE111" s="144"/>
      <c r="UF111" s="157"/>
      <c r="UG111" s="157"/>
      <c r="UH111" s="157"/>
      <c r="UI111" s="157"/>
      <c r="UJ111" s="157"/>
      <c r="UK111" s="157"/>
      <c r="UL111" s="157"/>
      <c r="UM111" s="157"/>
      <c r="UN111" s="157"/>
      <c r="UO111" s="157"/>
      <c r="UP111" s="157"/>
      <c r="UQ111" s="158"/>
      <c r="UR111" s="157"/>
      <c r="US111" s="158"/>
      <c r="UT111" s="144"/>
      <c r="UU111" s="144"/>
      <c r="UV111" s="144"/>
      <c r="UW111" s="144"/>
      <c r="UX111" s="144"/>
      <c r="UY111" s="144"/>
      <c r="UZ111" s="144"/>
      <c r="VA111" s="144"/>
      <c r="VB111" s="157"/>
      <c r="VC111" s="157"/>
      <c r="VD111" s="157"/>
      <c r="VE111" s="157"/>
      <c r="VF111" s="157"/>
      <c r="VG111" s="157"/>
      <c r="VH111" s="157"/>
      <c r="VI111" s="157"/>
      <c r="VJ111" s="157"/>
      <c r="VK111" s="157"/>
      <c r="VL111" s="157"/>
      <c r="VM111" s="157"/>
      <c r="VN111" s="157"/>
      <c r="VO111" s="157"/>
      <c r="VP111" s="144"/>
      <c r="VQ111" s="144"/>
      <c r="VR111" s="84"/>
      <c r="VS111" s="84"/>
      <c r="VT111" s="53"/>
      <c r="VU111" s="53"/>
    </row>
    <row r="112" ht="15.75" hidden="1" spans="1:1024 1025:16384">
      <c r="A112" s="53"/>
      <c r="B112" s="53"/>
      <c r="C112" s="327"/>
      <c r="D112" s="327"/>
      <c r="E112" s="327"/>
      <c r="F112" s="327"/>
      <c r="G112" s="161"/>
      <c r="H112" s="161"/>
      <c r="I112" s="161"/>
      <c r="J112" s="161"/>
      <c r="K112" s="179"/>
      <c r="L112" s="328"/>
      <c r="M112" s="162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93"/>
      <c r="AB112" s="293"/>
      <c r="AC112" s="293"/>
      <c r="AD112" s="293"/>
      <c r="AE112" s="293"/>
      <c r="AF112" s="293"/>
      <c r="AG112" s="293"/>
      <c r="AH112" s="293"/>
      <c r="AI112" s="53"/>
      <c r="AJ112" s="327" t="s">
        <v>186</v>
      </c>
      <c r="AK112" s="327"/>
      <c r="AL112" s="327"/>
      <c r="AM112" s="327"/>
      <c r="AN112" s="161"/>
      <c r="AO112" s="161"/>
      <c r="AP112" s="161"/>
      <c r="AQ112" s="161"/>
      <c r="AR112" s="179"/>
      <c r="AS112" s="328"/>
      <c r="AT112" s="162"/>
      <c r="AU112" s="293"/>
      <c r="AV112" s="293"/>
      <c r="AW112" s="293"/>
      <c r="AX112" s="293"/>
      <c r="AY112" s="293"/>
      <c r="AZ112" s="293"/>
      <c r="BA112" s="293"/>
      <c r="BB112" s="293"/>
      <c r="BC112" s="293"/>
      <c r="BD112" s="293"/>
      <c r="BE112" s="293"/>
      <c r="BF112" s="293"/>
      <c r="BG112" s="293"/>
      <c r="BH112" s="293"/>
      <c r="BI112" s="293"/>
      <c r="BJ112" s="293"/>
      <c r="BK112" s="293"/>
      <c r="BL112" s="293"/>
      <c r="BM112" s="293"/>
      <c r="BN112" s="293"/>
      <c r="BO112" s="293"/>
      <c r="BP112" s="53"/>
      <c r="BQ112" s="327" t="s">
        <v>186</v>
      </c>
      <c r="BR112" s="327" t="str">
        <f t="shared" ref="BR112:BT112" si="1227">BR79</f>
        <v>IN05</v>
      </c>
      <c r="BS112" s="327">
        <f t="shared" si="1227"/>
        <v>1</v>
      </c>
      <c r="BT112" s="327">
        <f t="shared" si="1227"/>
        <v>0</v>
      </c>
      <c r="BU112" s="161">
        <f>CG34</f>
        <v>0</v>
      </c>
      <c r="BV112" s="161">
        <f>CH34</f>
        <v>0</v>
      </c>
      <c r="BW112" s="161">
        <f>CI34-BW79</f>
        <v>0</v>
      </c>
      <c r="BX112" s="161">
        <f>CJ34-BX79</f>
        <v>0</v>
      </c>
      <c r="BY112" s="179">
        <f t="shared" si="1200"/>
        <v>0</v>
      </c>
      <c r="BZ112" s="328" t="e">
        <f t="shared" si="1201"/>
        <v>#DIV/0!</v>
      </c>
      <c r="CA112" s="162" t="e">
        <f>BW112/BU112</f>
        <v>#DIV/0!</v>
      </c>
      <c r="CB112" s="293"/>
      <c r="CC112" s="293"/>
      <c r="CD112" s="293"/>
      <c r="CE112" s="293"/>
      <c r="CF112" s="293"/>
      <c r="CG112" s="293"/>
      <c r="CH112" s="293"/>
      <c r="CI112" s="293"/>
      <c r="CJ112" s="293"/>
      <c r="CK112" s="293"/>
      <c r="CL112" s="293"/>
      <c r="CM112" s="293"/>
      <c r="CN112" s="293"/>
      <c r="CO112" s="293"/>
      <c r="CP112" s="293"/>
      <c r="CQ112" s="293"/>
      <c r="CR112" s="293"/>
      <c r="CS112" s="293"/>
      <c r="CT112" s="293"/>
      <c r="CU112" s="293"/>
      <c r="CV112" s="293"/>
      <c r="CW112" s="53"/>
      <c r="CX112" s="327" t="s">
        <v>186</v>
      </c>
      <c r="CY112" s="327" t="str">
        <f t="shared" ref="CY112:DA112" si="1228">CY79</f>
        <v>IN05</v>
      </c>
      <c r="CZ112" s="327">
        <f t="shared" si="1228"/>
        <v>1</v>
      </c>
      <c r="DA112" s="327">
        <f t="shared" si="1228"/>
        <v>0</v>
      </c>
      <c r="DB112" s="161">
        <f>DN34</f>
        <v>0</v>
      </c>
      <c r="DC112" s="161">
        <f>DO34</f>
        <v>0</v>
      </c>
      <c r="DD112" s="161">
        <f>DP34-DD79</f>
        <v>0</v>
      </c>
      <c r="DE112" s="161">
        <f>DQ34-DE79</f>
        <v>0</v>
      </c>
      <c r="DF112" s="179">
        <f t="shared" si="1203"/>
        <v>0</v>
      </c>
      <c r="DG112" s="328" t="e">
        <f t="shared" si="1204"/>
        <v>#DIV/0!</v>
      </c>
      <c r="DH112" s="162" t="e">
        <f>DD112/DB112</f>
        <v>#DIV/0!</v>
      </c>
      <c r="DI112" s="293"/>
      <c r="DJ112" s="293"/>
      <c r="DK112" s="293"/>
      <c r="DL112" s="293"/>
      <c r="DM112" s="293"/>
      <c r="DN112" s="293"/>
      <c r="DO112" s="293"/>
      <c r="DP112" s="293"/>
      <c r="DQ112" s="293"/>
      <c r="DR112" s="293"/>
      <c r="DS112" s="293"/>
      <c r="DT112" s="293"/>
      <c r="DU112" s="293"/>
      <c r="DV112" s="293"/>
      <c r="DW112" s="293"/>
      <c r="DX112" s="293"/>
      <c r="DY112" s="293"/>
      <c r="DZ112" s="293"/>
      <c r="EA112" s="293"/>
      <c r="EB112" s="293"/>
      <c r="EC112" s="293"/>
      <c r="ED112" s="53"/>
      <c r="EE112" s="329" t="s">
        <v>186</v>
      </c>
      <c r="EF112" s="329">
        <f t="shared" ref="EF112:EH112" si="1229">EF79</f>
        <v>1</v>
      </c>
      <c r="EG112" s="329">
        <f t="shared" si="1229"/>
        <v>0</v>
      </c>
      <c r="EH112" s="329">
        <f t="shared" si="1229"/>
        <v>3</v>
      </c>
      <c r="EI112" s="330">
        <f>EU34</f>
        <v>62</v>
      </c>
      <c r="EJ112" s="330">
        <f>EV34</f>
        <v>26</v>
      </c>
      <c r="EK112" s="330">
        <f>EW34-EK79</f>
        <v>10200</v>
      </c>
      <c r="EL112" s="330">
        <f>EX34-EL79</f>
        <v>7050</v>
      </c>
      <c r="EM112" s="331">
        <f>EK112-EL112</f>
        <v>3150</v>
      </c>
      <c r="EN112" s="332">
        <f>EM112/EK112</f>
        <v>0.308823529411765</v>
      </c>
      <c r="EO112" s="333">
        <f>EK112/EI112</f>
        <v>164.516129032258</v>
      </c>
      <c r="EP112" s="53"/>
      <c r="EQ112" s="53"/>
      <c r="ER112" s="192"/>
      <c r="ES112" s="192"/>
      <c r="ET112" s="192"/>
      <c r="EU112" s="192"/>
      <c r="EV112" s="192"/>
      <c r="EW112" s="192"/>
      <c r="EX112" s="192"/>
      <c r="EY112" s="192"/>
      <c r="EZ112" s="192"/>
      <c r="FA112" s="192"/>
      <c r="FB112" s="192"/>
      <c r="FC112" s="192"/>
      <c r="FD112" s="192"/>
      <c r="FE112" s="192"/>
      <c r="FF112" s="192"/>
      <c r="FG112" s="192"/>
      <c r="FH112" s="192"/>
      <c r="FI112" s="192"/>
      <c r="FJ112" s="192"/>
      <c r="FK112" s="53"/>
      <c r="FL112" s="53"/>
      <c r="FM112" s="53"/>
      <c r="FN112" s="329" t="s">
        <v>186</v>
      </c>
      <c r="FO112" s="329">
        <f t="shared" ref="FO112:FQ112" si="1230">FO79</f>
        <v>1</v>
      </c>
      <c r="FP112" s="329">
        <f t="shared" si="1230"/>
        <v>0</v>
      </c>
      <c r="FQ112" s="329">
        <f t="shared" si="1230"/>
        <v>3</v>
      </c>
      <c r="FR112" s="330">
        <f>GD34</f>
        <v>69</v>
      </c>
      <c r="FS112" s="330">
        <f>GE34</f>
        <v>35</v>
      </c>
      <c r="FT112" s="330">
        <f>GF34-FT79</f>
        <v>12649.91</v>
      </c>
      <c r="FU112" s="330">
        <f>GG34-FU79</f>
        <v>6600</v>
      </c>
      <c r="FV112" s="331">
        <f t="shared" si="1207"/>
        <v>6049.91</v>
      </c>
      <c r="FW112" s="332">
        <f t="shared" si="1208"/>
        <v>0.478257157560805</v>
      </c>
      <c r="FX112" s="333">
        <f>FT112/FR112</f>
        <v>183.332028985507</v>
      </c>
      <c r="FY112" s="53"/>
      <c r="FZ112" s="192"/>
      <c r="GA112" s="192"/>
      <c r="GB112" s="192"/>
      <c r="GC112" s="192"/>
      <c r="GD112" s="192"/>
      <c r="GE112" s="192"/>
      <c r="GF112" s="192"/>
      <c r="GG112" s="192"/>
      <c r="GH112" s="192"/>
      <c r="GI112" s="192"/>
      <c r="GJ112" s="192"/>
      <c r="GK112" s="192"/>
      <c r="GL112" s="192"/>
      <c r="GM112" s="192"/>
      <c r="GN112" s="192"/>
      <c r="GO112" s="192"/>
      <c r="GP112" s="192"/>
      <c r="GQ112" s="192"/>
      <c r="GR112" s="192"/>
      <c r="GS112" s="192"/>
      <c r="GT112" s="53"/>
      <c r="GU112" s="53"/>
      <c r="GV112" s="329" t="s">
        <v>186</v>
      </c>
      <c r="GW112" s="329">
        <f t="shared" ref="GW112:GY112" si="1231">GW79</f>
        <v>1</v>
      </c>
      <c r="GX112" s="329">
        <f t="shared" si="1231"/>
        <v>0</v>
      </c>
      <c r="GY112" s="329">
        <f t="shared" si="1231"/>
        <v>12</v>
      </c>
      <c r="GZ112" s="330">
        <f>HL34</f>
        <v>129</v>
      </c>
      <c r="HA112" s="330">
        <f>HM34</f>
        <v>43</v>
      </c>
      <c r="HB112" s="330">
        <f>HN34-HB79</f>
        <v>15413.74</v>
      </c>
      <c r="HC112" s="330">
        <f>HO34-HC79</f>
        <v>20695</v>
      </c>
      <c r="HD112" s="331">
        <f t="shared" si="1210"/>
        <v>-5281.26</v>
      </c>
      <c r="HE112" s="332">
        <f t="shared" si="1211"/>
        <v>-0.342633260973651</v>
      </c>
      <c r="HF112" s="333">
        <f>HB112/GZ112</f>
        <v>119.486356589147</v>
      </c>
      <c r="HI112" s="192"/>
      <c r="HJ112" s="192"/>
      <c r="HK112" s="192"/>
      <c r="HL112" s="192"/>
      <c r="HM112" s="192"/>
      <c r="HN112" s="192"/>
      <c r="HO112" s="192"/>
      <c r="HP112" s="192"/>
      <c r="HQ112" s="192"/>
      <c r="HR112" s="192"/>
      <c r="HS112" s="192"/>
      <c r="HT112" s="192"/>
      <c r="HU112" s="192"/>
      <c r="HV112" s="192"/>
      <c r="HW112" s="192"/>
      <c r="HX112" s="192"/>
      <c r="HY112" s="192"/>
      <c r="HZ112" s="192"/>
      <c r="IA112" s="192"/>
      <c r="IB112" s="53"/>
      <c r="IC112" s="53"/>
      <c r="ID112" s="329" t="s">
        <v>186</v>
      </c>
      <c r="IE112" s="329">
        <f>IE79</f>
        <v>1</v>
      </c>
      <c r="IF112" s="329">
        <v>0</v>
      </c>
      <c r="IG112" s="329">
        <f>IG79</f>
        <v>12</v>
      </c>
      <c r="IH112" s="330">
        <f>IT34</f>
        <v>103</v>
      </c>
      <c r="II112" s="330">
        <f>IU34</f>
        <v>41</v>
      </c>
      <c r="IJ112" s="330">
        <f>IV34-IJ79</f>
        <v>82860</v>
      </c>
      <c r="IK112" s="330">
        <f>IW34-IK79</f>
        <v>79227</v>
      </c>
      <c r="IL112" s="331">
        <f t="shared" si="1212"/>
        <v>3633</v>
      </c>
      <c r="IM112" s="332">
        <f t="shared" si="1213"/>
        <v>0.0438450398262129</v>
      </c>
      <c r="IN112" s="333">
        <f>IJ112/IH112</f>
        <v>804.466019417476</v>
      </c>
      <c r="IP112" s="11"/>
      <c r="IQ112" s="192"/>
      <c r="IR112" s="192"/>
      <c r="IS112" s="192"/>
      <c r="IT112" s="192"/>
      <c r="IU112" s="192"/>
      <c r="IV112" s="192"/>
      <c r="IW112" s="192"/>
      <c r="IX112" s="192"/>
      <c r="IY112" s="192"/>
      <c r="IZ112" s="192"/>
      <c r="JA112" s="192"/>
      <c r="JB112" s="192"/>
      <c r="JC112" s="192"/>
      <c r="JD112" s="192"/>
      <c r="JE112" s="192"/>
      <c r="JF112" s="192"/>
      <c r="JG112" s="192"/>
      <c r="JH112" s="192"/>
      <c r="JI112" s="192"/>
      <c r="JJ112" s="53"/>
      <c r="JK112" s="53"/>
      <c r="JL112" s="329" t="s">
        <v>186</v>
      </c>
      <c r="JM112" s="329">
        <f>JM79</f>
        <v>1</v>
      </c>
      <c r="JN112" s="329">
        <f>JN79</f>
        <v>8</v>
      </c>
      <c r="JO112" s="329">
        <f>KB34</f>
        <v>111</v>
      </c>
      <c r="JP112" s="330">
        <f>KC34</f>
        <v>49</v>
      </c>
      <c r="JQ112" s="330">
        <f>KD34-JQ79</f>
        <v>78849</v>
      </c>
      <c r="JR112" s="330">
        <f>KE34-JR79</f>
        <v>76776</v>
      </c>
      <c r="JS112" s="330">
        <f t="shared" si="1214"/>
        <v>2073</v>
      </c>
      <c r="JT112" s="334">
        <f t="shared" si="1215"/>
        <v>0.0262907582848229</v>
      </c>
      <c r="JU112" s="335">
        <f>JQ112/JO112</f>
        <v>710.351351351351</v>
      </c>
      <c r="JX112" s="192"/>
      <c r="JY112" s="192"/>
      <c r="JZ112" s="192"/>
      <c r="KA112" s="192"/>
      <c r="KB112" s="192"/>
      <c r="KC112" s="192"/>
      <c r="KD112" s="192"/>
      <c r="KE112" s="192"/>
      <c r="KF112" s="192"/>
      <c r="KG112" s="192"/>
      <c r="KH112" s="192"/>
      <c r="KI112" s="192"/>
      <c r="KJ112" s="192"/>
      <c r="KK112" s="192"/>
      <c r="KL112" s="192"/>
      <c r="KM112" s="192"/>
      <c r="KN112" s="192"/>
      <c r="KO112" s="192"/>
      <c r="KP112" s="192"/>
      <c r="KQ112" s="192"/>
      <c r="KR112" s="53"/>
      <c r="KS112" s="53"/>
      <c r="KT112" s="329" t="s">
        <v>186</v>
      </c>
      <c r="KU112" s="329">
        <v>1</v>
      </c>
      <c r="KV112" s="329">
        <v>19</v>
      </c>
      <c r="KW112" s="329">
        <v>99</v>
      </c>
      <c r="KX112" s="330">
        <v>52</v>
      </c>
      <c r="KY112" s="330">
        <v>101173</v>
      </c>
      <c r="KZ112" s="330">
        <v>106534</v>
      </c>
      <c r="LA112" s="354">
        <v>-5361</v>
      </c>
      <c r="LB112" s="355">
        <v>-0.0529884455338875</v>
      </c>
      <c r="LC112" s="335">
        <v>1021.94949494949</v>
      </c>
      <c r="LF112" s="11"/>
      <c r="LG112" s="192"/>
      <c r="LH112" s="192"/>
      <c r="LI112" s="192"/>
      <c r="LJ112" s="192"/>
      <c r="LK112" s="192"/>
      <c r="LL112" s="192"/>
      <c r="LM112" s="192"/>
      <c r="LN112" s="192"/>
      <c r="LO112" s="192"/>
      <c r="LP112" s="192"/>
      <c r="LQ112" s="192"/>
      <c r="LR112" s="192"/>
      <c r="LS112" s="192"/>
      <c r="LT112" s="192"/>
      <c r="LU112" s="192"/>
      <c r="LV112" s="192"/>
      <c r="LW112" s="192"/>
      <c r="LX112" s="192"/>
      <c r="LY112" s="192"/>
      <c r="LZ112" s="192"/>
      <c r="MA112" s="192"/>
      <c r="MB112" s="329" t="s">
        <v>186</v>
      </c>
      <c r="MC112" s="329">
        <f>MC79</f>
        <v>1</v>
      </c>
      <c r="MD112" s="329">
        <f>MD79</f>
        <v>11</v>
      </c>
      <c r="ME112" s="329">
        <f>MR34</f>
        <v>123</v>
      </c>
      <c r="MF112" s="330">
        <f>MS34</f>
        <v>33</v>
      </c>
      <c r="MG112" s="330">
        <f>MT34-MG79</f>
        <v>189698</v>
      </c>
      <c r="MH112" s="330">
        <f>MU34-MH79</f>
        <v>196965</v>
      </c>
      <c r="MI112" s="354">
        <f t="shared" si="1216"/>
        <v>-7267</v>
      </c>
      <c r="MJ112" s="355">
        <f t="shared" si="1217"/>
        <v>-0.0383082583896509</v>
      </c>
      <c r="MK112" s="335">
        <f>MG112/ME112</f>
        <v>1542.26016260163</v>
      </c>
      <c r="MO112" s="192"/>
      <c r="MP112" s="192"/>
      <c r="MQ112" s="192"/>
      <c r="MR112" s="192"/>
      <c r="MS112" s="192"/>
      <c r="MT112" s="192"/>
      <c r="MU112" s="192"/>
      <c r="MV112" s="192"/>
      <c r="MW112" s="192"/>
      <c r="MX112" s="192"/>
      <c r="MY112" s="192"/>
      <c r="MZ112" s="192"/>
      <c r="NA112" s="192"/>
      <c r="NB112" s="192"/>
      <c r="NC112" s="192"/>
      <c r="ND112" s="192"/>
      <c r="NE112" s="192"/>
      <c r="NF112" s="192"/>
      <c r="NG112" s="192"/>
      <c r="NH112" s="53"/>
      <c r="NI112" s="53"/>
      <c r="NJ112" s="159"/>
      <c r="NK112" s="53"/>
      <c r="NL112" s="53"/>
      <c r="NM112" s="53"/>
      <c r="NN112" s="53"/>
      <c r="NO112" s="53"/>
      <c r="NP112" s="53"/>
      <c r="NQ112" s="53"/>
      <c r="NR112" s="53"/>
      <c r="NS112" s="53"/>
      <c r="NT112" s="53"/>
      <c r="NU112" s="53"/>
      <c r="NV112" s="53"/>
      <c r="NW112" s="53"/>
      <c r="NX112" s="53"/>
      <c r="NY112" s="53"/>
      <c r="NZ112" s="53"/>
      <c r="OA112" s="53"/>
      <c r="OB112" s="53"/>
      <c r="OC112" s="53"/>
      <c r="OD112" s="53"/>
      <c r="OE112" s="53"/>
      <c r="OF112" s="53"/>
      <c r="OG112" s="53"/>
      <c r="OH112" s="53"/>
      <c r="OI112" s="53"/>
      <c r="OJ112" s="53"/>
      <c r="OK112" s="53"/>
      <c r="OL112" s="53"/>
      <c r="OM112" s="53"/>
      <c r="ON112" s="53"/>
      <c r="OO112" s="53"/>
      <c r="OP112" s="53"/>
      <c r="OQ112" s="53"/>
      <c r="OR112" s="53"/>
      <c r="OS112" s="144"/>
      <c r="OT112" s="144"/>
      <c r="OU112" s="144"/>
      <c r="OV112" s="144"/>
      <c r="OW112" s="144"/>
      <c r="OX112" s="144"/>
      <c r="OY112" s="144"/>
      <c r="OZ112" s="144"/>
      <c r="PA112" s="144"/>
      <c r="PB112" s="144"/>
      <c r="PC112" s="144"/>
      <c r="PD112" s="144"/>
      <c r="PE112" s="144"/>
      <c r="PF112" s="144"/>
      <c r="PG112" s="144"/>
      <c r="PH112" s="144"/>
      <c r="PI112" s="144"/>
      <c r="PJ112" s="144"/>
      <c r="PK112" s="144"/>
      <c r="PL112" s="144"/>
      <c r="PM112" s="144"/>
      <c r="PN112" s="144"/>
      <c r="PO112" s="144"/>
      <c r="PP112" s="144"/>
      <c r="PQ112" s="144"/>
      <c r="PR112" s="144"/>
      <c r="PS112" s="144"/>
      <c r="PT112" s="146"/>
      <c r="PU112" s="146"/>
      <c r="PV112" s="146"/>
      <c r="PW112" s="146"/>
      <c r="PX112" s="146"/>
      <c r="PY112" s="146"/>
      <c r="PZ112" s="146"/>
      <c r="QA112" s="146"/>
      <c r="QB112" s="146"/>
      <c r="QC112" s="146"/>
      <c r="QD112" s="146"/>
      <c r="QE112" s="146"/>
      <c r="QF112" s="146"/>
      <c r="QG112" s="146"/>
      <c r="QH112" s="146"/>
      <c r="QI112" s="146"/>
      <c r="QJ112" s="146"/>
      <c r="QK112" s="146"/>
      <c r="QL112" s="146"/>
      <c r="QM112" s="146"/>
      <c r="QN112" s="146"/>
      <c r="QO112" s="146"/>
      <c r="QP112" s="146"/>
      <c r="QQ112" s="146"/>
      <c r="QR112" s="146"/>
      <c r="QS112" s="144"/>
      <c r="QT112" s="144"/>
      <c r="QU112" s="144"/>
      <c r="QV112" s="144"/>
      <c r="QW112" s="144"/>
      <c r="QX112" s="144"/>
      <c r="QY112" s="144"/>
      <c r="QZ112" s="144"/>
      <c r="RA112" s="144"/>
      <c r="RB112" s="144"/>
      <c r="RC112" s="144"/>
      <c r="RD112" s="144"/>
      <c r="RE112" s="144"/>
      <c r="RF112" s="144"/>
      <c r="RG112" s="144"/>
      <c r="RH112" s="144"/>
      <c r="RI112" s="144"/>
      <c r="RJ112" s="144"/>
      <c r="RK112" s="144"/>
      <c r="RL112" s="144"/>
      <c r="RM112" s="144"/>
      <c r="RN112" s="144"/>
      <c r="RO112" s="144"/>
      <c r="RP112" s="144"/>
      <c r="RQ112" s="144"/>
      <c r="RR112" s="144"/>
      <c r="RS112" s="144"/>
      <c r="RT112" s="144"/>
      <c r="RU112" s="144"/>
      <c r="RV112" s="144"/>
      <c r="RW112" s="144"/>
      <c r="RX112" s="144"/>
      <c r="RY112" s="144"/>
      <c r="RZ112" s="144"/>
      <c r="SA112" s="144"/>
      <c r="SB112" s="144"/>
      <c r="SC112" s="144"/>
      <c r="SD112" s="144"/>
      <c r="SE112" s="144"/>
      <c r="SF112" s="144"/>
      <c r="SG112" s="144"/>
      <c r="SH112" s="144"/>
      <c r="SI112" s="144"/>
      <c r="SJ112" s="144"/>
      <c r="SK112" s="144"/>
      <c r="SL112" s="144"/>
      <c r="SM112" s="84"/>
      <c r="SN112" s="84"/>
      <c r="SO112" s="154"/>
      <c r="SP112" s="154"/>
      <c r="SQ112" s="154"/>
      <c r="SR112" s="154"/>
      <c r="SS112" s="154"/>
      <c r="ST112" s="154"/>
      <c r="SU112" s="155"/>
      <c r="SV112" s="154"/>
      <c r="SW112" s="154"/>
      <c r="SX112" s="155"/>
      <c r="SY112" s="155"/>
      <c r="SZ112" s="155"/>
      <c r="TA112" s="155"/>
      <c r="TB112" s="155"/>
      <c r="TC112" s="155"/>
      <c r="TD112" s="155"/>
      <c r="TE112" s="156"/>
      <c r="TF112" s="144"/>
      <c r="TG112" s="84"/>
      <c r="TH112" s="144"/>
      <c r="TI112" s="144"/>
      <c r="TJ112" s="144"/>
      <c r="TK112" s="144"/>
      <c r="TL112" s="157"/>
      <c r="TM112" s="157"/>
      <c r="TN112" s="157"/>
      <c r="TO112" s="157"/>
      <c r="TP112" s="157"/>
      <c r="TQ112" s="157"/>
      <c r="TR112" s="157"/>
      <c r="TS112" s="157"/>
      <c r="TT112" s="157"/>
      <c r="TU112" s="158"/>
      <c r="TV112" s="157"/>
      <c r="TW112" s="158"/>
      <c r="TX112" s="144"/>
      <c r="TY112" s="144"/>
      <c r="TZ112" s="144"/>
      <c r="UA112" s="84"/>
      <c r="UB112" s="144"/>
      <c r="UC112" s="144"/>
      <c r="UD112" s="144"/>
      <c r="UE112" s="144"/>
      <c r="UF112" s="157"/>
      <c r="UG112" s="157"/>
      <c r="UH112" s="157"/>
      <c r="UI112" s="157"/>
      <c r="UJ112" s="157"/>
      <c r="UK112" s="157"/>
      <c r="UL112" s="157"/>
      <c r="UM112" s="157"/>
      <c r="UN112" s="157"/>
      <c r="UO112" s="157"/>
      <c r="UP112" s="157"/>
      <c r="UQ112" s="158"/>
      <c r="UR112" s="157"/>
      <c r="US112" s="158"/>
      <c r="UT112" s="144"/>
      <c r="UU112" s="144"/>
      <c r="UV112" s="144"/>
      <c r="UW112" s="144"/>
      <c r="UX112" s="144"/>
      <c r="UY112" s="144"/>
      <c r="UZ112" s="144"/>
      <c r="VA112" s="144"/>
      <c r="VB112" s="157"/>
      <c r="VC112" s="157"/>
      <c r="VD112" s="157"/>
      <c r="VE112" s="157"/>
      <c r="VF112" s="157"/>
      <c r="VG112" s="157"/>
      <c r="VH112" s="157"/>
      <c r="VI112" s="157"/>
      <c r="VJ112" s="157"/>
      <c r="VK112" s="157"/>
      <c r="VL112" s="157"/>
      <c r="VM112" s="157"/>
      <c r="VN112" s="157"/>
      <c r="VO112" s="157"/>
      <c r="VP112" s="144"/>
      <c r="VQ112" s="144"/>
      <c r="VR112" s="84"/>
      <c r="VS112" s="84"/>
      <c r="VT112" s="53"/>
      <c r="VU112" s="53"/>
    </row>
    <row r="113" ht="15.75" hidden="1" spans="1:593">
      <c r="A113" s="53"/>
      <c r="B113" s="53"/>
      <c r="C113" s="236"/>
      <c r="D113" s="236"/>
      <c r="E113" s="236"/>
      <c r="F113" s="236"/>
      <c r="G113" s="236"/>
      <c r="H113" s="236"/>
      <c r="I113" s="236"/>
      <c r="J113" s="236"/>
      <c r="K113" s="237"/>
      <c r="L113" s="240"/>
      <c r="M113" s="236"/>
      <c r="N113" s="293"/>
      <c r="O113" s="293"/>
      <c r="P113" s="293"/>
      <c r="Q113" s="293"/>
      <c r="R113" s="293"/>
      <c r="S113" s="293"/>
      <c r="T113" s="293"/>
      <c r="U113" s="293"/>
      <c r="V113" s="293"/>
      <c r="W113" s="293"/>
      <c r="X113" s="293"/>
      <c r="Y113" s="293"/>
      <c r="Z113" s="293"/>
      <c r="AA113" s="293"/>
      <c r="AB113" s="293"/>
      <c r="AC113" s="293"/>
      <c r="AD113" s="293"/>
      <c r="AE113" s="293"/>
      <c r="AF113" s="293"/>
      <c r="AG113" s="293"/>
      <c r="AH113" s="293"/>
      <c r="AI113" s="53"/>
      <c r="AJ113" s="236" t="s">
        <v>153</v>
      </c>
      <c r="AK113" s="236">
        <f t="shared" ref="AK113:AQ113" si="1232">SUM(AK112)</f>
        <v>0</v>
      </c>
      <c r="AL113" s="236">
        <f t="shared" si="1232"/>
        <v>0</v>
      </c>
      <c r="AM113" s="236">
        <f t="shared" si="1232"/>
        <v>0</v>
      </c>
      <c r="AN113" s="236">
        <f t="shared" si="1232"/>
        <v>0</v>
      </c>
      <c r="AO113" s="236">
        <f t="shared" si="1232"/>
        <v>0</v>
      </c>
      <c r="AP113" s="236">
        <f t="shared" si="1232"/>
        <v>0</v>
      </c>
      <c r="AQ113" s="236">
        <f t="shared" si="1232"/>
        <v>0</v>
      </c>
      <c r="AR113" s="237">
        <f>AP113-AQ113</f>
        <v>0</v>
      </c>
      <c r="AS113" s="240" t="e">
        <f>AR113/AP113</f>
        <v>#DIV/0!</v>
      </c>
      <c r="AT113" s="236" t="e">
        <f>AP113/AO113</f>
        <v>#DIV/0!</v>
      </c>
      <c r="AU113" s="293"/>
      <c r="AV113" s="293"/>
      <c r="AW113" s="293"/>
      <c r="AX113" s="293"/>
      <c r="AY113" s="293"/>
      <c r="AZ113" s="293"/>
      <c r="BA113" s="293"/>
      <c r="BB113" s="293"/>
      <c r="BC113" s="293"/>
      <c r="BD113" s="293"/>
      <c r="BE113" s="293"/>
      <c r="BF113" s="293"/>
      <c r="BG113" s="293"/>
      <c r="BH113" s="293"/>
      <c r="BI113" s="293"/>
      <c r="BJ113" s="293"/>
      <c r="BK113" s="293"/>
      <c r="BL113" s="293"/>
      <c r="BM113" s="293"/>
      <c r="BN113" s="293"/>
      <c r="BO113" s="293"/>
      <c r="BP113" s="53"/>
      <c r="BQ113" s="236" t="s">
        <v>153</v>
      </c>
      <c r="BR113" s="236">
        <f t="shared" ref="BR113:BX113" si="1233">SUM(BR112)</f>
        <v>0</v>
      </c>
      <c r="BS113" s="236">
        <f t="shared" si="1233"/>
        <v>1</v>
      </c>
      <c r="BT113" s="236">
        <f t="shared" si="1233"/>
        <v>0</v>
      </c>
      <c r="BU113" s="236">
        <f t="shared" si="1233"/>
        <v>0</v>
      </c>
      <c r="BV113" s="236">
        <f t="shared" si="1233"/>
        <v>0</v>
      </c>
      <c r="BW113" s="236">
        <f t="shared" si="1233"/>
        <v>0</v>
      </c>
      <c r="BX113" s="236">
        <f t="shared" si="1233"/>
        <v>0</v>
      </c>
      <c r="BY113" s="237">
        <f t="shared" si="1200"/>
        <v>0</v>
      </c>
      <c r="BZ113" s="240" t="e">
        <f t="shared" si="1201"/>
        <v>#DIV/0!</v>
      </c>
      <c r="CA113" s="236" t="e">
        <f>BW113/BV113</f>
        <v>#DIV/0!</v>
      </c>
      <c r="CB113" s="293"/>
      <c r="CC113" s="293"/>
      <c r="CD113" s="293"/>
      <c r="CE113" s="293"/>
      <c r="CF113" s="293"/>
      <c r="CG113" s="293"/>
      <c r="CH113" s="293"/>
      <c r="CI113" s="293"/>
      <c r="CJ113" s="293"/>
      <c r="CK113" s="293"/>
      <c r="CL113" s="293"/>
      <c r="CM113" s="293"/>
      <c r="CN113" s="293"/>
      <c r="CO113" s="293"/>
      <c r="CP113" s="293"/>
      <c r="CQ113" s="293"/>
      <c r="CR113" s="293"/>
      <c r="CS113" s="293"/>
      <c r="CT113" s="293"/>
      <c r="CU113" s="293"/>
      <c r="CV113" s="293"/>
      <c r="CW113" s="53"/>
      <c r="CX113" s="236" t="s">
        <v>153</v>
      </c>
      <c r="CY113" s="236">
        <f t="shared" ref="CY113:DE113" si="1234">SUM(CY112)</f>
        <v>0</v>
      </c>
      <c r="CZ113" s="236">
        <f t="shared" si="1234"/>
        <v>1</v>
      </c>
      <c r="DA113" s="236">
        <f t="shared" si="1234"/>
        <v>0</v>
      </c>
      <c r="DB113" s="236">
        <f t="shared" si="1234"/>
        <v>0</v>
      </c>
      <c r="DC113" s="236">
        <f t="shared" si="1234"/>
        <v>0</v>
      </c>
      <c r="DD113" s="236">
        <f t="shared" si="1234"/>
        <v>0</v>
      </c>
      <c r="DE113" s="236">
        <f t="shared" si="1234"/>
        <v>0</v>
      </c>
      <c r="DF113" s="237">
        <f t="shared" si="1203"/>
        <v>0</v>
      </c>
      <c r="DG113" s="240" t="e">
        <f t="shared" si="1204"/>
        <v>#DIV/0!</v>
      </c>
      <c r="DH113" s="236" t="e">
        <f>DD113/DC113</f>
        <v>#DIV/0!</v>
      </c>
      <c r="DI113" s="293"/>
      <c r="DJ113" s="293"/>
      <c r="DK113" s="293"/>
      <c r="DL113" s="293"/>
      <c r="DM113" s="293"/>
      <c r="DN113" s="293"/>
      <c r="DO113" s="293"/>
      <c r="DP113" s="293"/>
      <c r="DQ113" s="293"/>
      <c r="DR113" s="293"/>
      <c r="DS113" s="293"/>
      <c r="DT113" s="293"/>
      <c r="DU113" s="293"/>
      <c r="DV113" s="293"/>
      <c r="DW113" s="293"/>
      <c r="DX113" s="293"/>
      <c r="DY113" s="293"/>
      <c r="DZ113" s="293"/>
      <c r="EA113" s="293"/>
      <c r="EB113" s="293"/>
      <c r="EC113" s="293"/>
      <c r="ED113" s="53"/>
      <c r="EE113" s="341" t="s">
        <v>153</v>
      </c>
      <c r="EF113" s="343">
        <f>SUM(EF112)</f>
        <v>1</v>
      </c>
      <c r="EG113" s="343"/>
      <c r="EH113" s="343">
        <f>SUM(EH112)</f>
        <v>3</v>
      </c>
      <c r="EI113" s="343">
        <f>SUM(EI112)</f>
        <v>62</v>
      </c>
      <c r="EJ113" s="343">
        <f>SUM(EJ112)</f>
        <v>26</v>
      </c>
      <c r="EK113" s="343">
        <f>SUM(EK112)</f>
        <v>10200</v>
      </c>
      <c r="EL113" s="343">
        <f>SUM(EL112)</f>
        <v>7050</v>
      </c>
      <c r="EM113" s="344">
        <f>EK113-EL113</f>
        <v>3150</v>
      </c>
      <c r="EN113" s="345">
        <f>EM113/EK113</f>
        <v>0.308823529411765</v>
      </c>
      <c r="EO113" s="343">
        <f>EK113/EJ113</f>
        <v>392.307692307692</v>
      </c>
      <c r="EP113" s="53"/>
      <c r="EQ113" s="53"/>
      <c r="ER113" s="241"/>
      <c r="ES113" s="241"/>
      <c r="ET113" s="241"/>
      <c r="EU113" s="241"/>
      <c r="EV113" s="241"/>
      <c r="EW113" s="241"/>
      <c r="EX113" s="241"/>
      <c r="EY113" s="241"/>
      <c r="EZ113" s="241"/>
      <c r="FA113" s="241"/>
      <c r="FB113" s="241"/>
      <c r="FC113" s="241"/>
      <c r="FD113" s="241"/>
      <c r="FE113" s="241"/>
      <c r="FF113" s="241"/>
      <c r="FG113" s="241"/>
      <c r="FH113" s="241"/>
      <c r="FI113" s="241"/>
      <c r="FJ113" s="241"/>
      <c r="FK113" s="53"/>
      <c r="FL113" s="53"/>
      <c r="FM113" s="53"/>
      <c r="FN113" s="341" t="s">
        <v>153</v>
      </c>
      <c r="FO113" s="342">
        <f t="shared" ref="FO113:FU113" si="1235">SUM(FO112)</f>
        <v>1</v>
      </c>
      <c r="FP113" s="342">
        <f t="shared" si="1235"/>
        <v>0</v>
      </c>
      <c r="FQ113" s="342">
        <f t="shared" si="1235"/>
        <v>3</v>
      </c>
      <c r="FR113" s="343">
        <f t="shared" si="1235"/>
        <v>69</v>
      </c>
      <c r="FS113" s="343">
        <f t="shared" si="1235"/>
        <v>35</v>
      </c>
      <c r="FT113" s="343">
        <f t="shared" si="1235"/>
        <v>12649.91</v>
      </c>
      <c r="FU113" s="343">
        <f t="shared" si="1235"/>
        <v>6600</v>
      </c>
      <c r="FV113" s="344">
        <f t="shared" si="1207"/>
        <v>6049.91</v>
      </c>
      <c r="FW113" s="345">
        <f t="shared" si="1208"/>
        <v>0.478257157560805</v>
      </c>
      <c r="FX113" s="343">
        <f>FT113/FS113</f>
        <v>361.426</v>
      </c>
      <c r="FY113" s="53"/>
      <c r="FZ113" s="241"/>
      <c r="GA113" s="241"/>
      <c r="GB113" s="241"/>
      <c r="GC113" s="241"/>
      <c r="GD113" s="241"/>
      <c r="GE113" s="241"/>
      <c r="GF113" s="241"/>
      <c r="GG113" s="241"/>
      <c r="GH113" s="241"/>
      <c r="GI113" s="241"/>
      <c r="GJ113" s="241"/>
      <c r="GK113" s="241"/>
      <c r="GL113" s="241"/>
      <c r="GM113" s="241"/>
      <c r="GN113" s="241"/>
      <c r="GO113" s="241"/>
      <c r="GP113" s="241"/>
      <c r="GQ113" s="241"/>
      <c r="GR113" s="241"/>
      <c r="GS113" s="241"/>
      <c r="GT113" s="53"/>
      <c r="GU113" s="53"/>
      <c r="GV113" s="343" t="s">
        <v>153</v>
      </c>
      <c r="GW113" s="343">
        <f t="shared" ref="GW113:HC113" si="1236">SUM(GW112)</f>
        <v>1</v>
      </c>
      <c r="GX113" s="343">
        <f t="shared" si="1236"/>
        <v>0</v>
      </c>
      <c r="GY113" s="343">
        <f t="shared" si="1236"/>
        <v>12</v>
      </c>
      <c r="GZ113" s="343">
        <f t="shared" si="1236"/>
        <v>129</v>
      </c>
      <c r="HA113" s="343">
        <f t="shared" si="1236"/>
        <v>43</v>
      </c>
      <c r="HB113" s="343">
        <f t="shared" si="1236"/>
        <v>15413.74</v>
      </c>
      <c r="HC113" s="343">
        <f t="shared" si="1236"/>
        <v>20695</v>
      </c>
      <c r="HD113" s="359">
        <f t="shared" si="1210"/>
        <v>-5281.26</v>
      </c>
      <c r="HE113" s="360">
        <f t="shared" si="1211"/>
        <v>-0.342633260973651</v>
      </c>
      <c r="HF113" s="343">
        <f>HB113/HA113</f>
        <v>358.459069767442</v>
      </c>
      <c r="HI113" s="241"/>
      <c r="HJ113" s="241"/>
      <c r="HK113" s="241"/>
      <c r="HL113" s="241"/>
      <c r="HM113" s="241"/>
      <c r="HN113" s="241"/>
      <c r="HO113" s="241"/>
      <c r="HP113" s="241"/>
      <c r="HQ113" s="241"/>
      <c r="HR113" s="241"/>
      <c r="HS113" s="241"/>
      <c r="HT113" s="241"/>
      <c r="HU113" s="241"/>
      <c r="HV113" s="241"/>
      <c r="HW113" s="241"/>
      <c r="HX113" s="241"/>
      <c r="HY113" s="241"/>
      <c r="HZ113" s="241"/>
      <c r="IA113" s="241"/>
      <c r="IB113" s="53"/>
      <c r="IC113" s="53"/>
      <c r="ID113" s="343" t="s">
        <v>153</v>
      </c>
      <c r="IE113" s="343">
        <f t="shared" ref="IE113:IK113" si="1237">SUM(IE112)</f>
        <v>1</v>
      </c>
      <c r="IF113" s="343">
        <f t="shared" si="1237"/>
        <v>0</v>
      </c>
      <c r="IG113" s="343">
        <f t="shared" si="1237"/>
        <v>12</v>
      </c>
      <c r="IH113" s="343">
        <f t="shared" si="1237"/>
        <v>103</v>
      </c>
      <c r="II113" s="343">
        <f t="shared" si="1237"/>
        <v>41</v>
      </c>
      <c r="IJ113" s="343">
        <f t="shared" si="1237"/>
        <v>82860</v>
      </c>
      <c r="IK113" s="343">
        <f t="shared" si="1237"/>
        <v>79227</v>
      </c>
      <c r="IL113" s="343">
        <f t="shared" si="1212"/>
        <v>3633</v>
      </c>
      <c r="IM113" s="343">
        <f t="shared" si="1213"/>
        <v>0.0438450398262129</v>
      </c>
      <c r="IN113" s="343">
        <f>IJ113/II113</f>
        <v>2020.9756097561</v>
      </c>
      <c r="IP113" s="11"/>
      <c r="IQ113" s="241"/>
      <c r="IR113" s="241"/>
      <c r="IS113" s="241"/>
      <c r="IT113" s="241"/>
      <c r="IU113" s="241"/>
      <c r="IV113" s="241"/>
      <c r="IW113" s="241"/>
      <c r="IX113" s="241"/>
      <c r="IY113" s="241"/>
      <c r="IZ113" s="241"/>
      <c r="JA113" s="241"/>
      <c r="JB113" s="241"/>
      <c r="JC113" s="241"/>
      <c r="JD113" s="241"/>
      <c r="JE113" s="241"/>
      <c r="JF113" s="241"/>
      <c r="JG113" s="241"/>
      <c r="JH113" s="241"/>
      <c r="JI113" s="241"/>
      <c r="JJ113" s="53"/>
      <c r="JK113" s="53"/>
      <c r="JL113" s="343" t="s">
        <v>153</v>
      </c>
      <c r="JM113" s="343">
        <f t="shared" ref="JM113:JR113" si="1238">SUM(JM112)</f>
        <v>1</v>
      </c>
      <c r="JN113" s="343">
        <f t="shared" si="1238"/>
        <v>8</v>
      </c>
      <c r="JO113" s="343">
        <f t="shared" si="1238"/>
        <v>111</v>
      </c>
      <c r="JP113" s="343">
        <f t="shared" si="1238"/>
        <v>49</v>
      </c>
      <c r="JQ113" s="343">
        <f t="shared" si="1238"/>
        <v>78849</v>
      </c>
      <c r="JR113" s="343">
        <f t="shared" si="1238"/>
        <v>76776</v>
      </c>
      <c r="JS113" s="343">
        <f t="shared" si="1214"/>
        <v>2073</v>
      </c>
      <c r="JT113" s="346">
        <f t="shared" si="1215"/>
        <v>0.0262907582848229</v>
      </c>
      <c r="JU113" s="343">
        <f>JQ113/JP113</f>
        <v>1609.16326530612</v>
      </c>
      <c r="JX113" s="241"/>
      <c r="JY113" s="241"/>
      <c r="JZ113" s="241"/>
      <c r="KA113" s="241"/>
      <c r="KB113" s="241"/>
      <c r="KC113" s="241"/>
      <c r="KD113" s="241"/>
      <c r="KE113" s="241"/>
      <c r="KF113" s="241"/>
      <c r="KG113" s="241"/>
      <c r="KH113" s="241"/>
      <c r="KI113" s="241"/>
      <c r="KJ113" s="241"/>
      <c r="KK113" s="241"/>
      <c r="KL113" s="241"/>
      <c r="KM113" s="241"/>
      <c r="KN113" s="241"/>
      <c r="KO113" s="241"/>
      <c r="KP113" s="241"/>
      <c r="KQ113" s="241"/>
      <c r="KR113" s="53"/>
      <c r="KS113" s="53"/>
      <c r="KT113" s="343" t="s">
        <v>153</v>
      </c>
      <c r="KU113" s="343">
        <v>1</v>
      </c>
      <c r="KV113" s="343">
        <v>19</v>
      </c>
      <c r="KW113" s="343">
        <v>99</v>
      </c>
      <c r="KX113" s="343">
        <v>52</v>
      </c>
      <c r="KY113" s="343">
        <v>101173</v>
      </c>
      <c r="KZ113" s="343">
        <v>106534</v>
      </c>
      <c r="LA113" s="359">
        <v>-5361</v>
      </c>
      <c r="LB113" s="361">
        <v>-0.0529884455338875</v>
      </c>
      <c r="LC113" s="343">
        <v>1945.63461538462</v>
      </c>
      <c r="LF113" s="11"/>
      <c r="LG113" s="241"/>
      <c r="LH113" s="241"/>
      <c r="LI113" s="241"/>
      <c r="LJ113" s="241"/>
      <c r="LK113" s="241"/>
      <c r="LL113" s="241"/>
      <c r="LM113" s="241"/>
      <c r="LN113" s="241"/>
      <c r="LO113" s="241"/>
      <c r="LP113" s="241"/>
      <c r="LQ113" s="241"/>
      <c r="LR113" s="241"/>
      <c r="LS113" s="241"/>
      <c r="LT113" s="241"/>
      <c r="LU113" s="241"/>
      <c r="LV113" s="241"/>
      <c r="LW113" s="241"/>
      <c r="LX113" s="241"/>
      <c r="LY113" s="241"/>
      <c r="LZ113" s="241"/>
      <c r="MA113" s="241"/>
      <c r="MB113" s="343" t="s">
        <v>153</v>
      </c>
      <c r="MC113" s="343">
        <f t="shared" ref="MC113:MH113" si="1239">SUM(MC112)</f>
        <v>1</v>
      </c>
      <c r="MD113" s="343">
        <f t="shared" si="1239"/>
        <v>11</v>
      </c>
      <c r="ME113" s="343">
        <f t="shared" si="1239"/>
        <v>123</v>
      </c>
      <c r="MF113" s="343">
        <f t="shared" si="1239"/>
        <v>33</v>
      </c>
      <c r="MG113" s="343">
        <f t="shared" si="1239"/>
        <v>189698</v>
      </c>
      <c r="MH113" s="343">
        <f t="shared" si="1239"/>
        <v>196965</v>
      </c>
      <c r="MI113" s="359">
        <f t="shared" si="1216"/>
        <v>-7267</v>
      </c>
      <c r="MJ113" s="361">
        <f t="shared" si="1217"/>
        <v>-0.0383082583896509</v>
      </c>
      <c r="MK113" s="343">
        <f>MG113/MF113</f>
        <v>5748.42424242424</v>
      </c>
      <c r="MO113" s="241"/>
      <c r="MP113" s="241"/>
      <c r="MQ113" s="241"/>
      <c r="MR113" s="241"/>
      <c r="MS113" s="241"/>
      <c r="MT113" s="241"/>
      <c r="MU113" s="241"/>
      <c r="MV113" s="241"/>
      <c r="MW113" s="241"/>
      <c r="MX113" s="241"/>
      <c r="MY113" s="241"/>
      <c r="MZ113" s="241"/>
      <c r="NA113" s="241"/>
      <c r="NB113" s="241"/>
      <c r="NC113" s="241"/>
      <c r="ND113" s="241"/>
      <c r="NE113" s="241"/>
      <c r="NF113" s="241"/>
      <c r="NG113" s="241"/>
      <c r="NH113" s="53"/>
      <c r="NI113" s="53"/>
      <c r="NJ113" s="159"/>
      <c r="NK113" s="53"/>
      <c r="NL113" s="53"/>
      <c r="NM113" s="53"/>
      <c r="NN113" s="53"/>
      <c r="NO113" s="53"/>
      <c r="NP113" s="53"/>
      <c r="NQ113" s="53"/>
      <c r="NR113" s="53"/>
      <c r="NS113" s="53"/>
      <c r="NT113" s="53"/>
      <c r="NU113" s="53"/>
      <c r="NV113" s="53"/>
      <c r="NW113" s="53"/>
      <c r="NX113" s="53"/>
      <c r="NY113" s="53"/>
      <c r="NZ113" s="53"/>
      <c r="OA113" s="53"/>
      <c r="OB113" s="53"/>
      <c r="OC113" s="53"/>
      <c r="OD113" s="53"/>
      <c r="OE113" s="53"/>
      <c r="OF113" s="53"/>
      <c r="OG113" s="53"/>
      <c r="OH113" s="53"/>
      <c r="OI113" s="53"/>
      <c r="OJ113" s="53"/>
      <c r="OK113" s="53"/>
      <c r="OL113" s="53"/>
      <c r="OM113" s="53"/>
      <c r="ON113" s="53"/>
      <c r="OO113" s="53"/>
      <c r="OP113" s="53"/>
      <c r="OQ113" s="53"/>
      <c r="OR113" s="53"/>
      <c r="OS113" s="144"/>
      <c r="OT113" s="144"/>
      <c r="OU113" s="144"/>
      <c r="OV113" s="144"/>
      <c r="OW113" s="144"/>
      <c r="OX113" s="144"/>
      <c r="OY113" s="144"/>
      <c r="OZ113" s="144"/>
      <c r="PA113" s="144"/>
      <c r="PB113" s="144"/>
      <c r="PC113" s="144"/>
      <c r="PD113" s="144"/>
      <c r="PE113" s="144"/>
      <c r="PF113" s="144"/>
      <c r="PG113" s="144"/>
      <c r="PH113" s="144"/>
      <c r="PI113" s="144"/>
      <c r="PJ113" s="144"/>
      <c r="PK113" s="144"/>
      <c r="PL113" s="144"/>
      <c r="PM113" s="144"/>
      <c r="PN113" s="144"/>
      <c r="PO113" s="144"/>
      <c r="PP113" s="144"/>
      <c r="PQ113" s="144"/>
      <c r="PR113" s="144"/>
      <c r="PS113" s="144"/>
      <c r="PT113" s="146"/>
      <c r="PU113" s="146"/>
      <c r="PV113" s="146"/>
      <c r="PW113" s="146"/>
      <c r="PX113" s="146"/>
      <c r="PY113" s="146"/>
      <c r="PZ113" s="146"/>
      <c r="QA113" s="146"/>
      <c r="QB113" s="146"/>
      <c r="QC113" s="146"/>
      <c r="QD113" s="146"/>
      <c r="QE113" s="146"/>
      <c r="QF113" s="146"/>
      <c r="QG113" s="146"/>
      <c r="QH113" s="146"/>
      <c r="QI113" s="146"/>
      <c r="QJ113" s="146"/>
      <c r="QK113" s="146"/>
      <c r="QL113" s="146"/>
      <c r="QM113" s="146"/>
      <c r="QN113" s="146"/>
      <c r="QO113" s="146"/>
      <c r="QP113" s="146"/>
      <c r="QQ113" s="146"/>
      <c r="QR113" s="146"/>
      <c r="QS113" s="144"/>
      <c r="QT113" s="144"/>
      <c r="QU113" s="144"/>
      <c r="QV113" s="144"/>
      <c r="QW113" s="144"/>
      <c r="QX113" s="144"/>
      <c r="QY113" s="144"/>
      <c r="QZ113" s="144"/>
      <c r="RA113" s="144"/>
      <c r="RB113" s="144"/>
      <c r="RC113" s="144"/>
      <c r="RD113" s="144"/>
      <c r="RE113" s="144"/>
      <c r="RF113" s="144"/>
      <c r="RG113" s="144"/>
      <c r="RH113" s="144"/>
      <c r="RI113" s="144"/>
      <c r="RJ113" s="144"/>
      <c r="RK113" s="144"/>
      <c r="RL113" s="144"/>
      <c r="RM113" s="144"/>
      <c r="RN113" s="144"/>
      <c r="RO113" s="144"/>
      <c r="RP113" s="144"/>
      <c r="RQ113" s="144"/>
      <c r="RR113" s="144"/>
      <c r="RS113" s="144"/>
      <c r="RT113" s="144"/>
      <c r="RU113" s="144"/>
      <c r="RV113" s="144"/>
      <c r="RW113" s="144"/>
      <c r="RX113" s="144"/>
      <c r="RY113" s="144"/>
      <c r="RZ113" s="144"/>
      <c r="SA113" s="144"/>
      <c r="SB113" s="144"/>
      <c r="SC113" s="144"/>
      <c r="SD113" s="144"/>
      <c r="SE113" s="144"/>
      <c r="SF113" s="144"/>
      <c r="SG113" s="144"/>
      <c r="SH113" s="144"/>
      <c r="SI113" s="144"/>
      <c r="SJ113" s="144"/>
      <c r="SK113" s="144"/>
      <c r="SL113" s="144"/>
      <c r="SM113" s="84"/>
      <c r="SN113" s="84"/>
      <c r="SO113" s="154"/>
      <c r="SP113" s="154"/>
      <c r="SQ113" s="154"/>
      <c r="SR113" s="154"/>
      <c r="SS113" s="154"/>
      <c r="ST113" s="154"/>
      <c r="SU113" s="155"/>
      <c r="SV113" s="154"/>
      <c r="SW113" s="154"/>
      <c r="SX113" s="155"/>
      <c r="SY113" s="155"/>
      <c r="SZ113" s="155"/>
      <c r="TA113" s="155"/>
      <c r="TB113" s="155"/>
      <c r="TC113" s="155"/>
      <c r="TD113" s="155"/>
      <c r="TE113" s="156"/>
      <c r="TF113" s="144"/>
      <c r="TG113" s="84"/>
      <c r="TH113" s="144"/>
      <c r="TI113" s="144"/>
      <c r="TJ113" s="144"/>
      <c r="TK113" s="144"/>
      <c r="TL113" s="157"/>
      <c r="TM113" s="157"/>
      <c r="TN113" s="157"/>
      <c r="TO113" s="157"/>
      <c r="TP113" s="157"/>
      <c r="TQ113" s="157"/>
      <c r="TR113" s="157"/>
      <c r="TS113" s="157"/>
      <c r="TT113" s="157"/>
      <c r="TU113" s="158"/>
      <c r="TV113" s="157"/>
      <c r="TW113" s="158"/>
      <c r="TX113" s="144"/>
      <c r="TY113" s="144"/>
      <c r="TZ113" s="144"/>
      <c r="UA113" s="84"/>
      <c r="UB113" s="144"/>
      <c r="UC113" s="144"/>
      <c r="UD113" s="144"/>
      <c r="UE113" s="144"/>
      <c r="UF113" s="157"/>
      <c r="UG113" s="157"/>
      <c r="UH113" s="157"/>
      <c r="UI113" s="157"/>
      <c r="UJ113" s="157"/>
      <c r="UK113" s="157"/>
      <c r="UL113" s="157"/>
      <c r="UM113" s="157"/>
      <c r="UN113" s="157"/>
      <c r="UO113" s="157"/>
      <c r="UP113" s="157"/>
      <c r="UQ113" s="158"/>
      <c r="UR113" s="157"/>
      <c r="US113" s="158"/>
      <c r="UT113" s="144"/>
      <c r="UU113" s="144"/>
      <c r="UV113" s="144"/>
      <c r="UW113" s="144"/>
      <c r="UX113" s="144"/>
      <c r="UY113" s="144"/>
      <c r="UZ113" s="144"/>
      <c r="VA113" s="144"/>
      <c r="VB113" s="157"/>
      <c r="VC113" s="157"/>
      <c r="VD113" s="157"/>
      <c r="VE113" s="157"/>
      <c r="VF113" s="157"/>
      <c r="VG113" s="157"/>
      <c r="VH113" s="157"/>
      <c r="VI113" s="157"/>
      <c r="VJ113" s="157"/>
      <c r="VK113" s="157"/>
      <c r="VL113" s="157"/>
      <c r="VM113" s="157"/>
      <c r="VN113" s="157"/>
      <c r="VO113" s="157"/>
      <c r="VP113" s="144"/>
      <c r="VQ113" s="144"/>
      <c r="VR113" s="84"/>
      <c r="VS113" s="84"/>
      <c r="VT113" s="53"/>
      <c r="VU113" s="53"/>
    </row>
    <row r="114" spans="1:593">
      <c r="A114" s="46"/>
      <c r="B114" s="46"/>
      <c r="C114" s="293"/>
      <c r="D114" s="293"/>
      <c r="E114" s="293"/>
      <c r="F114" s="293"/>
      <c r="G114" s="293"/>
      <c r="H114" s="293"/>
      <c r="I114" s="293"/>
      <c r="J114" s="293"/>
      <c r="K114" s="293"/>
      <c r="L114" s="293"/>
      <c r="M114" s="293"/>
      <c r="N114" s="293"/>
      <c r="O114" s="293"/>
      <c r="P114" s="293"/>
      <c r="Q114" s="293"/>
      <c r="R114" s="293"/>
      <c r="S114" s="293"/>
      <c r="T114" s="293"/>
      <c r="U114" s="293"/>
      <c r="V114" s="293"/>
      <c r="W114" s="293"/>
      <c r="X114" s="293"/>
      <c r="Y114" s="293"/>
      <c r="Z114" s="293"/>
      <c r="AA114" s="293"/>
      <c r="AB114" s="293"/>
      <c r="AC114" s="293"/>
      <c r="AD114" s="293"/>
      <c r="AE114" s="293"/>
      <c r="AF114" s="293"/>
      <c r="AG114" s="293"/>
      <c r="AH114" s="293"/>
      <c r="AI114" s="46"/>
      <c r="AJ114" s="293"/>
      <c r="AK114" s="293"/>
      <c r="AL114" s="293"/>
      <c r="AM114" s="293"/>
      <c r="AN114" s="293"/>
      <c r="AO114" s="293"/>
      <c r="AP114" s="293"/>
      <c r="AQ114" s="293"/>
      <c r="AR114" s="293"/>
      <c r="AS114" s="293"/>
      <c r="AT114" s="293"/>
      <c r="AU114" s="293"/>
      <c r="AV114" s="293"/>
      <c r="AW114" s="293"/>
      <c r="AX114" s="293"/>
      <c r="AY114" s="293"/>
      <c r="AZ114" s="293"/>
      <c r="BA114" s="293"/>
      <c r="BB114" s="293"/>
      <c r="BC114" s="293"/>
      <c r="BD114" s="293"/>
      <c r="BE114" s="293"/>
      <c r="BF114" s="293"/>
      <c r="BG114" s="293"/>
      <c r="BH114" s="293"/>
      <c r="BI114" s="293"/>
      <c r="BJ114" s="293"/>
      <c r="BK114" s="293"/>
      <c r="BL114" s="293"/>
      <c r="BM114" s="293"/>
      <c r="BN114" s="293"/>
      <c r="BO114" s="293"/>
      <c r="BP114" s="46"/>
      <c r="BQ114" s="293"/>
      <c r="BR114" s="293"/>
      <c r="BS114" s="293"/>
      <c r="BT114" s="293"/>
      <c r="BU114" s="293"/>
      <c r="BV114" s="293"/>
      <c r="BW114" s="293"/>
      <c r="BX114" s="293"/>
      <c r="BY114" s="293"/>
      <c r="BZ114" s="293"/>
      <c r="CA114" s="293"/>
      <c r="CB114" s="293"/>
      <c r="CC114" s="293"/>
      <c r="CD114" s="293"/>
      <c r="CE114" s="293"/>
      <c r="CF114" s="293"/>
      <c r="CG114" s="293"/>
      <c r="CH114" s="293"/>
      <c r="CI114" s="293"/>
      <c r="CJ114" s="293"/>
      <c r="CK114" s="293"/>
      <c r="CL114" s="293"/>
      <c r="CM114" s="293"/>
      <c r="CN114" s="293"/>
      <c r="CO114" s="293"/>
      <c r="CP114" s="293"/>
      <c r="CQ114" s="293"/>
      <c r="CR114" s="293"/>
      <c r="CS114" s="293"/>
      <c r="CT114" s="293"/>
      <c r="CU114" s="293"/>
      <c r="CV114" s="293"/>
      <c r="CW114" s="46"/>
      <c r="CX114" s="293"/>
      <c r="CY114" s="293"/>
      <c r="CZ114" s="293"/>
      <c r="DA114" s="293"/>
      <c r="DB114" s="293"/>
      <c r="DC114" s="293"/>
      <c r="DD114" s="293"/>
      <c r="DE114" s="293"/>
      <c r="DF114" s="293"/>
      <c r="DG114" s="293"/>
      <c r="DH114" s="293"/>
      <c r="DI114" s="293"/>
      <c r="DJ114" s="293"/>
      <c r="DK114" s="293"/>
      <c r="DL114" s="293"/>
      <c r="DM114" s="293"/>
      <c r="DN114" s="293"/>
      <c r="DO114" s="293"/>
      <c r="DP114" s="293"/>
      <c r="DQ114" s="293"/>
      <c r="DR114" s="293"/>
      <c r="DS114" s="293"/>
      <c r="DT114" s="293"/>
      <c r="DU114" s="293"/>
      <c r="DV114" s="293"/>
      <c r="DW114" s="293"/>
      <c r="DX114" s="293"/>
      <c r="DY114" s="293"/>
      <c r="DZ114" s="293"/>
      <c r="EA114" s="293"/>
      <c r="EB114" s="293"/>
      <c r="EC114" s="293"/>
      <c r="ED114" s="46"/>
      <c r="EE114" s="46"/>
      <c r="EF114" s="46"/>
      <c r="EG114" s="46"/>
      <c r="EH114" s="46"/>
      <c r="EI114" s="46"/>
      <c r="EJ114" s="46"/>
      <c r="EK114" s="46"/>
      <c r="EL114" s="46"/>
      <c r="EM114" s="46"/>
      <c r="EN114" s="46"/>
      <c r="EO114" s="46"/>
      <c r="EP114" s="46"/>
      <c r="EQ114" s="46"/>
      <c r="ER114" s="46"/>
      <c r="ES114" s="46"/>
      <c r="ET114" s="46"/>
      <c r="EU114" s="46"/>
      <c r="EV114" s="46"/>
      <c r="EW114" s="46"/>
      <c r="EX114" s="46"/>
      <c r="EY114" s="46"/>
      <c r="EZ114" s="46"/>
      <c r="FA114" s="46"/>
      <c r="FB114" s="46"/>
      <c r="FC114" s="46"/>
      <c r="FD114" s="46"/>
      <c r="FE114" s="46"/>
      <c r="FF114" s="46"/>
      <c r="FG114" s="46"/>
      <c r="FH114" s="46"/>
      <c r="FI114" s="46"/>
      <c r="FJ114" s="46"/>
      <c r="FK114" s="46"/>
      <c r="FL114" s="46"/>
      <c r="FM114" s="46"/>
      <c r="FN114" s="46"/>
      <c r="FO114" s="46"/>
      <c r="FP114" s="46"/>
      <c r="FQ114" s="46"/>
      <c r="FR114" s="46"/>
      <c r="FS114" s="46"/>
      <c r="FT114" s="46"/>
      <c r="FU114" s="46"/>
      <c r="FV114" s="46"/>
      <c r="FW114" s="46"/>
      <c r="FX114" s="46"/>
      <c r="FY114" s="46"/>
      <c r="FZ114" s="46"/>
      <c r="GA114" s="46"/>
      <c r="GB114" s="46"/>
      <c r="GC114" s="46"/>
      <c r="GD114" s="46"/>
      <c r="GE114" s="46"/>
      <c r="GF114" s="46"/>
      <c r="GG114" s="46"/>
      <c r="GH114" s="46"/>
      <c r="GI114" s="46"/>
      <c r="GJ114" s="46"/>
      <c r="GK114" s="46"/>
      <c r="GL114" s="46"/>
      <c r="GM114" s="46"/>
      <c r="GN114" s="46"/>
      <c r="GO114" s="46"/>
      <c r="GP114" s="46"/>
      <c r="GQ114" s="46"/>
      <c r="GR114" s="46"/>
      <c r="GS114" s="46"/>
      <c r="GT114" s="46"/>
      <c r="GU114" s="46"/>
      <c r="GV114" s="46"/>
      <c r="GW114" s="46"/>
      <c r="GX114" s="46"/>
      <c r="GY114" s="46"/>
      <c r="GZ114" s="46"/>
      <c r="HA114" s="46"/>
      <c r="HB114" s="46"/>
      <c r="HC114" s="46"/>
      <c r="HD114" s="46"/>
      <c r="HE114" s="46"/>
      <c r="HF114" s="46"/>
      <c r="HG114" s="46"/>
      <c r="HH114" s="46"/>
      <c r="HI114" s="46"/>
      <c r="HJ114" s="46"/>
      <c r="HK114" s="46"/>
      <c r="HL114" s="46"/>
      <c r="HM114" s="46"/>
      <c r="HN114" s="46"/>
      <c r="HO114" s="46"/>
      <c r="HP114" s="46"/>
      <c r="HQ114" s="46"/>
      <c r="HR114" s="46"/>
      <c r="HS114" s="46"/>
      <c r="HT114" s="46"/>
      <c r="HU114" s="46"/>
      <c r="HV114" s="46"/>
      <c r="HW114" s="46"/>
      <c r="HX114" s="46"/>
      <c r="HY114" s="46"/>
      <c r="HZ114" s="46"/>
      <c r="IA114" s="46"/>
      <c r="IB114" s="46"/>
      <c r="IC114" s="46"/>
      <c r="ID114" s="46"/>
      <c r="IE114" s="46"/>
      <c r="IF114" s="46"/>
      <c r="IG114" s="46"/>
      <c r="IH114" s="46"/>
      <c r="II114" s="46"/>
      <c r="IJ114" s="46"/>
      <c r="IK114" s="46"/>
      <c r="IL114" s="46"/>
      <c r="IM114" s="46"/>
      <c r="IN114" s="46"/>
      <c r="IO114" s="46"/>
      <c r="IP114" s="11"/>
      <c r="IQ114" s="46"/>
      <c r="IR114" s="46"/>
      <c r="IS114" s="46"/>
      <c r="IT114" s="46"/>
      <c r="IU114" s="46"/>
      <c r="IV114" s="46"/>
      <c r="IW114" s="46"/>
      <c r="IX114" s="46"/>
      <c r="IY114" s="46"/>
      <c r="IZ114" s="46"/>
      <c r="JA114" s="46"/>
      <c r="JB114" s="46"/>
      <c r="JC114" s="46"/>
      <c r="JD114" s="46"/>
      <c r="JE114" s="46"/>
      <c r="JF114" s="46"/>
      <c r="JG114" s="46"/>
      <c r="JH114" s="46"/>
      <c r="JI114" s="46"/>
      <c r="JJ114" s="46"/>
      <c r="JK114" s="46"/>
      <c r="JL114" s="46"/>
      <c r="JM114" s="46"/>
      <c r="JN114" s="46"/>
      <c r="JO114" s="46"/>
      <c r="JP114" s="46"/>
      <c r="JQ114" s="46"/>
      <c r="JR114" s="46"/>
      <c r="JS114" s="46"/>
      <c r="JT114" s="46"/>
      <c r="JU114" s="46"/>
      <c r="JV114" s="46"/>
      <c r="JW114" s="46"/>
      <c r="JX114" s="46"/>
      <c r="JY114" s="46"/>
      <c r="JZ114" s="46"/>
      <c r="KA114" s="46"/>
      <c r="KB114" s="46"/>
      <c r="KC114" s="46"/>
      <c r="KD114" s="46"/>
      <c r="KE114" s="46"/>
      <c r="KF114" s="46"/>
      <c r="KG114" s="46"/>
      <c r="KH114" s="46"/>
      <c r="KI114" s="46"/>
      <c r="KJ114" s="46"/>
      <c r="KK114" s="46"/>
      <c r="KL114" s="46"/>
      <c r="KM114" s="46"/>
      <c r="KN114" s="46"/>
      <c r="KO114" s="46"/>
      <c r="KP114" s="46"/>
      <c r="KQ114" s="11"/>
      <c r="KR114" s="46"/>
      <c r="KS114" s="46"/>
      <c r="KT114" s="46"/>
      <c r="KU114" s="46"/>
      <c r="KV114" s="46"/>
      <c r="KW114" s="46"/>
      <c r="KX114" s="46"/>
      <c r="KY114" s="46"/>
      <c r="KZ114" s="46"/>
      <c r="LA114" s="46"/>
      <c r="LB114" s="46"/>
      <c r="LC114" s="46"/>
      <c r="LD114" s="46"/>
      <c r="LE114" s="46"/>
      <c r="LF114" s="11"/>
      <c r="LG114" s="46"/>
      <c r="LH114" s="46"/>
      <c r="LI114" s="46"/>
      <c r="LJ114" s="46"/>
      <c r="LK114" s="46"/>
      <c r="LL114" s="46"/>
      <c r="LM114" s="46"/>
      <c r="LN114" s="46"/>
      <c r="LO114" s="46"/>
      <c r="LP114" s="46"/>
      <c r="LQ114" s="46"/>
      <c r="LR114" s="46"/>
      <c r="LS114" s="46"/>
      <c r="LT114" s="46"/>
      <c r="LU114" s="46"/>
      <c r="LV114" s="46"/>
      <c r="LW114" s="46"/>
      <c r="LX114" s="46"/>
      <c r="LY114" s="11"/>
      <c r="LZ114" s="3"/>
      <c r="MA114" s="3"/>
      <c r="MB114" s="3"/>
      <c r="MC114" s="11"/>
      <c r="MD114" s="11"/>
      <c r="ME114" s="11"/>
      <c r="MF114" s="11"/>
      <c r="MG114" s="11"/>
      <c r="MH114" s="11"/>
      <c r="MI114" s="11"/>
      <c r="MJ114" s="11"/>
      <c r="MK114" s="11"/>
      <c r="MO114" s="11"/>
      <c r="MP114" s="11"/>
      <c r="MQ114" s="11"/>
      <c r="MR114" s="11"/>
      <c r="MS114" s="11"/>
      <c r="MT114" s="11"/>
      <c r="MU114" s="11"/>
      <c r="MV114" s="11"/>
      <c r="MW114" s="11"/>
      <c r="MX114" s="11"/>
      <c r="MY114" s="11"/>
      <c r="MZ114" s="11"/>
      <c r="NA114" s="11"/>
      <c r="NB114" s="11"/>
      <c r="NC114" s="11"/>
      <c r="ND114" s="11"/>
      <c r="NE114" s="11"/>
      <c r="NF114" s="11"/>
      <c r="NG114" s="11"/>
      <c r="NH114" s="46"/>
      <c r="NI114" s="46"/>
      <c r="NJ114" s="142"/>
      <c r="NK114" s="46"/>
      <c r="NL114" s="46"/>
      <c r="NM114" s="46"/>
      <c r="NN114" s="46"/>
      <c r="NO114" s="46"/>
      <c r="NP114" s="46"/>
      <c r="NQ114" s="46"/>
      <c r="NR114" s="46"/>
      <c r="NS114" s="46"/>
      <c r="NT114" s="46"/>
      <c r="NU114" s="46"/>
      <c r="NV114" s="46"/>
      <c r="NW114" s="46"/>
      <c r="NX114" s="46"/>
      <c r="NY114" s="46"/>
      <c r="NZ114" s="46"/>
      <c r="OA114" s="46"/>
      <c r="OB114" s="46"/>
      <c r="OC114" s="46"/>
      <c r="OD114" s="46"/>
      <c r="OE114" s="46"/>
      <c r="OF114" s="46"/>
      <c r="OG114" s="46"/>
      <c r="OH114" s="46"/>
      <c r="OI114" s="46"/>
      <c r="OJ114" s="46"/>
      <c r="OK114" s="46"/>
      <c r="OL114" s="46"/>
      <c r="OM114" s="46"/>
      <c r="ON114" s="46"/>
      <c r="OO114" s="46"/>
      <c r="OP114" s="46"/>
      <c r="OQ114" s="46"/>
      <c r="OR114" s="46"/>
      <c r="OS114" s="144"/>
      <c r="OT114" s="144"/>
      <c r="OU114" s="144"/>
      <c r="OV114" s="144"/>
      <c r="OW114" s="144"/>
      <c r="OX114" s="144"/>
      <c r="OY114" s="144"/>
      <c r="OZ114" s="144"/>
      <c r="PA114" s="144"/>
      <c r="PB114" s="144"/>
      <c r="PC114" s="144"/>
      <c r="PD114" s="144"/>
      <c r="PE114" s="144"/>
      <c r="PF114" s="144"/>
      <c r="PG114" s="144"/>
      <c r="PH114" s="144"/>
      <c r="PI114" s="144"/>
      <c r="PJ114" s="144"/>
      <c r="PK114" s="144"/>
      <c r="PL114" s="144"/>
      <c r="PM114" s="144"/>
      <c r="PN114" s="144"/>
      <c r="PO114" s="144"/>
      <c r="PP114" s="144"/>
      <c r="PQ114" s="144"/>
      <c r="PR114" s="144"/>
      <c r="PS114" s="144"/>
      <c r="PT114" s="146"/>
      <c r="PU114" s="146"/>
      <c r="PV114" s="146"/>
      <c r="PW114" s="146"/>
      <c r="PX114" s="146"/>
      <c r="PY114" s="146"/>
      <c r="PZ114" s="146"/>
      <c r="QA114" s="146"/>
      <c r="QB114" s="146"/>
      <c r="QC114" s="146"/>
      <c r="QD114" s="146"/>
      <c r="QE114" s="146"/>
      <c r="QF114" s="146"/>
      <c r="QG114" s="146"/>
      <c r="QH114" s="146"/>
      <c r="QI114" s="146"/>
      <c r="QJ114" s="146"/>
      <c r="QK114" s="146"/>
      <c r="QL114" s="146"/>
      <c r="QM114" s="146"/>
      <c r="QN114" s="146"/>
      <c r="QO114" s="146"/>
      <c r="QP114" s="146"/>
      <c r="QQ114" s="146"/>
      <c r="QR114" s="146"/>
      <c r="QS114" s="144"/>
      <c r="QT114" s="144"/>
      <c r="QU114" s="144"/>
      <c r="QV114" s="144"/>
      <c r="QW114" s="144"/>
      <c r="QX114" s="144"/>
      <c r="QY114" s="144"/>
      <c r="QZ114" s="144"/>
      <c r="RA114" s="144"/>
      <c r="RB114" s="144"/>
      <c r="RC114" s="144"/>
      <c r="RD114" s="144"/>
      <c r="RE114" s="144"/>
      <c r="RF114" s="144"/>
      <c r="RG114" s="144"/>
      <c r="RH114" s="144"/>
      <c r="RI114" s="144"/>
      <c r="RJ114" s="144"/>
      <c r="RK114" s="144"/>
      <c r="RL114" s="144"/>
      <c r="RM114" s="144"/>
      <c r="RN114" s="144"/>
      <c r="RO114" s="144"/>
      <c r="RP114" s="144"/>
      <c r="RQ114" s="144"/>
      <c r="RR114" s="144"/>
      <c r="RS114" s="144"/>
      <c r="RT114" s="144"/>
      <c r="RU114" s="144"/>
      <c r="RV114" s="144"/>
      <c r="RW114" s="144"/>
      <c r="RX114" s="144"/>
      <c r="RY114" s="144"/>
      <c r="RZ114" s="144"/>
      <c r="SA114" s="144"/>
      <c r="SB114" s="144"/>
      <c r="SC114" s="144"/>
      <c r="SD114" s="144"/>
      <c r="SE114" s="144"/>
      <c r="SF114" s="144"/>
      <c r="SG114" s="144"/>
      <c r="SH114" s="144"/>
      <c r="SI114" s="144"/>
      <c r="SJ114" s="144"/>
      <c r="SK114" s="144"/>
      <c r="SL114" s="144"/>
      <c r="SM114" s="84"/>
      <c r="SN114" s="84"/>
      <c r="SO114" s="154"/>
      <c r="SP114" s="154"/>
      <c r="SQ114" s="154"/>
      <c r="SR114" s="154"/>
      <c r="SS114" s="154"/>
      <c r="ST114" s="154"/>
      <c r="SU114" s="155"/>
      <c r="SV114" s="154"/>
      <c r="SW114" s="154"/>
      <c r="SX114" s="155"/>
      <c r="SY114" s="155"/>
      <c r="SZ114" s="155"/>
      <c r="TA114" s="155"/>
      <c r="TB114" s="155"/>
      <c r="TC114" s="155"/>
      <c r="TD114" s="155"/>
      <c r="TE114" s="156"/>
      <c r="TF114" s="144"/>
      <c r="TG114" s="84"/>
      <c r="TH114" s="144"/>
      <c r="TI114" s="144"/>
      <c r="TJ114" s="144"/>
      <c r="TK114" s="144"/>
      <c r="TL114" s="157"/>
      <c r="TM114" s="157"/>
      <c r="TN114" s="157"/>
      <c r="TO114" s="157"/>
      <c r="TP114" s="157"/>
      <c r="TQ114" s="157"/>
      <c r="TR114" s="157"/>
      <c r="TS114" s="157"/>
      <c r="TT114" s="157"/>
      <c r="TU114" s="158"/>
      <c r="TV114" s="157"/>
      <c r="TW114" s="158"/>
      <c r="TX114" s="144"/>
      <c r="TY114" s="144"/>
      <c r="TZ114" s="144"/>
      <c r="UA114" s="84"/>
      <c r="UB114" s="144"/>
      <c r="UC114" s="144"/>
      <c r="UD114" s="144"/>
      <c r="UE114" s="144"/>
      <c r="UF114" s="157"/>
      <c r="UG114" s="157"/>
      <c r="UH114" s="157"/>
      <c r="UI114" s="157"/>
      <c r="UJ114" s="157"/>
      <c r="UK114" s="157"/>
      <c r="UL114" s="157"/>
      <c r="UM114" s="157"/>
      <c r="UN114" s="157"/>
      <c r="UO114" s="157"/>
      <c r="UP114" s="157"/>
      <c r="UQ114" s="158"/>
      <c r="UR114" s="157"/>
      <c r="US114" s="158"/>
      <c r="UT114" s="144"/>
      <c r="UU114" s="144"/>
      <c r="UV114" s="144"/>
      <c r="UW114" s="144"/>
      <c r="UX114" s="144"/>
      <c r="UY114" s="144"/>
      <c r="UZ114" s="144"/>
      <c r="VA114" s="144"/>
      <c r="VB114" s="157"/>
      <c r="VC114" s="157"/>
      <c r="VD114" s="157"/>
      <c r="VE114" s="157"/>
      <c r="VF114" s="157"/>
      <c r="VG114" s="157"/>
      <c r="VH114" s="157"/>
      <c r="VI114" s="157"/>
      <c r="VJ114" s="157"/>
      <c r="VK114" s="157"/>
      <c r="VL114" s="157"/>
      <c r="VM114" s="157"/>
      <c r="VN114" s="157"/>
      <c r="VO114" s="157"/>
      <c r="VP114" s="144"/>
      <c r="VQ114" s="144"/>
      <c r="VR114" s="84"/>
      <c r="VS114" s="84"/>
      <c r="VT114" s="46"/>
      <c r="VU114" s="46"/>
    </row>
    <row r="115" spans="1:593">
      <c r="A115" s="46"/>
      <c r="B115" s="46"/>
      <c r="C115" s="293"/>
      <c r="D115" s="293"/>
      <c r="E115" s="293"/>
      <c r="F115" s="293"/>
      <c r="G115" s="293"/>
      <c r="H115" s="293"/>
      <c r="I115" s="293"/>
      <c r="J115" s="293"/>
      <c r="K115" s="293"/>
      <c r="L115" s="293"/>
      <c r="M115" s="293"/>
      <c r="N115" s="293"/>
      <c r="O115" s="293"/>
      <c r="P115" s="293"/>
      <c r="Q115" s="293"/>
      <c r="R115" s="293"/>
      <c r="S115" s="293"/>
      <c r="T115" s="293"/>
      <c r="U115" s="293"/>
      <c r="V115" s="293"/>
      <c r="W115" s="293"/>
      <c r="X115" s="293"/>
      <c r="Y115" s="293"/>
      <c r="Z115" s="293"/>
      <c r="AA115" s="293"/>
      <c r="AB115" s="293"/>
      <c r="AC115" s="293"/>
      <c r="AD115" s="293"/>
      <c r="AE115" s="293"/>
      <c r="AF115" s="293"/>
      <c r="AG115" s="293"/>
      <c r="AH115" s="293"/>
      <c r="AI115" s="46"/>
      <c r="AJ115" s="293"/>
      <c r="AK115" s="293"/>
      <c r="AL115" s="293"/>
      <c r="AM115" s="293"/>
      <c r="AN115" s="293"/>
      <c r="AO115" s="293"/>
      <c r="AP115" s="293"/>
      <c r="AQ115" s="293"/>
      <c r="AR115" s="293"/>
      <c r="AS115" s="293"/>
      <c r="AT115" s="293"/>
      <c r="AU115" s="293"/>
      <c r="AV115" s="293"/>
      <c r="AW115" s="293"/>
      <c r="AX115" s="293"/>
      <c r="AY115" s="293"/>
      <c r="AZ115" s="293"/>
      <c r="BA115" s="293"/>
      <c r="BB115" s="293"/>
      <c r="BC115" s="293"/>
      <c r="BD115" s="293"/>
      <c r="BE115" s="293"/>
      <c r="BF115" s="293"/>
      <c r="BG115" s="293"/>
      <c r="BH115" s="293"/>
      <c r="BI115" s="293"/>
      <c r="BJ115" s="293"/>
      <c r="BK115" s="293"/>
      <c r="BL115" s="293"/>
      <c r="BM115" s="293"/>
      <c r="BN115" s="293"/>
      <c r="BO115" s="293"/>
      <c r="BP115" s="46"/>
      <c r="BQ115" s="293"/>
      <c r="BR115" s="293"/>
      <c r="BS115" s="293"/>
      <c r="BT115" s="293"/>
      <c r="BU115" s="293"/>
      <c r="BV115" s="293"/>
      <c r="BW115" s="293"/>
      <c r="BX115" s="293"/>
      <c r="BY115" s="293"/>
      <c r="BZ115" s="293"/>
      <c r="CA115" s="293"/>
      <c r="CB115" s="293"/>
      <c r="CC115" s="293"/>
      <c r="CD115" s="293"/>
      <c r="CE115" s="293"/>
      <c r="CF115" s="293"/>
      <c r="CG115" s="293"/>
      <c r="CH115" s="293"/>
      <c r="CI115" s="293"/>
      <c r="CJ115" s="293"/>
      <c r="CK115" s="293"/>
      <c r="CL115" s="293"/>
      <c r="CM115" s="293"/>
      <c r="CN115" s="293"/>
      <c r="CO115" s="293"/>
      <c r="CP115" s="293"/>
      <c r="CQ115" s="293"/>
      <c r="CR115" s="293"/>
      <c r="CS115" s="293"/>
      <c r="CT115" s="293"/>
      <c r="CU115" s="293"/>
      <c r="CV115" s="293"/>
      <c r="CW115" s="46"/>
      <c r="CX115" s="293"/>
      <c r="CY115" s="293"/>
      <c r="CZ115" s="293"/>
      <c r="DA115" s="293"/>
      <c r="DB115" s="293"/>
      <c r="DC115" s="293"/>
      <c r="DD115" s="293"/>
      <c r="DE115" s="293"/>
      <c r="DF115" s="293"/>
      <c r="DG115" s="293"/>
      <c r="DH115" s="293"/>
      <c r="DI115" s="293"/>
      <c r="DJ115" s="293"/>
      <c r="DK115" s="293"/>
      <c r="DL115" s="293"/>
      <c r="DM115" s="293"/>
      <c r="DN115" s="293"/>
      <c r="DO115" s="293"/>
      <c r="DP115" s="293"/>
      <c r="DQ115" s="293"/>
      <c r="DR115" s="293"/>
      <c r="DS115" s="293"/>
      <c r="DT115" s="293"/>
      <c r="DU115" s="293"/>
      <c r="DV115" s="293"/>
      <c r="DW115" s="293"/>
      <c r="DX115" s="293"/>
      <c r="DY115" s="293"/>
      <c r="DZ115" s="293"/>
      <c r="EA115" s="293"/>
      <c r="EB115" s="293"/>
      <c r="EC115" s="293"/>
      <c r="ED115" s="46"/>
      <c r="EE115" s="46"/>
      <c r="EF115" s="46"/>
      <c r="EG115" s="46"/>
      <c r="EH115" s="46"/>
      <c r="EI115" s="46"/>
      <c r="EJ115" s="46"/>
      <c r="EK115" s="46"/>
      <c r="EL115" s="46"/>
      <c r="EM115" s="46"/>
      <c r="EN115" s="46"/>
      <c r="EO115" s="46"/>
      <c r="EP115" s="46"/>
      <c r="EQ115" s="46"/>
      <c r="ER115" s="46"/>
      <c r="ES115" s="46"/>
      <c r="ET115" s="46"/>
      <c r="EU115" s="46"/>
      <c r="EV115" s="46"/>
      <c r="EW115" s="46"/>
      <c r="EX115" s="46"/>
      <c r="EY115" s="46"/>
      <c r="EZ115" s="46"/>
      <c r="FA115" s="46"/>
      <c r="FB115" s="46"/>
      <c r="FC115" s="46"/>
      <c r="FD115" s="46"/>
      <c r="FE115" s="46"/>
      <c r="FF115" s="46"/>
      <c r="FG115" s="46"/>
      <c r="FH115" s="46"/>
      <c r="FI115" s="46"/>
      <c r="FJ115" s="46"/>
      <c r="FK115" s="46"/>
      <c r="FL115" s="46"/>
      <c r="FM115" s="46"/>
      <c r="FN115" s="46"/>
      <c r="FO115" s="46"/>
      <c r="FP115" s="46"/>
      <c r="FQ115" s="46"/>
      <c r="FR115" s="46"/>
      <c r="FS115" s="46"/>
      <c r="FT115" s="46"/>
      <c r="FU115" s="46"/>
      <c r="FV115" s="46"/>
      <c r="FW115" s="46"/>
      <c r="FX115" s="46"/>
      <c r="FY115" s="46"/>
      <c r="FZ115" s="46"/>
      <c r="GA115" s="46"/>
      <c r="GB115" s="46"/>
      <c r="GC115" s="46"/>
      <c r="GD115" s="46"/>
      <c r="GE115" s="46"/>
      <c r="GF115" s="46"/>
      <c r="GG115" s="46"/>
      <c r="GH115" s="46"/>
      <c r="GI115" s="46"/>
      <c r="GJ115" s="46"/>
      <c r="GK115" s="46"/>
      <c r="GL115" s="46"/>
      <c r="GM115" s="46"/>
      <c r="GN115" s="46"/>
      <c r="GO115" s="46"/>
      <c r="GP115" s="46"/>
      <c r="GQ115" s="46"/>
      <c r="GR115" s="46"/>
      <c r="GS115" s="46"/>
      <c r="GT115" s="46"/>
      <c r="GU115" s="46"/>
      <c r="GV115" s="46"/>
      <c r="GW115" s="46"/>
      <c r="GX115" s="46"/>
      <c r="GY115" s="46"/>
      <c r="GZ115" s="46"/>
      <c r="HA115" s="46"/>
      <c r="HB115" s="46"/>
      <c r="HC115" s="46"/>
      <c r="HD115" s="46"/>
      <c r="HE115" s="46"/>
      <c r="HF115" s="46"/>
      <c r="HG115" s="46"/>
      <c r="HH115" s="46"/>
      <c r="HI115" s="46"/>
      <c r="HJ115" s="46"/>
      <c r="HK115" s="46"/>
      <c r="HL115" s="46"/>
      <c r="HM115" s="46"/>
      <c r="HN115" s="46"/>
      <c r="HO115" s="46"/>
      <c r="HP115" s="46"/>
      <c r="HQ115" s="46"/>
      <c r="HR115" s="46"/>
      <c r="HS115" s="46"/>
      <c r="HT115" s="46"/>
      <c r="HU115" s="46"/>
      <c r="HV115" s="46"/>
      <c r="HW115" s="46"/>
      <c r="HX115" s="46"/>
      <c r="HY115" s="46"/>
      <c r="HZ115" s="46"/>
      <c r="IA115" s="46"/>
      <c r="IB115" s="46"/>
      <c r="IC115" s="46"/>
      <c r="ID115" s="46"/>
      <c r="IE115" s="46"/>
      <c r="IF115" s="46"/>
      <c r="IG115" s="46"/>
      <c r="IH115" s="46"/>
      <c r="II115" s="46"/>
      <c r="IJ115" s="46"/>
      <c r="IK115" s="46"/>
      <c r="IL115" s="46"/>
      <c r="IM115" s="46"/>
      <c r="IN115" s="46"/>
      <c r="IO115" s="46"/>
      <c r="IP115" s="11"/>
      <c r="IQ115" s="46"/>
      <c r="IR115" s="46"/>
      <c r="IS115" s="46"/>
      <c r="IT115" s="46"/>
      <c r="IU115" s="46"/>
      <c r="IV115" s="46"/>
      <c r="IW115" s="46"/>
      <c r="IX115" s="46"/>
      <c r="IY115" s="46"/>
      <c r="IZ115" s="46"/>
      <c r="JA115" s="46"/>
      <c r="JB115" s="46"/>
      <c r="JC115" s="46"/>
      <c r="JD115" s="46"/>
      <c r="JE115" s="46"/>
      <c r="JF115" s="46"/>
      <c r="JG115" s="46"/>
      <c r="JH115" s="46"/>
      <c r="JI115" s="46"/>
      <c r="JJ115" s="46"/>
      <c r="JK115" s="46"/>
      <c r="JL115" s="46"/>
      <c r="JM115" s="46"/>
      <c r="JN115" s="46"/>
      <c r="JO115" s="46"/>
      <c r="JP115" s="46"/>
      <c r="JQ115" s="46"/>
      <c r="JR115" s="46"/>
      <c r="JS115" s="46"/>
      <c r="JT115" s="46"/>
      <c r="JU115" s="46"/>
      <c r="JV115" s="46"/>
      <c r="JW115" s="46"/>
      <c r="JX115" s="46"/>
      <c r="JY115" s="46"/>
      <c r="JZ115" s="46"/>
      <c r="KA115" s="46"/>
      <c r="KB115" s="46"/>
      <c r="KC115" s="46"/>
      <c r="KD115" s="46"/>
      <c r="KE115" s="46"/>
      <c r="KF115" s="46"/>
      <c r="KG115" s="46"/>
      <c r="KH115" s="46"/>
      <c r="KI115" s="46"/>
      <c r="KJ115" s="46"/>
      <c r="KK115" s="46"/>
      <c r="KL115" s="46"/>
      <c r="KM115" s="46"/>
      <c r="KN115" s="46"/>
      <c r="KO115" s="46"/>
      <c r="KP115" s="46"/>
      <c r="KQ115" s="11"/>
      <c r="KR115" s="46"/>
      <c r="KS115" s="46"/>
      <c r="KT115" s="46"/>
      <c r="KU115" s="46"/>
      <c r="KV115" s="46"/>
      <c r="KW115" s="46"/>
      <c r="KX115" s="46"/>
      <c r="KY115" s="46"/>
      <c r="KZ115" s="46"/>
      <c r="LA115" s="46"/>
      <c r="LB115" s="46"/>
      <c r="LC115" s="46"/>
      <c r="LD115" s="46"/>
      <c r="LE115" s="46"/>
      <c r="LF115" s="11"/>
      <c r="LG115" s="46"/>
      <c r="LH115" s="46"/>
      <c r="LI115" s="46"/>
      <c r="LJ115" s="46"/>
      <c r="LK115" s="46"/>
      <c r="LL115" s="46"/>
      <c r="LM115" s="46"/>
      <c r="LN115" s="46"/>
      <c r="LO115" s="46"/>
      <c r="LP115" s="46"/>
      <c r="LQ115" s="46"/>
      <c r="LR115" s="46"/>
      <c r="LS115" s="46"/>
      <c r="LT115" s="46"/>
      <c r="LU115" s="46"/>
      <c r="LV115" s="46"/>
      <c r="LW115" s="46"/>
      <c r="LX115" s="46"/>
      <c r="LY115" s="11"/>
      <c r="LZ115" s="3"/>
      <c r="MA115" s="3"/>
      <c r="MB115" s="3"/>
      <c r="MC115" s="11"/>
      <c r="MD115" s="11"/>
      <c r="ME115" s="11"/>
      <c r="MF115" s="11"/>
      <c r="MG115" s="11"/>
      <c r="MH115" s="11"/>
      <c r="MI115" s="11"/>
      <c r="MJ115" s="11"/>
      <c r="MK115" s="11"/>
      <c r="MO115" s="11"/>
      <c r="MP115" s="11"/>
      <c r="MQ115" s="11"/>
      <c r="MR115" s="11"/>
      <c r="MS115" s="11"/>
      <c r="MT115" s="11"/>
      <c r="MU115" s="11"/>
      <c r="MV115" s="11"/>
      <c r="MW115" s="11"/>
      <c r="MX115" s="11"/>
      <c r="MY115" s="11"/>
      <c r="MZ115" s="11"/>
      <c r="NA115" s="11"/>
      <c r="NB115" s="11"/>
      <c r="NC115" s="11"/>
      <c r="ND115" s="11"/>
      <c r="NE115" s="11"/>
      <c r="NF115" s="11"/>
      <c r="NG115" s="11"/>
      <c r="NH115" s="46"/>
      <c r="NI115" s="46"/>
      <c r="NJ115" s="142"/>
      <c r="NK115" s="46"/>
      <c r="NL115" s="46"/>
      <c r="NM115" s="46"/>
      <c r="NN115" s="46"/>
      <c r="NO115" s="46"/>
      <c r="NP115" s="46"/>
      <c r="NQ115" s="46"/>
      <c r="NR115" s="46"/>
      <c r="NS115" s="46"/>
      <c r="NT115" s="46"/>
      <c r="NU115" s="46"/>
      <c r="NV115" s="46"/>
      <c r="NW115" s="46"/>
      <c r="NX115" s="46"/>
      <c r="NY115" s="46"/>
      <c r="NZ115" s="46"/>
      <c r="OA115" s="46"/>
      <c r="OB115" s="46"/>
      <c r="OC115" s="46"/>
      <c r="OD115" s="46"/>
      <c r="OE115" s="46"/>
      <c r="OF115" s="46"/>
      <c r="OG115" s="46"/>
      <c r="OH115" s="46"/>
      <c r="OI115" s="46"/>
      <c r="OJ115" s="46"/>
      <c r="OK115" s="46"/>
      <c r="OL115" s="46"/>
      <c r="OM115" s="46"/>
      <c r="ON115" s="46"/>
      <c r="OO115" s="46"/>
      <c r="OP115" s="46"/>
      <c r="OQ115" s="46"/>
      <c r="OR115" s="46"/>
      <c r="OS115" s="144"/>
      <c r="OT115" s="144"/>
      <c r="OU115" s="144"/>
      <c r="OV115" s="144"/>
      <c r="OW115" s="144"/>
      <c r="OX115" s="144"/>
      <c r="OY115" s="144"/>
      <c r="OZ115" s="144"/>
      <c r="PA115" s="144"/>
      <c r="PB115" s="144"/>
      <c r="PC115" s="144"/>
      <c r="PD115" s="144"/>
      <c r="PE115" s="144"/>
      <c r="PF115" s="144"/>
      <c r="PG115" s="144"/>
      <c r="PH115" s="144"/>
      <c r="PI115" s="144"/>
      <c r="PJ115" s="144"/>
      <c r="PK115" s="144"/>
      <c r="PL115" s="144"/>
      <c r="PM115" s="144"/>
      <c r="PN115" s="144"/>
      <c r="PO115" s="144"/>
      <c r="PP115" s="144"/>
      <c r="PQ115" s="144"/>
      <c r="PR115" s="144"/>
      <c r="PS115" s="144"/>
      <c r="PT115" s="146"/>
      <c r="PU115" s="146"/>
      <c r="PV115" s="146"/>
      <c r="PW115" s="146"/>
      <c r="PX115" s="146"/>
      <c r="PY115" s="146"/>
      <c r="PZ115" s="146"/>
      <c r="QA115" s="146"/>
      <c r="QB115" s="146"/>
      <c r="QC115" s="146"/>
      <c r="QD115" s="146"/>
      <c r="QE115" s="146"/>
      <c r="QF115" s="146"/>
      <c r="QG115" s="146"/>
      <c r="QH115" s="146"/>
      <c r="QI115" s="146"/>
      <c r="QJ115" s="146"/>
      <c r="QK115" s="146"/>
      <c r="QL115" s="146"/>
      <c r="QM115" s="146"/>
      <c r="QN115" s="146"/>
      <c r="QO115" s="146"/>
      <c r="QP115" s="146"/>
      <c r="QQ115" s="146"/>
      <c r="QR115" s="146"/>
      <c r="QS115" s="144"/>
      <c r="QT115" s="144"/>
      <c r="QU115" s="144"/>
      <c r="QV115" s="144"/>
      <c r="QW115" s="144"/>
      <c r="QX115" s="144"/>
      <c r="QY115" s="144"/>
      <c r="QZ115" s="144"/>
      <c r="RA115" s="144"/>
      <c r="RB115" s="144"/>
      <c r="RC115" s="144"/>
      <c r="RD115" s="144"/>
      <c r="RE115" s="144"/>
      <c r="RF115" s="144"/>
      <c r="RG115" s="144"/>
      <c r="RH115" s="144"/>
      <c r="RI115" s="144"/>
      <c r="RJ115" s="144"/>
      <c r="RK115" s="144"/>
      <c r="RL115" s="144"/>
      <c r="RM115" s="144"/>
      <c r="RN115" s="144"/>
      <c r="RO115" s="144"/>
      <c r="RP115" s="144"/>
      <c r="RQ115" s="144"/>
      <c r="RR115" s="144"/>
      <c r="RS115" s="144"/>
      <c r="RT115" s="144"/>
      <c r="RU115" s="144"/>
      <c r="RV115" s="144"/>
      <c r="RW115" s="144"/>
      <c r="RX115" s="144"/>
      <c r="RY115" s="144"/>
      <c r="RZ115" s="144"/>
      <c r="SA115" s="144"/>
      <c r="SB115" s="144"/>
      <c r="SC115" s="144"/>
      <c r="SD115" s="144"/>
      <c r="SE115" s="144"/>
      <c r="SF115" s="144"/>
      <c r="SG115" s="144"/>
      <c r="SH115" s="144"/>
      <c r="SI115" s="144"/>
      <c r="SJ115" s="144"/>
      <c r="SK115" s="144"/>
      <c r="SL115" s="144"/>
      <c r="SM115" s="84"/>
      <c r="SN115" s="84"/>
      <c r="SO115" s="154"/>
      <c r="SP115" s="154"/>
      <c r="SQ115" s="154"/>
      <c r="SR115" s="154"/>
      <c r="SS115" s="154"/>
      <c r="ST115" s="154"/>
      <c r="SU115" s="155"/>
      <c r="SV115" s="154"/>
      <c r="SW115" s="154"/>
      <c r="SX115" s="155"/>
      <c r="SY115" s="155"/>
      <c r="SZ115" s="155"/>
      <c r="TA115" s="155"/>
      <c r="TB115" s="155"/>
      <c r="TC115" s="155"/>
      <c r="TD115" s="155"/>
      <c r="TE115" s="156"/>
      <c r="TF115" s="144"/>
      <c r="TG115" s="84"/>
      <c r="TH115" s="144"/>
      <c r="TI115" s="144"/>
      <c r="TJ115" s="144"/>
      <c r="TK115" s="144"/>
      <c r="TL115" s="157"/>
      <c r="TM115" s="157"/>
      <c r="TN115" s="157"/>
      <c r="TO115" s="157"/>
      <c r="TP115" s="157"/>
      <c r="TQ115" s="157"/>
      <c r="TR115" s="157"/>
      <c r="TS115" s="157"/>
      <c r="TT115" s="157"/>
      <c r="TU115" s="158"/>
      <c r="TV115" s="157"/>
      <c r="TW115" s="158"/>
      <c r="TX115" s="144"/>
      <c r="TY115" s="144"/>
      <c r="TZ115" s="144"/>
      <c r="UA115" s="84"/>
      <c r="UB115" s="144"/>
      <c r="UC115" s="144"/>
      <c r="UD115" s="144"/>
      <c r="UE115" s="144"/>
      <c r="UF115" s="157"/>
      <c r="UG115" s="157"/>
      <c r="UH115" s="157"/>
      <c r="UI115" s="157"/>
      <c r="UJ115" s="157"/>
      <c r="UK115" s="157"/>
      <c r="UL115" s="157"/>
      <c r="UM115" s="157"/>
      <c r="UN115" s="157"/>
      <c r="UO115" s="157"/>
      <c r="UP115" s="157"/>
      <c r="UQ115" s="158"/>
      <c r="UR115" s="157"/>
      <c r="US115" s="158"/>
      <c r="UT115" s="144"/>
      <c r="UU115" s="144"/>
      <c r="UV115" s="144"/>
      <c r="UW115" s="144"/>
      <c r="UX115" s="144"/>
      <c r="UY115" s="144"/>
      <c r="UZ115" s="144"/>
      <c r="VA115" s="144"/>
      <c r="VB115" s="157"/>
      <c r="VC115" s="157"/>
      <c r="VD115" s="157"/>
      <c r="VE115" s="157"/>
      <c r="VF115" s="157"/>
      <c r="VG115" s="157"/>
      <c r="VH115" s="157"/>
      <c r="VI115" s="157"/>
      <c r="VJ115" s="157"/>
      <c r="VK115" s="157"/>
      <c r="VL115" s="157"/>
      <c r="VM115" s="157"/>
      <c r="VN115" s="157"/>
      <c r="VO115" s="157"/>
      <c r="VP115" s="144"/>
      <c r="VQ115" s="144"/>
      <c r="VR115" s="84"/>
      <c r="VS115" s="84"/>
      <c r="VT115" s="46"/>
      <c r="VU115" s="46"/>
    </row>
    <row r="116" spans="1:593">
      <c r="A116" s="46"/>
      <c r="B116" s="46"/>
      <c r="C116" s="293"/>
      <c r="D116" s="293"/>
      <c r="E116" s="293"/>
      <c r="F116" s="293"/>
      <c r="G116" s="293"/>
      <c r="H116" s="293"/>
      <c r="I116" s="293"/>
      <c r="J116" s="293"/>
      <c r="K116" s="293"/>
      <c r="L116" s="293"/>
      <c r="M116" s="293"/>
      <c r="N116" s="293"/>
      <c r="O116" s="293"/>
      <c r="P116" s="293"/>
      <c r="Q116" s="293"/>
      <c r="R116" s="293"/>
      <c r="S116" s="293"/>
      <c r="T116" s="293"/>
      <c r="U116" s="293"/>
      <c r="V116" s="293"/>
      <c r="W116" s="293"/>
      <c r="X116" s="293"/>
      <c r="Y116" s="293"/>
      <c r="Z116" s="293"/>
      <c r="AA116" s="293"/>
      <c r="AB116" s="293"/>
      <c r="AC116" s="293"/>
      <c r="AD116" s="293"/>
      <c r="AE116" s="293"/>
      <c r="AF116" s="293"/>
      <c r="AG116" s="293"/>
      <c r="AH116" s="293"/>
      <c r="AI116" s="46"/>
      <c r="AJ116" s="293"/>
      <c r="AK116" s="293"/>
      <c r="AL116" s="293"/>
      <c r="AM116" s="293"/>
      <c r="AN116" s="293"/>
      <c r="AO116" s="293"/>
      <c r="AP116" s="293"/>
      <c r="AQ116" s="293"/>
      <c r="AR116" s="293"/>
      <c r="AS116" s="293"/>
      <c r="AT116" s="293"/>
      <c r="AU116" s="293"/>
      <c r="AV116" s="293"/>
      <c r="AW116" s="293"/>
      <c r="AX116" s="293"/>
      <c r="AY116" s="293"/>
      <c r="AZ116" s="293"/>
      <c r="BA116" s="293"/>
      <c r="BB116" s="293"/>
      <c r="BC116" s="293"/>
      <c r="BD116" s="293"/>
      <c r="BE116" s="293"/>
      <c r="BF116" s="293"/>
      <c r="BG116" s="293"/>
      <c r="BH116" s="293"/>
      <c r="BI116" s="293"/>
      <c r="BJ116" s="293"/>
      <c r="BK116" s="293"/>
      <c r="BL116" s="293"/>
      <c r="BM116" s="293"/>
      <c r="BN116" s="293"/>
      <c r="BO116" s="293"/>
      <c r="BP116" s="46"/>
      <c r="BQ116" s="293"/>
      <c r="BR116" s="293"/>
      <c r="BS116" s="293"/>
      <c r="BT116" s="293"/>
      <c r="BU116" s="293"/>
      <c r="BV116" s="293"/>
      <c r="BW116" s="293"/>
      <c r="BX116" s="293"/>
      <c r="BY116" s="293"/>
      <c r="BZ116" s="293"/>
      <c r="CA116" s="293"/>
      <c r="CB116" s="293"/>
      <c r="CC116" s="293"/>
      <c r="CD116" s="293"/>
      <c r="CE116" s="293"/>
      <c r="CF116" s="293"/>
      <c r="CG116" s="293"/>
      <c r="CH116" s="293"/>
      <c r="CI116" s="293"/>
      <c r="CJ116" s="293"/>
      <c r="CK116" s="293"/>
      <c r="CL116" s="293"/>
      <c r="CM116" s="293"/>
      <c r="CN116" s="293"/>
      <c r="CO116" s="293"/>
      <c r="CP116" s="293"/>
      <c r="CQ116" s="293"/>
      <c r="CR116" s="293"/>
      <c r="CS116" s="293"/>
      <c r="CT116" s="293"/>
      <c r="CU116" s="293"/>
      <c r="CV116" s="293"/>
      <c r="CW116" s="46"/>
      <c r="CX116" s="293"/>
      <c r="CY116" s="293"/>
      <c r="CZ116" s="293"/>
      <c r="DA116" s="293"/>
      <c r="DB116" s="293"/>
      <c r="DC116" s="293"/>
      <c r="DD116" s="293"/>
      <c r="DE116" s="293"/>
      <c r="DF116" s="293"/>
      <c r="DG116" s="293"/>
      <c r="DH116" s="293"/>
      <c r="DI116" s="293"/>
      <c r="DJ116" s="293"/>
      <c r="DK116" s="293"/>
      <c r="DL116" s="293"/>
      <c r="DM116" s="293"/>
      <c r="DN116" s="293"/>
      <c r="DO116" s="293"/>
      <c r="DP116" s="293"/>
      <c r="DQ116" s="293"/>
      <c r="DR116" s="293"/>
      <c r="DS116" s="293"/>
      <c r="DT116" s="293"/>
      <c r="DU116" s="293"/>
      <c r="DV116" s="293"/>
      <c r="DW116" s="293"/>
      <c r="DX116" s="293"/>
      <c r="DY116" s="293"/>
      <c r="DZ116" s="293"/>
      <c r="EA116" s="293"/>
      <c r="EB116" s="293"/>
      <c r="EC116" s="293"/>
      <c r="ED116" s="46"/>
      <c r="EE116" s="46"/>
      <c r="EF116" s="46"/>
      <c r="EG116" s="46"/>
      <c r="EH116" s="46"/>
      <c r="EI116" s="46"/>
      <c r="EJ116" s="46"/>
      <c r="EK116" s="46"/>
      <c r="EL116" s="46"/>
      <c r="EM116" s="46"/>
      <c r="EN116" s="46"/>
      <c r="EO116" s="46"/>
      <c r="EP116" s="46"/>
      <c r="EQ116" s="46"/>
      <c r="ER116" s="46"/>
      <c r="ES116" s="46"/>
      <c r="ET116" s="46"/>
      <c r="EU116" s="46"/>
      <c r="EV116" s="46"/>
      <c r="EW116" s="46"/>
      <c r="EX116" s="46"/>
      <c r="EY116" s="46"/>
      <c r="EZ116" s="46"/>
      <c r="FA116" s="46"/>
      <c r="FB116" s="46"/>
      <c r="FC116" s="46"/>
      <c r="FD116" s="46"/>
      <c r="FE116" s="46"/>
      <c r="FF116" s="46"/>
      <c r="FG116" s="46"/>
      <c r="FH116" s="46"/>
      <c r="FI116" s="46"/>
      <c r="FJ116" s="46"/>
      <c r="FK116" s="46"/>
      <c r="FL116" s="46"/>
      <c r="FM116" s="46"/>
      <c r="FN116" s="46"/>
      <c r="FO116" s="46"/>
      <c r="FP116" s="46"/>
      <c r="FQ116" s="46"/>
      <c r="FR116" s="46"/>
      <c r="FS116" s="46"/>
      <c r="FT116" s="46"/>
      <c r="FU116" s="46"/>
      <c r="FV116" s="46"/>
      <c r="FW116" s="46"/>
      <c r="FX116" s="46"/>
      <c r="FY116" s="46"/>
      <c r="FZ116" s="46"/>
      <c r="GA116" s="46"/>
      <c r="GB116" s="46"/>
      <c r="GC116" s="46"/>
      <c r="GD116" s="46"/>
      <c r="GE116" s="46"/>
      <c r="GF116" s="46"/>
      <c r="GG116" s="46"/>
      <c r="GH116" s="46"/>
      <c r="GI116" s="46"/>
      <c r="GJ116" s="46"/>
      <c r="GK116" s="46"/>
      <c r="GL116" s="46"/>
      <c r="GM116" s="46"/>
      <c r="GN116" s="46"/>
      <c r="GO116" s="46"/>
      <c r="GP116" s="46"/>
      <c r="GQ116" s="46"/>
      <c r="GR116" s="46"/>
      <c r="GS116" s="46"/>
      <c r="GT116" s="46"/>
      <c r="GU116" s="46"/>
      <c r="GV116" s="46"/>
      <c r="GW116" s="46"/>
      <c r="GX116" s="46"/>
      <c r="GY116" s="46"/>
      <c r="GZ116" s="46"/>
      <c r="HA116" s="46"/>
      <c r="HB116" s="46"/>
      <c r="HC116" s="46"/>
      <c r="HD116" s="46"/>
      <c r="HE116" s="46"/>
      <c r="HF116" s="46"/>
      <c r="HG116" s="46"/>
      <c r="HH116" s="46"/>
      <c r="HI116" s="46"/>
      <c r="HJ116" s="46"/>
      <c r="HK116" s="46"/>
      <c r="HL116" s="46"/>
      <c r="HM116" s="46"/>
      <c r="HN116" s="46"/>
      <c r="HO116" s="46"/>
      <c r="HP116" s="46"/>
      <c r="HQ116" s="46"/>
      <c r="HR116" s="46"/>
      <c r="HS116" s="46"/>
      <c r="HT116" s="46"/>
      <c r="HU116" s="46"/>
      <c r="HV116" s="46"/>
      <c r="HW116" s="46"/>
      <c r="HX116" s="46"/>
      <c r="HY116" s="46"/>
      <c r="HZ116" s="46"/>
      <c r="IA116" s="46"/>
      <c r="IB116" s="46"/>
      <c r="IC116" s="46"/>
      <c r="ID116" s="46"/>
      <c r="IE116" s="46"/>
      <c r="IF116" s="46"/>
      <c r="IG116" s="46"/>
      <c r="IH116" s="46"/>
      <c r="II116" s="46"/>
      <c r="IJ116" s="46"/>
      <c r="IK116" s="46"/>
      <c r="IL116" s="46"/>
      <c r="IM116" s="46"/>
      <c r="IN116" s="46"/>
      <c r="IO116" s="46"/>
      <c r="IP116" s="11"/>
      <c r="IQ116" s="46"/>
      <c r="IR116" s="46"/>
      <c r="IS116" s="46"/>
      <c r="IT116" s="46"/>
      <c r="IU116" s="46"/>
      <c r="IV116" s="46"/>
      <c r="IW116" s="46"/>
      <c r="IX116" s="46"/>
      <c r="IY116" s="46"/>
      <c r="IZ116" s="46"/>
      <c r="JA116" s="46"/>
      <c r="JB116" s="46"/>
      <c r="JC116" s="46"/>
      <c r="JD116" s="46"/>
      <c r="JE116" s="46"/>
      <c r="JF116" s="46"/>
      <c r="JG116" s="46"/>
      <c r="JH116" s="46"/>
      <c r="JI116" s="46"/>
      <c r="JJ116" s="46"/>
      <c r="JK116" s="46"/>
      <c r="JL116" s="46"/>
      <c r="JM116" s="46"/>
      <c r="JN116" s="46"/>
      <c r="JO116" s="46"/>
      <c r="JP116" s="46"/>
      <c r="JQ116" s="46"/>
      <c r="JR116" s="46"/>
      <c r="JS116" s="46"/>
      <c r="JT116" s="46"/>
      <c r="JU116" s="46"/>
      <c r="JV116" s="46"/>
      <c r="JW116" s="46"/>
      <c r="JX116" s="46"/>
      <c r="JY116" s="46"/>
      <c r="JZ116" s="46"/>
      <c r="KA116" s="46"/>
      <c r="KB116" s="46"/>
      <c r="KC116" s="46"/>
      <c r="KD116" s="46"/>
      <c r="KE116" s="46"/>
      <c r="KF116" s="46"/>
      <c r="KG116" s="46"/>
      <c r="KH116" s="46"/>
      <c r="KI116" s="46"/>
      <c r="KJ116" s="46"/>
      <c r="KK116" s="46"/>
      <c r="KL116" s="46"/>
      <c r="KM116" s="46"/>
      <c r="KN116" s="46"/>
      <c r="KO116" s="46"/>
      <c r="KP116" s="46"/>
      <c r="KQ116" s="11"/>
      <c r="KR116" s="46"/>
      <c r="KS116" s="46"/>
      <c r="KT116" s="46"/>
      <c r="KU116" s="46"/>
      <c r="KV116" s="46"/>
      <c r="KW116" s="46"/>
      <c r="KX116" s="46"/>
      <c r="KY116" s="46"/>
      <c r="KZ116" s="46"/>
      <c r="LA116" s="46"/>
      <c r="LB116" s="46"/>
      <c r="LC116" s="46"/>
      <c r="LD116" s="46"/>
      <c r="LE116" s="46"/>
      <c r="LF116" s="46"/>
      <c r="LG116" s="46"/>
      <c r="LH116" s="46"/>
      <c r="LI116" s="46"/>
      <c r="LJ116" s="46"/>
      <c r="LK116" s="46"/>
      <c r="LL116" s="46"/>
      <c r="LM116" s="46"/>
      <c r="LN116" s="46"/>
      <c r="LO116" s="46"/>
      <c r="LP116" s="46"/>
      <c r="LQ116" s="46"/>
      <c r="LR116" s="46"/>
      <c r="LS116" s="46"/>
      <c r="LT116" s="46"/>
      <c r="LU116" s="46"/>
      <c r="LV116" s="46"/>
      <c r="LW116" s="46"/>
      <c r="LX116" s="46"/>
      <c r="LY116" s="11"/>
      <c r="LZ116" s="3"/>
      <c r="MA116" s="3"/>
      <c r="MB116" s="3"/>
      <c r="MC116" s="11"/>
      <c r="MD116" s="11"/>
      <c r="ME116" s="11"/>
      <c r="MF116" s="11"/>
      <c r="MG116" s="11"/>
      <c r="MH116" s="11"/>
      <c r="MI116" s="11"/>
      <c r="MJ116" s="11"/>
      <c r="MK116" s="11"/>
      <c r="MO116" s="11"/>
      <c r="MP116" s="11"/>
      <c r="MQ116" s="11"/>
      <c r="MR116" s="11"/>
      <c r="MS116" s="11"/>
      <c r="MT116" s="11"/>
      <c r="MU116" s="11"/>
      <c r="MV116" s="11"/>
      <c r="MW116" s="11"/>
      <c r="MX116" s="11"/>
      <c r="MY116" s="11"/>
      <c r="MZ116" s="11"/>
      <c r="NA116" s="11"/>
      <c r="NB116" s="11"/>
      <c r="NC116" s="11"/>
      <c r="ND116" s="11"/>
      <c r="NE116" s="11"/>
      <c r="NF116" s="11"/>
      <c r="NG116" s="11"/>
      <c r="NH116" s="46"/>
      <c r="NI116" s="46"/>
      <c r="NJ116" s="142"/>
      <c r="NK116" s="46"/>
      <c r="NL116" s="46"/>
      <c r="NM116" s="46"/>
      <c r="NN116" s="46"/>
      <c r="NO116" s="46"/>
      <c r="NP116" s="46"/>
      <c r="NQ116" s="46"/>
      <c r="NR116" s="46"/>
      <c r="NS116" s="46"/>
      <c r="NT116" s="46"/>
      <c r="NU116" s="46"/>
      <c r="NV116" s="46"/>
      <c r="NW116" s="46"/>
      <c r="NX116" s="46"/>
      <c r="NY116" s="46"/>
      <c r="NZ116" s="46"/>
      <c r="OA116" s="46"/>
      <c r="OB116" s="46"/>
      <c r="OC116" s="46"/>
      <c r="OD116" s="46"/>
      <c r="OE116" s="46"/>
      <c r="OF116" s="46"/>
      <c r="OG116" s="46"/>
      <c r="OH116" s="46"/>
      <c r="OI116" s="46"/>
      <c r="OJ116" s="46"/>
      <c r="OK116" s="46"/>
      <c r="OL116" s="46"/>
      <c r="OM116" s="46"/>
      <c r="ON116" s="46"/>
      <c r="OO116" s="46"/>
      <c r="OP116" s="46"/>
      <c r="OQ116" s="46"/>
      <c r="OR116" s="46"/>
      <c r="OS116" s="144"/>
      <c r="OT116" s="144"/>
      <c r="OU116" s="144"/>
      <c r="OV116" s="144"/>
      <c r="OW116" s="144"/>
      <c r="OX116" s="144"/>
      <c r="OY116" s="144"/>
      <c r="OZ116" s="144"/>
      <c r="PA116" s="144"/>
      <c r="PB116" s="144"/>
      <c r="PC116" s="144"/>
      <c r="PD116" s="144"/>
      <c r="PE116" s="144"/>
      <c r="PF116" s="144"/>
      <c r="PG116" s="144"/>
      <c r="PH116" s="144"/>
      <c r="PI116" s="144"/>
      <c r="PJ116" s="144"/>
      <c r="PK116" s="144"/>
      <c r="PL116" s="144"/>
      <c r="PM116" s="144"/>
      <c r="PN116" s="144"/>
      <c r="PO116" s="144"/>
      <c r="PP116" s="144"/>
      <c r="PQ116" s="144"/>
      <c r="PR116" s="144"/>
      <c r="PS116" s="144"/>
      <c r="PT116" s="146"/>
      <c r="PU116" s="146"/>
      <c r="PV116" s="146"/>
      <c r="PW116" s="146"/>
      <c r="PX116" s="146"/>
      <c r="PY116" s="146"/>
      <c r="PZ116" s="146"/>
      <c r="QA116" s="146"/>
      <c r="QB116" s="146"/>
      <c r="QC116" s="146"/>
      <c r="QD116" s="146"/>
      <c r="QE116" s="146"/>
      <c r="QF116" s="146"/>
      <c r="QG116" s="146"/>
      <c r="QH116" s="146"/>
      <c r="QI116" s="146"/>
      <c r="QJ116" s="146"/>
      <c r="QK116" s="146"/>
      <c r="QL116" s="146"/>
      <c r="QM116" s="146"/>
      <c r="QN116" s="146"/>
      <c r="QO116" s="146"/>
      <c r="QP116" s="146"/>
      <c r="QQ116" s="146"/>
      <c r="QR116" s="146"/>
      <c r="QS116" s="144"/>
      <c r="QT116" s="144"/>
      <c r="QU116" s="144"/>
      <c r="QV116" s="144"/>
      <c r="QW116" s="144"/>
      <c r="QX116" s="144"/>
      <c r="QY116" s="144"/>
      <c r="QZ116" s="144"/>
      <c r="RA116" s="144"/>
      <c r="RB116" s="144"/>
      <c r="RC116" s="144"/>
      <c r="RD116" s="144"/>
      <c r="RE116" s="144"/>
      <c r="RF116" s="144"/>
      <c r="RG116" s="144"/>
      <c r="RH116" s="144"/>
      <c r="RI116" s="144"/>
      <c r="RJ116" s="144"/>
      <c r="RK116" s="144"/>
      <c r="RL116" s="144"/>
      <c r="RM116" s="144"/>
      <c r="RN116" s="144"/>
      <c r="RO116" s="144"/>
      <c r="RP116" s="144"/>
      <c r="RQ116" s="144"/>
      <c r="RR116" s="144"/>
      <c r="RS116" s="144"/>
      <c r="RT116" s="144"/>
      <c r="RU116" s="144"/>
      <c r="RV116" s="144"/>
      <c r="RW116" s="144"/>
      <c r="RX116" s="144"/>
      <c r="RY116" s="144"/>
      <c r="RZ116" s="144"/>
      <c r="SA116" s="144"/>
      <c r="SB116" s="144"/>
      <c r="SC116" s="144"/>
      <c r="SD116" s="144"/>
      <c r="SE116" s="144"/>
      <c r="SF116" s="144"/>
      <c r="SG116" s="144"/>
      <c r="SH116" s="144"/>
      <c r="SI116" s="144"/>
      <c r="SJ116" s="144"/>
      <c r="SK116" s="144"/>
      <c r="SL116" s="144"/>
      <c r="SM116" s="84"/>
      <c r="SN116" s="84"/>
      <c r="SO116" s="154"/>
      <c r="SP116" s="154"/>
      <c r="SQ116" s="154"/>
      <c r="SR116" s="154"/>
      <c r="SS116" s="154"/>
      <c r="ST116" s="154"/>
      <c r="SU116" s="155"/>
      <c r="SV116" s="154"/>
      <c r="SW116" s="154"/>
      <c r="SX116" s="155"/>
      <c r="SY116" s="155"/>
      <c r="SZ116" s="155"/>
      <c r="TA116" s="155"/>
      <c r="TB116" s="155"/>
      <c r="TC116" s="155"/>
      <c r="TD116" s="155"/>
      <c r="TE116" s="156"/>
      <c r="TF116" s="144"/>
      <c r="TG116" s="84"/>
      <c r="TH116" s="144"/>
      <c r="TI116" s="144"/>
      <c r="TJ116" s="144"/>
      <c r="TK116" s="144"/>
      <c r="TL116" s="157"/>
      <c r="TM116" s="157"/>
      <c r="TN116" s="157"/>
      <c r="TO116" s="157"/>
      <c r="TP116" s="157"/>
      <c r="TQ116" s="157"/>
      <c r="TR116" s="157"/>
      <c r="TS116" s="157"/>
      <c r="TT116" s="157"/>
      <c r="TU116" s="158"/>
      <c r="TV116" s="157"/>
      <c r="TW116" s="158"/>
      <c r="TX116" s="144"/>
      <c r="TY116" s="144"/>
      <c r="TZ116" s="144"/>
      <c r="UA116" s="84"/>
      <c r="UB116" s="144"/>
      <c r="UC116" s="144"/>
      <c r="UD116" s="144"/>
      <c r="UE116" s="144"/>
      <c r="UF116" s="157"/>
      <c r="UG116" s="157"/>
      <c r="UH116" s="157"/>
      <c r="UI116" s="157"/>
      <c r="UJ116" s="157"/>
      <c r="UK116" s="157"/>
      <c r="UL116" s="157"/>
      <c r="UM116" s="157"/>
      <c r="UN116" s="157"/>
      <c r="UO116" s="157"/>
      <c r="UP116" s="157"/>
      <c r="UQ116" s="158"/>
      <c r="UR116" s="157"/>
      <c r="US116" s="158"/>
      <c r="UT116" s="144"/>
      <c r="UU116" s="144"/>
      <c r="UV116" s="144"/>
      <c r="UW116" s="144"/>
      <c r="UX116" s="144"/>
      <c r="UY116" s="144"/>
      <c r="UZ116" s="144"/>
      <c r="VA116" s="144"/>
      <c r="VB116" s="157"/>
      <c r="VC116" s="157"/>
      <c r="VD116" s="157"/>
      <c r="VE116" s="157"/>
      <c r="VF116" s="157"/>
      <c r="VG116" s="157"/>
      <c r="VH116" s="157"/>
      <c r="VI116" s="157"/>
      <c r="VJ116" s="157"/>
      <c r="VK116" s="157"/>
      <c r="VL116" s="157"/>
      <c r="VM116" s="157"/>
      <c r="VN116" s="157"/>
      <c r="VO116" s="157"/>
      <c r="VP116" s="144"/>
      <c r="VQ116" s="144"/>
      <c r="VR116" s="84"/>
      <c r="VS116" s="84"/>
      <c r="VT116" s="46"/>
      <c r="VU116" s="46"/>
    </row>
    <row r="117" spans="1:593">
      <c r="A117" s="46"/>
      <c r="B117" s="46"/>
      <c r="C117" s="293"/>
      <c r="D117" s="293"/>
      <c r="E117" s="293"/>
      <c r="F117" s="293"/>
      <c r="G117" s="293"/>
      <c r="H117" s="293"/>
      <c r="I117" s="293"/>
      <c r="J117" s="293"/>
      <c r="K117" s="293"/>
      <c r="L117" s="293"/>
      <c r="M117" s="293"/>
      <c r="N117" s="293"/>
      <c r="O117" s="293"/>
      <c r="P117" s="293"/>
      <c r="Q117" s="293"/>
      <c r="R117" s="293"/>
      <c r="S117" s="293"/>
      <c r="T117" s="293"/>
      <c r="U117" s="293"/>
      <c r="V117" s="293"/>
      <c r="W117" s="293"/>
      <c r="X117" s="293"/>
      <c r="Y117" s="293"/>
      <c r="Z117" s="293"/>
      <c r="AA117" s="293"/>
      <c r="AB117" s="293"/>
      <c r="AC117" s="293"/>
      <c r="AD117" s="293"/>
      <c r="AE117" s="293"/>
      <c r="AF117" s="293"/>
      <c r="AG117" s="293"/>
      <c r="AH117" s="293"/>
      <c r="AI117" s="46"/>
      <c r="AJ117" s="293"/>
      <c r="AK117" s="293"/>
      <c r="AL117" s="293"/>
      <c r="AM117" s="293"/>
      <c r="AN117" s="293"/>
      <c r="AO117" s="293"/>
      <c r="AP117" s="293"/>
      <c r="AQ117" s="293"/>
      <c r="AR117" s="293"/>
      <c r="AS117" s="293"/>
      <c r="AT117" s="293"/>
      <c r="AU117" s="293"/>
      <c r="AV117" s="293"/>
      <c r="AW117" s="293"/>
      <c r="AX117" s="293"/>
      <c r="AY117" s="293"/>
      <c r="AZ117" s="293"/>
      <c r="BA117" s="293"/>
      <c r="BB117" s="293"/>
      <c r="BC117" s="293"/>
      <c r="BD117" s="293"/>
      <c r="BE117" s="293"/>
      <c r="BF117" s="293"/>
      <c r="BG117" s="293"/>
      <c r="BH117" s="293"/>
      <c r="BI117" s="293"/>
      <c r="BJ117" s="293"/>
      <c r="BK117" s="293"/>
      <c r="BL117" s="293"/>
      <c r="BM117" s="293"/>
      <c r="BN117" s="293"/>
      <c r="BO117" s="293"/>
      <c r="BP117" s="46"/>
      <c r="BQ117" s="293"/>
      <c r="BR117" s="293"/>
      <c r="BS117" s="293"/>
      <c r="BT117" s="293"/>
      <c r="BU117" s="293"/>
      <c r="BV117" s="293"/>
      <c r="BW117" s="293"/>
      <c r="BX117" s="293"/>
      <c r="BY117" s="293"/>
      <c r="BZ117" s="293"/>
      <c r="CA117" s="293"/>
      <c r="CB117" s="293"/>
      <c r="CC117" s="293"/>
      <c r="CD117" s="293"/>
      <c r="CE117" s="293"/>
      <c r="CF117" s="293"/>
      <c r="CG117" s="293"/>
      <c r="CH117" s="293"/>
      <c r="CI117" s="293"/>
      <c r="CJ117" s="293"/>
      <c r="CK117" s="293"/>
      <c r="CL117" s="293"/>
      <c r="CM117" s="293"/>
      <c r="CN117" s="293"/>
      <c r="CO117" s="293"/>
      <c r="CP117" s="293"/>
      <c r="CQ117" s="293"/>
      <c r="CR117" s="293"/>
      <c r="CS117" s="293"/>
      <c r="CT117" s="293"/>
      <c r="CU117" s="293"/>
      <c r="CV117" s="293"/>
      <c r="CW117" s="46"/>
      <c r="CX117" s="293"/>
      <c r="CY117" s="293"/>
      <c r="CZ117" s="293"/>
      <c r="DA117" s="293"/>
      <c r="DB117" s="293"/>
      <c r="DC117" s="293"/>
      <c r="DD117" s="293"/>
      <c r="DE117" s="293"/>
      <c r="DF117" s="293"/>
      <c r="DG117" s="293"/>
      <c r="DH117" s="293"/>
      <c r="DI117" s="293"/>
      <c r="DJ117" s="293"/>
      <c r="DK117" s="293"/>
      <c r="DL117" s="293"/>
      <c r="DM117" s="293"/>
      <c r="DN117" s="293"/>
      <c r="DO117" s="293"/>
      <c r="DP117" s="293"/>
      <c r="DQ117" s="293"/>
      <c r="DR117" s="293"/>
      <c r="DS117" s="293"/>
      <c r="DT117" s="293"/>
      <c r="DU117" s="293"/>
      <c r="DV117" s="293"/>
      <c r="DW117" s="293"/>
      <c r="DX117" s="293"/>
      <c r="DY117" s="293"/>
      <c r="DZ117" s="293"/>
      <c r="EA117" s="293"/>
      <c r="EB117" s="293"/>
      <c r="EC117" s="293"/>
      <c r="ED117" s="46"/>
      <c r="EE117" s="46"/>
      <c r="EF117" s="46"/>
      <c r="EG117" s="46"/>
      <c r="EH117" s="46"/>
      <c r="EI117" s="46"/>
      <c r="EJ117" s="46"/>
      <c r="EK117" s="46"/>
      <c r="EL117" s="46"/>
      <c r="EM117" s="46"/>
      <c r="EN117" s="46"/>
      <c r="EO117" s="46"/>
      <c r="EP117" s="46"/>
      <c r="EQ117" s="46"/>
      <c r="ER117" s="46"/>
      <c r="ES117" s="46"/>
      <c r="ET117" s="46"/>
      <c r="EU117" s="46"/>
      <c r="EV117" s="46"/>
      <c r="EW117" s="46"/>
      <c r="EX117" s="46"/>
      <c r="EY117" s="46"/>
      <c r="EZ117" s="46"/>
      <c r="FA117" s="46"/>
      <c r="FB117" s="46"/>
      <c r="FC117" s="46"/>
      <c r="FD117" s="46"/>
      <c r="FE117" s="46"/>
      <c r="FF117" s="46"/>
      <c r="FG117" s="46"/>
      <c r="FH117" s="46"/>
      <c r="FI117" s="46"/>
      <c r="FJ117" s="46"/>
      <c r="FK117" s="46"/>
      <c r="FL117" s="46"/>
      <c r="FM117" s="46"/>
      <c r="FN117" s="46"/>
      <c r="FO117" s="46"/>
      <c r="FP117" s="46"/>
      <c r="FQ117" s="46"/>
      <c r="FR117" s="46"/>
      <c r="FS117" s="46"/>
      <c r="FT117" s="46"/>
      <c r="FU117" s="46"/>
      <c r="FV117" s="46"/>
      <c r="FW117" s="46"/>
      <c r="FX117" s="46"/>
      <c r="FY117" s="46"/>
      <c r="FZ117" s="46"/>
      <c r="GA117" s="46"/>
      <c r="GB117" s="46"/>
      <c r="GC117" s="46"/>
      <c r="GD117" s="46"/>
      <c r="GE117" s="46"/>
      <c r="GF117" s="46"/>
      <c r="GG117" s="46"/>
      <c r="GH117" s="46"/>
      <c r="GI117" s="46"/>
      <c r="GJ117" s="46"/>
      <c r="GK117" s="46"/>
      <c r="GL117" s="46"/>
      <c r="GM117" s="46"/>
      <c r="GN117" s="46"/>
      <c r="GO117" s="46"/>
      <c r="GP117" s="46"/>
      <c r="GQ117" s="46"/>
      <c r="GR117" s="46"/>
      <c r="GS117" s="46"/>
      <c r="GT117" s="46"/>
      <c r="GU117" s="46"/>
      <c r="GV117" s="46"/>
      <c r="GW117" s="46"/>
      <c r="GX117" s="46"/>
      <c r="GY117" s="46"/>
      <c r="GZ117" s="46"/>
      <c r="HA117" s="46"/>
      <c r="HB117" s="46"/>
      <c r="HC117" s="46"/>
      <c r="HD117" s="46"/>
      <c r="HE117" s="46"/>
      <c r="HF117" s="46"/>
      <c r="HG117" s="46"/>
      <c r="HH117" s="46"/>
      <c r="HI117" s="46"/>
      <c r="HJ117" s="46"/>
      <c r="HK117" s="46"/>
      <c r="HL117" s="46"/>
      <c r="HM117" s="46"/>
      <c r="HN117" s="46"/>
      <c r="HO117" s="46"/>
      <c r="HP117" s="46"/>
      <c r="HQ117" s="46"/>
      <c r="HR117" s="46"/>
      <c r="HS117" s="46"/>
      <c r="HT117" s="46"/>
      <c r="HU117" s="46"/>
      <c r="HV117" s="46"/>
      <c r="HW117" s="46"/>
      <c r="HX117" s="46"/>
      <c r="HY117" s="46"/>
      <c r="HZ117" s="46"/>
      <c r="IA117" s="46"/>
      <c r="IB117" s="46"/>
      <c r="IC117" s="46"/>
      <c r="ID117" s="46"/>
      <c r="IE117" s="46"/>
      <c r="IF117" s="46"/>
      <c r="IG117" s="46"/>
      <c r="IH117" s="46"/>
      <c r="II117" s="46"/>
      <c r="IJ117" s="46"/>
      <c r="IK117" s="46"/>
      <c r="IL117" s="46"/>
      <c r="IM117" s="46"/>
      <c r="IN117" s="46"/>
      <c r="IO117" s="46"/>
      <c r="IP117" s="11"/>
      <c r="IQ117" s="46"/>
      <c r="IR117" s="46"/>
      <c r="IS117" s="46"/>
      <c r="IT117" s="46"/>
      <c r="IU117" s="46"/>
      <c r="IV117" s="46"/>
      <c r="IW117" s="46"/>
      <c r="IX117" s="46"/>
      <c r="IY117" s="46"/>
      <c r="IZ117" s="46"/>
      <c r="JA117" s="46"/>
      <c r="JB117" s="46"/>
      <c r="JC117" s="46"/>
      <c r="JD117" s="46"/>
      <c r="JE117" s="46"/>
      <c r="JF117" s="46"/>
      <c r="JG117" s="46"/>
      <c r="JH117" s="46"/>
      <c r="JI117" s="46"/>
      <c r="JJ117" s="46"/>
      <c r="JK117" s="46"/>
      <c r="JL117" s="46"/>
      <c r="JM117" s="46"/>
      <c r="JN117" s="46"/>
      <c r="JO117" s="46"/>
      <c r="JP117" s="46"/>
      <c r="JQ117" s="46"/>
      <c r="JR117" s="46"/>
      <c r="JS117" s="46"/>
      <c r="JT117" s="46"/>
      <c r="JU117" s="46"/>
      <c r="JV117" s="46"/>
      <c r="JW117" s="46"/>
      <c r="JX117" s="46"/>
      <c r="JY117" s="46"/>
      <c r="JZ117" s="46"/>
      <c r="KA117" s="46"/>
      <c r="KB117" s="46"/>
      <c r="KC117" s="46"/>
      <c r="KD117" s="46"/>
      <c r="KE117" s="46"/>
      <c r="KF117" s="46"/>
      <c r="KG117" s="46"/>
      <c r="KH117" s="46"/>
      <c r="KI117" s="46"/>
      <c r="KJ117" s="46"/>
      <c r="KK117" s="46"/>
      <c r="KL117" s="46"/>
      <c r="KM117" s="46"/>
      <c r="KN117" s="46"/>
      <c r="KO117" s="46"/>
      <c r="KP117" s="46"/>
      <c r="KQ117" s="11"/>
      <c r="KR117" s="46"/>
      <c r="KS117" s="46"/>
      <c r="KT117" s="46"/>
      <c r="KU117" s="46"/>
      <c r="KV117" s="46"/>
      <c r="KW117" s="46"/>
      <c r="KX117" s="46"/>
      <c r="KY117" s="46"/>
      <c r="KZ117" s="46"/>
      <c r="LA117" s="46"/>
      <c r="LB117" s="46"/>
      <c r="LC117" s="46"/>
      <c r="LD117" s="46"/>
      <c r="LE117" s="46"/>
      <c r="LF117" s="46"/>
      <c r="LG117" s="46"/>
      <c r="LH117" s="46"/>
      <c r="LI117" s="46"/>
      <c r="LJ117" s="46"/>
      <c r="LK117" s="46"/>
      <c r="LL117" s="46"/>
      <c r="LM117" s="46"/>
      <c r="LN117" s="46"/>
      <c r="LO117" s="46"/>
      <c r="LP117" s="46"/>
      <c r="LQ117" s="46"/>
      <c r="LR117" s="46"/>
      <c r="LS117" s="46"/>
      <c r="LT117" s="46"/>
      <c r="LU117" s="46"/>
      <c r="LV117" s="46"/>
      <c r="LW117" s="46"/>
      <c r="LX117" s="46"/>
      <c r="LY117" s="11"/>
      <c r="LZ117" s="3"/>
      <c r="MA117" s="3"/>
      <c r="MB117" s="3"/>
      <c r="MC117" s="11"/>
      <c r="MD117" s="11"/>
      <c r="ME117" s="11"/>
      <c r="MF117" s="11"/>
      <c r="MG117" s="11"/>
      <c r="MH117" s="11"/>
      <c r="MI117" s="11"/>
      <c r="MJ117" s="11"/>
      <c r="MK117" s="11"/>
      <c r="MO117" s="11"/>
      <c r="MP117" s="11"/>
      <c r="MQ117" s="11"/>
      <c r="MR117" s="11"/>
      <c r="MS117" s="11"/>
      <c r="MT117" s="11"/>
      <c r="MU117" s="11"/>
      <c r="MV117" s="11"/>
      <c r="MW117" s="11"/>
      <c r="MX117" s="11"/>
      <c r="MY117" s="11"/>
      <c r="MZ117" s="11"/>
      <c r="NA117" s="11"/>
      <c r="NB117" s="11"/>
      <c r="NC117" s="11"/>
      <c r="ND117" s="11"/>
      <c r="NE117" s="11"/>
      <c r="NF117" s="11"/>
      <c r="NG117" s="11"/>
      <c r="NH117" s="46"/>
      <c r="NI117" s="46"/>
      <c r="NJ117" s="142"/>
      <c r="NK117" s="46"/>
      <c r="NL117" s="46"/>
      <c r="NM117" s="46"/>
      <c r="NN117" s="46"/>
      <c r="NO117" s="46"/>
      <c r="NP117" s="46"/>
      <c r="NQ117" s="46"/>
      <c r="NR117" s="46"/>
      <c r="NS117" s="46"/>
      <c r="NT117" s="46"/>
      <c r="NU117" s="46"/>
      <c r="NV117" s="46"/>
      <c r="NW117" s="46"/>
      <c r="NX117" s="46"/>
      <c r="NY117" s="46"/>
      <c r="NZ117" s="46"/>
      <c r="OA117" s="46"/>
      <c r="OB117" s="46"/>
      <c r="OC117" s="46"/>
      <c r="OD117" s="46"/>
      <c r="OE117" s="46"/>
      <c r="OF117" s="46"/>
      <c r="OG117" s="46"/>
      <c r="OH117" s="46"/>
      <c r="OI117" s="46"/>
      <c r="OJ117" s="46"/>
      <c r="OK117" s="46"/>
      <c r="OL117" s="46"/>
      <c r="OM117" s="46"/>
      <c r="ON117" s="46"/>
      <c r="OO117" s="46"/>
      <c r="OP117" s="46"/>
      <c r="OQ117" s="46"/>
      <c r="OR117" s="46"/>
      <c r="OS117" s="144"/>
      <c r="OT117" s="144"/>
      <c r="OU117" s="144"/>
      <c r="OV117" s="144"/>
      <c r="OW117" s="144"/>
      <c r="OX117" s="144"/>
      <c r="OY117" s="144"/>
      <c r="OZ117" s="144"/>
      <c r="PA117" s="144"/>
      <c r="PB117" s="144"/>
      <c r="PC117" s="144"/>
      <c r="PD117" s="144"/>
      <c r="PE117" s="144"/>
      <c r="PF117" s="144"/>
      <c r="PG117" s="144"/>
      <c r="PH117" s="144"/>
      <c r="PI117" s="144"/>
      <c r="PJ117" s="144"/>
      <c r="PK117" s="144"/>
      <c r="PL117" s="144"/>
      <c r="PM117" s="144"/>
      <c r="PN117" s="144"/>
      <c r="PO117" s="144"/>
      <c r="PP117" s="144"/>
      <c r="PQ117" s="144"/>
      <c r="PR117" s="144"/>
      <c r="PS117" s="144"/>
      <c r="PT117" s="146"/>
      <c r="PU117" s="146"/>
      <c r="PV117" s="146"/>
      <c r="PW117" s="146"/>
      <c r="PX117" s="146"/>
      <c r="PY117" s="146"/>
      <c r="PZ117" s="146"/>
      <c r="QA117" s="146"/>
      <c r="QB117" s="146"/>
      <c r="QC117" s="146"/>
      <c r="QD117" s="146"/>
      <c r="QE117" s="146"/>
      <c r="QF117" s="146"/>
      <c r="QG117" s="146"/>
      <c r="QH117" s="146"/>
      <c r="QI117" s="146"/>
      <c r="QJ117" s="146"/>
      <c r="QK117" s="146"/>
      <c r="QL117" s="146"/>
      <c r="QM117" s="146"/>
      <c r="QN117" s="146"/>
      <c r="QO117" s="146"/>
      <c r="QP117" s="146"/>
      <c r="QQ117" s="146"/>
      <c r="QR117" s="146"/>
      <c r="QS117" s="144"/>
      <c r="QT117" s="144"/>
      <c r="QU117" s="144"/>
      <c r="QV117" s="144"/>
      <c r="QW117" s="144"/>
      <c r="QX117" s="144"/>
      <c r="QY117" s="144"/>
      <c r="QZ117" s="144"/>
      <c r="RA117" s="144"/>
      <c r="RB117" s="144"/>
      <c r="RC117" s="144"/>
      <c r="RD117" s="144"/>
      <c r="RE117" s="144"/>
      <c r="RF117" s="144"/>
      <c r="RG117" s="144"/>
      <c r="RH117" s="144"/>
      <c r="RI117" s="144"/>
      <c r="RJ117" s="144"/>
      <c r="RK117" s="144"/>
      <c r="RL117" s="144"/>
      <c r="RM117" s="144"/>
      <c r="RN117" s="144"/>
      <c r="RO117" s="144"/>
      <c r="RP117" s="144"/>
      <c r="RQ117" s="144"/>
      <c r="RR117" s="144"/>
      <c r="RS117" s="144"/>
      <c r="RT117" s="144"/>
      <c r="RU117" s="144"/>
      <c r="RV117" s="144"/>
      <c r="RW117" s="144"/>
      <c r="RX117" s="144"/>
      <c r="RY117" s="144"/>
      <c r="RZ117" s="144"/>
      <c r="SA117" s="144"/>
      <c r="SB117" s="144"/>
      <c r="SC117" s="144"/>
      <c r="SD117" s="144"/>
      <c r="SE117" s="144"/>
      <c r="SF117" s="144"/>
      <c r="SG117" s="144"/>
      <c r="SH117" s="144"/>
      <c r="SI117" s="144"/>
      <c r="SJ117" s="144"/>
      <c r="SK117" s="144"/>
      <c r="SL117" s="144"/>
      <c r="SM117" s="84"/>
      <c r="SN117" s="84"/>
      <c r="SO117" s="154"/>
      <c r="SP117" s="154"/>
      <c r="SQ117" s="154"/>
      <c r="SR117" s="154"/>
      <c r="SS117" s="154"/>
      <c r="ST117" s="154"/>
      <c r="SU117" s="155"/>
      <c r="SV117" s="154"/>
      <c r="SW117" s="154"/>
      <c r="SX117" s="155"/>
      <c r="SY117" s="155"/>
      <c r="SZ117" s="155"/>
      <c r="TA117" s="155"/>
      <c r="TB117" s="155"/>
      <c r="TC117" s="155"/>
      <c r="TD117" s="155"/>
      <c r="TE117" s="156"/>
      <c r="TF117" s="144"/>
      <c r="TG117" s="84"/>
      <c r="TH117" s="144"/>
      <c r="TI117" s="144"/>
      <c r="TJ117" s="144"/>
      <c r="TK117" s="144"/>
      <c r="TL117" s="157"/>
      <c r="TM117" s="157"/>
      <c r="TN117" s="157"/>
      <c r="TO117" s="157"/>
      <c r="TP117" s="157"/>
      <c r="TQ117" s="157"/>
      <c r="TR117" s="157"/>
      <c r="TS117" s="157"/>
      <c r="TT117" s="157"/>
      <c r="TU117" s="158"/>
      <c r="TV117" s="157"/>
      <c r="TW117" s="158"/>
      <c r="TX117" s="144"/>
      <c r="TY117" s="144"/>
      <c r="TZ117" s="144"/>
      <c r="UA117" s="84"/>
      <c r="UB117" s="144"/>
      <c r="UC117" s="144"/>
      <c r="UD117" s="144"/>
      <c r="UE117" s="144"/>
      <c r="UF117" s="157"/>
      <c r="UG117" s="157"/>
      <c r="UH117" s="157"/>
      <c r="UI117" s="157"/>
      <c r="UJ117" s="157"/>
      <c r="UK117" s="157"/>
      <c r="UL117" s="157"/>
      <c r="UM117" s="157"/>
      <c r="UN117" s="157"/>
      <c r="UO117" s="157"/>
      <c r="UP117" s="157"/>
      <c r="UQ117" s="158"/>
      <c r="UR117" s="157"/>
      <c r="US117" s="158"/>
      <c r="UT117" s="144"/>
      <c r="UU117" s="144"/>
      <c r="UV117" s="144"/>
      <c r="UW117" s="144"/>
      <c r="UX117" s="144"/>
      <c r="UY117" s="144"/>
      <c r="UZ117" s="144"/>
      <c r="VA117" s="144"/>
      <c r="VB117" s="157"/>
      <c r="VC117" s="157"/>
      <c r="VD117" s="157"/>
      <c r="VE117" s="157"/>
      <c r="VF117" s="157"/>
      <c r="VG117" s="157"/>
      <c r="VH117" s="157"/>
      <c r="VI117" s="157"/>
      <c r="VJ117" s="157"/>
      <c r="VK117" s="157"/>
      <c r="VL117" s="157"/>
      <c r="VM117" s="157"/>
      <c r="VN117" s="157"/>
      <c r="VO117" s="157"/>
      <c r="VP117" s="144"/>
      <c r="VQ117" s="144"/>
      <c r="VR117" s="84"/>
      <c r="VS117" s="84"/>
      <c r="VT117" s="46"/>
      <c r="VU117" s="46"/>
    </row>
    <row r="118" spans="1:593">
      <c r="A118" s="46"/>
      <c r="B118" s="46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293"/>
      <c r="P118" s="293"/>
      <c r="Q118" s="293"/>
      <c r="R118" s="293"/>
      <c r="S118" s="293"/>
      <c r="T118" s="293"/>
      <c r="U118" s="293"/>
      <c r="V118" s="293"/>
      <c r="W118" s="293"/>
      <c r="X118" s="293"/>
      <c r="Y118" s="293"/>
      <c r="Z118" s="293"/>
      <c r="AA118" s="293"/>
      <c r="AB118" s="293"/>
      <c r="AC118" s="293"/>
      <c r="AD118" s="293"/>
      <c r="AE118" s="293"/>
      <c r="AF118" s="293"/>
      <c r="AG118" s="293"/>
      <c r="AH118" s="293"/>
      <c r="AI118" s="46"/>
      <c r="AJ118" s="293"/>
      <c r="AK118" s="293"/>
      <c r="AL118" s="293"/>
      <c r="AM118" s="293"/>
      <c r="AN118" s="293"/>
      <c r="AO118" s="293"/>
      <c r="AP118" s="293"/>
      <c r="AQ118" s="293"/>
      <c r="AR118" s="293"/>
      <c r="AS118" s="293"/>
      <c r="AT118" s="293"/>
      <c r="AU118" s="293"/>
      <c r="AV118" s="293"/>
      <c r="AW118" s="293"/>
      <c r="AX118" s="293"/>
      <c r="AY118" s="293"/>
      <c r="AZ118" s="293"/>
      <c r="BA118" s="293"/>
      <c r="BB118" s="293"/>
      <c r="BC118" s="293"/>
      <c r="BD118" s="293"/>
      <c r="BE118" s="293"/>
      <c r="BF118" s="293"/>
      <c r="BG118" s="293"/>
      <c r="BH118" s="293"/>
      <c r="BI118" s="293"/>
      <c r="BJ118" s="293"/>
      <c r="BK118" s="293"/>
      <c r="BL118" s="293"/>
      <c r="BM118" s="293"/>
      <c r="BN118" s="293"/>
      <c r="BO118" s="293"/>
      <c r="BP118" s="46"/>
      <c r="BQ118" s="293"/>
      <c r="BR118" s="293"/>
      <c r="BS118" s="293"/>
      <c r="BT118" s="293"/>
      <c r="BU118" s="293"/>
      <c r="BV118" s="293"/>
      <c r="BW118" s="293"/>
      <c r="BX118" s="293"/>
      <c r="BY118" s="293"/>
      <c r="BZ118" s="293"/>
      <c r="CA118" s="293"/>
      <c r="CB118" s="293"/>
      <c r="CC118" s="293"/>
      <c r="CD118" s="293"/>
      <c r="CE118" s="293"/>
      <c r="CF118" s="293"/>
      <c r="CG118" s="293"/>
      <c r="CH118" s="293"/>
      <c r="CI118" s="293"/>
      <c r="CJ118" s="293"/>
      <c r="CK118" s="293"/>
      <c r="CL118" s="293"/>
      <c r="CM118" s="293"/>
      <c r="CN118" s="293"/>
      <c r="CO118" s="293"/>
      <c r="CP118" s="293"/>
      <c r="CQ118" s="293"/>
      <c r="CR118" s="293"/>
      <c r="CS118" s="293"/>
      <c r="CT118" s="293"/>
      <c r="CU118" s="293"/>
      <c r="CV118" s="293"/>
      <c r="CW118" s="46"/>
      <c r="CX118" s="293"/>
      <c r="CY118" s="293"/>
      <c r="CZ118" s="293"/>
      <c r="DA118" s="293"/>
      <c r="DB118" s="293"/>
      <c r="DC118" s="293"/>
      <c r="DD118" s="293"/>
      <c r="DE118" s="293"/>
      <c r="DF118" s="293"/>
      <c r="DG118" s="293"/>
      <c r="DH118" s="293"/>
      <c r="DI118" s="293"/>
      <c r="DJ118" s="293"/>
      <c r="DK118" s="293"/>
      <c r="DL118" s="293"/>
      <c r="DM118" s="293"/>
      <c r="DN118" s="293"/>
      <c r="DO118" s="293"/>
      <c r="DP118" s="293"/>
      <c r="DQ118" s="293"/>
      <c r="DR118" s="293"/>
      <c r="DS118" s="293"/>
      <c r="DT118" s="293"/>
      <c r="DU118" s="293"/>
      <c r="DV118" s="293"/>
      <c r="DW118" s="293"/>
      <c r="DX118" s="293"/>
      <c r="DY118" s="293"/>
      <c r="DZ118" s="293"/>
      <c r="EA118" s="293"/>
      <c r="EB118" s="293"/>
      <c r="EC118" s="293"/>
      <c r="ED118" s="46"/>
      <c r="EE118" s="46"/>
      <c r="EF118" s="46"/>
      <c r="EG118" s="46"/>
      <c r="EH118" s="46"/>
      <c r="EI118" s="46"/>
      <c r="EJ118" s="46"/>
      <c r="EK118" s="46"/>
      <c r="EL118" s="46"/>
      <c r="EM118" s="46"/>
      <c r="EN118" s="46"/>
      <c r="EO118" s="46"/>
      <c r="EP118" s="46"/>
      <c r="EQ118" s="46"/>
      <c r="ER118" s="46"/>
      <c r="ES118" s="46"/>
      <c r="ET118" s="46"/>
      <c r="EU118" s="46"/>
      <c r="EV118" s="46"/>
      <c r="EW118" s="46"/>
      <c r="EX118" s="46"/>
      <c r="EY118" s="46"/>
      <c r="EZ118" s="46"/>
      <c r="FA118" s="46"/>
      <c r="FB118" s="46"/>
      <c r="FC118" s="46"/>
      <c r="FD118" s="46"/>
      <c r="FE118" s="46"/>
      <c r="FF118" s="46"/>
      <c r="FG118" s="46"/>
      <c r="FH118" s="46"/>
      <c r="FI118" s="46"/>
      <c r="FJ118" s="46"/>
      <c r="FK118" s="46"/>
      <c r="FL118" s="46"/>
      <c r="FM118" s="46"/>
      <c r="FN118" s="46"/>
      <c r="FO118" s="46"/>
      <c r="FP118" s="46"/>
      <c r="FQ118" s="46"/>
      <c r="FR118" s="46"/>
      <c r="FS118" s="46"/>
      <c r="FT118" s="46"/>
      <c r="FU118" s="46"/>
      <c r="FV118" s="46"/>
      <c r="FW118" s="46"/>
      <c r="FX118" s="46"/>
      <c r="FY118" s="46"/>
      <c r="FZ118" s="46"/>
      <c r="GA118" s="46"/>
      <c r="GB118" s="46"/>
      <c r="GC118" s="46"/>
      <c r="GD118" s="46"/>
      <c r="GE118" s="46"/>
      <c r="GF118" s="46"/>
      <c r="GG118" s="46"/>
      <c r="GH118" s="46"/>
      <c r="GI118" s="46"/>
      <c r="GJ118" s="46"/>
      <c r="GK118" s="46"/>
      <c r="GL118" s="46"/>
      <c r="GM118" s="46"/>
      <c r="GN118" s="46"/>
      <c r="GO118" s="46"/>
      <c r="GP118" s="46"/>
      <c r="GQ118" s="46"/>
      <c r="GR118" s="46"/>
      <c r="GS118" s="46"/>
      <c r="GT118" s="46"/>
      <c r="GU118" s="46"/>
      <c r="GV118" s="46"/>
      <c r="GW118" s="46"/>
      <c r="GX118" s="46"/>
      <c r="GY118" s="46"/>
      <c r="GZ118" s="46"/>
      <c r="HA118" s="46"/>
      <c r="HB118" s="46"/>
      <c r="HC118" s="46"/>
      <c r="HD118" s="46"/>
      <c r="HE118" s="46"/>
      <c r="HF118" s="46"/>
      <c r="HG118" s="46"/>
      <c r="HH118" s="46"/>
      <c r="HI118" s="46"/>
      <c r="HJ118" s="46"/>
      <c r="HK118" s="46"/>
      <c r="HL118" s="46"/>
      <c r="HM118" s="46"/>
      <c r="HN118" s="46"/>
      <c r="HO118" s="46"/>
      <c r="HP118" s="46"/>
      <c r="HQ118" s="46"/>
      <c r="HR118" s="46"/>
      <c r="HS118" s="46"/>
      <c r="HT118" s="46"/>
      <c r="HU118" s="46"/>
      <c r="HV118" s="46"/>
      <c r="HW118" s="46"/>
      <c r="HX118" s="46"/>
      <c r="HY118" s="46"/>
      <c r="HZ118" s="46"/>
      <c r="IA118" s="46"/>
      <c r="IB118" s="46"/>
      <c r="IC118" s="46"/>
      <c r="ID118" s="46"/>
      <c r="IE118" s="46"/>
      <c r="IF118" s="46"/>
      <c r="IG118" s="46"/>
      <c r="IH118" s="46"/>
      <c r="II118" s="46"/>
      <c r="IJ118" s="46"/>
      <c r="IK118" s="46"/>
      <c r="IL118" s="46"/>
      <c r="IM118" s="46"/>
      <c r="IN118" s="46"/>
      <c r="IO118" s="46"/>
      <c r="IP118" s="11"/>
      <c r="IQ118" s="46"/>
      <c r="IR118" s="46"/>
      <c r="IS118" s="46"/>
      <c r="IT118" s="46"/>
      <c r="IU118" s="46"/>
      <c r="IV118" s="46"/>
      <c r="IW118" s="46"/>
      <c r="IX118" s="46"/>
      <c r="IY118" s="46"/>
      <c r="IZ118" s="46"/>
      <c r="JA118" s="46"/>
      <c r="JB118" s="46"/>
      <c r="JC118" s="46"/>
      <c r="JD118" s="46"/>
      <c r="JE118" s="46"/>
      <c r="JF118" s="46"/>
      <c r="JG118" s="46"/>
      <c r="JH118" s="46"/>
      <c r="JI118" s="46"/>
      <c r="JJ118" s="46"/>
      <c r="JK118" s="46"/>
      <c r="JL118" s="46"/>
      <c r="JM118" s="46"/>
      <c r="JN118" s="46"/>
      <c r="JO118" s="46"/>
      <c r="JP118" s="46"/>
      <c r="JQ118" s="46"/>
      <c r="JR118" s="46"/>
      <c r="JS118" s="46"/>
      <c r="JT118" s="46"/>
      <c r="JU118" s="46"/>
      <c r="JV118" s="46"/>
      <c r="JW118" s="46"/>
      <c r="JX118" s="46"/>
      <c r="JY118" s="46"/>
      <c r="JZ118" s="46"/>
      <c r="KA118" s="46"/>
      <c r="KB118" s="46"/>
      <c r="KC118" s="46"/>
      <c r="KD118" s="46"/>
      <c r="KE118" s="46"/>
      <c r="KF118" s="46"/>
      <c r="KG118" s="46"/>
      <c r="KH118" s="46"/>
      <c r="KI118" s="46"/>
      <c r="KJ118" s="46"/>
      <c r="KK118" s="46"/>
      <c r="KL118" s="46"/>
      <c r="KM118" s="46"/>
      <c r="KN118" s="46"/>
      <c r="KO118" s="46"/>
      <c r="KP118" s="46"/>
      <c r="KQ118" s="11"/>
      <c r="KR118" s="46"/>
      <c r="KS118" s="46"/>
      <c r="KT118" s="46"/>
      <c r="KU118" s="46"/>
      <c r="KV118" s="46"/>
      <c r="KW118" s="46"/>
      <c r="KX118" s="46"/>
      <c r="KY118" s="46"/>
      <c r="KZ118" s="46"/>
      <c r="LA118" s="46"/>
      <c r="LB118" s="46"/>
      <c r="LC118" s="46"/>
      <c r="LD118" s="46"/>
      <c r="LE118" s="46"/>
      <c r="LF118" s="46"/>
      <c r="LG118" s="46"/>
      <c r="LH118" s="46"/>
      <c r="LI118" s="46"/>
      <c r="LJ118" s="46"/>
      <c r="LK118" s="46"/>
      <c r="LL118" s="46"/>
      <c r="LM118" s="46"/>
      <c r="LN118" s="46"/>
      <c r="LO118" s="46"/>
      <c r="LP118" s="46"/>
      <c r="LQ118" s="46"/>
      <c r="LR118" s="46"/>
      <c r="LS118" s="46"/>
      <c r="LT118" s="46"/>
      <c r="LU118" s="46"/>
      <c r="LV118" s="46"/>
      <c r="LW118" s="46"/>
      <c r="LX118" s="46"/>
      <c r="LY118" s="11"/>
      <c r="LZ118" s="3"/>
      <c r="MA118" s="3"/>
      <c r="MB118" s="3"/>
      <c r="MC118" s="11"/>
      <c r="MD118" s="11"/>
      <c r="ME118" s="11"/>
      <c r="MF118" s="11"/>
      <c r="MG118" s="11"/>
      <c r="MH118" s="11"/>
      <c r="MI118" s="11"/>
      <c r="MJ118" s="11"/>
      <c r="MK118" s="11"/>
      <c r="ML118" s="11"/>
      <c r="MM118" s="11"/>
      <c r="MN118" s="11"/>
      <c r="MO118" s="11"/>
      <c r="MP118" s="11"/>
      <c r="MQ118" s="11"/>
      <c r="MR118" s="11"/>
      <c r="MS118" s="11"/>
      <c r="MT118" s="11"/>
      <c r="MU118" s="11"/>
      <c r="MV118" s="11"/>
      <c r="MW118" s="11"/>
      <c r="MX118" s="11"/>
      <c r="MY118" s="11"/>
      <c r="MZ118" s="11"/>
      <c r="NA118" s="11"/>
      <c r="NB118" s="11"/>
      <c r="NC118" s="11"/>
      <c r="ND118" s="11"/>
      <c r="NE118" s="11"/>
      <c r="NF118" s="11"/>
      <c r="NG118" s="11"/>
      <c r="NH118" s="46"/>
      <c r="NI118" s="46"/>
      <c r="NJ118" s="142"/>
      <c r="NK118" s="46"/>
      <c r="NL118" s="46"/>
      <c r="NM118" s="46"/>
      <c r="NN118" s="46"/>
      <c r="NO118" s="46"/>
      <c r="NP118" s="46"/>
      <c r="NQ118" s="46"/>
      <c r="NR118" s="46"/>
      <c r="NS118" s="46"/>
      <c r="NT118" s="46"/>
      <c r="NU118" s="46"/>
      <c r="NV118" s="46"/>
      <c r="NW118" s="46"/>
      <c r="NX118" s="46"/>
      <c r="NY118" s="46"/>
      <c r="NZ118" s="46"/>
      <c r="OA118" s="46"/>
      <c r="OB118" s="46"/>
      <c r="OC118" s="46"/>
      <c r="OD118" s="46"/>
      <c r="OE118" s="46"/>
      <c r="OF118" s="46"/>
      <c r="OG118" s="46"/>
      <c r="OH118" s="46"/>
      <c r="OI118" s="46"/>
      <c r="OJ118" s="46"/>
      <c r="OK118" s="46"/>
      <c r="OL118" s="46"/>
      <c r="OM118" s="46"/>
      <c r="ON118" s="46"/>
      <c r="OO118" s="46"/>
      <c r="OP118" s="46"/>
      <c r="OQ118" s="46"/>
      <c r="OR118" s="46"/>
      <c r="OS118" s="144"/>
      <c r="OT118" s="144"/>
      <c r="OU118" s="144"/>
      <c r="OV118" s="144"/>
      <c r="OW118" s="144"/>
      <c r="OX118" s="144"/>
      <c r="OY118" s="144"/>
      <c r="OZ118" s="144"/>
      <c r="PA118" s="144"/>
      <c r="PB118" s="144"/>
      <c r="PC118" s="144"/>
      <c r="PD118" s="144"/>
      <c r="PE118" s="144"/>
      <c r="PF118" s="144"/>
      <c r="PG118" s="144"/>
      <c r="PH118" s="144"/>
      <c r="PI118" s="144"/>
      <c r="PJ118" s="144"/>
      <c r="PK118" s="144"/>
      <c r="PL118" s="144"/>
      <c r="PM118" s="144"/>
      <c r="PN118" s="144"/>
      <c r="PO118" s="144"/>
      <c r="PP118" s="144"/>
      <c r="PQ118" s="144"/>
      <c r="PR118" s="144"/>
      <c r="PS118" s="144"/>
      <c r="PT118" s="146"/>
      <c r="PU118" s="146"/>
      <c r="PV118" s="146"/>
      <c r="PW118" s="146"/>
      <c r="PX118" s="146"/>
      <c r="PY118" s="146"/>
      <c r="PZ118" s="146"/>
      <c r="QA118" s="146"/>
      <c r="QB118" s="146"/>
      <c r="QC118" s="146"/>
      <c r="QD118" s="146"/>
      <c r="QE118" s="146"/>
      <c r="QF118" s="146"/>
      <c r="QG118" s="146"/>
      <c r="QH118" s="146"/>
      <c r="QI118" s="146"/>
      <c r="QJ118" s="146"/>
      <c r="QK118" s="146"/>
      <c r="QL118" s="146"/>
      <c r="QM118" s="146"/>
      <c r="QN118" s="146"/>
      <c r="QO118" s="146"/>
      <c r="QP118" s="146"/>
      <c r="QQ118" s="146"/>
      <c r="QR118" s="146"/>
      <c r="QS118" s="144"/>
      <c r="QT118" s="144"/>
      <c r="QU118" s="144"/>
      <c r="QV118" s="144"/>
      <c r="QW118" s="144"/>
      <c r="QX118" s="144"/>
      <c r="QY118" s="144"/>
      <c r="QZ118" s="144"/>
      <c r="RA118" s="144"/>
      <c r="RB118" s="144"/>
      <c r="RC118" s="144"/>
      <c r="RD118" s="144"/>
      <c r="RE118" s="144"/>
      <c r="RF118" s="144"/>
      <c r="RG118" s="144"/>
      <c r="RH118" s="144"/>
      <c r="RI118" s="144"/>
      <c r="RJ118" s="144"/>
      <c r="RK118" s="144"/>
      <c r="RL118" s="144"/>
      <c r="RM118" s="144"/>
      <c r="RN118" s="144"/>
      <c r="RO118" s="144"/>
      <c r="RP118" s="144"/>
      <c r="RQ118" s="144"/>
      <c r="RR118" s="144"/>
      <c r="RS118" s="144"/>
      <c r="RT118" s="144"/>
      <c r="RU118" s="144"/>
      <c r="RV118" s="144"/>
      <c r="RW118" s="144"/>
      <c r="RX118" s="144"/>
      <c r="RY118" s="144"/>
      <c r="RZ118" s="144"/>
      <c r="SA118" s="144"/>
      <c r="SB118" s="144"/>
      <c r="SC118" s="144"/>
      <c r="SD118" s="144"/>
      <c r="SE118" s="144"/>
      <c r="SF118" s="144"/>
      <c r="SG118" s="144"/>
      <c r="SH118" s="144"/>
      <c r="SI118" s="144"/>
      <c r="SJ118" s="144"/>
      <c r="SK118" s="144"/>
      <c r="SL118" s="144"/>
      <c r="SM118" s="84"/>
      <c r="SN118" s="84"/>
      <c r="SO118" s="154"/>
      <c r="SP118" s="154"/>
      <c r="SQ118" s="154"/>
      <c r="SR118" s="154"/>
      <c r="SS118" s="154"/>
      <c r="ST118" s="154"/>
      <c r="SU118" s="155"/>
      <c r="SV118" s="154"/>
      <c r="SW118" s="154"/>
      <c r="SX118" s="155"/>
      <c r="SY118" s="155"/>
      <c r="SZ118" s="155"/>
      <c r="TA118" s="155"/>
      <c r="TB118" s="155"/>
      <c r="TC118" s="155"/>
      <c r="TD118" s="155"/>
      <c r="TE118" s="156"/>
      <c r="TF118" s="144"/>
      <c r="TG118" s="84"/>
      <c r="TH118" s="144"/>
      <c r="TI118" s="144"/>
      <c r="TJ118" s="144"/>
      <c r="TK118" s="144"/>
      <c r="TL118" s="157"/>
      <c r="TM118" s="157"/>
      <c r="TN118" s="157"/>
      <c r="TO118" s="157"/>
      <c r="TP118" s="157"/>
      <c r="TQ118" s="157"/>
      <c r="TR118" s="157"/>
      <c r="TS118" s="157"/>
      <c r="TT118" s="157"/>
      <c r="TU118" s="158"/>
      <c r="TV118" s="157"/>
      <c r="TW118" s="158"/>
      <c r="TX118" s="144"/>
      <c r="TY118" s="144"/>
      <c r="TZ118" s="144"/>
      <c r="UA118" s="84"/>
      <c r="UB118" s="144"/>
      <c r="UC118" s="144"/>
      <c r="UD118" s="144"/>
      <c r="UE118" s="144"/>
      <c r="UF118" s="157"/>
      <c r="UG118" s="157"/>
      <c r="UH118" s="157"/>
      <c r="UI118" s="157"/>
      <c r="UJ118" s="157"/>
      <c r="UK118" s="157"/>
      <c r="UL118" s="157"/>
      <c r="UM118" s="157"/>
      <c r="UN118" s="157"/>
      <c r="UO118" s="157"/>
      <c r="UP118" s="157"/>
      <c r="UQ118" s="158"/>
      <c r="UR118" s="157"/>
      <c r="US118" s="158"/>
      <c r="UT118" s="144"/>
      <c r="UU118" s="144"/>
      <c r="UV118" s="144"/>
      <c r="UW118" s="144"/>
      <c r="UX118" s="144"/>
      <c r="UY118" s="144"/>
      <c r="UZ118" s="144"/>
      <c r="VA118" s="144"/>
      <c r="VB118" s="157"/>
      <c r="VC118" s="157"/>
      <c r="VD118" s="157"/>
      <c r="VE118" s="157"/>
      <c r="VF118" s="157"/>
      <c r="VG118" s="157"/>
      <c r="VH118" s="157"/>
      <c r="VI118" s="157"/>
      <c r="VJ118" s="157"/>
      <c r="VK118" s="157"/>
      <c r="VL118" s="157"/>
      <c r="VM118" s="157"/>
      <c r="VN118" s="157"/>
      <c r="VO118" s="157"/>
      <c r="VP118" s="144"/>
      <c r="VQ118" s="144"/>
      <c r="VR118" s="84"/>
      <c r="VS118" s="84"/>
      <c r="VT118" s="46"/>
      <c r="VU118" s="46"/>
    </row>
    <row r="119" spans="1:593">
      <c r="IP119" s="11"/>
    </row>
    <row r="120" spans="1:593">
      <c r="IP120" s="11"/>
    </row>
  </sheetData>
  <mergeCells count="67">
    <mergeCell ref="C1:R1"/>
    <mergeCell ref="S1:AH1"/>
    <mergeCell ref="AJ1:AY1"/>
    <mergeCell ref="AZ1:BO1"/>
    <mergeCell ref="BQ1:CH1"/>
    <mergeCell ref="CI1:CV1"/>
    <mergeCell ref="CX1:DO1"/>
    <mergeCell ref="DP1:EC1"/>
    <mergeCell ref="EE1:EV1"/>
    <mergeCell ref="EW1:FJ1"/>
    <mergeCell ref="FN1:GE1"/>
    <mergeCell ref="GF1:GS1"/>
    <mergeCell ref="GV1:HK1"/>
    <mergeCell ref="HL1:IA1"/>
    <mergeCell ref="ID1:IS1"/>
    <mergeCell ref="IT1:JI1"/>
    <mergeCell ref="JL1:KA1"/>
    <mergeCell ref="KB1:KQ1"/>
    <mergeCell ref="KT1:LI1"/>
    <mergeCell ref="LJ1:LY1"/>
    <mergeCell ref="MB1:MQ1"/>
    <mergeCell ref="MR1:NG1"/>
    <mergeCell ref="NJ1:NY1"/>
    <mergeCell ref="NZ1:OO1"/>
    <mergeCell ref="OS1:PE1"/>
    <mergeCell ref="PF1:PQ1"/>
    <mergeCell ref="QU1:RM1"/>
    <mergeCell ref="RQ1:SI1"/>
    <mergeCell ref="SM1:TE1"/>
    <mergeCell ref="TH1:TZ1"/>
    <mergeCell ref="UD1:UV1"/>
    <mergeCell ref="UZ1:VR1"/>
    <mergeCell ref="PU41:QQ41"/>
    <mergeCell ref="QU41:RM41"/>
    <mergeCell ref="RQ41:SI41"/>
    <mergeCell ref="SM41:TE41"/>
    <mergeCell ref="TH41:TZ41"/>
    <mergeCell ref="UD41:UV41"/>
    <mergeCell ref="UZ41:VR41"/>
    <mergeCell ref="C49:M49"/>
    <mergeCell ref="AJ49:AT49"/>
    <mergeCell ref="BQ49:CA49"/>
    <mergeCell ref="CX49:DH49"/>
    <mergeCell ref="EE49:EO49"/>
    <mergeCell ref="FN49:FX49"/>
    <mergeCell ref="GV49:HF49"/>
    <mergeCell ref="ID49:IN49"/>
    <mergeCell ref="JL49:JU49"/>
    <mergeCell ref="KT49:LC49"/>
    <mergeCell ref="MB49:MK49"/>
    <mergeCell ref="NJ49:NS49"/>
    <mergeCell ref="OS49:PB49"/>
    <mergeCell ref="PU49:QD49"/>
    <mergeCell ref="C82:M82"/>
    <mergeCell ref="AJ82:AT82"/>
    <mergeCell ref="BQ82:CA82"/>
    <mergeCell ref="CX82:DH82"/>
    <mergeCell ref="EE82:EO82"/>
    <mergeCell ref="FN82:FX82"/>
    <mergeCell ref="GV82:HF82"/>
    <mergeCell ref="ID82:IN82"/>
    <mergeCell ref="JL82:JU82"/>
    <mergeCell ref="KT82:LC82"/>
    <mergeCell ref="MB82:MK82"/>
    <mergeCell ref="NJ82:NS82"/>
    <mergeCell ref="OS82:PB82"/>
    <mergeCell ref="PU82:QD82"/>
  </mergeCells>
  <conditionalFormatting sqref="NZ1">
    <cfRule type="cellIs" dxfId="0" priority="10508" operator="lessThan">
      <formula>0</formula>
    </cfRule>
    <cfRule type="cellIs" dxfId="1" priority="10509" operator="greaterThan">
      <formula>0</formula>
    </cfRule>
  </conditionalFormatting>
  <conditionalFormatting sqref="PF1">
    <cfRule type="cellIs" dxfId="0" priority="10626" operator="lessThan">
      <formula>0</formula>
    </cfRule>
    <cfRule type="cellIs" dxfId="1" priority="10627" operator="greaterThan">
      <formula>0</formula>
    </cfRule>
  </conditionalFormatting>
  <conditionalFormatting sqref="C2">
    <cfRule type="cellIs" dxfId="2" priority="5697" operator="greaterThan">
      <formula>0</formula>
    </cfRule>
    <cfRule type="cellIs" dxfId="3" priority="5696" operator="lessThan">
      <formula>0</formula>
    </cfRule>
  </conditionalFormatting>
  <conditionalFormatting sqref="D2:AA2">
    <cfRule type="cellIs" dxfId="2" priority="5689" operator="greaterThan">
      <formula>0</formula>
    </cfRule>
    <cfRule type="cellIs" dxfId="3" priority="5688" operator="lessThan">
      <formula>0</formula>
    </cfRule>
  </conditionalFormatting>
  <conditionalFormatting sqref="K2:R2">
    <cfRule type="cellIs" dxfId="1" priority="5693" operator="greaterThan">
      <formula>0</formula>
    </cfRule>
    <cfRule type="cellIs" dxfId="0" priority="5692" operator="lessThan">
      <formula>0</formula>
    </cfRule>
  </conditionalFormatting>
  <conditionalFormatting sqref="X2">
    <cfRule type="cellIs" dxfId="1" priority="5691" operator="greaterThan">
      <formula>0</formula>
    </cfRule>
    <cfRule type="cellIs" dxfId="0" priority="5690" operator="lessThan">
      <formula>0</formula>
    </cfRule>
  </conditionalFormatting>
  <conditionalFormatting sqref="AB2:AH2">
    <cfRule type="cellIs" dxfId="2" priority="5679" operator="greaterThan">
      <formula>0</formula>
    </cfRule>
    <cfRule type="cellIs" dxfId="3" priority="5678" operator="lessThan">
      <formula>0</formula>
    </cfRule>
  </conditionalFormatting>
  <conditionalFormatting sqref="AD2:AF2">
    <cfRule type="cellIs" dxfId="1" priority="5687" operator="greaterThan">
      <formula>0</formula>
    </cfRule>
    <cfRule type="cellIs" dxfId="0" priority="5686" operator="lessThan">
      <formula>0</formula>
    </cfRule>
  </conditionalFormatting>
  <conditionalFormatting sqref="AG2">
    <cfRule type="cellIs" dxfId="4" priority="5682" operator="lessThan">
      <formula>0</formula>
    </cfRule>
    <cfRule type="cellIs" dxfId="0" priority="5681" operator="lessThan">
      <formula>0</formula>
    </cfRule>
    <cfRule type="cellIs" dxfId="0" priority="5680" operator="lessThan">
      <formula>-1</formula>
    </cfRule>
  </conditionalFormatting>
  <conditionalFormatting sqref="AH2">
    <cfRule type="cellIs" dxfId="4" priority="5685" operator="lessThan">
      <formula>0</formula>
    </cfRule>
    <cfRule type="cellIs" dxfId="0" priority="5684" operator="lessThan">
      <formula>0</formula>
    </cfRule>
    <cfRule type="cellIs" dxfId="0" priority="5683" operator="lessThan">
      <formula>-1</formula>
    </cfRule>
  </conditionalFormatting>
  <conditionalFormatting sqref="AJ2">
    <cfRule type="cellIs" dxfId="2" priority="5583" operator="greaterThan">
      <formula>0</formula>
    </cfRule>
    <cfRule type="cellIs" dxfId="3" priority="5582" operator="lessThan">
      <formula>0</formula>
    </cfRule>
  </conditionalFormatting>
  <conditionalFormatting sqref="AK2:BH2">
    <cfRule type="cellIs" dxfId="2" priority="5575" operator="greaterThan">
      <formula>0</formula>
    </cfRule>
    <cfRule type="cellIs" dxfId="3" priority="5574" operator="lessThan">
      <formula>0</formula>
    </cfRule>
  </conditionalFormatting>
  <conditionalFormatting sqref="AR2:AY2">
    <cfRule type="cellIs" dxfId="1" priority="5579" operator="greaterThan">
      <formula>0</formula>
    </cfRule>
    <cfRule type="cellIs" dxfId="0" priority="5578" operator="lessThan">
      <formula>0</formula>
    </cfRule>
  </conditionalFormatting>
  <conditionalFormatting sqref="BE2">
    <cfRule type="cellIs" dxfId="1" priority="5577" operator="greaterThan">
      <formula>0</formula>
    </cfRule>
    <cfRule type="cellIs" dxfId="0" priority="5576" operator="lessThan">
      <formula>0</formula>
    </cfRule>
  </conditionalFormatting>
  <conditionalFormatting sqref="BI2:BO2">
    <cfRule type="cellIs" dxfId="2" priority="5565" operator="greaterThan">
      <formula>0</formula>
    </cfRule>
    <cfRule type="cellIs" dxfId="3" priority="5564" operator="lessThan">
      <formula>0</formula>
    </cfRule>
  </conditionalFormatting>
  <conditionalFormatting sqref="BK2:BM2">
    <cfRule type="cellIs" dxfId="1" priority="5573" operator="greaterThan">
      <formula>0</formula>
    </cfRule>
    <cfRule type="cellIs" dxfId="0" priority="5572" operator="lessThan">
      <formula>0</formula>
    </cfRule>
  </conditionalFormatting>
  <conditionalFormatting sqref="BN2">
    <cfRule type="cellIs" dxfId="4" priority="5568" operator="lessThan">
      <formula>0</formula>
    </cfRule>
    <cfRule type="cellIs" dxfId="0" priority="5567" operator="lessThan">
      <formula>0</formula>
    </cfRule>
    <cfRule type="cellIs" dxfId="0" priority="5566" operator="lessThan">
      <formula>-1</formula>
    </cfRule>
  </conditionalFormatting>
  <conditionalFormatting sqref="BO2">
    <cfRule type="cellIs" dxfId="4" priority="5571" operator="lessThan">
      <formula>0</formula>
    </cfRule>
    <cfRule type="cellIs" dxfId="0" priority="5570" operator="lessThan">
      <formula>0</formula>
    </cfRule>
    <cfRule type="cellIs" dxfId="0" priority="5569" operator="lessThan">
      <formula>-1</formula>
    </cfRule>
  </conditionalFormatting>
  <conditionalFormatting sqref="BQ2">
    <cfRule type="cellIs" dxfId="2" priority="5086" operator="greaterThan">
      <formula>0</formula>
    </cfRule>
    <cfRule type="cellIs" dxfId="3" priority="5085" operator="lessThan">
      <formula>0</formula>
    </cfRule>
  </conditionalFormatting>
  <conditionalFormatting sqref="BR2:CO2">
    <cfRule type="cellIs" dxfId="2" priority="5078" operator="greaterThan">
      <formula>0</formula>
    </cfRule>
    <cfRule type="cellIs" dxfId="3" priority="5077" operator="lessThan">
      <formula>0</formula>
    </cfRule>
  </conditionalFormatting>
  <conditionalFormatting sqref="BY2:CF2">
    <cfRule type="cellIs" dxfId="1" priority="5082" operator="greaterThan">
      <formula>0</formula>
    </cfRule>
    <cfRule type="cellIs" dxfId="0" priority="5081" operator="lessThan">
      <formula>0</formula>
    </cfRule>
  </conditionalFormatting>
  <conditionalFormatting sqref="CL2">
    <cfRule type="cellIs" dxfId="1" priority="5080" operator="greaterThan">
      <formula>0</formula>
    </cfRule>
    <cfRule type="cellIs" dxfId="0" priority="5079" operator="lessThan">
      <formula>0</formula>
    </cfRule>
  </conditionalFormatting>
  <conditionalFormatting sqref="CP2:CV2">
    <cfRule type="cellIs" dxfId="2" priority="5068" operator="greaterThan">
      <formula>0</formula>
    </cfRule>
    <cfRule type="cellIs" dxfId="3" priority="5067" operator="lessThan">
      <formula>0</formula>
    </cfRule>
  </conditionalFormatting>
  <conditionalFormatting sqref="CR2:CT2">
    <cfRule type="cellIs" dxfId="1" priority="5076" operator="greaterThan">
      <formula>0</formula>
    </cfRule>
    <cfRule type="cellIs" dxfId="0" priority="5075" operator="lessThan">
      <formula>0</formula>
    </cfRule>
  </conditionalFormatting>
  <conditionalFormatting sqref="CU2">
    <cfRule type="cellIs" dxfId="4" priority="5071" operator="lessThan">
      <formula>0</formula>
    </cfRule>
    <cfRule type="cellIs" dxfId="0" priority="5070" operator="lessThan">
      <formula>0</formula>
    </cfRule>
    <cfRule type="cellIs" dxfId="0" priority="5069" operator="lessThan">
      <formula>-1</formula>
    </cfRule>
  </conditionalFormatting>
  <conditionalFormatting sqref="CV2">
    <cfRule type="cellIs" dxfId="4" priority="5074" operator="lessThan">
      <formula>0</formula>
    </cfRule>
    <cfRule type="cellIs" dxfId="0" priority="5073" operator="lessThan">
      <formula>0</formula>
    </cfRule>
    <cfRule type="cellIs" dxfId="0" priority="5072" operator="lessThan">
      <formula>-1</formula>
    </cfRule>
  </conditionalFormatting>
  <conditionalFormatting sqref="CX2">
    <cfRule type="cellIs" dxfId="2" priority="4697" operator="greaterThan">
      <formula>0</formula>
    </cfRule>
    <cfRule type="cellIs" dxfId="3" priority="4696" operator="lessThan">
      <formula>0</formula>
    </cfRule>
  </conditionalFormatting>
  <conditionalFormatting sqref="CY2:DV2">
    <cfRule type="cellIs" dxfId="2" priority="4689" operator="greaterThan">
      <formula>0</formula>
    </cfRule>
    <cfRule type="cellIs" dxfId="3" priority="4688" operator="lessThan">
      <formula>0</formula>
    </cfRule>
  </conditionalFormatting>
  <conditionalFormatting sqref="DF2:DM2">
    <cfRule type="cellIs" dxfId="1" priority="4693" operator="greaterThan">
      <formula>0</formula>
    </cfRule>
    <cfRule type="cellIs" dxfId="0" priority="4692" operator="lessThan">
      <formula>0</formula>
    </cfRule>
  </conditionalFormatting>
  <conditionalFormatting sqref="DS2">
    <cfRule type="cellIs" dxfId="1" priority="4691" operator="greaterThan">
      <formula>0</formula>
    </cfRule>
    <cfRule type="cellIs" dxfId="0" priority="4690" operator="lessThan">
      <formula>0</formula>
    </cfRule>
  </conditionalFormatting>
  <conditionalFormatting sqref="DW2:EC2">
    <cfRule type="cellIs" dxfId="2" priority="4679" operator="greaterThan">
      <formula>0</formula>
    </cfRule>
    <cfRule type="cellIs" dxfId="3" priority="4678" operator="lessThan">
      <formula>0</formula>
    </cfRule>
  </conditionalFormatting>
  <conditionalFormatting sqref="DY2:EA2">
    <cfRule type="cellIs" dxfId="1" priority="4687" operator="greaterThan">
      <formula>0</formula>
    </cfRule>
    <cfRule type="cellIs" dxfId="0" priority="4686" operator="lessThan">
      <formula>0</formula>
    </cfRule>
  </conditionalFormatting>
  <conditionalFormatting sqref="EB2">
    <cfRule type="cellIs" dxfId="4" priority="4682" operator="lessThan">
      <formula>0</formula>
    </cfRule>
    <cfRule type="cellIs" dxfId="0" priority="4681" operator="lessThan">
      <formula>0</formula>
    </cfRule>
    <cfRule type="cellIs" dxfId="0" priority="4680" operator="lessThan">
      <formula>-1</formula>
    </cfRule>
  </conditionalFormatting>
  <conditionalFormatting sqref="EC2">
    <cfRule type="cellIs" dxfId="4" priority="4685" operator="lessThan">
      <formula>0</formula>
    </cfRule>
    <cfRule type="cellIs" dxfId="0" priority="4684" operator="lessThan">
      <formula>0</formula>
    </cfRule>
    <cfRule type="cellIs" dxfId="0" priority="4683" operator="lessThan">
      <formula>-1</formula>
    </cfRule>
  </conditionalFormatting>
  <conditionalFormatting sqref="EE2">
    <cfRule type="cellIs" dxfId="2" priority="4366" operator="greaterThan">
      <formula>0</formula>
    </cfRule>
    <cfRule type="cellIs" dxfId="3" priority="4365" operator="lessThan">
      <formula>0</formula>
    </cfRule>
  </conditionalFormatting>
  <conditionalFormatting sqref="EF2:FC2">
    <cfRule type="cellIs" dxfId="2" priority="4358" operator="greaterThan">
      <formula>0</formula>
    </cfRule>
    <cfRule type="cellIs" dxfId="3" priority="4357" operator="lessThan">
      <formula>0</formula>
    </cfRule>
  </conditionalFormatting>
  <conditionalFormatting sqref="EM2:ET2">
    <cfRule type="cellIs" dxfId="1" priority="4362" operator="greaterThan">
      <formula>0</formula>
    </cfRule>
    <cfRule type="cellIs" dxfId="0" priority="4361" operator="lessThan">
      <formula>0</formula>
    </cfRule>
  </conditionalFormatting>
  <conditionalFormatting sqref="EZ2">
    <cfRule type="cellIs" dxfId="1" priority="4360" operator="greaterThan">
      <formula>0</formula>
    </cfRule>
    <cfRule type="cellIs" dxfId="0" priority="4359" operator="lessThan">
      <formula>0</formula>
    </cfRule>
  </conditionalFormatting>
  <conditionalFormatting sqref="FD2:FJ2">
    <cfRule type="cellIs" dxfId="2" priority="4348" operator="greaterThan">
      <formula>0</formula>
    </cfRule>
    <cfRule type="cellIs" dxfId="3" priority="4347" operator="lessThan">
      <formula>0</formula>
    </cfRule>
  </conditionalFormatting>
  <conditionalFormatting sqref="FF2:FH2">
    <cfRule type="cellIs" dxfId="1" priority="4356" operator="greaterThan">
      <formula>0</formula>
    </cfRule>
    <cfRule type="cellIs" dxfId="0" priority="4355" operator="lessThan">
      <formula>0</formula>
    </cfRule>
  </conditionalFormatting>
  <conditionalFormatting sqref="FI2">
    <cfRule type="cellIs" dxfId="4" priority="4351" operator="lessThan">
      <formula>0</formula>
    </cfRule>
    <cfRule type="cellIs" dxfId="0" priority="4350" operator="lessThan">
      <formula>0</formula>
    </cfRule>
    <cfRule type="cellIs" dxfId="0" priority="4349" operator="lessThan">
      <formula>-1</formula>
    </cfRule>
  </conditionalFormatting>
  <conditionalFormatting sqref="FJ2">
    <cfRule type="cellIs" dxfId="4" priority="4354" operator="lessThan">
      <formula>0</formula>
    </cfRule>
    <cfRule type="cellIs" dxfId="0" priority="4353" operator="lessThan">
      <formula>0</formula>
    </cfRule>
    <cfRule type="cellIs" dxfId="0" priority="4352" operator="lessThan">
      <formula>-1</formula>
    </cfRule>
  </conditionalFormatting>
  <conditionalFormatting sqref="FN2">
    <cfRule type="cellIs" dxfId="2" priority="4294" operator="greaterThan">
      <formula>0</formula>
    </cfRule>
    <cfRule type="cellIs" dxfId="3" priority="4293" operator="lessThan">
      <formula>0</formula>
    </cfRule>
  </conditionalFormatting>
  <conditionalFormatting sqref="FO2:GL2">
    <cfRule type="cellIs" dxfId="2" priority="4286" operator="greaterThan">
      <formula>0</formula>
    </cfRule>
    <cfRule type="cellIs" dxfId="3" priority="4285" operator="lessThan">
      <formula>0</formula>
    </cfRule>
  </conditionalFormatting>
  <conditionalFormatting sqref="FV2:GC2">
    <cfRule type="cellIs" dxfId="1" priority="4290" operator="greaterThan">
      <formula>0</formula>
    </cfRule>
    <cfRule type="cellIs" dxfId="0" priority="4289" operator="lessThan">
      <formula>0</formula>
    </cfRule>
  </conditionalFormatting>
  <conditionalFormatting sqref="GI2">
    <cfRule type="cellIs" dxfId="1" priority="4288" operator="greaterThan">
      <formula>0</formula>
    </cfRule>
    <cfRule type="cellIs" dxfId="0" priority="4287" operator="lessThan">
      <formula>0</formula>
    </cfRule>
  </conditionalFormatting>
  <conditionalFormatting sqref="GM2:GS2">
    <cfRule type="cellIs" dxfId="2" priority="4276" operator="greaterThan">
      <formula>0</formula>
    </cfRule>
    <cfRule type="cellIs" dxfId="3" priority="4275" operator="lessThan">
      <formula>0</formula>
    </cfRule>
  </conditionalFormatting>
  <conditionalFormatting sqref="GO2:GQ2">
    <cfRule type="cellIs" dxfId="1" priority="4284" operator="greaterThan">
      <formula>0</formula>
    </cfRule>
    <cfRule type="cellIs" dxfId="0" priority="4283" operator="lessThan">
      <formula>0</formula>
    </cfRule>
  </conditionalFormatting>
  <conditionalFormatting sqref="GR2">
    <cfRule type="cellIs" dxfId="4" priority="4279" operator="lessThan">
      <formula>0</formula>
    </cfRule>
    <cfRule type="cellIs" dxfId="0" priority="4278" operator="lessThan">
      <formula>0</formula>
    </cfRule>
    <cfRule type="cellIs" dxfId="0" priority="4277" operator="lessThan">
      <formula>-1</formula>
    </cfRule>
  </conditionalFormatting>
  <conditionalFormatting sqref="GS2">
    <cfRule type="cellIs" dxfId="4" priority="4282" operator="lessThan">
      <formula>0</formula>
    </cfRule>
    <cfRule type="cellIs" dxfId="0" priority="4281" operator="lessThan">
      <formula>0</formula>
    </cfRule>
    <cfRule type="cellIs" dxfId="0" priority="4280" operator="lessThan">
      <formula>-1</formula>
    </cfRule>
  </conditionalFormatting>
  <conditionalFormatting sqref="GV2">
    <cfRule type="cellIs" dxfId="2" priority="4260" operator="greaterThan">
      <formula>0</formula>
    </cfRule>
    <cfRule type="cellIs" dxfId="3" priority="4259" operator="lessThan">
      <formula>0</formula>
    </cfRule>
  </conditionalFormatting>
  <conditionalFormatting sqref="GW2:HT2">
    <cfRule type="cellIs" dxfId="2" priority="4252" operator="greaterThan">
      <formula>0</formula>
    </cfRule>
    <cfRule type="cellIs" dxfId="3" priority="4251" operator="lessThan">
      <formula>0</formula>
    </cfRule>
  </conditionalFormatting>
  <conditionalFormatting sqref="HD2:HK2">
    <cfRule type="cellIs" dxfId="1" priority="4256" operator="greaterThan">
      <formula>0</formula>
    </cfRule>
    <cfRule type="cellIs" dxfId="0" priority="4255" operator="lessThan">
      <formula>0</formula>
    </cfRule>
  </conditionalFormatting>
  <conditionalFormatting sqref="HQ2">
    <cfRule type="cellIs" dxfId="1" priority="4254" operator="greaterThan">
      <formula>0</formula>
    </cfRule>
    <cfRule type="cellIs" dxfId="0" priority="4253" operator="lessThan">
      <formula>0</formula>
    </cfRule>
  </conditionalFormatting>
  <conditionalFormatting sqref="HU2:IA2">
    <cfRule type="cellIs" dxfId="2" priority="4242" operator="greaterThan">
      <formula>0</formula>
    </cfRule>
    <cfRule type="cellIs" dxfId="3" priority="4241" operator="lessThan">
      <formula>0</formula>
    </cfRule>
  </conditionalFormatting>
  <conditionalFormatting sqref="HW2:HY2">
    <cfRule type="cellIs" dxfId="1" priority="4250" operator="greaterThan">
      <formula>0</formula>
    </cfRule>
    <cfRule type="cellIs" dxfId="0" priority="4249" operator="lessThan">
      <formula>0</formula>
    </cfRule>
  </conditionalFormatting>
  <conditionalFormatting sqref="HZ2">
    <cfRule type="cellIs" dxfId="4" priority="4245" operator="lessThan">
      <formula>0</formula>
    </cfRule>
    <cfRule type="cellIs" dxfId="0" priority="4244" operator="lessThan">
      <formula>0</formula>
    </cfRule>
    <cfRule type="cellIs" dxfId="0" priority="4243" operator="lessThan">
      <formula>-1</formula>
    </cfRule>
  </conditionalFormatting>
  <conditionalFormatting sqref="IA2">
    <cfRule type="cellIs" dxfId="4" priority="4248" operator="lessThan">
      <formula>0</formula>
    </cfRule>
    <cfRule type="cellIs" dxfId="0" priority="4247" operator="lessThan">
      <formula>0</formula>
    </cfRule>
    <cfRule type="cellIs" dxfId="0" priority="4246" operator="lessThan">
      <formula>-1</formula>
    </cfRule>
  </conditionalFormatting>
  <conditionalFormatting sqref="ID2">
    <cfRule type="cellIs" dxfId="2" priority="2389" operator="greaterThan">
      <formula>0</formula>
    </cfRule>
    <cfRule type="cellIs" dxfId="3" priority="2388" operator="lessThan">
      <formula>0</formula>
    </cfRule>
  </conditionalFormatting>
  <conditionalFormatting sqref="IE2:JB2">
    <cfRule type="cellIs" dxfId="2" priority="2381" operator="greaterThan">
      <formula>0</formula>
    </cfRule>
    <cfRule type="cellIs" dxfId="3" priority="2380" operator="lessThan">
      <formula>0</formula>
    </cfRule>
  </conditionalFormatting>
  <conditionalFormatting sqref="IL2:IS2">
    <cfRule type="cellIs" dxfId="1" priority="2385" operator="greaterThan">
      <formula>0</formula>
    </cfRule>
    <cfRule type="cellIs" dxfId="0" priority="2384" operator="lessThan">
      <formula>0</formula>
    </cfRule>
  </conditionalFormatting>
  <conditionalFormatting sqref="IY2">
    <cfRule type="cellIs" dxfId="1" priority="2383" operator="greaterThan">
      <formula>0</formula>
    </cfRule>
    <cfRule type="cellIs" dxfId="0" priority="2382" operator="lessThan">
      <formula>0</formula>
    </cfRule>
  </conditionalFormatting>
  <conditionalFormatting sqref="JC2:JI2">
    <cfRule type="cellIs" dxfId="2" priority="2371" operator="greaterThan">
      <formula>0</formula>
    </cfRule>
    <cfRule type="cellIs" dxfId="3" priority="2370" operator="lessThan">
      <formula>0</formula>
    </cfRule>
  </conditionalFormatting>
  <conditionalFormatting sqref="JE2:JG2">
    <cfRule type="cellIs" dxfId="1" priority="2379" operator="greaterThan">
      <formula>0</formula>
    </cfRule>
    <cfRule type="cellIs" dxfId="0" priority="2378" operator="lessThan">
      <formula>0</formula>
    </cfRule>
  </conditionalFormatting>
  <conditionalFormatting sqref="JH2">
    <cfRule type="cellIs" dxfId="4" priority="2374" operator="lessThan">
      <formula>0</formula>
    </cfRule>
    <cfRule type="cellIs" dxfId="0" priority="2373" operator="lessThan">
      <formula>0</formula>
    </cfRule>
    <cfRule type="cellIs" dxfId="0" priority="2372" operator="lessThan">
      <formula>-1</formula>
    </cfRule>
  </conditionalFormatting>
  <conditionalFormatting sqref="JI2">
    <cfRule type="cellIs" dxfId="4" priority="2377" operator="lessThan">
      <formula>0</formula>
    </cfRule>
    <cfRule type="cellIs" dxfId="0" priority="2376" operator="lessThan">
      <formula>0</formula>
    </cfRule>
    <cfRule type="cellIs" dxfId="0" priority="2375" operator="lessThan">
      <formula>-1</formula>
    </cfRule>
  </conditionalFormatting>
  <conditionalFormatting sqref="JL2">
    <cfRule type="cellIs" dxfId="2" priority="1612" operator="greaterThan">
      <formula>0</formula>
    </cfRule>
    <cfRule type="cellIs" dxfId="3" priority="1611" operator="lessThan">
      <formula>0</formula>
    </cfRule>
  </conditionalFormatting>
  <conditionalFormatting sqref="JM2:KJ2">
    <cfRule type="cellIs" dxfId="2" priority="1604" operator="greaterThan">
      <formula>0</formula>
    </cfRule>
    <cfRule type="cellIs" dxfId="3" priority="1603" operator="lessThan">
      <formula>0</formula>
    </cfRule>
  </conditionalFormatting>
  <conditionalFormatting sqref="JT2:KA2">
    <cfRule type="cellIs" dxfId="1" priority="1608" operator="greaterThan">
      <formula>0</formula>
    </cfRule>
    <cfRule type="cellIs" dxfId="0" priority="1607" operator="lessThan">
      <formula>0</formula>
    </cfRule>
  </conditionalFormatting>
  <conditionalFormatting sqref="KG2">
    <cfRule type="cellIs" dxfId="1" priority="1606" operator="greaterThan">
      <formula>0</formula>
    </cfRule>
    <cfRule type="cellIs" dxfId="0" priority="1605" operator="lessThan">
      <formula>0</formula>
    </cfRule>
  </conditionalFormatting>
  <conditionalFormatting sqref="KK2:KQ2">
    <cfRule type="cellIs" dxfId="2" priority="1594" operator="greaterThan">
      <formula>0</formula>
    </cfRule>
    <cfRule type="cellIs" dxfId="3" priority="1593" operator="lessThan">
      <formula>0</formula>
    </cfRule>
  </conditionalFormatting>
  <conditionalFormatting sqref="KM2:KO2">
    <cfRule type="cellIs" dxfId="1" priority="1602" operator="greaterThan">
      <formula>0</formula>
    </cfRule>
    <cfRule type="cellIs" dxfId="0" priority="1601" operator="lessThan">
      <formula>0</formula>
    </cfRule>
  </conditionalFormatting>
  <conditionalFormatting sqref="KP2">
    <cfRule type="cellIs" dxfId="4" priority="1597" operator="lessThan">
      <formula>0</formula>
    </cfRule>
    <cfRule type="cellIs" dxfId="0" priority="1596" operator="lessThan">
      <formula>0</formula>
    </cfRule>
    <cfRule type="cellIs" dxfId="0" priority="1595" operator="lessThan">
      <formula>-1</formula>
    </cfRule>
  </conditionalFormatting>
  <conditionalFormatting sqref="KQ2">
    <cfRule type="cellIs" dxfId="4" priority="1600" operator="lessThan">
      <formula>0</formula>
    </cfRule>
    <cfRule type="cellIs" dxfId="0" priority="1599" operator="lessThan">
      <formula>0</formula>
    </cfRule>
    <cfRule type="cellIs" dxfId="0" priority="1598" operator="lessThan">
      <formula>-1</formula>
    </cfRule>
  </conditionalFormatting>
  <conditionalFormatting sqref="KT2">
    <cfRule type="cellIs" dxfId="2" priority="959" operator="greaterThan">
      <formula>0</formula>
    </cfRule>
    <cfRule type="cellIs" dxfId="3" priority="958" operator="lessThan">
      <formula>0</formula>
    </cfRule>
  </conditionalFormatting>
  <conditionalFormatting sqref="KU2:LR2">
    <cfRule type="cellIs" dxfId="2" priority="951" operator="greaterThan">
      <formula>0</formula>
    </cfRule>
    <cfRule type="cellIs" dxfId="3" priority="950" operator="lessThan">
      <formula>0</formula>
    </cfRule>
  </conditionalFormatting>
  <conditionalFormatting sqref="LB2:LI2">
    <cfRule type="cellIs" dxfId="1" priority="955" operator="greaterThan">
      <formula>0</formula>
    </cfRule>
    <cfRule type="cellIs" dxfId="0" priority="954" operator="lessThan">
      <formula>0</formula>
    </cfRule>
  </conditionalFormatting>
  <conditionalFormatting sqref="LO2">
    <cfRule type="cellIs" dxfId="1" priority="953" operator="greaterThan">
      <formula>0</formula>
    </cfRule>
    <cfRule type="cellIs" dxfId="0" priority="952" operator="lessThan">
      <formula>0</formula>
    </cfRule>
  </conditionalFormatting>
  <conditionalFormatting sqref="LS2:LY2">
    <cfRule type="cellIs" dxfId="2" priority="941" operator="greaterThan">
      <formula>0</formula>
    </cfRule>
    <cfRule type="cellIs" dxfId="3" priority="940" operator="lessThan">
      <formula>0</formula>
    </cfRule>
  </conditionalFormatting>
  <conditionalFormatting sqref="LU2:LW2">
    <cfRule type="cellIs" dxfId="1" priority="949" operator="greaterThan">
      <formula>0</formula>
    </cfRule>
    <cfRule type="cellIs" dxfId="0" priority="948" operator="lessThan">
      <formula>0</formula>
    </cfRule>
  </conditionalFormatting>
  <conditionalFormatting sqref="LX2">
    <cfRule type="cellIs" dxfId="4" priority="944" operator="lessThan">
      <formula>0</formula>
    </cfRule>
    <cfRule type="cellIs" dxfId="0" priority="943" operator="lessThan">
      <formula>0</formula>
    </cfRule>
    <cfRule type="cellIs" dxfId="0" priority="942" operator="lessThan">
      <formula>-1</formula>
    </cfRule>
  </conditionalFormatting>
  <conditionalFormatting sqref="LY2">
    <cfRule type="cellIs" dxfId="4" priority="947" operator="lessThan">
      <formula>0</formula>
    </cfRule>
    <cfRule type="cellIs" dxfId="0" priority="946" operator="lessThan">
      <formula>0</formula>
    </cfRule>
    <cfRule type="cellIs" dxfId="0" priority="945" operator="lessThan">
      <formula>-1</formula>
    </cfRule>
  </conditionalFormatting>
  <conditionalFormatting sqref="MB2">
    <cfRule type="cellIs" dxfId="2" priority="925" operator="greaterThan">
      <formula>0</formula>
    </cfRule>
    <cfRule type="cellIs" dxfId="3" priority="924" operator="lessThan">
      <formula>0</formula>
    </cfRule>
  </conditionalFormatting>
  <conditionalFormatting sqref="MC2:MZ2">
    <cfRule type="cellIs" dxfId="2" priority="917" operator="greaterThan">
      <formula>0</formula>
    </cfRule>
    <cfRule type="cellIs" dxfId="3" priority="916" operator="lessThan">
      <formula>0</formula>
    </cfRule>
  </conditionalFormatting>
  <conditionalFormatting sqref="MJ2:MQ2">
    <cfRule type="cellIs" dxfId="1" priority="921" operator="greaterThan">
      <formula>0</formula>
    </cfRule>
    <cfRule type="cellIs" dxfId="0" priority="920" operator="lessThan">
      <formula>0</formula>
    </cfRule>
  </conditionalFormatting>
  <conditionalFormatting sqref="MW2">
    <cfRule type="cellIs" dxfId="1" priority="919" operator="greaterThan">
      <formula>0</formula>
    </cfRule>
    <cfRule type="cellIs" dxfId="0" priority="918" operator="lessThan">
      <formula>0</formula>
    </cfRule>
  </conditionalFormatting>
  <conditionalFormatting sqref="NA2:NG2">
    <cfRule type="cellIs" dxfId="2" priority="907" operator="greaterThan">
      <formula>0</formula>
    </cfRule>
    <cfRule type="cellIs" dxfId="3" priority="906" operator="lessThan">
      <formula>0</formula>
    </cfRule>
  </conditionalFormatting>
  <conditionalFormatting sqref="NC2:NE2">
    <cfRule type="cellIs" dxfId="1" priority="915" operator="greaterThan">
      <formula>0</formula>
    </cfRule>
    <cfRule type="cellIs" dxfId="0" priority="914" operator="lessThan">
      <formula>0</formula>
    </cfRule>
  </conditionalFormatting>
  <conditionalFormatting sqref="NF2">
    <cfRule type="cellIs" dxfId="4" priority="910" operator="lessThan">
      <formula>0</formula>
    </cfRule>
    <cfRule type="cellIs" dxfId="0" priority="909" operator="lessThan">
      <formula>0</formula>
    </cfRule>
    <cfRule type="cellIs" dxfId="0" priority="908" operator="lessThan">
      <formula>-1</formula>
    </cfRule>
  </conditionalFormatting>
  <conditionalFormatting sqref="NG2">
    <cfRule type="cellIs" dxfId="4" priority="913" operator="lessThan">
      <formula>0</formula>
    </cfRule>
    <cfRule type="cellIs" dxfId="0" priority="912" operator="lessThan">
      <formula>0</formula>
    </cfRule>
    <cfRule type="cellIs" dxfId="0" priority="911" operator="lessThan">
      <formula>-1</formula>
    </cfRule>
  </conditionalFormatting>
  <conditionalFormatting sqref="NJ2">
    <cfRule type="cellIs" dxfId="2" priority="313" operator="greaterThan">
      <formula>0</formula>
    </cfRule>
    <cfRule type="cellIs" dxfId="3" priority="312" operator="lessThan">
      <formula>0</formula>
    </cfRule>
  </conditionalFormatting>
  <conditionalFormatting sqref="NK2:OH2">
    <cfRule type="cellIs" dxfId="2" priority="305" operator="greaterThan">
      <formula>0</formula>
    </cfRule>
    <cfRule type="cellIs" dxfId="3" priority="304" operator="lessThan">
      <formula>0</formula>
    </cfRule>
  </conditionalFormatting>
  <conditionalFormatting sqref="NR2:NY2">
    <cfRule type="cellIs" dxfId="1" priority="309" operator="greaterThan">
      <formula>0</formula>
    </cfRule>
    <cfRule type="cellIs" dxfId="0" priority="308" operator="lessThan">
      <formula>0</formula>
    </cfRule>
  </conditionalFormatting>
  <conditionalFormatting sqref="OE2">
    <cfRule type="cellIs" dxfId="1" priority="307" operator="greaterThan">
      <formula>0</formula>
    </cfRule>
    <cfRule type="cellIs" dxfId="0" priority="306" operator="lessThan">
      <formula>0</formula>
    </cfRule>
  </conditionalFormatting>
  <conditionalFormatting sqref="OI2:OO2">
    <cfRule type="cellIs" dxfId="2" priority="295" operator="greaterThan">
      <formula>0</formula>
    </cfRule>
    <cfRule type="cellIs" dxfId="3" priority="294" operator="lessThan">
      <formula>0</formula>
    </cfRule>
  </conditionalFormatting>
  <conditionalFormatting sqref="OK2:OM2">
    <cfRule type="cellIs" dxfId="1" priority="303" operator="greaterThan">
      <formula>0</formula>
    </cfRule>
    <cfRule type="cellIs" dxfId="0" priority="302" operator="lessThan">
      <formula>0</formula>
    </cfRule>
  </conditionalFormatting>
  <conditionalFormatting sqref="ON2">
    <cfRule type="cellIs" dxfId="4" priority="298" operator="lessThan">
      <formula>0</formula>
    </cfRule>
    <cfRule type="cellIs" dxfId="0" priority="297" operator="lessThan">
      <formula>0</formula>
    </cfRule>
    <cfRule type="cellIs" dxfId="0" priority="296" operator="lessThan">
      <formula>-1</formula>
    </cfRule>
  </conditionalFormatting>
  <conditionalFormatting sqref="OO2">
    <cfRule type="cellIs" dxfId="4" priority="301" operator="lessThan">
      <formula>0</formula>
    </cfRule>
    <cfRule type="cellIs" dxfId="0" priority="300" operator="lessThan">
      <formula>0</formula>
    </cfRule>
    <cfRule type="cellIs" dxfId="0" priority="299" operator="lessThan">
      <formula>-1</formula>
    </cfRule>
  </conditionalFormatting>
  <conditionalFormatting sqref="OS2">
    <cfRule type="cellIs" dxfId="2" priority="64" operator="greaterThan">
      <formula>0</formula>
    </cfRule>
    <cfRule type="cellIs" dxfId="3" priority="63" operator="lessThan">
      <formula>0</formula>
    </cfRule>
  </conditionalFormatting>
  <conditionalFormatting sqref="OT2">
    <cfRule type="cellIs" dxfId="2" priority="62" operator="greaterThan">
      <formula>0</formula>
    </cfRule>
    <cfRule type="cellIs" dxfId="3" priority="61" operator="lessThan">
      <formula>0</formula>
    </cfRule>
  </conditionalFormatting>
  <conditionalFormatting sqref="OU2">
    <cfRule type="cellIs" dxfId="2" priority="60" operator="greaterThan">
      <formula>0</formula>
    </cfRule>
    <cfRule type="cellIs" dxfId="3" priority="59" operator="lessThan">
      <formula>0</formula>
    </cfRule>
  </conditionalFormatting>
  <conditionalFormatting sqref="OV2:OW2">
    <cfRule type="cellIs" dxfId="2" priority="58" operator="greaterThan">
      <formula>0</formula>
    </cfRule>
    <cfRule type="cellIs" dxfId="3" priority="57" operator="lessThan">
      <formula>0</formula>
    </cfRule>
  </conditionalFormatting>
  <conditionalFormatting sqref="OX2:PB2">
    <cfRule type="cellIs" dxfId="2" priority="54" operator="greaterThan">
      <formula>0</formula>
    </cfRule>
    <cfRule type="cellIs" dxfId="3" priority="53" operator="lessThan">
      <formula>0</formula>
    </cfRule>
  </conditionalFormatting>
  <conditionalFormatting sqref="OY2:PB2">
    <cfRule type="cellIs" dxfId="1" priority="56" operator="greaterThan">
      <formula>0</formula>
    </cfRule>
    <cfRule type="cellIs" dxfId="0" priority="55" operator="lessThan">
      <formula>0</formula>
    </cfRule>
  </conditionalFormatting>
  <conditionalFormatting sqref="PC2:PG2">
    <cfRule type="cellIs" dxfId="2" priority="66" operator="greaterThan">
      <formula>0</formula>
    </cfRule>
    <cfRule type="cellIs" dxfId="3" priority="65" operator="lessThan">
      <formula>0</formula>
    </cfRule>
  </conditionalFormatting>
  <conditionalFormatting sqref="PG2">
    <cfRule type="cellIs" dxfId="1" priority="68" operator="greaterThan">
      <formula>0</formula>
    </cfRule>
    <cfRule type="cellIs" dxfId="0" priority="67" operator="lessThan">
      <formula>0</formula>
    </cfRule>
  </conditionalFormatting>
  <conditionalFormatting sqref="PH2">
    <cfRule type="cellIs" dxfId="1" priority="50" operator="greaterThan">
      <formula>0</formula>
    </cfRule>
    <cfRule type="cellIs" dxfId="0" priority="49" operator="lessThan">
      <formula>0</formula>
    </cfRule>
  </conditionalFormatting>
  <conditionalFormatting sqref="PH2:PI2">
    <cfRule type="cellIs" dxfId="2" priority="48" operator="greaterThan">
      <formula>0</formula>
    </cfRule>
    <cfRule type="cellIs" dxfId="3" priority="47" operator="lessThan">
      <formula>0</formula>
    </cfRule>
  </conditionalFormatting>
  <conditionalFormatting sqref="PI2">
    <cfRule type="cellIs" dxfId="1" priority="52" operator="greaterThan">
      <formula>0</formula>
    </cfRule>
    <cfRule type="cellIs" dxfId="0" priority="51" operator="lessThan">
      <formula>0</formula>
    </cfRule>
  </conditionalFormatting>
  <conditionalFormatting sqref="PJ2:PK2">
    <cfRule type="cellIs" dxfId="2" priority="38" operator="greaterThan">
      <formula>0</formula>
    </cfRule>
    <cfRule type="cellIs" dxfId="3" priority="37" operator="lessThan">
      <formula>0</formula>
    </cfRule>
  </conditionalFormatting>
  <conditionalFormatting sqref="PL2">
    <cfRule type="cellIs" dxfId="2" priority="34" operator="greaterThan">
      <formula>0</formula>
    </cfRule>
    <cfRule type="cellIs" dxfId="3" priority="33" operator="lessThan">
      <formula>0</formula>
    </cfRule>
  </conditionalFormatting>
  <conditionalFormatting sqref="PM2">
    <cfRule type="cellIs" dxfId="1" priority="28" operator="greaterThan">
      <formula>0</formula>
    </cfRule>
    <cfRule type="cellIs" dxfId="0" priority="27" operator="lessThan">
      <formula>0</formula>
    </cfRule>
    <cfRule type="cellIs" dxfId="2" priority="26" operator="greaterThan">
      <formula>0</formula>
    </cfRule>
    <cfRule type="cellIs" dxfId="3" priority="25" operator="lessThan">
      <formula>0</formula>
    </cfRule>
  </conditionalFormatting>
  <conditionalFormatting sqref="PN2:PO2">
    <cfRule type="cellIs" dxfId="1" priority="20" operator="greaterThan">
      <formula>0</formula>
    </cfRule>
    <cfRule type="cellIs" dxfId="0" priority="19" operator="lessThan">
      <formula>0</formula>
    </cfRule>
    <cfRule type="cellIs" dxfId="2" priority="18" operator="greaterThan">
      <formula>0</formula>
    </cfRule>
    <cfRule type="cellIs" dxfId="3" priority="17" operator="lessThan">
      <formula>0</formula>
    </cfRule>
  </conditionalFormatting>
  <conditionalFormatting sqref="PP2">
    <cfRule type="cellIs" dxfId="4" priority="5" operator="lessThan">
      <formula>0</formula>
    </cfRule>
    <cfRule type="cellIs" dxfId="0" priority="4" operator="lessThan">
      <formula>0</formula>
    </cfRule>
    <cfRule type="cellIs" dxfId="0" priority="3" operator="lessThan">
      <formula>-1</formula>
    </cfRule>
  </conditionalFormatting>
  <conditionalFormatting sqref="PP2:PQ2">
    <cfRule type="cellIs" dxfId="2" priority="2" operator="greaterThan">
      <formula>0</formula>
    </cfRule>
    <cfRule type="cellIs" dxfId="3" priority="1" operator="lessThan">
      <formula>0</formula>
    </cfRule>
  </conditionalFormatting>
  <conditionalFormatting sqref="PQ2">
    <cfRule type="cellIs" dxfId="4" priority="8" operator="lessThan">
      <formula>0</formula>
    </cfRule>
    <cfRule type="cellIs" dxfId="0" priority="7" operator="lessThan">
      <formula>0</formula>
    </cfRule>
    <cfRule type="cellIs" dxfId="0" priority="6" operator="lessThan">
      <formula>-1</formula>
    </cfRule>
  </conditionalFormatting>
  <conditionalFormatting sqref="QA2:QB2">
    <cfRule type="cellIs" dxfId="0" priority="10357" operator="lessThan">
      <formula>0</formula>
    </cfRule>
    <cfRule type="cellIs" dxfId="1" priority="10358" operator="greaterThan">
      <formula>0</formula>
    </cfRule>
  </conditionalFormatting>
  <conditionalFormatting sqref="QP2">
    <cfRule type="cellIs" dxfId="0" priority="7320" operator="lessThan">
      <formula>-1</formula>
    </cfRule>
    <cfRule type="cellIs" dxfId="0" priority="7321" operator="lessThan">
      <formula>0</formula>
    </cfRule>
    <cfRule type="cellIs" dxfId="4" priority="7322" operator="lessThan">
      <formula>0</formula>
    </cfRule>
  </conditionalFormatting>
  <conditionalFormatting sqref="QQ2">
    <cfRule type="cellIs" dxfId="0" priority="7323" operator="lessThan">
      <formula>-1</formula>
    </cfRule>
    <cfRule type="cellIs" dxfId="0" priority="7324" operator="lessThan">
      <formula>0</formula>
    </cfRule>
    <cfRule type="cellIs" dxfId="4" priority="7325" operator="lessThan">
      <formula>0</formula>
    </cfRule>
  </conditionalFormatting>
  <conditionalFormatting sqref="RL2">
    <cfRule type="cellIs" dxfId="0" priority="7314" operator="lessThan">
      <formula>-1</formula>
    </cfRule>
    <cfRule type="cellIs" dxfId="0" priority="7315" operator="lessThan">
      <formula>0</formula>
    </cfRule>
    <cfRule type="cellIs" dxfId="4" priority="7316" operator="lessThan">
      <formula>0</formula>
    </cfRule>
  </conditionalFormatting>
  <conditionalFormatting sqref="RM2">
    <cfRule type="cellIs" dxfId="0" priority="7317" operator="lessThan">
      <formula>-1</formula>
    </cfRule>
    <cfRule type="cellIs" dxfId="0" priority="7318" operator="lessThan">
      <formula>0</formula>
    </cfRule>
    <cfRule type="cellIs" dxfId="4" priority="7319" operator="lessThan">
      <formula>0</formula>
    </cfRule>
  </conditionalFormatting>
  <conditionalFormatting sqref="SH2">
    <cfRule type="cellIs" dxfId="0" priority="7308" operator="lessThan">
      <formula>-1</formula>
    </cfRule>
    <cfRule type="cellIs" dxfId="0" priority="7309" operator="lessThan">
      <formula>0</formula>
    </cfRule>
    <cfRule type="cellIs" dxfId="4" priority="7310" operator="lessThan">
      <formula>0</formula>
    </cfRule>
  </conditionalFormatting>
  <conditionalFormatting sqref="SI2">
    <cfRule type="cellIs" dxfId="0" priority="7311" operator="lessThan">
      <formula>-1</formula>
    </cfRule>
    <cfRule type="cellIs" dxfId="0" priority="7312" operator="lessThan">
      <formula>0</formula>
    </cfRule>
    <cfRule type="cellIs" dxfId="4" priority="7313" operator="lessThan">
      <formula>0</formula>
    </cfRule>
  </conditionalFormatting>
  <conditionalFormatting sqref="TD2">
    <cfRule type="cellIs" dxfId="0" priority="7302" operator="lessThan">
      <formula>-1</formula>
    </cfRule>
    <cfRule type="cellIs" dxfId="0" priority="7303" operator="lessThan">
      <formula>0</formula>
    </cfRule>
    <cfRule type="cellIs" dxfId="4" priority="7304" operator="lessThan">
      <formula>0</formula>
    </cfRule>
  </conditionalFormatting>
  <conditionalFormatting sqref="TE2">
    <cfRule type="cellIs" dxfId="0" priority="7305" operator="lessThan">
      <formula>-1</formula>
    </cfRule>
    <cfRule type="cellIs" dxfId="0" priority="7306" operator="lessThan">
      <formula>0</formula>
    </cfRule>
    <cfRule type="cellIs" dxfId="4" priority="7307" operator="lessThan">
      <formula>0</formula>
    </cfRule>
  </conditionalFormatting>
  <conditionalFormatting sqref="TY2">
    <cfRule type="cellIs" dxfId="0" priority="7296" operator="lessThan">
      <formula>-1</formula>
    </cfRule>
    <cfRule type="cellIs" dxfId="0" priority="7297" operator="lessThan">
      <formula>0</formula>
    </cfRule>
    <cfRule type="cellIs" dxfId="4" priority="7298" operator="lessThan">
      <formula>0</formula>
    </cfRule>
  </conditionalFormatting>
  <conditionalFormatting sqref="TZ2">
    <cfRule type="cellIs" dxfId="0" priority="7299" operator="lessThan">
      <formula>-1</formula>
    </cfRule>
    <cfRule type="cellIs" dxfId="0" priority="7300" operator="lessThan">
      <formula>0</formula>
    </cfRule>
    <cfRule type="cellIs" dxfId="4" priority="7301" operator="lessThan">
      <formula>0</formula>
    </cfRule>
  </conditionalFormatting>
  <conditionalFormatting sqref="UU2">
    <cfRule type="cellIs" dxfId="0" priority="7290" operator="lessThan">
      <formula>-1</formula>
    </cfRule>
    <cfRule type="cellIs" dxfId="0" priority="7291" operator="lessThan">
      <formula>0</formula>
    </cfRule>
    <cfRule type="cellIs" dxfId="4" priority="7292" operator="lessThan">
      <formula>0</formula>
    </cfRule>
  </conditionalFormatting>
  <conditionalFormatting sqref="UV2">
    <cfRule type="cellIs" dxfId="0" priority="7293" operator="lessThan">
      <formula>-1</formula>
    </cfRule>
    <cfRule type="cellIs" dxfId="0" priority="7294" operator="lessThan">
      <formula>0</formula>
    </cfRule>
    <cfRule type="cellIs" dxfId="4" priority="7295" operator="lessThan">
      <formula>0</formula>
    </cfRule>
  </conditionalFormatting>
  <conditionalFormatting sqref="VQ2">
    <cfRule type="cellIs" dxfId="0" priority="7284" operator="lessThan">
      <formula>-1</formula>
    </cfRule>
    <cfRule type="cellIs" dxfId="0" priority="7285" operator="lessThan">
      <formula>0</formula>
    </cfRule>
    <cfRule type="cellIs" dxfId="4" priority="7286" operator="lessThan">
      <formula>0</formula>
    </cfRule>
  </conditionalFormatting>
  <conditionalFormatting sqref="VR2">
    <cfRule type="cellIs" dxfId="0" priority="7287" operator="lessThan">
      <formula>-1</formula>
    </cfRule>
    <cfRule type="cellIs" dxfId="0" priority="7288" operator="lessThan">
      <formula>0</formula>
    </cfRule>
    <cfRule type="cellIs" dxfId="4" priority="7289" operator="lessThan">
      <formula>0</formula>
    </cfRule>
  </conditionalFormatting>
  <conditionalFormatting sqref="X3">
    <cfRule type="cellIs" dxfId="1" priority="6356" operator="greaterThan">
      <formula>0</formula>
    </cfRule>
    <cfRule type="cellIs" dxfId="0" priority="6355" operator="lessThan">
      <formula>0</formula>
    </cfRule>
  </conditionalFormatting>
  <conditionalFormatting sqref="AE3:AF3">
    <cfRule type="cellIs" dxfId="1" priority="6570" operator="greaterThan">
      <formula>0</formula>
    </cfRule>
    <cfRule type="cellIs" dxfId="0" priority="6569" operator="lessThan">
      <formula>0</formula>
    </cfRule>
  </conditionalFormatting>
  <conditionalFormatting sqref="AG3">
    <cfRule type="cellIs" dxfId="4" priority="6585" operator="lessThan">
      <formula>0</formula>
    </cfRule>
    <cfRule type="cellIs" dxfId="0" priority="6584" operator="lessThan">
      <formula>0</formula>
    </cfRule>
    <cfRule type="cellIs" dxfId="0" priority="6583" operator="lessThan">
      <formula>-1</formula>
    </cfRule>
  </conditionalFormatting>
  <conditionalFormatting sqref="AH3">
    <cfRule type="cellIs" dxfId="4" priority="6573" operator="lessThan">
      <formula>0</formula>
    </cfRule>
    <cfRule type="cellIs" dxfId="0" priority="6572" operator="lessThan">
      <formula>0</formula>
    </cfRule>
    <cfRule type="cellIs" dxfId="0" priority="6571" operator="lessThan">
      <formula>-1</formula>
    </cfRule>
  </conditionalFormatting>
  <conditionalFormatting sqref="AJ3:BO3">
    <cfRule type="cellIs" dxfId="2" priority="5585" operator="greaterThan">
      <formula>0</formula>
    </cfRule>
    <cfRule type="cellIs" dxfId="3" priority="5584" operator="lessThan">
      <formula>0</formula>
    </cfRule>
  </conditionalFormatting>
  <conditionalFormatting sqref="BE3">
    <cfRule type="cellIs" dxfId="1" priority="5587" operator="greaterThan">
      <formula>0</formula>
    </cfRule>
    <cfRule type="cellIs" dxfId="0" priority="5586" operator="lessThan">
      <formula>0</formula>
    </cfRule>
  </conditionalFormatting>
  <conditionalFormatting sqref="BL3:BM3">
    <cfRule type="cellIs" dxfId="1" priority="5589" operator="greaterThan">
      <formula>0</formula>
    </cfRule>
    <cfRule type="cellIs" dxfId="0" priority="5588" operator="lessThan">
      <formula>0</formula>
    </cfRule>
  </conditionalFormatting>
  <conditionalFormatting sqref="BN3">
    <cfRule type="cellIs" dxfId="4" priority="5595" operator="lessThan">
      <formula>0</formula>
    </cfRule>
    <cfRule type="cellIs" dxfId="0" priority="5594" operator="lessThan">
      <formula>0</formula>
    </cfRule>
    <cfRule type="cellIs" dxfId="0" priority="5593" operator="lessThan">
      <formula>-1</formula>
    </cfRule>
  </conditionalFormatting>
  <conditionalFormatting sqref="BO3">
    <cfRule type="cellIs" dxfId="4" priority="5592" operator="lessThan">
      <formula>0</formula>
    </cfRule>
    <cfRule type="cellIs" dxfId="0" priority="5591" operator="lessThan">
      <formula>0</formula>
    </cfRule>
    <cfRule type="cellIs" dxfId="0" priority="5590" operator="lessThan">
      <formula>-1</formula>
    </cfRule>
  </conditionalFormatting>
  <conditionalFormatting sqref="CL3">
    <cfRule type="cellIs" dxfId="1" priority="5230" operator="greaterThan">
      <formula>0</formula>
    </cfRule>
    <cfRule type="cellIs" dxfId="0" priority="5229" operator="lessThan">
      <formula>0</formula>
    </cfRule>
  </conditionalFormatting>
  <conditionalFormatting sqref="CS3:CT3">
    <cfRule type="cellIs" dxfId="1" priority="5414" operator="greaterThan">
      <formula>0</formula>
    </cfRule>
    <cfRule type="cellIs" dxfId="0" priority="5413" operator="lessThan">
      <formula>0</formula>
    </cfRule>
  </conditionalFormatting>
  <conditionalFormatting sqref="CU3">
    <cfRule type="cellIs" dxfId="4" priority="5426" operator="lessThan">
      <formula>0</formula>
    </cfRule>
    <cfRule type="cellIs" dxfId="0" priority="5425" operator="lessThan">
      <formula>0</formula>
    </cfRule>
    <cfRule type="cellIs" dxfId="0" priority="5424" operator="lessThan">
      <formula>-1</formula>
    </cfRule>
  </conditionalFormatting>
  <conditionalFormatting sqref="CV3">
    <cfRule type="cellIs" dxfId="4" priority="5417" operator="lessThan">
      <formula>0</formula>
    </cfRule>
    <cfRule type="cellIs" dxfId="0" priority="5416" operator="lessThan">
      <formula>0</formula>
    </cfRule>
    <cfRule type="cellIs" dxfId="0" priority="5415" operator="lessThan">
      <formula>-1</formula>
    </cfRule>
  </conditionalFormatting>
  <conditionalFormatting sqref="DS3">
    <cfRule type="cellIs" dxfId="1" priority="4841" operator="greaterThan">
      <formula>0</formula>
    </cfRule>
    <cfRule type="cellIs" dxfId="0" priority="4840" operator="lessThan">
      <formula>0</formula>
    </cfRule>
  </conditionalFormatting>
  <conditionalFormatting sqref="DZ3:EA3">
    <cfRule type="cellIs" dxfId="1" priority="5025" operator="greaterThan">
      <formula>0</formula>
    </cfRule>
    <cfRule type="cellIs" dxfId="0" priority="5024" operator="lessThan">
      <formula>0</formula>
    </cfRule>
  </conditionalFormatting>
  <conditionalFormatting sqref="EB3">
    <cfRule type="cellIs" dxfId="4" priority="5037" operator="lessThan">
      <formula>0</formula>
    </cfRule>
    <cfRule type="cellIs" dxfId="0" priority="5036" operator="lessThan">
      <formula>0</formula>
    </cfRule>
    <cfRule type="cellIs" dxfId="0" priority="5035" operator="lessThan">
      <formula>-1</formula>
    </cfRule>
  </conditionalFormatting>
  <conditionalFormatting sqref="EC3">
    <cfRule type="cellIs" dxfId="4" priority="5028" operator="lessThan">
      <formula>0</formula>
    </cfRule>
    <cfRule type="cellIs" dxfId="0" priority="5027" operator="lessThan">
      <formula>0</formula>
    </cfRule>
    <cfRule type="cellIs" dxfId="0" priority="5026" operator="lessThan">
      <formula>-1</formula>
    </cfRule>
  </conditionalFormatting>
  <conditionalFormatting sqref="EE3:FJ3">
    <cfRule type="cellIs" dxfId="2" priority="4368" operator="greaterThan">
      <formula>0</formula>
    </cfRule>
    <cfRule type="cellIs" dxfId="3" priority="4367" operator="lessThan">
      <formula>0</formula>
    </cfRule>
  </conditionalFormatting>
  <conditionalFormatting sqref="EZ3">
    <cfRule type="cellIs" dxfId="1" priority="4370" operator="greaterThan">
      <formula>0</formula>
    </cfRule>
    <cfRule type="cellIs" dxfId="0" priority="4369" operator="lessThan">
      <formula>0</formula>
    </cfRule>
  </conditionalFormatting>
  <conditionalFormatting sqref="FG3:FH3">
    <cfRule type="cellIs" dxfId="1" priority="4372" operator="greaterThan">
      <formula>0</formula>
    </cfRule>
    <cfRule type="cellIs" dxfId="0" priority="4371" operator="lessThan">
      <formula>0</formula>
    </cfRule>
  </conditionalFormatting>
  <conditionalFormatting sqref="FI3">
    <cfRule type="cellIs" dxfId="4" priority="4378" operator="lessThan">
      <formula>0</formula>
    </cfRule>
    <cfRule type="cellIs" dxfId="0" priority="4377" operator="lessThan">
      <formula>0</formula>
    </cfRule>
    <cfRule type="cellIs" dxfId="0" priority="4376" operator="lessThan">
      <formula>-1</formula>
    </cfRule>
  </conditionalFormatting>
  <conditionalFormatting sqref="FJ3">
    <cfRule type="cellIs" dxfId="4" priority="4375" operator="lessThan">
      <formula>0</formula>
    </cfRule>
    <cfRule type="cellIs" dxfId="0" priority="4374" operator="lessThan">
      <formula>0</formula>
    </cfRule>
    <cfRule type="cellIs" dxfId="0" priority="4373" operator="lessThan">
      <formula>-1</formula>
    </cfRule>
  </conditionalFormatting>
  <conditionalFormatting sqref="FN3:GS3">
    <cfRule type="cellIs" dxfId="2" priority="4296" operator="greaterThan">
      <formula>0</formula>
    </cfRule>
    <cfRule type="cellIs" dxfId="3" priority="4295" operator="lessThan">
      <formula>0</formula>
    </cfRule>
  </conditionalFormatting>
  <conditionalFormatting sqref="GI3">
    <cfRule type="cellIs" dxfId="1" priority="4298" operator="greaterThan">
      <formula>0</formula>
    </cfRule>
    <cfRule type="cellIs" dxfId="0" priority="4297" operator="lessThan">
      <formula>0</formula>
    </cfRule>
  </conditionalFormatting>
  <conditionalFormatting sqref="GP3:GQ3">
    <cfRule type="cellIs" dxfId="1" priority="4300" operator="greaterThan">
      <formula>0</formula>
    </cfRule>
    <cfRule type="cellIs" dxfId="0" priority="4299" operator="lessThan">
      <formula>0</formula>
    </cfRule>
  </conditionalFormatting>
  <conditionalFormatting sqref="GR3">
    <cfRule type="cellIs" dxfId="4" priority="4306" operator="lessThan">
      <formula>0</formula>
    </cfRule>
    <cfRule type="cellIs" dxfId="0" priority="4305" operator="lessThan">
      <formula>0</formula>
    </cfRule>
    <cfRule type="cellIs" dxfId="0" priority="4304" operator="lessThan">
      <formula>-1</formula>
    </cfRule>
  </conditionalFormatting>
  <conditionalFormatting sqref="GS3">
    <cfRule type="cellIs" dxfId="4" priority="4303" operator="lessThan">
      <formula>0</formula>
    </cfRule>
    <cfRule type="cellIs" dxfId="0" priority="4302" operator="lessThan">
      <formula>0</formula>
    </cfRule>
    <cfRule type="cellIs" dxfId="0" priority="4301" operator="lessThan">
      <formula>-1</formula>
    </cfRule>
  </conditionalFormatting>
  <conditionalFormatting sqref="GV3:IA3">
    <cfRule type="cellIs" dxfId="2" priority="4262" operator="greaterThan">
      <formula>0</formula>
    </cfRule>
    <cfRule type="cellIs" dxfId="3" priority="4261" operator="lessThan">
      <formula>0</formula>
    </cfRule>
  </conditionalFormatting>
  <conditionalFormatting sqref="HQ3">
    <cfRule type="cellIs" dxfId="1" priority="4264" operator="greaterThan">
      <formula>0</formula>
    </cfRule>
    <cfRule type="cellIs" dxfId="0" priority="4263" operator="lessThan">
      <formula>0</formula>
    </cfRule>
  </conditionalFormatting>
  <conditionalFormatting sqref="HX3:HY3">
    <cfRule type="cellIs" dxfId="1" priority="4266" operator="greaterThan">
      <formula>0</formula>
    </cfRule>
    <cfRule type="cellIs" dxfId="0" priority="4265" operator="lessThan">
      <formula>0</formula>
    </cfRule>
  </conditionalFormatting>
  <conditionalFormatting sqref="HZ3">
    <cfRule type="cellIs" dxfId="4" priority="4272" operator="lessThan">
      <formula>0</formula>
    </cfRule>
    <cfRule type="cellIs" dxfId="0" priority="4271" operator="lessThan">
      <formula>0</formula>
    </cfRule>
    <cfRule type="cellIs" dxfId="0" priority="4270" operator="lessThan">
      <formula>-1</formula>
    </cfRule>
  </conditionalFormatting>
  <conditionalFormatting sqref="IA3">
    <cfRule type="cellIs" dxfId="4" priority="4269" operator="lessThan">
      <formula>0</formula>
    </cfRule>
    <cfRule type="cellIs" dxfId="0" priority="4268" operator="lessThan">
      <formula>0</formula>
    </cfRule>
    <cfRule type="cellIs" dxfId="0" priority="4267" operator="lessThan">
      <formula>-1</formula>
    </cfRule>
  </conditionalFormatting>
  <conditionalFormatting sqref="ID3:JI3">
    <cfRule type="cellIs" dxfId="2" priority="2391" operator="greaterThan">
      <formula>0</formula>
    </cfRule>
    <cfRule type="cellIs" dxfId="3" priority="2390" operator="lessThan">
      <formula>0</formula>
    </cfRule>
  </conditionalFormatting>
  <conditionalFormatting sqref="IY3">
    <cfRule type="cellIs" dxfId="1" priority="2393" operator="greaterThan">
      <formula>0</formula>
    </cfRule>
    <cfRule type="cellIs" dxfId="0" priority="2392" operator="lessThan">
      <formula>0</formula>
    </cfRule>
  </conditionalFormatting>
  <conditionalFormatting sqref="JF3:JG3">
    <cfRule type="cellIs" dxfId="1" priority="2395" operator="greaterThan">
      <formula>0</formula>
    </cfRule>
    <cfRule type="cellIs" dxfId="0" priority="2394" operator="lessThan">
      <formula>0</formula>
    </cfRule>
  </conditionalFormatting>
  <conditionalFormatting sqref="JH3">
    <cfRule type="cellIs" dxfId="4" priority="2401" operator="lessThan">
      <formula>0</formula>
    </cfRule>
    <cfRule type="cellIs" dxfId="0" priority="2400" operator="lessThan">
      <formula>0</formula>
    </cfRule>
    <cfRule type="cellIs" dxfId="0" priority="2399" operator="lessThan">
      <formula>-1</formula>
    </cfRule>
  </conditionalFormatting>
  <conditionalFormatting sqref="JI3">
    <cfRule type="cellIs" dxfId="4" priority="2398" operator="lessThan">
      <formula>0</formula>
    </cfRule>
    <cfRule type="cellIs" dxfId="0" priority="2397" operator="lessThan">
      <formula>0</formula>
    </cfRule>
    <cfRule type="cellIs" dxfId="0" priority="2396" operator="lessThan">
      <formula>-1</formula>
    </cfRule>
  </conditionalFormatting>
  <conditionalFormatting sqref="JL3:KQ3">
    <cfRule type="cellIs" dxfId="2" priority="1614" operator="greaterThan">
      <formula>0</formula>
    </cfRule>
    <cfRule type="cellIs" dxfId="3" priority="1613" operator="lessThan">
      <formula>0</formula>
    </cfRule>
  </conditionalFormatting>
  <conditionalFormatting sqref="KG3">
    <cfRule type="cellIs" dxfId="1" priority="1616" operator="greaterThan">
      <formula>0</formula>
    </cfRule>
    <cfRule type="cellIs" dxfId="0" priority="1615" operator="lessThan">
      <formula>0</formula>
    </cfRule>
  </conditionalFormatting>
  <conditionalFormatting sqref="KN3:KO3">
    <cfRule type="cellIs" dxfId="1" priority="1618" operator="greaterThan">
      <formula>0</formula>
    </cfRule>
    <cfRule type="cellIs" dxfId="0" priority="1617" operator="lessThan">
      <formula>0</formula>
    </cfRule>
  </conditionalFormatting>
  <conditionalFormatting sqref="KP3">
    <cfRule type="cellIs" dxfId="4" priority="1624" operator="lessThan">
      <formula>0</formula>
    </cfRule>
    <cfRule type="cellIs" dxfId="0" priority="1623" operator="lessThan">
      <formula>0</formula>
    </cfRule>
    <cfRule type="cellIs" dxfId="0" priority="1622" operator="lessThan">
      <formula>-1</formula>
    </cfRule>
  </conditionalFormatting>
  <conditionalFormatting sqref="KQ3">
    <cfRule type="cellIs" dxfId="4" priority="1621" operator="lessThan">
      <formula>0</formula>
    </cfRule>
    <cfRule type="cellIs" dxfId="0" priority="1620" operator="lessThan">
      <formula>0</formula>
    </cfRule>
    <cfRule type="cellIs" dxfId="0" priority="1619" operator="lessThan">
      <formula>-1</formula>
    </cfRule>
  </conditionalFormatting>
  <conditionalFormatting sqref="KT3:LY3">
    <cfRule type="cellIs" dxfId="2" priority="961" operator="greaterThan">
      <formula>0</formula>
    </cfRule>
    <cfRule type="cellIs" dxfId="3" priority="960" operator="lessThan">
      <formula>0</formula>
    </cfRule>
  </conditionalFormatting>
  <conditionalFormatting sqref="LO3">
    <cfRule type="cellIs" dxfId="1" priority="963" operator="greaterThan">
      <formula>0</formula>
    </cfRule>
    <cfRule type="cellIs" dxfId="0" priority="962" operator="lessThan">
      <formula>0</formula>
    </cfRule>
  </conditionalFormatting>
  <conditionalFormatting sqref="LV3:LW3">
    <cfRule type="cellIs" dxfId="1" priority="965" operator="greaterThan">
      <formula>0</formula>
    </cfRule>
    <cfRule type="cellIs" dxfId="0" priority="964" operator="lessThan">
      <formula>0</formula>
    </cfRule>
  </conditionalFormatting>
  <conditionalFormatting sqref="LX3">
    <cfRule type="cellIs" dxfId="4" priority="971" operator="lessThan">
      <formula>0</formula>
    </cfRule>
    <cfRule type="cellIs" dxfId="0" priority="970" operator="lessThan">
      <formula>0</formula>
    </cfRule>
    <cfRule type="cellIs" dxfId="0" priority="969" operator="lessThan">
      <formula>-1</formula>
    </cfRule>
  </conditionalFormatting>
  <conditionalFormatting sqref="LY3">
    <cfRule type="cellIs" dxfId="4" priority="968" operator="lessThan">
      <formula>0</formula>
    </cfRule>
    <cfRule type="cellIs" dxfId="0" priority="967" operator="lessThan">
      <formula>0</formula>
    </cfRule>
    <cfRule type="cellIs" dxfId="0" priority="966" operator="lessThan">
      <formula>-1</formula>
    </cfRule>
  </conditionalFormatting>
  <conditionalFormatting sqref="MB3:NG3">
    <cfRule type="cellIs" dxfId="2" priority="927" operator="greaterThan">
      <formula>0</formula>
    </cfRule>
    <cfRule type="cellIs" dxfId="3" priority="926" operator="lessThan">
      <formula>0</formula>
    </cfRule>
  </conditionalFormatting>
  <conditionalFormatting sqref="MW3">
    <cfRule type="cellIs" dxfId="1" priority="929" operator="greaterThan">
      <formula>0</formula>
    </cfRule>
    <cfRule type="cellIs" dxfId="0" priority="928" operator="lessThan">
      <formula>0</formula>
    </cfRule>
  </conditionalFormatting>
  <conditionalFormatting sqref="ND3:NE3">
    <cfRule type="cellIs" dxfId="1" priority="931" operator="greaterThan">
      <formula>0</formula>
    </cfRule>
    <cfRule type="cellIs" dxfId="0" priority="930" operator="lessThan">
      <formula>0</formula>
    </cfRule>
  </conditionalFormatting>
  <conditionalFormatting sqref="NF3">
    <cfRule type="cellIs" dxfId="4" priority="937" operator="lessThan">
      <formula>0</formula>
    </cfRule>
    <cfRule type="cellIs" dxfId="0" priority="936" operator="lessThan">
      <formula>0</formula>
    </cfRule>
    <cfRule type="cellIs" dxfId="0" priority="935" operator="lessThan">
      <formula>-1</formula>
    </cfRule>
  </conditionalFormatting>
  <conditionalFormatting sqref="NG3">
    <cfRule type="cellIs" dxfId="4" priority="934" operator="lessThan">
      <formula>0</formula>
    </cfRule>
    <cfRule type="cellIs" dxfId="0" priority="933" operator="lessThan">
      <formula>0</formula>
    </cfRule>
    <cfRule type="cellIs" dxfId="0" priority="932" operator="lessThan">
      <formula>-1</formula>
    </cfRule>
  </conditionalFormatting>
  <conditionalFormatting sqref="NJ3:OO3">
    <cfRule type="cellIs" dxfId="2" priority="315" operator="greaterThan">
      <formula>0</formula>
    </cfRule>
    <cfRule type="cellIs" dxfId="3" priority="314" operator="lessThan">
      <formula>0</formula>
    </cfRule>
  </conditionalFormatting>
  <conditionalFormatting sqref="OE3">
    <cfRule type="cellIs" dxfId="1" priority="317" operator="greaterThan">
      <formula>0</formula>
    </cfRule>
    <cfRule type="cellIs" dxfId="0" priority="316" operator="lessThan">
      <formula>0</formula>
    </cfRule>
  </conditionalFormatting>
  <conditionalFormatting sqref="OL3:OM3">
    <cfRule type="cellIs" dxfId="1" priority="319" operator="greaterThan">
      <formula>0</formula>
    </cfRule>
    <cfRule type="cellIs" dxfId="0" priority="318" operator="lessThan">
      <formula>0</formula>
    </cfRule>
  </conditionalFormatting>
  <conditionalFormatting sqref="ON3">
    <cfRule type="cellIs" dxfId="4" priority="325" operator="lessThan">
      <formula>0</formula>
    </cfRule>
    <cfRule type="cellIs" dxfId="0" priority="324" operator="lessThan">
      <formula>0</formula>
    </cfRule>
    <cfRule type="cellIs" dxfId="0" priority="323" operator="lessThan">
      <formula>-1</formula>
    </cfRule>
  </conditionalFormatting>
  <conditionalFormatting sqref="OO3">
    <cfRule type="cellIs" dxfId="4" priority="322" operator="lessThan">
      <formula>0</formula>
    </cfRule>
    <cfRule type="cellIs" dxfId="0" priority="321" operator="lessThan">
      <formula>0</formula>
    </cfRule>
    <cfRule type="cellIs" dxfId="0" priority="320" operator="lessThan">
      <formula>-1</formula>
    </cfRule>
  </conditionalFormatting>
  <conditionalFormatting sqref="OS3:OT3">
    <cfRule type="cellIs" dxfId="2" priority="82" operator="greaterThan">
      <formula>0</formula>
    </cfRule>
    <cfRule type="cellIs" dxfId="3" priority="81" operator="lessThan">
      <formula>0</formula>
    </cfRule>
  </conditionalFormatting>
  <conditionalFormatting sqref="OU3">
    <cfRule type="cellIs" dxfId="2" priority="80" operator="greaterThan">
      <formula>0</formula>
    </cfRule>
    <cfRule type="cellIs" dxfId="3" priority="79" operator="lessThan">
      <formula>0</formula>
    </cfRule>
  </conditionalFormatting>
  <conditionalFormatting sqref="OV3:OW3">
    <cfRule type="cellIs" dxfId="2" priority="78" operator="greaterThan">
      <formula>0</formula>
    </cfRule>
    <cfRule type="cellIs" dxfId="3" priority="77" operator="lessThan">
      <formula>0</formula>
    </cfRule>
  </conditionalFormatting>
  <conditionalFormatting sqref="OX3:OZ3">
    <cfRule type="cellIs" dxfId="2" priority="76" operator="greaterThan">
      <formula>0</formula>
    </cfRule>
    <cfRule type="cellIs" dxfId="3" priority="75" operator="lessThan">
      <formula>0</formula>
    </cfRule>
  </conditionalFormatting>
  <conditionalFormatting sqref="PA3:PB3">
    <cfRule type="cellIs" dxfId="2" priority="74" operator="greaterThan">
      <formula>0</formula>
    </cfRule>
    <cfRule type="cellIs" dxfId="3" priority="73" operator="lessThan">
      <formula>0</formula>
    </cfRule>
  </conditionalFormatting>
  <conditionalFormatting sqref="PC3:PG3">
    <cfRule type="cellIs" dxfId="2" priority="70" operator="greaterThan">
      <formula>0</formula>
    </cfRule>
    <cfRule type="cellIs" dxfId="3" priority="69" operator="lessThan">
      <formula>0</formula>
    </cfRule>
  </conditionalFormatting>
  <conditionalFormatting sqref="PG3">
    <cfRule type="cellIs" dxfId="1" priority="72" operator="greaterThan">
      <formula>0</formula>
    </cfRule>
    <cfRule type="cellIs" dxfId="0" priority="71" operator="lessThan">
      <formula>0</formula>
    </cfRule>
  </conditionalFormatting>
  <conditionalFormatting sqref="PH3">
    <cfRule type="cellIs" dxfId="1" priority="44" operator="greaterThan">
      <formula>0</formula>
    </cfRule>
    <cfRule type="cellIs" dxfId="0" priority="43" operator="lessThan">
      <formula>0</formula>
    </cfRule>
  </conditionalFormatting>
  <conditionalFormatting sqref="PH3:PI3">
    <cfRule type="cellIs" dxfId="2" priority="42" operator="greaterThan">
      <formula>0</formula>
    </cfRule>
    <cfRule type="cellIs" dxfId="3" priority="41" operator="lessThan">
      <formula>0</formula>
    </cfRule>
  </conditionalFormatting>
  <conditionalFormatting sqref="PI3">
    <cfRule type="cellIs" dxfId="1" priority="46" operator="greaterThan">
      <formula>0</formula>
    </cfRule>
    <cfRule type="cellIs" dxfId="0" priority="45" operator="lessThan">
      <formula>0</formula>
    </cfRule>
  </conditionalFormatting>
  <conditionalFormatting sqref="PJ3:PK3">
    <cfRule type="cellIs" dxfId="2" priority="40" operator="greaterThan">
      <formula>0</formula>
    </cfRule>
    <cfRule type="cellIs" dxfId="3" priority="39" operator="lessThan">
      <formula>0</formula>
    </cfRule>
  </conditionalFormatting>
  <conditionalFormatting sqref="PL3">
    <cfRule type="cellIs" dxfId="2" priority="36" operator="greaterThan">
      <formula>0</formula>
    </cfRule>
    <cfRule type="cellIs" dxfId="3" priority="35" operator="lessThan">
      <formula>0</formula>
    </cfRule>
  </conditionalFormatting>
  <conditionalFormatting sqref="PM3">
    <cfRule type="cellIs" dxfId="1" priority="32" operator="greaterThan">
      <formula>0</formula>
    </cfRule>
    <cfRule type="cellIs" dxfId="0" priority="31" operator="lessThan">
      <formula>0</formula>
    </cfRule>
    <cfRule type="cellIs" dxfId="2" priority="30" operator="greaterThan">
      <formula>0</formula>
    </cfRule>
    <cfRule type="cellIs" dxfId="3" priority="29" operator="lessThan">
      <formula>0</formula>
    </cfRule>
  </conditionalFormatting>
  <conditionalFormatting sqref="PN3:PO3">
    <cfRule type="cellIs" dxfId="1" priority="24" operator="greaterThan">
      <formula>0</formula>
    </cfRule>
    <cfRule type="cellIs" dxfId="0" priority="23" operator="lessThan">
      <formula>0</formula>
    </cfRule>
    <cfRule type="cellIs" dxfId="2" priority="22" operator="greaterThan">
      <formula>0</formula>
    </cfRule>
    <cfRule type="cellIs" dxfId="3" priority="21" operator="lessThan">
      <formula>0</formula>
    </cfRule>
  </conditionalFormatting>
  <conditionalFormatting sqref="PP3">
    <cfRule type="cellIs" dxfId="4" priority="16" operator="lessThan">
      <formula>0</formula>
    </cfRule>
    <cfRule type="cellIs" dxfId="0" priority="15" operator="lessThan">
      <formula>0</formula>
    </cfRule>
    <cfRule type="cellIs" dxfId="0" priority="14" operator="lessThan">
      <formula>-1</formula>
    </cfRule>
  </conditionalFormatting>
  <conditionalFormatting sqref="PP3:PQ3">
    <cfRule type="cellIs" dxfId="2" priority="10" operator="greaterThan">
      <formula>0</formula>
    </cfRule>
    <cfRule type="cellIs" dxfId="3" priority="9" operator="lessThan">
      <formula>0</formula>
    </cfRule>
  </conditionalFormatting>
  <conditionalFormatting sqref="PQ3">
    <cfRule type="cellIs" dxfId="4" priority="13" operator="lessThan">
      <formula>0</formula>
    </cfRule>
    <cfRule type="cellIs" dxfId="0" priority="12" operator="lessThan">
      <formula>0</formula>
    </cfRule>
    <cfRule type="cellIs" dxfId="0" priority="11" operator="lessThan">
      <formula>-1</formula>
    </cfRule>
  </conditionalFormatting>
  <conditionalFormatting sqref="QP3">
    <cfRule type="cellIs" dxfId="0" priority="11144" operator="lessThan">
      <formula>-1</formula>
    </cfRule>
    <cfRule type="cellIs" dxfId="0" priority="11145" operator="lessThan">
      <formula>0</formula>
    </cfRule>
    <cfRule type="cellIs" dxfId="4" priority="11146" operator="lessThan">
      <formula>0</formula>
    </cfRule>
  </conditionalFormatting>
  <conditionalFormatting sqref="QQ3">
    <cfRule type="cellIs" dxfId="0" priority="11123" operator="lessThan">
      <formula>-1</formula>
    </cfRule>
    <cfRule type="cellIs" dxfId="0" priority="11124" operator="lessThan">
      <formula>0</formula>
    </cfRule>
    <cfRule type="cellIs" dxfId="4" priority="11125" operator="lessThan">
      <formula>0</formula>
    </cfRule>
  </conditionalFormatting>
  <conditionalFormatting sqref="RL3">
    <cfRule type="cellIs" dxfId="0" priority="10898" operator="lessThan">
      <formula>-1</formula>
    </cfRule>
    <cfRule type="cellIs" dxfId="0" priority="10899" operator="lessThan">
      <formula>0</formula>
    </cfRule>
    <cfRule type="cellIs" dxfId="4" priority="10900" operator="lessThan">
      <formula>0</formula>
    </cfRule>
  </conditionalFormatting>
  <conditionalFormatting sqref="RM3">
    <cfRule type="cellIs" dxfId="0" priority="10895" operator="lessThan">
      <formula>-1</formula>
    </cfRule>
    <cfRule type="cellIs" dxfId="0" priority="10896" operator="lessThan">
      <formula>0</formula>
    </cfRule>
    <cfRule type="cellIs" dxfId="4" priority="10897" operator="lessThan">
      <formula>0</formula>
    </cfRule>
  </conditionalFormatting>
  <conditionalFormatting sqref="SH3">
    <cfRule type="cellIs" dxfId="0" priority="10892" operator="lessThan">
      <formula>-1</formula>
    </cfRule>
    <cfRule type="cellIs" dxfId="0" priority="10893" operator="lessThan">
      <formula>0</formula>
    </cfRule>
    <cfRule type="cellIs" dxfId="4" priority="10894" operator="lessThan">
      <formula>0</formula>
    </cfRule>
  </conditionalFormatting>
  <conditionalFormatting sqref="SI3">
    <cfRule type="cellIs" dxfId="0" priority="10889" operator="lessThan">
      <formula>-1</formula>
    </cfRule>
    <cfRule type="cellIs" dxfId="0" priority="10890" operator="lessThan">
      <formula>0</formula>
    </cfRule>
    <cfRule type="cellIs" dxfId="4" priority="10891" operator="lessThan">
      <formula>0</formula>
    </cfRule>
  </conditionalFormatting>
  <conditionalFormatting sqref="TD3">
    <cfRule type="cellIs" dxfId="0" priority="10886" operator="lessThan">
      <formula>-1</formula>
    </cfRule>
    <cfRule type="cellIs" dxfId="0" priority="10887" operator="lessThan">
      <formula>0</formula>
    </cfRule>
    <cfRule type="cellIs" dxfId="4" priority="10888" operator="lessThan">
      <formula>0</formula>
    </cfRule>
  </conditionalFormatting>
  <conditionalFormatting sqref="TE3">
    <cfRule type="cellIs" dxfId="0" priority="10883" operator="lessThan">
      <formula>-1</formula>
    </cfRule>
    <cfRule type="cellIs" dxfId="0" priority="10884" operator="lessThan">
      <formula>0</formula>
    </cfRule>
    <cfRule type="cellIs" dxfId="4" priority="10885" operator="lessThan">
      <formula>0</formula>
    </cfRule>
  </conditionalFormatting>
  <conditionalFormatting sqref="TY3">
    <cfRule type="cellIs" dxfId="0" priority="10880" operator="lessThan">
      <formula>-1</formula>
    </cfRule>
    <cfRule type="cellIs" dxfId="0" priority="10881" operator="lessThan">
      <formula>0</formula>
    </cfRule>
    <cfRule type="cellIs" dxfId="4" priority="10882" operator="lessThan">
      <formula>0</formula>
    </cfRule>
  </conditionalFormatting>
  <conditionalFormatting sqref="TZ3">
    <cfRule type="cellIs" dxfId="0" priority="10877" operator="lessThan">
      <formula>-1</formula>
    </cfRule>
    <cfRule type="cellIs" dxfId="0" priority="10878" operator="lessThan">
      <formula>0</formula>
    </cfRule>
    <cfRule type="cellIs" dxfId="4" priority="10879" operator="lessThan">
      <formula>0</formula>
    </cfRule>
  </conditionalFormatting>
  <conditionalFormatting sqref="UU3">
    <cfRule type="cellIs" dxfId="0" priority="10874" operator="lessThan">
      <formula>-1</formula>
    </cfRule>
    <cfRule type="cellIs" dxfId="0" priority="10875" operator="lessThan">
      <formula>0</formula>
    </cfRule>
    <cfRule type="cellIs" dxfId="4" priority="10876" operator="lessThan">
      <formula>0</formula>
    </cfRule>
  </conditionalFormatting>
  <conditionalFormatting sqref="UV3">
    <cfRule type="cellIs" dxfId="0" priority="10871" operator="lessThan">
      <formula>-1</formula>
    </cfRule>
    <cfRule type="cellIs" dxfId="0" priority="10872" operator="lessThan">
      <formula>0</formula>
    </cfRule>
    <cfRule type="cellIs" dxfId="4" priority="10873" operator="lessThan">
      <formula>0</formula>
    </cfRule>
  </conditionalFormatting>
  <conditionalFormatting sqref="VQ3">
    <cfRule type="cellIs" dxfId="0" priority="10868" operator="lessThan">
      <formula>-1</formula>
    </cfRule>
    <cfRule type="cellIs" dxfId="0" priority="10869" operator="lessThan">
      <formula>0</formula>
    </cfRule>
    <cfRule type="cellIs" dxfId="4" priority="10870" operator="lessThan">
      <formula>0</formula>
    </cfRule>
  </conditionalFormatting>
  <conditionalFormatting sqref="VR3">
    <cfRule type="cellIs" dxfId="0" priority="10865" operator="lessThan">
      <formula>-1</formula>
    </cfRule>
    <cfRule type="cellIs" dxfId="0" priority="10866" operator="lessThan">
      <formula>0</formula>
    </cfRule>
    <cfRule type="cellIs" dxfId="4" priority="10867" operator="lessThan">
      <formula>0</formula>
    </cfRule>
  </conditionalFormatting>
  <conditionalFormatting sqref="AE4">
    <cfRule type="cellIs" dxfId="1" priority="6358" operator="greaterThan">
      <formula>0</formula>
    </cfRule>
    <cfRule type="cellIs" dxfId="0" priority="6357" operator="lessThan">
      <formula>0</formula>
    </cfRule>
  </conditionalFormatting>
  <conditionalFormatting sqref="AF4">
    <cfRule type="cellIs" dxfId="1" priority="6360" operator="greaterThan">
      <formula>0</formula>
    </cfRule>
    <cfRule type="cellIs" dxfId="0" priority="6359" operator="lessThan">
      <formula>0</formula>
    </cfRule>
  </conditionalFormatting>
  <conditionalFormatting sqref="BL4">
    <cfRule type="cellIs" dxfId="1" priority="5965" operator="greaterThan">
      <formula>0</formula>
    </cfRule>
    <cfRule type="cellIs" dxfId="0" priority="5964" operator="lessThan">
      <formula>0</formula>
    </cfRule>
  </conditionalFormatting>
  <conditionalFormatting sqref="BM4">
    <cfRule type="cellIs" dxfId="1" priority="5967" operator="greaterThan">
      <formula>0</formula>
    </cfRule>
    <cfRule type="cellIs" dxfId="0" priority="5966" operator="lessThan">
      <formula>0</formula>
    </cfRule>
  </conditionalFormatting>
  <conditionalFormatting sqref="CS4">
    <cfRule type="cellIs" dxfId="1" priority="5232" operator="greaterThan">
      <formula>0</formula>
    </cfRule>
    <cfRule type="cellIs" dxfId="0" priority="5231" operator="lessThan">
      <formula>0</formula>
    </cfRule>
  </conditionalFormatting>
  <conditionalFormatting sqref="CT4">
    <cfRule type="cellIs" dxfId="1" priority="5234" operator="greaterThan">
      <formula>0</formula>
    </cfRule>
    <cfRule type="cellIs" dxfId="0" priority="5233" operator="lessThan">
      <formula>0</formula>
    </cfRule>
  </conditionalFormatting>
  <conditionalFormatting sqref="DZ4">
    <cfRule type="cellIs" dxfId="1" priority="4843" operator="greaterThan">
      <formula>0</formula>
    </cfRule>
    <cfRule type="cellIs" dxfId="0" priority="4842" operator="lessThan">
      <formula>0</formula>
    </cfRule>
  </conditionalFormatting>
  <conditionalFormatting sqref="EA4">
    <cfRule type="cellIs" dxfId="1" priority="4845" operator="greaterThan">
      <formula>0</formula>
    </cfRule>
    <cfRule type="cellIs" dxfId="0" priority="4844" operator="lessThan">
      <formula>0</formula>
    </cfRule>
  </conditionalFormatting>
  <conditionalFormatting sqref="EY4">
    <cfRule type="cellIs" dxfId="1" priority="3957" operator="greaterThan">
      <formula>0</formula>
    </cfRule>
    <cfRule type="cellIs" dxfId="0" priority="3947" operator="lessThan">
      <formula>0</formula>
    </cfRule>
  </conditionalFormatting>
  <conditionalFormatting sqref="EZ4">
    <cfRule type="cellIs" dxfId="1" priority="3897" operator="greaterThan">
      <formula>0</formula>
    </cfRule>
    <cfRule type="cellIs" dxfId="0" priority="3887" operator="lessThan">
      <formula>0</formula>
    </cfRule>
  </conditionalFormatting>
  <conditionalFormatting sqref="FA4">
    <cfRule type="cellIs" dxfId="1" priority="3767" operator="greaterThan">
      <formula>0</formula>
    </cfRule>
    <cfRule type="cellIs" dxfId="0" priority="3757" operator="lessThan">
      <formula>0</formula>
    </cfRule>
  </conditionalFormatting>
  <conditionalFormatting sqref="FF4">
    <cfRule type="cellIs" dxfId="1" priority="3787" operator="greaterThan">
      <formula>0</formula>
    </cfRule>
    <cfRule type="cellIs" dxfId="0" priority="3777" operator="lessThan">
      <formula>0</formula>
    </cfRule>
  </conditionalFormatting>
  <conditionalFormatting sqref="FG4">
    <cfRule type="cellIs" dxfId="1" priority="3917" operator="greaterThan">
      <formula>0</formula>
    </cfRule>
    <cfRule type="cellIs" dxfId="0" priority="3907" operator="lessThan">
      <formula>0</formula>
    </cfRule>
  </conditionalFormatting>
  <conditionalFormatting sqref="FH4">
    <cfRule type="cellIs" dxfId="1" priority="3937" operator="greaterThan">
      <formula>0</formula>
    </cfRule>
    <cfRule type="cellIs" dxfId="0" priority="3927" operator="lessThan">
      <formula>0</formula>
    </cfRule>
  </conditionalFormatting>
  <conditionalFormatting sqref="FI4">
    <cfRule type="cellIs" dxfId="5" priority="3877" operator="greaterThan">
      <formula>1</formula>
    </cfRule>
    <cfRule type="cellIs" dxfId="6" priority="3867" operator="lessThan">
      <formula>0</formula>
    </cfRule>
    <cfRule type="cellIs" dxfId="1" priority="3857" operator="greaterThan">
      <formula>0</formula>
    </cfRule>
    <cfRule type="cellIs" dxfId="0" priority="3847" operator="lessThan">
      <formula>0</formula>
    </cfRule>
    <cfRule type="cellIs" dxfId="1" priority="3837" operator="greaterThan">
      <formula>0</formula>
    </cfRule>
    <cfRule type="cellIs" dxfId="0" priority="3827" operator="lessThan">
      <formula>0</formula>
    </cfRule>
  </conditionalFormatting>
  <conditionalFormatting sqref="FJ4">
    <cfRule type="cellIs" dxfId="4" priority="3817" operator="lessThan">
      <formula>0</formula>
    </cfRule>
    <cfRule type="cellIs" dxfId="0" priority="3807" operator="lessThan">
      <formula>0</formula>
    </cfRule>
    <cfRule type="cellIs" dxfId="0" priority="3797" operator="lessThan">
      <formula>-1</formula>
    </cfRule>
  </conditionalFormatting>
  <conditionalFormatting sqref="GH4">
    <cfRule type="cellIs" dxfId="1" priority="3442" operator="greaterThan">
      <formula>0</formula>
    </cfRule>
    <cfRule type="cellIs" dxfId="0" priority="3432" operator="lessThan">
      <formula>0</formula>
    </cfRule>
  </conditionalFormatting>
  <conditionalFormatting sqref="GI4">
    <cfRule type="cellIs" dxfId="1" priority="3382" operator="greaterThan">
      <formula>0</formula>
    </cfRule>
    <cfRule type="cellIs" dxfId="0" priority="3372" operator="lessThan">
      <formula>0</formula>
    </cfRule>
  </conditionalFormatting>
  <conditionalFormatting sqref="GJ4">
    <cfRule type="cellIs" dxfId="1" priority="3252" operator="greaterThan">
      <formula>0</formula>
    </cfRule>
    <cfRule type="cellIs" dxfId="0" priority="3242" operator="lessThan">
      <formula>0</formula>
    </cfRule>
  </conditionalFormatting>
  <conditionalFormatting sqref="GO4">
    <cfRule type="cellIs" dxfId="1" priority="3272" operator="greaterThan">
      <formula>0</formula>
    </cfRule>
    <cfRule type="cellIs" dxfId="0" priority="3262" operator="lessThan">
      <formula>0</formula>
    </cfRule>
  </conditionalFormatting>
  <conditionalFormatting sqref="GP4">
    <cfRule type="cellIs" dxfId="1" priority="3402" operator="greaterThan">
      <formula>0</formula>
    </cfRule>
    <cfRule type="cellIs" dxfId="0" priority="3392" operator="lessThan">
      <formula>0</formula>
    </cfRule>
  </conditionalFormatting>
  <conditionalFormatting sqref="GQ4">
    <cfRule type="cellIs" dxfId="1" priority="3422" operator="greaterThan">
      <formula>0</formula>
    </cfRule>
    <cfRule type="cellIs" dxfId="0" priority="3412" operator="lessThan">
      <formula>0</formula>
    </cfRule>
  </conditionalFormatting>
  <conditionalFormatting sqref="GR4">
    <cfRule type="cellIs" dxfId="5" priority="3362" operator="greaterThan">
      <formula>1</formula>
    </cfRule>
    <cfRule type="cellIs" dxfId="6" priority="3352" operator="lessThan">
      <formula>0</formula>
    </cfRule>
    <cfRule type="cellIs" dxfId="1" priority="3342" operator="greaterThan">
      <formula>0</formula>
    </cfRule>
    <cfRule type="cellIs" dxfId="0" priority="3332" operator="lessThan">
      <formula>0</formula>
    </cfRule>
    <cfRule type="cellIs" dxfId="1" priority="3322" operator="greaterThan">
      <formula>0</formula>
    </cfRule>
    <cfRule type="cellIs" dxfId="0" priority="3312" operator="lessThan">
      <formula>0</formula>
    </cfRule>
  </conditionalFormatting>
  <conditionalFormatting sqref="GS4">
    <cfRule type="cellIs" dxfId="4" priority="3302" operator="lessThan">
      <formula>0</formula>
    </cfRule>
    <cfRule type="cellIs" dxfId="0" priority="3292" operator="lessThan">
      <formula>0</formula>
    </cfRule>
    <cfRule type="cellIs" dxfId="0" priority="3282" operator="lessThan">
      <formula>-1</formula>
    </cfRule>
  </conditionalFormatting>
  <conditionalFormatting sqref="HP4">
    <cfRule type="cellIs" dxfId="1" priority="2898" operator="greaterThan">
      <formula>0</formula>
    </cfRule>
    <cfRule type="cellIs" dxfId="0" priority="2888" operator="lessThan">
      <formula>0</formula>
    </cfRule>
  </conditionalFormatting>
  <conditionalFormatting sqref="HQ4">
    <cfRule type="cellIs" dxfId="1" priority="2838" operator="greaterThan">
      <formula>0</formula>
    </cfRule>
    <cfRule type="cellIs" dxfId="0" priority="2828" operator="lessThan">
      <formula>0</formula>
    </cfRule>
  </conditionalFormatting>
  <conditionalFormatting sqref="HR4">
    <cfRule type="cellIs" dxfId="1" priority="2708" operator="greaterThan">
      <formula>0</formula>
    </cfRule>
    <cfRule type="cellIs" dxfId="0" priority="2698" operator="lessThan">
      <formula>0</formula>
    </cfRule>
  </conditionalFormatting>
  <conditionalFormatting sqref="HW4">
    <cfRule type="cellIs" dxfId="1" priority="2728" operator="greaterThan">
      <formula>0</formula>
    </cfRule>
    <cfRule type="cellIs" dxfId="0" priority="2718" operator="lessThan">
      <formula>0</formula>
    </cfRule>
  </conditionalFormatting>
  <conditionalFormatting sqref="HX4">
    <cfRule type="cellIs" dxfId="1" priority="2858" operator="greaterThan">
      <formula>0</formula>
    </cfRule>
    <cfRule type="cellIs" dxfId="0" priority="2848" operator="lessThan">
      <formula>0</formula>
    </cfRule>
  </conditionalFormatting>
  <conditionalFormatting sqref="HY4">
    <cfRule type="cellIs" dxfId="1" priority="2878" operator="greaterThan">
      <formula>0</formula>
    </cfRule>
    <cfRule type="cellIs" dxfId="0" priority="2868" operator="lessThan">
      <formula>0</formula>
    </cfRule>
  </conditionalFormatting>
  <conditionalFormatting sqref="HZ4">
    <cfRule type="cellIs" dxfId="5" priority="2818" operator="greaterThan">
      <formula>1</formula>
    </cfRule>
    <cfRule type="cellIs" dxfId="6" priority="2808" operator="lessThan">
      <formula>0</formula>
    </cfRule>
    <cfRule type="cellIs" dxfId="1" priority="2798" operator="greaterThan">
      <formula>0</formula>
    </cfRule>
    <cfRule type="cellIs" dxfId="0" priority="2788" operator="lessThan">
      <formula>0</formula>
    </cfRule>
    <cfRule type="cellIs" dxfId="1" priority="2778" operator="greaterThan">
      <formula>0</formula>
    </cfRule>
    <cfRule type="cellIs" dxfId="0" priority="2768" operator="lessThan">
      <formula>0</formula>
    </cfRule>
  </conditionalFormatting>
  <conditionalFormatting sqref="IA4">
    <cfRule type="cellIs" dxfId="4" priority="2758" operator="lessThan">
      <formula>0</formula>
    </cfRule>
    <cfRule type="cellIs" dxfId="0" priority="2748" operator="lessThan">
      <formula>0</formula>
    </cfRule>
    <cfRule type="cellIs" dxfId="0" priority="2738" operator="lessThan">
      <formula>-1</formula>
    </cfRule>
  </conditionalFormatting>
  <conditionalFormatting sqref="IX4">
    <cfRule type="cellIs" dxfId="1" priority="2369" operator="greaterThan">
      <formula>0</formula>
    </cfRule>
    <cfRule type="cellIs" dxfId="0" priority="2357" operator="lessThan">
      <formula>0</formula>
    </cfRule>
  </conditionalFormatting>
  <conditionalFormatting sqref="IY4">
    <cfRule type="cellIs" dxfId="1" priority="2297" operator="greaterThan">
      <formula>0</formula>
    </cfRule>
    <cfRule type="cellIs" dxfId="0" priority="2285" operator="lessThan">
      <formula>0</formula>
    </cfRule>
  </conditionalFormatting>
  <conditionalFormatting sqref="IZ4">
    <cfRule type="cellIs" dxfId="1" priority="2141" operator="greaterThan">
      <formula>0</formula>
    </cfRule>
    <cfRule type="cellIs" dxfId="0" priority="2129" operator="lessThan">
      <formula>0</formula>
    </cfRule>
  </conditionalFormatting>
  <conditionalFormatting sqref="JE4">
    <cfRule type="cellIs" dxfId="1" priority="2165" operator="greaterThan">
      <formula>0</formula>
    </cfRule>
    <cfRule type="cellIs" dxfId="0" priority="2153" operator="lessThan">
      <formula>0</formula>
    </cfRule>
  </conditionalFormatting>
  <conditionalFormatting sqref="JF4">
    <cfRule type="cellIs" dxfId="1" priority="2321" operator="greaterThan">
      <formula>0</formula>
    </cfRule>
    <cfRule type="cellIs" dxfId="0" priority="2309" operator="lessThan">
      <formula>0</formula>
    </cfRule>
  </conditionalFormatting>
  <conditionalFormatting sqref="JG4">
    <cfRule type="cellIs" dxfId="1" priority="2345" operator="greaterThan">
      <formula>0</formula>
    </cfRule>
    <cfRule type="cellIs" dxfId="0" priority="2333" operator="lessThan">
      <formula>0</formula>
    </cfRule>
  </conditionalFormatting>
  <conditionalFormatting sqref="JH4">
    <cfRule type="cellIs" dxfId="5" priority="2273" operator="greaterThan">
      <formula>1</formula>
    </cfRule>
    <cfRule type="cellIs" dxfId="6" priority="2261" operator="lessThan">
      <formula>0</formula>
    </cfRule>
    <cfRule type="cellIs" dxfId="1" priority="2249" operator="greaterThan">
      <formula>0</formula>
    </cfRule>
    <cfRule type="cellIs" dxfId="0" priority="2237" operator="lessThan">
      <formula>0</formula>
    </cfRule>
    <cfRule type="cellIs" dxfId="1" priority="2225" operator="greaterThan">
      <formula>0</formula>
    </cfRule>
    <cfRule type="cellIs" dxfId="0" priority="2213" operator="lessThan">
      <formula>0</formula>
    </cfRule>
  </conditionalFormatting>
  <conditionalFormatting sqref="JI4">
    <cfRule type="cellIs" dxfId="4" priority="2201" operator="lessThan">
      <formula>0</formula>
    </cfRule>
    <cfRule type="cellIs" dxfId="0" priority="2189" operator="lessThan">
      <formula>0</formula>
    </cfRule>
    <cfRule type="cellIs" dxfId="0" priority="2177" operator="lessThan">
      <formula>-1</formula>
    </cfRule>
  </conditionalFormatting>
  <conditionalFormatting sqref="KF4">
    <cfRule type="cellIs" dxfId="1" priority="1592" operator="greaterThan">
      <formula>0</formula>
    </cfRule>
    <cfRule type="cellIs" dxfId="0" priority="1582" operator="lessThan">
      <formula>0</formula>
    </cfRule>
  </conditionalFormatting>
  <conditionalFormatting sqref="KG4">
    <cfRule type="cellIs" dxfId="1" priority="1532" operator="greaterThan">
      <formula>0</formula>
    </cfRule>
    <cfRule type="cellIs" dxfId="0" priority="1522" operator="lessThan">
      <formula>0</formula>
    </cfRule>
  </conditionalFormatting>
  <conditionalFormatting sqref="KH4">
    <cfRule type="cellIs" dxfId="1" priority="1402" operator="greaterThan">
      <formula>0</formula>
    </cfRule>
    <cfRule type="cellIs" dxfId="0" priority="1392" operator="lessThan">
      <formula>0</formula>
    </cfRule>
  </conditionalFormatting>
  <conditionalFormatting sqref="KM4">
    <cfRule type="cellIs" dxfId="1" priority="1422" operator="greaterThan">
      <formula>0</formula>
    </cfRule>
    <cfRule type="cellIs" dxfId="0" priority="1412" operator="lessThan">
      <formula>0</formula>
    </cfRule>
  </conditionalFormatting>
  <conditionalFormatting sqref="KN4">
    <cfRule type="cellIs" dxfId="1" priority="1552" operator="greaterThan">
      <formula>0</formula>
    </cfRule>
    <cfRule type="cellIs" dxfId="0" priority="1542" operator="lessThan">
      <formula>0</formula>
    </cfRule>
  </conditionalFormatting>
  <conditionalFormatting sqref="KO4">
    <cfRule type="cellIs" dxfId="1" priority="1572" operator="greaterThan">
      <formula>0</formula>
    </cfRule>
    <cfRule type="cellIs" dxfId="0" priority="1562" operator="lessThan">
      <formula>0</formula>
    </cfRule>
  </conditionalFormatting>
  <conditionalFormatting sqref="KP4">
    <cfRule type="cellIs" dxfId="5" priority="1512" operator="greaterThan">
      <formula>1</formula>
    </cfRule>
    <cfRule type="cellIs" dxfId="6" priority="1502" operator="lessThan">
      <formula>0</formula>
    </cfRule>
    <cfRule type="cellIs" dxfId="1" priority="1492" operator="greaterThan">
      <formula>0</formula>
    </cfRule>
    <cfRule type="cellIs" dxfId="0" priority="1482" operator="lessThan">
      <formula>0</formula>
    </cfRule>
    <cfRule type="cellIs" dxfId="1" priority="1472" operator="greaterThan">
      <formula>0</formula>
    </cfRule>
    <cfRule type="cellIs" dxfId="0" priority="1462" operator="lessThan">
      <formula>0</formula>
    </cfRule>
  </conditionalFormatting>
  <conditionalFormatting sqref="KQ4">
    <cfRule type="cellIs" dxfId="4" priority="1452" operator="lessThan">
      <formula>0</formula>
    </cfRule>
    <cfRule type="cellIs" dxfId="0" priority="1442" operator="lessThan">
      <formula>0</formula>
    </cfRule>
    <cfRule type="cellIs" dxfId="0" priority="1432" operator="lessThan">
      <formula>-1</formula>
    </cfRule>
  </conditionalFormatting>
  <conditionalFormatting sqref="LF4">
    <cfRule type="cellIs" dxfId="2" priority="740" operator="greaterThan">
      <formula>0</formula>
    </cfRule>
    <cfRule type="cellIs" dxfId="3" priority="733" operator="lessThan">
      <formula>0</formula>
    </cfRule>
  </conditionalFormatting>
  <conditionalFormatting sqref="LN4">
    <cfRule type="cellIs" dxfId="1" priority="901" operator="greaterThan">
      <formula>0</formula>
    </cfRule>
    <cfRule type="cellIs" dxfId="0" priority="894" operator="lessThan">
      <formula>0</formula>
    </cfRule>
  </conditionalFormatting>
  <conditionalFormatting sqref="LO4">
    <cfRule type="cellIs" dxfId="1" priority="859" operator="greaterThan">
      <formula>0</formula>
    </cfRule>
    <cfRule type="cellIs" dxfId="0" priority="852" operator="lessThan">
      <formula>0</formula>
    </cfRule>
  </conditionalFormatting>
  <conditionalFormatting sqref="LP4">
    <cfRule type="cellIs" dxfId="1" priority="768" operator="greaterThan">
      <formula>0</formula>
    </cfRule>
    <cfRule type="cellIs" dxfId="0" priority="761" operator="lessThan">
      <formula>0</formula>
    </cfRule>
  </conditionalFormatting>
  <conditionalFormatting sqref="LU4">
    <cfRule type="cellIs" dxfId="1" priority="782" operator="greaterThan">
      <formula>0</formula>
    </cfRule>
    <cfRule type="cellIs" dxfId="0" priority="775" operator="lessThan">
      <formula>0</formula>
    </cfRule>
  </conditionalFormatting>
  <conditionalFormatting sqref="LV4">
    <cfRule type="cellIs" dxfId="1" priority="873" operator="greaterThan">
      <formula>0</formula>
    </cfRule>
    <cfRule type="cellIs" dxfId="0" priority="866" operator="lessThan">
      <formula>0</formula>
    </cfRule>
  </conditionalFormatting>
  <conditionalFormatting sqref="LW4">
    <cfRule type="cellIs" dxfId="1" priority="887" operator="greaterThan">
      <formula>0</formula>
    </cfRule>
    <cfRule type="cellIs" dxfId="0" priority="880" operator="lessThan">
      <formula>0</formula>
    </cfRule>
  </conditionalFormatting>
  <conditionalFormatting sqref="LX4">
    <cfRule type="cellIs" dxfId="5" priority="845" operator="greaterThan">
      <formula>1</formula>
    </cfRule>
    <cfRule type="cellIs" dxfId="6" priority="838" operator="lessThan">
      <formula>0</formula>
    </cfRule>
    <cfRule type="cellIs" dxfId="1" priority="831" operator="greaterThan">
      <formula>0</formula>
    </cfRule>
    <cfRule type="cellIs" dxfId="0" priority="824" operator="lessThan">
      <formula>0</formula>
    </cfRule>
    <cfRule type="cellIs" dxfId="1" priority="817" operator="greaterThan">
      <formula>0</formula>
    </cfRule>
    <cfRule type="cellIs" dxfId="0" priority="810" operator="lessThan">
      <formula>0</formula>
    </cfRule>
  </conditionalFormatting>
  <conditionalFormatting sqref="LY4">
    <cfRule type="cellIs" dxfId="4" priority="803" operator="lessThan">
      <formula>0</formula>
    </cfRule>
    <cfRule type="cellIs" dxfId="0" priority="796" operator="lessThan">
      <formula>0</formula>
    </cfRule>
    <cfRule type="cellIs" dxfId="0" priority="789" operator="lessThan">
      <formula>-1</formula>
    </cfRule>
  </conditionalFormatting>
  <conditionalFormatting sqref="MN4">
    <cfRule type="cellIs" dxfId="2" priority="527" operator="greaterThan">
      <formula>0</formula>
    </cfRule>
    <cfRule type="cellIs" dxfId="3" priority="520" operator="lessThan">
      <formula>0</formula>
    </cfRule>
  </conditionalFormatting>
  <conditionalFormatting sqref="MV4">
    <cfRule type="cellIs" dxfId="1" priority="688" operator="greaterThan">
      <formula>0</formula>
    </cfRule>
    <cfRule type="cellIs" dxfId="0" priority="681" operator="lessThan">
      <formula>0</formula>
    </cfRule>
  </conditionalFormatting>
  <conditionalFormatting sqref="MW4">
    <cfRule type="cellIs" dxfId="1" priority="646" operator="greaterThan">
      <formula>0</formula>
    </cfRule>
    <cfRule type="cellIs" dxfId="0" priority="639" operator="lessThan">
      <formula>0</formula>
    </cfRule>
  </conditionalFormatting>
  <conditionalFormatting sqref="MX4">
    <cfRule type="cellIs" dxfId="1" priority="555" operator="greaterThan">
      <formula>0</formula>
    </cfRule>
    <cfRule type="cellIs" dxfId="0" priority="548" operator="lessThan">
      <formula>0</formula>
    </cfRule>
  </conditionalFormatting>
  <conditionalFormatting sqref="NC4">
    <cfRule type="cellIs" dxfId="1" priority="569" operator="greaterThan">
      <formula>0</formula>
    </cfRule>
    <cfRule type="cellIs" dxfId="0" priority="562" operator="lessThan">
      <formula>0</formula>
    </cfRule>
  </conditionalFormatting>
  <conditionalFormatting sqref="ND4">
    <cfRule type="cellIs" dxfId="1" priority="660" operator="greaterThan">
      <formula>0</formula>
    </cfRule>
    <cfRule type="cellIs" dxfId="0" priority="653" operator="lessThan">
      <formula>0</formula>
    </cfRule>
  </conditionalFormatting>
  <conditionalFormatting sqref="NE4">
    <cfRule type="cellIs" dxfId="1" priority="674" operator="greaterThan">
      <formula>0</formula>
    </cfRule>
    <cfRule type="cellIs" dxfId="0" priority="667" operator="lessThan">
      <formula>0</formula>
    </cfRule>
  </conditionalFormatting>
  <conditionalFormatting sqref="NF4">
    <cfRule type="cellIs" dxfId="5" priority="632" operator="greaterThan">
      <formula>1</formula>
    </cfRule>
    <cfRule type="cellIs" dxfId="6" priority="625" operator="lessThan">
      <formula>0</formula>
    </cfRule>
    <cfRule type="cellIs" dxfId="1" priority="618" operator="greaterThan">
      <formula>0</formula>
    </cfRule>
    <cfRule type="cellIs" dxfId="0" priority="611" operator="lessThan">
      <formula>0</formula>
    </cfRule>
    <cfRule type="cellIs" dxfId="1" priority="604" operator="greaterThan">
      <formula>0</formula>
    </cfRule>
    <cfRule type="cellIs" dxfId="0" priority="597" operator="lessThan">
      <formula>0</formula>
    </cfRule>
  </conditionalFormatting>
  <conditionalFormatting sqref="NG4">
    <cfRule type="cellIs" dxfId="4" priority="590" operator="lessThan">
      <formula>0</formula>
    </cfRule>
    <cfRule type="cellIs" dxfId="0" priority="583" operator="lessThan">
      <formula>0</formula>
    </cfRule>
    <cfRule type="cellIs" dxfId="0" priority="576" operator="lessThan">
      <formula>-1</formula>
    </cfRule>
  </conditionalFormatting>
  <conditionalFormatting sqref="NV4">
    <cfRule type="cellIs" dxfId="2" priority="132" operator="greaterThan">
      <formula>0</formula>
    </cfRule>
    <cfRule type="cellIs" dxfId="3" priority="125" operator="lessThan">
      <formula>0</formula>
    </cfRule>
  </conditionalFormatting>
  <conditionalFormatting sqref="OD4">
    <cfRule type="cellIs" dxfId="1" priority="293" operator="greaterThan">
      <formula>0</formula>
    </cfRule>
    <cfRule type="cellIs" dxfId="0" priority="286" operator="lessThan">
      <formula>0</formula>
    </cfRule>
  </conditionalFormatting>
  <conditionalFormatting sqref="OE4">
    <cfRule type="cellIs" dxfId="1" priority="251" operator="greaterThan">
      <formula>0</formula>
    </cfRule>
    <cfRule type="cellIs" dxfId="0" priority="244" operator="lessThan">
      <formula>0</formula>
    </cfRule>
  </conditionalFormatting>
  <conditionalFormatting sqref="OF4">
    <cfRule type="cellIs" dxfId="1" priority="160" operator="greaterThan">
      <formula>0</formula>
    </cfRule>
    <cfRule type="cellIs" dxfId="0" priority="153" operator="lessThan">
      <formula>0</formula>
    </cfRule>
  </conditionalFormatting>
  <conditionalFormatting sqref="OK4">
    <cfRule type="cellIs" dxfId="1" priority="174" operator="greaterThan">
      <formula>0</formula>
    </cfRule>
    <cfRule type="cellIs" dxfId="0" priority="167" operator="lessThan">
      <formula>0</formula>
    </cfRule>
  </conditionalFormatting>
  <conditionalFormatting sqref="OL4">
    <cfRule type="cellIs" dxfId="1" priority="265" operator="greaterThan">
      <formula>0</formula>
    </cfRule>
    <cfRule type="cellIs" dxfId="0" priority="258" operator="lessThan">
      <formula>0</formula>
    </cfRule>
  </conditionalFormatting>
  <conditionalFormatting sqref="OM4">
    <cfRule type="cellIs" dxfId="1" priority="279" operator="greaterThan">
      <formula>0</formula>
    </cfRule>
    <cfRule type="cellIs" dxfId="0" priority="272" operator="lessThan">
      <formula>0</formula>
    </cfRule>
  </conditionalFormatting>
  <conditionalFormatting sqref="ON4">
    <cfRule type="cellIs" dxfId="5" priority="237" operator="greaterThan">
      <formula>1</formula>
    </cfRule>
    <cfRule type="cellIs" dxfId="6" priority="230" operator="lessThan">
      <formula>0</formula>
    </cfRule>
    <cfRule type="cellIs" dxfId="1" priority="223" operator="greaterThan">
      <formula>0</formula>
    </cfRule>
    <cfRule type="cellIs" dxfId="0" priority="216" operator="lessThan">
      <formula>0</formula>
    </cfRule>
    <cfRule type="cellIs" dxfId="1" priority="209" operator="greaterThan">
      <formula>0</formula>
    </cfRule>
    <cfRule type="cellIs" dxfId="0" priority="202" operator="lessThan">
      <formula>0</formula>
    </cfRule>
  </conditionalFormatting>
  <conditionalFormatting sqref="OO4">
    <cfRule type="cellIs" dxfId="4" priority="195" operator="lessThan">
      <formula>0</formula>
    </cfRule>
    <cfRule type="cellIs" dxfId="0" priority="188" operator="lessThan">
      <formula>0</formula>
    </cfRule>
    <cfRule type="cellIs" dxfId="0" priority="181" operator="lessThan">
      <formula>-1</formula>
    </cfRule>
  </conditionalFormatting>
  <conditionalFormatting sqref="EY5">
    <cfRule type="cellIs" dxfId="1" priority="3956" operator="greaterThan">
      <formula>0</formula>
    </cfRule>
    <cfRule type="cellIs" dxfId="0" priority="3946" operator="lessThan">
      <formula>0</formula>
    </cfRule>
  </conditionalFormatting>
  <conditionalFormatting sqref="EZ5">
    <cfRule type="cellIs" dxfId="1" priority="3896" operator="greaterThan">
      <formula>0</formula>
    </cfRule>
    <cfRule type="cellIs" dxfId="0" priority="3886" operator="lessThan">
      <formula>0</formula>
    </cfRule>
  </conditionalFormatting>
  <conditionalFormatting sqref="FA5">
    <cfRule type="cellIs" dxfId="1" priority="3766" operator="greaterThan">
      <formula>0</formula>
    </cfRule>
    <cfRule type="cellIs" dxfId="0" priority="3756" operator="lessThan">
      <formula>0</formula>
    </cfRule>
  </conditionalFormatting>
  <conditionalFormatting sqref="FF5">
    <cfRule type="cellIs" dxfId="1" priority="3786" operator="greaterThan">
      <formula>0</formula>
    </cfRule>
    <cfRule type="cellIs" dxfId="0" priority="3776" operator="lessThan">
      <formula>0</formula>
    </cfRule>
  </conditionalFormatting>
  <conditionalFormatting sqref="FG5">
    <cfRule type="cellIs" dxfId="1" priority="3916" operator="greaterThan">
      <formula>0</formula>
    </cfRule>
    <cfRule type="cellIs" dxfId="0" priority="3906" operator="lessThan">
      <formula>0</formula>
    </cfRule>
  </conditionalFormatting>
  <conditionalFormatting sqref="FH5">
    <cfRule type="cellIs" dxfId="1" priority="3936" operator="greaterThan">
      <formula>0</formula>
    </cfRule>
    <cfRule type="cellIs" dxfId="0" priority="3926" operator="lessThan">
      <formula>0</formula>
    </cfRule>
  </conditionalFormatting>
  <conditionalFormatting sqref="FI5">
    <cfRule type="cellIs" dxfId="5" priority="3876" operator="greaterThan">
      <formula>1</formula>
    </cfRule>
    <cfRule type="cellIs" dxfId="6" priority="3866" operator="lessThan">
      <formula>0</formula>
    </cfRule>
    <cfRule type="cellIs" dxfId="1" priority="3856" operator="greaterThan">
      <formula>0</formula>
    </cfRule>
    <cfRule type="cellIs" dxfId="0" priority="3846" operator="lessThan">
      <formula>0</formula>
    </cfRule>
    <cfRule type="cellIs" dxfId="1" priority="3836" operator="greaterThan">
      <formula>0</formula>
    </cfRule>
    <cfRule type="cellIs" dxfId="0" priority="3826" operator="lessThan">
      <formula>0</formula>
    </cfRule>
  </conditionalFormatting>
  <conditionalFormatting sqref="FJ5">
    <cfRule type="cellIs" dxfId="4" priority="3816" operator="lessThan">
      <formula>0</formula>
    </cfRule>
    <cfRule type="cellIs" dxfId="0" priority="3806" operator="lessThan">
      <formula>0</formula>
    </cfRule>
    <cfRule type="cellIs" dxfId="0" priority="3796" operator="lessThan">
      <formula>-1</formula>
    </cfRule>
  </conditionalFormatting>
  <conditionalFormatting sqref="GH5">
    <cfRule type="cellIs" dxfId="1" priority="3441" operator="greaterThan">
      <formula>0</formula>
    </cfRule>
    <cfRule type="cellIs" dxfId="0" priority="3431" operator="lessThan">
      <formula>0</formula>
    </cfRule>
  </conditionalFormatting>
  <conditionalFormatting sqref="GI5">
    <cfRule type="cellIs" dxfId="1" priority="3381" operator="greaterThan">
      <formula>0</formula>
    </cfRule>
    <cfRule type="cellIs" dxfId="0" priority="3371" operator="lessThan">
      <formula>0</formula>
    </cfRule>
  </conditionalFormatting>
  <conditionalFormatting sqref="GJ5">
    <cfRule type="cellIs" dxfId="1" priority="3251" operator="greaterThan">
      <formula>0</formula>
    </cfRule>
    <cfRule type="cellIs" dxfId="0" priority="3241" operator="lessThan">
      <formula>0</formula>
    </cfRule>
  </conditionalFormatting>
  <conditionalFormatting sqref="GO5">
    <cfRule type="cellIs" dxfId="1" priority="3271" operator="greaterThan">
      <formula>0</formula>
    </cfRule>
    <cfRule type="cellIs" dxfId="0" priority="3261" operator="lessThan">
      <formula>0</formula>
    </cfRule>
  </conditionalFormatting>
  <conditionalFormatting sqref="GP5">
    <cfRule type="cellIs" dxfId="1" priority="3401" operator="greaterThan">
      <formula>0</formula>
    </cfRule>
    <cfRule type="cellIs" dxfId="0" priority="3391" operator="lessThan">
      <formula>0</formula>
    </cfRule>
  </conditionalFormatting>
  <conditionalFormatting sqref="GQ5">
    <cfRule type="cellIs" dxfId="1" priority="3421" operator="greaterThan">
      <formula>0</formula>
    </cfRule>
    <cfRule type="cellIs" dxfId="0" priority="3411" operator="lessThan">
      <formula>0</formula>
    </cfRule>
  </conditionalFormatting>
  <conditionalFormatting sqref="GR5">
    <cfRule type="cellIs" dxfId="5" priority="3361" operator="greaterThan">
      <formula>1</formula>
    </cfRule>
    <cfRule type="cellIs" dxfId="6" priority="3351" operator="lessThan">
      <formula>0</formula>
    </cfRule>
    <cfRule type="cellIs" dxfId="1" priority="3341" operator="greaterThan">
      <formula>0</formula>
    </cfRule>
    <cfRule type="cellIs" dxfId="0" priority="3331" operator="lessThan">
      <formula>0</formula>
    </cfRule>
    <cfRule type="cellIs" dxfId="1" priority="3321" operator="greaterThan">
      <formula>0</formula>
    </cfRule>
    <cfRule type="cellIs" dxfId="0" priority="3311" operator="lessThan">
      <formula>0</formula>
    </cfRule>
  </conditionalFormatting>
  <conditionalFormatting sqref="GS5">
    <cfRule type="cellIs" dxfId="4" priority="3301" operator="lessThan">
      <formula>0</formula>
    </cfRule>
    <cfRule type="cellIs" dxfId="0" priority="3291" operator="lessThan">
      <formula>0</formula>
    </cfRule>
    <cfRule type="cellIs" dxfId="0" priority="3281" operator="lessThan">
      <formula>-1</formula>
    </cfRule>
  </conditionalFormatting>
  <conditionalFormatting sqref="HP5">
    <cfRule type="cellIs" dxfId="1" priority="2897" operator="greaterThan">
      <formula>0</formula>
    </cfRule>
    <cfRule type="cellIs" dxfId="0" priority="2887" operator="lessThan">
      <formula>0</formula>
    </cfRule>
  </conditionalFormatting>
  <conditionalFormatting sqref="HQ5">
    <cfRule type="cellIs" dxfId="1" priority="2837" operator="greaterThan">
      <formula>0</formula>
    </cfRule>
    <cfRule type="cellIs" dxfId="0" priority="2827" operator="lessThan">
      <formula>0</formula>
    </cfRule>
  </conditionalFormatting>
  <conditionalFormatting sqref="HR5">
    <cfRule type="cellIs" dxfId="1" priority="2707" operator="greaterThan">
      <formula>0</formula>
    </cfRule>
    <cfRule type="cellIs" dxfId="0" priority="2697" operator="lessThan">
      <formula>0</formula>
    </cfRule>
  </conditionalFormatting>
  <conditionalFormatting sqref="HW5">
    <cfRule type="cellIs" dxfId="1" priority="2727" operator="greaterThan">
      <formula>0</formula>
    </cfRule>
    <cfRule type="cellIs" dxfId="0" priority="2717" operator="lessThan">
      <formula>0</formula>
    </cfRule>
  </conditionalFormatting>
  <conditionalFormatting sqref="HX5">
    <cfRule type="cellIs" dxfId="1" priority="2857" operator="greaterThan">
      <formula>0</formula>
    </cfRule>
    <cfRule type="cellIs" dxfId="0" priority="2847" operator="lessThan">
      <formula>0</formula>
    </cfRule>
  </conditionalFormatting>
  <conditionalFormatting sqref="HY5">
    <cfRule type="cellIs" dxfId="1" priority="2877" operator="greaterThan">
      <formula>0</formula>
    </cfRule>
    <cfRule type="cellIs" dxfId="0" priority="2867" operator="lessThan">
      <formula>0</formula>
    </cfRule>
  </conditionalFormatting>
  <conditionalFormatting sqref="HZ5">
    <cfRule type="cellIs" dxfId="5" priority="2817" operator="greaterThan">
      <formula>1</formula>
    </cfRule>
    <cfRule type="cellIs" dxfId="6" priority="2807" operator="lessThan">
      <formula>0</formula>
    </cfRule>
    <cfRule type="cellIs" dxfId="1" priority="2797" operator="greaterThan">
      <formula>0</formula>
    </cfRule>
    <cfRule type="cellIs" dxfId="0" priority="2787" operator="lessThan">
      <formula>0</formula>
    </cfRule>
    <cfRule type="cellIs" dxfId="1" priority="2777" operator="greaterThan">
      <formula>0</formula>
    </cfRule>
    <cfRule type="cellIs" dxfId="0" priority="2767" operator="lessThan">
      <formula>0</formula>
    </cfRule>
  </conditionalFormatting>
  <conditionalFormatting sqref="IA5">
    <cfRule type="cellIs" dxfId="4" priority="2757" operator="lessThan">
      <formula>0</formula>
    </cfRule>
    <cfRule type="cellIs" dxfId="0" priority="2747" operator="lessThan">
      <formula>0</formula>
    </cfRule>
    <cfRule type="cellIs" dxfId="0" priority="2737" operator="lessThan">
      <formula>-1</formula>
    </cfRule>
  </conditionalFormatting>
  <conditionalFormatting sqref="IX5">
    <cfRule type="cellIs" dxfId="1" priority="2368" operator="greaterThan">
      <formula>0</formula>
    </cfRule>
    <cfRule type="cellIs" dxfId="0" priority="2356" operator="lessThan">
      <formula>0</formula>
    </cfRule>
  </conditionalFormatting>
  <conditionalFormatting sqref="IY5">
    <cfRule type="cellIs" dxfId="1" priority="2296" operator="greaterThan">
      <formula>0</formula>
    </cfRule>
    <cfRule type="cellIs" dxfId="0" priority="2284" operator="lessThan">
      <formula>0</formula>
    </cfRule>
  </conditionalFormatting>
  <conditionalFormatting sqref="IZ5">
    <cfRule type="cellIs" dxfId="1" priority="2140" operator="greaterThan">
      <formula>0</formula>
    </cfRule>
    <cfRule type="cellIs" dxfId="0" priority="2128" operator="lessThan">
      <formula>0</formula>
    </cfRule>
  </conditionalFormatting>
  <conditionalFormatting sqref="JE5">
    <cfRule type="cellIs" dxfId="1" priority="2164" operator="greaterThan">
      <formula>0</formula>
    </cfRule>
    <cfRule type="cellIs" dxfId="0" priority="2152" operator="lessThan">
      <formula>0</formula>
    </cfRule>
  </conditionalFormatting>
  <conditionalFormatting sqref="JF5">
    <cfRule type="cellIs" dxfId="1" priority="2320" operator="greaterThan">
      <formula>0</formula>
    </cfRule>
    <cfRule type="cellIs" dxfId="0" priority="2308" operator="lessThan">
      <formula>0</formula>
    </cfRule>
  </conditionalFormatting>
  <conditionalFormatting sqref="JG5">
    <cfRule type="cellIs" dxfId="1" priority="2344" operator="greaterThan">
      <formula>0</formula>
    </cfRule>
    <cfRule type="cellIs" dxfId="0" priority="2332" operator="lessThan">
      <formula>0</formula>
    </cfRule>
  </conditionalFormatting>
  <conditionalFormatting sqref="JH5">
    <cfRule type="cellIs" dxfId="5" priority="2272" operator="greaterThan">
      <formula>1</formula>
    </cfRule>
    <cfRule type="cellIs" dxfId="6" priority="2260" operator="lessThan">
      <formula>0</formula>
    </cfRule>
    <cfRule type="cellIs" dxfId="1" priority="2248" operator="greaterThan">
      <formula>0</formula>
    </cfRule>
    <cfRule type="cellIs" dxfId="0" priority="2236" operator="lessThan">
      <formula>0</formula>
    </cfRule>
    <cfRule type="cellIs" dxfId="1" priority="2224" operator="greaterThan">
      <formula>0</formula>
    </cfRule>
    <cfRule type="cellIs" dxfId="0" priority="2212" operator="lessThan">
      <formula>0</formula>
    </cfRule>
  </conditionalFormatting>
  <conditionalFormatting sqref="JI5">
    <cfRule type="cellIs" dxfId="4" priority="2200" operator="lessThan">
      <formula>0</formula>
    </cfRule>
    <cfRule type="cellIs" dxfId="0" priority="2188" operator="lessThan">
      <formula>0</formula>
    </cfRule>
    <cfRule type="cellIs" dxfId="0" priority="2176" operator="lessThan">
      <formula>-1</formula>
    </cfRule>
  </conditionalFormatting>
  <conditionalFormatting sqref="KF5">
    <cfRule type="cellIs" dxfId="1" priority="1591" operator="greaterThan">
      <formula>0</formula>
    </cfRule>
    <cfRule type="cellIs" dxfId="0" priority="1581" operator="lessThan">
      <formula>0</formula>
    </cfRule>
  </conditionalFormatting>
  <conditionalFormatting sqref="KG5">
    <cfRule type="cellIs" dxfId="1" priority="1531" operator="greaterThan">
      <formula>0</formula>
    </cfRule>
    <cfRule type="cellIs" dxfId="0" priority="1521" operator="lessThan">
      <formula>0</formula>
    </cfRule>
  </conditionalFormatting>
  <conditionalFormatting sqref="KH5">
    <cfRule type="cellIs" dxfId="1" priority="1401" operator="greaterThan">
      <formula>0</formula>
    </cfRule>
    <cfRule type="cellIs" dxfId="0" priority="1391" operator="lessThan">
      <formula>0</formula>
    </cfRule>
  </conditionalFormatting>
  <conditionalFormatting sqref="KM5">
    <cfRule type="cellIs" dxfId="1" priority="1421" operator="greaterThan">
      <formula>0</formula>
    </cfRule>
    <cfRule type="cellIs" dxfId="0" priority="1411" operator="lessThan">
      <formula>0</formula>
    </cfRule>
  </conditionalFormatting>
  <conditionalFormatting sqref="KN5">
    <cfRule type="cellIs" dxfId="1" priority="1551" operator="greaterThan">
      <formula>0</formula>
    </cfRule>
    <cfRule type="cellIs" dxfId="0" priority="1541" operator="lessThan">
      <formula>0</formula>
    </cfRule>
  </conditionalFormatting>
  <conditionalFormatting sqref="KO5">
    <cfRule type="cellIs" dxfId="1" priority="1571" operator="greaterThan">
      <formula>0</formula>
    </cfRule>
    <cfRule type="cellIs" dxfId="0" priority="1561" operator="lessThan">
      <formula>0</formula>
    </cfRule>
  </conditionalFormatting>
  <conditionalFormatting sqref="KP5">
    <cfRule type="cellIs" dxfId="5" priority="1511" operator="greaterThan">
      <formula>1</formula>
    </cfRule>
    <cfRule type="cellIs" dxfId="6" priority="1501" operator="lessThan">
      <formula>0</formula>
    </cfRule>
    <cfRule type="cellIs" dxfId="1" priority="1491" operator="greaterThan">
      <formula>0</formula>
    </cfRule>
    <cfRule type="cellIs" dxfId="0" priority="1481" operator="lessThan">
      <formula>0</formula>
    </cfRule>
    <cfRule type="cellIs" dxfId="1" priority="1471" operator="greaterThan">
      <formula>0</formula>
    </cfRule>
    <cfRule type="cellIs" dxfId="0" priority="1461" operator="lessThan">
      <formula>0</formula>
    </cfRule>
  </conditionalFormatting>
  <conditionalFormatting sqref="KQ5">
    <cfRule type="cellIs" dxfId="4" priority="1451" operator="lessThan">
      <formula>0</formula>
    </cfRule>
    <cfRule type="cellIs" dxfId="0" priority="1441" operator="lessThan">
      <formula>0</formula>
    </cfRule>
    <cfRule type="cellIs" dxfId="0" priority="1431" operator="lessThan">
      <formula>-1</formula>
    </cfRule>
  </conditionalFormatting>
  <conditionalFormatting sqref="LF5">
    <cfRule type="cellIs" dxfId="2" priority="739" operator="greaterThan">
      <formula>0</formula>
    </cfRule>
    <cfRule type="cellIs" dxfId="3" priority="732" operator="lessThan">
      <formula>0</formula>
    </cfRule>
  </conditionalFormatting>
  <conditionalFormatting sqref="LN5">
    <cfRule type="cellIs" dxfId="1" priority="900" operator="greaterThan">
      <formula>0</formula>
    </cfRule>
    <cfRule type="cellIs" dxfId="0" priority="893" operator="lessThan">
      <formula>0</formula>
    </cfRule>
  </conditionalFormatting>
  <conditionalFormatting sqref="LO5">
    <cfRule type="cellIs" dxfId="1" priority="858" operator="greaterThan">
      <formula>0</formula>
    </cfRule>
    <cfRule type="cellIs" dxfId="0" priority="851" operator="lessThan">
      <formula>0</formula>
    </cfRule>
  </conditionalFormatting>
  <conditionalFormatting sqref="LP5">
    <cfRule type="cellIs" dxfId="1" priority="767" operator="greaterThan">
      <formula>0</formula>
    </cfRule>
    <cfRule type="cellIs" dxfId="0" priority="760" operator="lessThan">
      <formula>0</formula>
    </cfRule>
  </conditionalFormatting>
  <conditionalFormatting sqref="LU5">
    <cfRule type="cellIs" dxfId="1" priority="781" operator="greaterThan">
      <formula>0</formula>
    </cfRule>
    <cfRule type="cellIs" dxfId="0" priority="774" operator="lessThan">
      <formula>0</formula>
    </cfRule>
  </conditionalFormatting>
  <conditionalFormatting sqref="LV5">
    <cfRule type="cellIs" dxfId="1" priority="872" operator="greaterThan">
      <formula>0</formula>
    </cfRule>
    <cfRule type="cellIs" dxfId="0" priority="865" operator="lessThan">
      <formula>0</formula>
    </cfRule>
  </conditionalFormatting>
  <conditionalFormatting sqref="LW5">
    <cfRule type="cellIs" dxfId="1" priority="886" operator="greaterThan">
      <formula>0</formula>
    </cfRule>
    <cfRule type="cellIs" dxfId="0" priority="879" operator="lessThan">
      <formula>0</formula>
    </cfRule>
  </conditionalFormatting>
  <conditionalFormatting sqref="LX5">
    <cfRule type="cellIs" dxfId="5" priority="844" operator="greaterThan">
      <formula>1</formula>
    </cfRule>
    <cfRule type="cellIs" dxfId="6" priority="837" operator="lessThan">
      <formula>0</formula>
    </cfRule>
    <cfRule type="cellIs" dxfId="1" priority="830" operator="greaterThan">
      <formula>0</formula>
    </cfRule>
    <cfRule type="cellIs" dxfId="0" priority="823" operator="lessThan">
      <formula>0</formula>
    </cfRule>
    <cfRule type="cellIs" dxfId="1" priority="816" operator="greaterThan">
      <formula>0</formula>
    </cfRule>
    <cfRule type="cellIs" dxfId="0" priority="809" operator="lessThan">
      <formula>0</formula>
    </cfRule>
  </conditionalFormatting>
  <conditionalFormatting sqref="LY5">
    <cfRule type="cellIs" dxfId="4" priority="802" operator="lessThan">
      <formula>0</formula>
    </cfRule>
    <cfRule type="cellIs" dxfId="0" priority="795" operator="lessThan">
      <formula>0</formula>
    </cfRule>
    <cfRule type="cellIs" dxfId="0" priority="788" operator="lessThan">
      <formula>-1</formula>
    </cfRule>
  </conditionalFormatting>
  <conditionalFormatting sqref="MN5">
    <cfRule type="cellIs" dxfId="2" priority="526" operator="greaterThan">
      <formula>0</formula>
    </cfRule>
    <cfRule type="cellIs" dxfId="3" priority="519" operator="lessThan">
      <formula>0</formula>
    </cfRule>
  </conditionalFormatting>
  <conditionalFormatting sqref="MV5">
    <cfRule type="cellIs" dxfId="1" priority="687" operator="greaterThan">
      <formula>0</formula>
    </cfRule>
    <cfRule type="cellIs" dxfId="0" priority="680" operator="lessThan">
      <formula>0</formula>
    </cfRule>
  </conditionalFormatting>
  <conditionalFormatting sqref="MW5">
    <cfRule type="cellIs" dxfId="1" priority="645" operator="greaterThan">
      <formula>0</formula>
    </cfRule>
    <cfRule type="cellIs" dxfId="0" priority="638" operator="lessThan">
      <formula>0</formula>
    </cfRule>
  </conditionalFormatting>
  <conditionalFormatting sqref="MX5">
    <cfRule type="cellIs" dxfId="1" priority="554" operator="greaterThan">
      <formula>0</formula>
    </cfRule>
    <cfRule type="cellIs" dxfId="0" priority="547" operator="lessThan">
      <formula>0</formula>
    </cfRule>
  </conditionalFormatting>
  <conditionalFormatting sqref="NC5">
    <cfRule type="cellIs" dxfId="1" priority="568" operator="greaterThan">
      <formula>0</formula>
    </cfRule>
    <cfRule type="cellIs" dxfId="0" priority="561" operator="lessThan">
      <formula>0</formula>
    </cfRule>
  </conditionalFormatting>
  <conditionalFormatting sqref="ND5">
    <cfRule type="cellIs" dxfId="1" priority="659" operator="greaterThan">
      <formula>0</formula>
    </cfRule>
    <cfRule type="cellIs" dxfId="0" priority="652" operator="lessThan">
      <formula>0</formula>
    </cfRule>
  </conditionalFormatting>
  <conditionalFormatting sqref="NE5">
    <cfRule type="cellIs" dxfId="1" priority="673" operator="greaterThan">
      <formula>0</formula>
    </cfRule>
    <cfRule type="cellIs" dxfId="0" priority="666" operator="lessThan">
      <formula>0</formula>
    </cfRule>
  </conditionalFormatting>
  <conditionalFormatting sqref="NF5">
    <cfRule type="cellIs" dxfId="5" priority="631" operator="greaterThan">
      <formula>1</formula>
    </cfRule>
    <cfRule type="cellIs" dxfId="6" priority="624" operator="lessThan">
      <formula>0</formula>
    </cfRule>
    <cfRule type="cellIs" dxfId="1" priority="617" operator="greaterThan">
      <formula>0</formula>
    </cfRule>
    <cfRule type="cellIs" dxfId="0" priority="610" operator="lessThan">
      <formula>0</formula>
    </cfRule>
    <cfRule type="cellIs" dxfId="1" priority="603" operator="greaterThan">
      <formula>0</formula>
    </cfRule>
    <cfRule type="cellIs" dxfId="0" priority="596" operator="lessThan">
      <formula>0</formula>
    </cfRule>
  </conditionalFormatting>
  <conditionalFormatting sqref="NG5">
    <cfRule type="cellIs" dxfId="4" priority="589" operator="lessThan">
      <formula>0</formula>
    </cfRule>
    <cfRule type="cellIs" dxfId="0" priority="582" operator="lessThan">
      <formula>0</formula>
    </cfRule>
    <cfRule type="cellIs" dxfId="0" priority="575" operator="lessThan">
      <formula>-1</formula>
    </cfRule>
  </conditionalFormatting>
  <conditionalFormatting sqref="NV5">
    <cfRule type="cellIs" dxfId="2" priority="131" operator="greaterThan">
      <formula>0</formula>
    </cfRule>
    <cfRule type="cellIs" dxfId="3" priority="124" operator="lessThan">
      <formula>0</formula>
    </cfRule>
  </conditionalFormatting>
  <conditionalFormatting sqref="OD5">
    <cfRule type="cellIs" dxfId="1" priority="292" operator="greaterThan">
      <formula>0</formula>
    </cfRule>
    <cfRule type="cellIs" dxfId="0" priority="285" operator="lessThan">
      <formula>0</formula>
    </cfRule>
  </conditionalFormatting>
  <conditionalFormatting sqref="OE5">
    <cfRule type="cellIs" dxfId="1" priority="250" operator="greaterThan">
      <formula>0</formula>
    </cfRule>
    <cfRule type="cellIs" dxfId="0" priority="243" operator="lessThan">
      <formula>0</formula>
    </cfRule>
  </conditionalFormatting>
  <conditionalFormatting sqref="OF5">
    <cfRule type="cellIs" dxfId="1" priority="159" operator="greaterThan">
      <formula>0</formula>
    </cfRule>
    <cfRule type="cellIs" dxfId="0" priority="152" operator="lessThan">
      <formula>0</formula>
    </cfRule>
  </conditionalFormatting>
  <conditionalFormatting sqref="OK5">
    <cfRule type="cellIs" dxfId="1" priority="173" operator="greaterThan">
      <formula>0</formula>
    </cfRule>
    <cfRule type="cellIs" dxfId="0" priority="166" operator="lessThan">
      <formula>0</formula>
    </cfRule>
  </conditionalFormatting>
  <conditionalFormatting sqref="OL5">
    <cfRule type="cellIs" dxfId="1" priority="264" operator="greaterThan">
      <formula>0</formula>
    </cfRule>
    <cfRule type="cellIs" dxfId="0" priority="257" operator="lessThan">
      <formula>0</formula>
    </cfRule>
  </conditionalFormatting>
  <conditionalFormatting sqref="OM5">
    <cfRule type="cellIs" dxfId="1" priority="278" operator="greaterThan">
      <formula>0</formula>
    </cfRule>
    <cfRule type="cellIs" dxfId="0" priority="271" operator="lessThan">
      <formula>0</formula>
    </cfRule>
  </conditionalFormatting>
  <conditionalFormatting sqref="ON5">
    <cfRule type="cellIs" dxfId="5" priority="236" operator="greaterThan">
      <formula>1</formula>
    </cfRule>
    <cfRule type="cellIs" dxfId="6" priority="229" operator="lessThan">
      <formula>0</formula>
    </cfRule>
    <cfRule type="cellIs" dxfId="1" priority="222" operator="greaterThan">
      <formula>0</formula>
    </cfRule>
    <cfRule type="cellIs" dxfId="0" priority="215" operator="lessThan">
      <formula>0</formula>
    </cfRule>
    <cfRule type="cellIs" dxfId="1" priority="208" operator="greaterThan">
      <formula>0</formula>
    </cfRule>
    <cfRule type="cellIs" dxfId="0" priority="201" operator="lessThan">
      <formula>0</formula>
    </cfRule>
  </conditionalFormatting>
  <conditionalFormatting sqref="OO5">
    <cfRule type="cellIs" dxfId="4" priority="194" operator="lessThan">
      <formula>0</formula>
    </cfRule>
    <cfRule type="cellIs" dxfId="0" priority="187" operator="lessThan">
      <formula>0</formula>
    </cfRule>
    <cfRule type="cellIs" dxfId="0" priority="180" operator="lessThan">
      <formula>-1</formula>
    </cfRule>
  </conditionalFormatting>
  <conditionalFormatting sqref="W6">
    <cfRule type="cellIs" dxfId="1" priority="6270" operator="greaterThan">
      <formula>0</formula>
    </cfRule>
    <cfRule type="cellIs" dxfId="0" priority="6269" operator="lessThan">
      <formula>0</formula>
    </cfRule>
  </conditionalFormatting>
  <conditionalFormatting sqref="BD6">
    <cfRule type="cellIs" dxfId="1" priority="5889" operator="greaterThan">
      <formula>0</formula>
    </cfRule>
    <cfRule type="cellIs" dxfId="0" priority="5888" operator="lessThan">
      <formula>0</formula>
    </cfRule>
  </conditionalFormatting>
  <conditionalFormatting sqref="CK6">
    <cfRule type="cellIs" dxfId="1" priority="5162" operator="greaterThan">
      <formula>0</formula>
    </cfRule>
    <cfRule type="cellIs" dxfId="0" priority="5161" operator="lessThan">
      <formula>0</formula>
    </cfRule>
  </conditionalFormatting>
  <conditionalFormatting sqref="DR6">
    <cfRule type="cellIs" dxfId="1" priority="4773" operator="greaterThan">
      <formula>0</formula>
    </cfRule>
    <cfRule type="cellIs" dxfId="0" priority="4772" operator="lessThan">
      <formula>0</formula>
    </cfRule>
  </conditionalFormatting>
  <conditionalFormatting sqref="EY6">
    <cfRule type="cellIs" dxfId="1" priority="3955" operator="greaterThan">
      <formula>0</formula>
    </cfRule>
    <cfRule type="cellIs" dxfId="0" priority="3945" operator="lessThan">
      <formula>0</formula>
    </cfRule>
  </conditionalFormatting>
  <conditionalFormatting sqref="EZ6">
    <cfRule type="cellIs" dxfId="1" priority="3895" operator="greaterThan">
      <formula>0</formula>
    </cfRule>
    <cfRule type="cellIs" dxfId="0" priority="3885" operator="lessThan">
      <formula>0</formula>
    </cfRule>
  </conditionalFormatting>
  <conditionalFormatting sqref="FA6">
    <cfRule type="cellIs" dxfId="1" priority="3765" operator="greaterThan">
      <formula>0</formula>
    </cfRule>
    <cfRule type="cellIs" dxfId="0" priority="3755" operator="lessThan">
      <formula>0</formula>
    </cfRule>
  </conditionalFormatting>
  <conditionalFormatting sqref="FF6">
    <cfRule type="cellIs" dxfId="1" priority="3785" operator="greaterThan">
      <formula>0</formula>
    </cfRule>
    <cfRule type="cellIs" dxfId="0" priority="3775" operator="lessThan">
      <formula>0</formula>
    </cfRule>
  </conditionalFormatting>
  <conditionalFormatting sqref="FG6">
    <cfRule type="cellIs" dxfId="1" priority="3915" operator="greaterThan">
      <formula>0</formula>
    </cfRule>
    <cfRule type="cellIs" dxfId="0" priority="3905" operator="lessThan">
      <formula>0</formula>
    </cfRule>
  </conditionalFormatting>
  <conditionalFormatting sqref="FH6">
    <cfRule type="cellIs" dxfId="1" priority="3935" operator="greaterThan">
      <formula>0</formula>
    </cfRule>
    <cfRule type="cellIs" dxfId="0" priority="3925" operator="lessThan">
      <formula>0</formula>
    </cfRule>
  </conditionalFormatting>
  <conditionalFormatting sqref="FI6">
    <cfRule type="cellIs" dxfId="5" priority="3875" operator="greaterThan">
      <formula>1</formula>
    </cfRule>
    <cfRule type="cellIs" dxfId="6" priority="3865" operator="lessThan">
      <formula>0</formula>
    </cfRule>
    <cfRule type="cellIs" dxfId="1" priority="3855" operator="greaterThan">
      <formula>0</formula>
    </cfRule>
    <cfRule type="cellIs" dxfId="0" priority="3845" operator="lessThan">
      <formula>0</formula>
    </cfRule>
    <cfRule type="cellIs" dxfId="1" priority="3835" operator="greaterThan">
      <formula>0</formula>
    </cfRule>
    <cfRule type="cellIs" dxfId="0" priority="3825" operator="lessThan">
      <formula>0</formula>
    </cfRule>
  </conditionalFormatting>
  <conditionalFormatting sqref="FJ6">
    <cfRule type="cellIs" dxfId="4" priority="3815" operator="lessThan">
      <formula>0</formula>
    </cfRule>
    <cfRule type="cellIs" dxfId="0" priority="3805" operator="lessThan">
      <formula>0</formula>
    </cfRule>
    <cfRule type="cellIs" dxfId="0" priority="3795" operator="lessThan">
      <formula>-1</formula>
    </cfRule>
  </conditionalFormatting>
  <conditionalFormatting sqref="GH6">
    <cfRule type="cellIs" dxfId="1" priority="3440" operator="greaterThan">
      <formula>0</formula>
    </cfRule>
    <cfRule type="cellIs" dxfId="0" priority="3430" operator="lessThan">
      <formula>0</formula>
    </cfRule>
  </conditionalFormatting>
  <conditionalFormatting sqref="GI6">
    <cfRule type="cellIs" dxfId="1" priority="3380" operator="greaterThan">
      <formula>0</formula>
    </cfRule>
    <cfRule type="cellIs" dxfId="0" priority="3370" operator="lessThan">
      <formula>0</formula>
    </cfRule>
  </conditionalFormatting>
  <conditionalFormatting sqref="GJ6">
    <cfRule type="cellIs" dxfId="1" priority="3250" operator="greaterThan">
      <formula>0</formula>
    </cfRule>
    <cfRule type="cellIs" dxfId="0" priority="3240" operator="lessThan">
      <formula>0</formula>
    </cfRule>
  </conditionalFormatting>
  <conditionalFormatting sqref="GO6">
    <cfRule type="cellIs" dxfId="1" priority="3270" operator="greaterThan">
      <formula>0</formula>
    </cfRule>
    <cfRule type="cellIs" dxfId="0" priority="3260" operator="lessThan">
      <formula>0</formula>
    </cfRule>
  </conditionalFormatting>
  <conditionalFormatting sqref="GP6">
    <cfRule type="cellIs" dxfId="1" priority="3400" operator="greaterThan">
      <formula>0</formula>
    </cfRule>
    <cfRule type="cellIs" dxfId="0" priority="3390" operator="lessThan">
      <formula>0</formula>
    </cfRule>
  </conditionalFormatting>
  <conditionalFormatting sqref="GQ6">
    <cfRule type="cellIs" dxfId="1" priority="3420" operator="greaterThan">
      <formula>0</formula>
    </cfRule>
    <cfRule type="cellIs" dxfId="0" priority="3410" operator="lessThan">
      <formula>0</formula>
    </cfRule>
  </conditionalFormatting>
  <conditionalFormatting sqref="GR6">
    <cfRule type="cellIs" dxfId="5" priority="3360" operator="greaterThan">
      <formula>1</formula>
    </cfRule>
    <cfRule type="cellIs" dxfId="6" priority="3350" operator="lessThan">
      <formula>0</formula>
    </cfRule>
    <cfRule type="cellIs" dxfId="1" priority="3340" operator="greaterThan">
      <formula>0</formula>
    </cfRule>
    <cfRule type="cellIs" dxfId="0" priority="3330" operator="lessThan">
      <formula>0</formula>
    </cfRule>
    <cfRule type="cellIs" dxfId="1" priority="3320" operator="greaterThan">
      <formula>0</formula>
    </cfRule>
    <cfRule type="cellIs" dxfId="0" priority="3310" operator="lessThan">
      <formula>0</formula>
    </cfRule>
  </conditionalFormatting>
  <conditionalFormatting sqref="GS6">
    <cfRule type="cellIs" dxfId="4" priority="3300" operator="lessThan">
      <formula>0</formula>
    </cfRule>
    <cfRule type="cellIs" dxfId="0" priority="3290" operator="lessThan">
      <formula>0</formula>
    </cfRule>
    <cfRule type="cellIs" dxfId="0" priority="3280" operator="lessThan">
      <formula>-1</formula>
    </cfRule>
  </conditionalFormatting>
  <conditionalFormatting sqref="HP6">
    <cfRule type="cellIs" dxfId="1" priority="2896" operator="greaterThan">
      <formula>0</formula>
    </cfRule>
    <cfRule type="cellIs" dxfId="0" priority="2886" operator="lessThan">
      <formula>0</formula>
    </cfRule>
  </conditionalFormatting>
  <conditionalFormatting sqref="HQ6">
    <cfRule type="cellIs" dxfId="1" priority="2836" operator="greaterThan">
      <formula>0</formula>
    </cfRule>
    <cfRule type="cellIs" dxfId="0" priority="2826" operator="lessThan">
      <formula>0</formula>
    </cfRule>
  </conditionalFormatting>
  <conditionalFormatting sqref="HR6">
    <cfRule type="cellIs" dxfId="1" priority="2706" operator="greaterThan">
      <formula>0</formula>
    </cfRule>
    <cfRule type="cellIs" dxfId="0" priority="2696" operator="lessThan">
      <formula>0</formula>
    </cfRule>
  </conditionalFormatting>
  <conditionalFormatting sqref="HW6">
    <cfRule type="cellIs" dxfId="1" priority="2726" operator="greaterThan">
      <formula>0</formula>
    </cfRule>
    <cfRule type="cellIs" dxfId="0" priority="2716" operator="lessThan">
      <formula>0</formula>
    </cfRule>
  </conditionalFormatting>
  <conditionalFormatting sqref="HX6">
    <cfRule type="cellIs" dxfId="1" priority="2856" operator="greaterThan">
      <formula>0</formula>
    </cfRule>
    <cfRule type="cellIs" dxfId="0" priority="2846" operator="lessThan">
      <formula>0</formula>
    </cfRule>
  </conditionalFormatting>
  <conditionalFormatting sqref="HY6">
    <cfRule type="cellIs" dxfId="1" priority="2876" operator="greaterThan">
      <formula>0</formula>
    </cfRule>
    <cfRule type="cellIs" dxfId="0" priority="2866" operator="lessThan">
      <formula>0</formula>
    </cfRule>
  </conditionalFormatting>
  <conditionalFormatting sqref="HZ6">
    <cfRule type="cellIs" dxfId="5" priority="2816" operator="greaterThan">
      <formula>1</formula>
    </cfRule>
    <cfRule type="cellIs" dxfId="6" priority="2806" operator="lessThan">
      <formula>0</formula>
    </cfRule>
    <cfRule type="cellIs" dxfId="1" priority="2796" operator="greaterThan">
      <formula>0</formula>
    </cfRule>
    <cfRule type="cellIs" dxfId="0" priority="2786" operator="lessThan">
      <formula>0</formula>
    </cfRule>
    <cfRule type="cellIs" dxfId="1" priority="2776" operator="greaterThan">
      <formula>0</formula>
    </cfRule>
    <cfRule type="cellIs" dxfId="0" priority="2766" operator="lessThan">
      <formula>0</formula>
    </cfRule>
  </conditionalFormatting>
  <conditionalFormatting sqref="IA6">
    <cfRule type="cellIs" dxfId="4" priority="2756" operator="lessThan">
      <formula>0</formula>
    </cfRule>
    <cfRule type="cellIs" dxfId="0" priority="2746" operator="lessThan">
      <formula>0</formula>
    </cfRule>
    <cfRule type="cellIs" dxfId="0" priority="2736" operator="lessThan">
      <formula>-1</formula>
    </cfRule>
  </conditionalFormatting>
  <conditionalFormatting sqref="IX6">
    <cfRule type="cellIs" dxfId="1" priority="2367" operator="greaterThan">
      <formula>0</formula>
    </cfRule>
    <cfRule type="cellIs" dxfId="0" priority="2355" operator="lessThan">
      <formula>0</formula>
    </cfRule>
  </conditionalFormatting>
  <conditionalFormatting sqref="IY6">
    <cfRule type="cellIs" dxfId="1" priority="2295" operator="greaterThan">
      <formula>0</formula>
    </cfRule>
    <cfRule type="cellIs" dxfId="0" priority="2283" operator="lessThan">
      <formula>0</formula>
    </cfRule>
  </conditionalFormatting>
  <conditionalFormatting sqref="IZ6">
    <cfRule type="cellIs" dxfId="1" priority="2139" operator="greaterThan">
      <formula>0</formula>
    </cfRule>
    <cfRule type="cellIs" dxfId="0" priority="2127" operator="lessThan">
      <formula>0</formula>
    </cfRule>
  </conditionalFormatting>
  <conditionalFormatting sqref="JE6">
    <cfRule type="cellIs" dxfId="1" priority="2163" operator="greaterThan">
      <formula>0</formula>
    </cfRule>
    <cfRule type="cellIs" dxfId="0" priority="2151" operator="lessThan">
      <formula>0</formula>
    </cfRule>
  </conditionalFormatting>
  <conditionalFormatting sqref="JF6">
    <cfRule type="cellIs" dxfId="1" priority="2319" operator="greaterThan">
      <formula>0</formula>
    </cfRule>
    <cfRule type="cellIs" dxfId="0" priority="2307" operator="lessThan">
      <formula>0</formula>
    </cfRule>
  </conditionalFormatting>
  <conditionalFormatting sqref="JG6">
    <cfRule type="cellIs" dxfId="1" priority="2343" operator="greaterThan">
      <formula>0</formula>
    </cfRule>
    <cfRule type="cellIs" dxfId="0" priority="2331" operator="lessThan">
      <formula>0</formula>
    </cfRule>
  </conditionalFormatting>
  <conditionalFormatting sqref="JH6">
    <cfRule type="cellIs" dxfId="5" priority="2271" operator="greaterThan">
      <formula>1</formula>
    </cfRule>
    <cfRule type="cellIs" dxfId="6" priority="2259" operator="lessThan">
      <formula>0</formula>
    </cfRule>
    <cfRule type="cellIs" dxfId="1" priority="2247" operator="greaterThan">
      <formula>0</formula>
    </cfRule>
    <cfRule type="cellIs" dxfId="0" priority="2235" operator="lessThan">
      <formula>0</formula>
    </cfRule>
    <cfRule type="cellIs" dxfId="1" priority="2223" operator="greaterThan">
      <formula>0</formula>
    </cfRule>
    <cfRule type="cellIs" dxfId="0" priority="2211" operator="lessThan">
      <formula>0</formula>
    </cfRule>
  </conditionalFormatting>
  <conditionalFormatting sqref="JI6">
    <cfRule type="cellIs" dxfId="4" priority="2199" operator="lessThan">
      <formula>0</formula>
    </cfRule>
    <cfRule type="cellIs" dxfId="0" priority="2187" operator="lessThan">
      <formula>0</formula>
    </cfRule>
    <cfRule type="cellIs" dxfId="0" priority="2175" operator="lessThan">
      <formula>-1</formula>
    </cfRule>
  </conditionalFormatting>
  <conditionalFormatting sqref="KF6">
    <cfRule type="cellIs" dxfId="1" priority="1590" operator="greaterThan">
      <formula>0</formula>
    </cfRule>
    <cfRule type="cellIs" dxfId="0" priority="1580" operator="lessThan">
      <formula>0</formula>
    </cfRule>
  </conditionalFormatting>
  <conditionalFormatting sqref="KG6">
    <cfRule type="cellIs" dxfId="1" priority="1530" operator="greaterThan">
      <formula>0</formula>
    </cfRule>
    <cfRule type="cellIs" dxfId="0" priority="1520" operator="lessThan">
      <formula>0</formula>
    </cfRule>
  </conditionalFormatting>
  <conditionalFormatting sqref="KH6">
    <cfRule type="cellIs" dxfId="1" priority="1400" operator="greaterThan">
      <formula>0</formula>
    </cfRule>
    <cfRule type="cellIs" dxfId="0" priority="1390" operator="lessThan">
      <formula>0</formula>
    </cfRule>
  </conditionalFormatting>
  <conditionalFormatting sqref="KM6">
    <cfRule type="cellIs" dxfId="1" priority="1420" operator="greaterThan">
      <formula>0</formula>
    </cfRule>
    <cfRule type="cellIs" dxfId="0" priority="1410" operator="lessThan">
      <formula>0</formula>
    </cfRule>
  </conditionalFormatting>
  <conditionalFormatting sqref="KN6">
    <cfRule type="cellIs" dxfId="1" priority="1550" operator="greaterThan">
      <formula>0</formula>
    </cfRule>
    <cfRule type="cellIs" dxfId="0" priority="1540" operator="lessThan">
      <formula>0</formula>
    </cfRule>
  </conditionalFormatting>
  <conditionalFormatting sqref="KO6">
    <cfRule type="cellIs" dxfId="1" priority="1570" operator="greaterThan">
      <formula>0</formula>
    </cfRule>
    <cfRule type="cellIs" dxfId="0" priority="1560" operator="lessThan">
      <formula>0</formula>
    </cfRule>
  </conditionalFormatting>
  <conditionalFormatting sqref="KP6">
    <cfRule type="cellIs" dxfId="5" priority="1510" operator="greaterThan">
      <formula>1</formula>
    </cfRule>
    <cfRule type="cellIs" dxfId="6" priority="1500" operator="lessThan">
      <formula>0</formula>
    </cfRule>
    <cfRule type="cellIs" dxfId="1" priority="1490" operator="greaterThan">
      <formula>0</formula>
    </cfRule>
    <cfRule type="cellIs" dxfId="0" priority="1480" operator="lessThan">
      <formula>0</formula>
    </cfRule>
    <cfRule type="cellIs" dxfId="1" priority="1470" operator="greaterThan">
      <formula>0</formula>
    </cfRule>
    <cfRule type="cellIs" dxfId="0" priority="1460" operator="lessThan">
      <formula>0</formula>
    </cfRule>
  </conditionalFormatting>
  <conditionalFormatting sqref="KQ6">
    <cfRule type="cellIs" dxfId="4" priority="1450" operator="lessThan">
      <formula>0</formula>
    </cfRule>
    <cfRule type="cellIs" dxfId="0" priority="1440" operator="lessThan">
      <formula>0</formula>
    </cfRule>
    <cfRule type="cellIs" dxfId="0" priority="1430" operator="lessThan">
      <formula>-1</formula>
    </cfRule>
  </conditionalFormatting>
  <conditionalFormatting sqref="LF6">
    <cfRule type="cellIs" dxfId="2" priority="738" operator="greaterThan">
      <formula>0</formula>
    </cfRule>
    <cfRule type="cellIs" dxfId="3" priority="731" operator="lessThan">
      <formula>0</formula>
    </cfRule>
  </conditionalFormatting>
  <conditionalFormatting sqref="LN6">
    <cfRule type="cellIs" dxfId="1" priority="899" operator="greaterThan">
      <formula>0</formula>
    </cfRule>
    <cfRule type="cellIs" dxfId="0" priority="892" operator="lessThan">
      <formula>0</formula>
    </cfRule>
  </conditionalFormatting>
  <conditionalFormatting sqref="LO6">
    <cfRule type="cellIs" dxfId="1" priority="857" operator="greaterThan">
      <formula>0</formula>
    </cfRule>
    <cfRule type="cellIs" dxfId="0" priority="850" operator="lessThan">
      <formula>0</formula>
    </cfRule>
  </conditionalFormatting>
  <conditionalFormatting sqref="LP6">
    <cfRule type="cellIs" dxfId="1" priority="766" operator="greaterThan">
      <formula>0</formula>
    </cfRule>
    <cfRule type="cellIs" dxfId="0" priority="759" operator="lessThan">
      <formula>0</formula>
    </cfRule>
  </conditionalFormatting>
  <conditionalFormatting sqref="LU6">
    <cfRule type="cellIs" dxfId="1" priority="780" operator="greaterThan">
      <formula>0</formula>
    </cfRule>
    <cfRule type="cellIs" dxfId="0" priority="773" operator="lessThan">
      <formula>0</formula>
    </cfRule>
  </conditionalFormatting>
  <conditionalFormatting sqref="LV6">
    <cfRule type="cellIs" dxfId="1" priority="871" operator="greaterThan">
      <formula>0</formula>
    </cfRule>
    <cfRule type="cellIs" dxfId="0" priority="864" operator="lessThan">
      <formula>0</formula>
    </cfRule>
  </conditionalFormatting>
  <conditionalFormatting sqref="LW6">
    <cfRule type="cellIs" dxfId="1" priority="885" operator="greaterThan">
      <formula>0</formula>
    </cfRule>
    <cfRule type="cellIs" dxfId="0" priority="878" operator="lessThan">
      <formula>0</formula>
    </cfRule>
  </conditionalFormatting>
  <conditionalFormatting sqref="LX6">
    <cfRule type="cellIs" dxfId="5" priority="843" operator="greaterThan">
      <formula>1</formula>
    </cfRule>
    <cfRule type="cellIs" dxfId="6" priority="836" operator="lessThan">
      <formula>0</formula>
    </cfRule>
    <cfRule type="cellIs" dxfId="1" priority="829" operator="greaterThan">
      <formula>0</formula>
    </cfRule>
    <cfRule type="cellIs" dxfId="0" priority="822" operator="lessThan">
      <formula>0</formula>
    </cfRule>
    <cfRule type="cellIs" dxfId="1" priority="815" operator="greaterThan">
      <formula>0</formula>
    </cfRule>
    <cfRule type="cellIs" dxfId="0" priority="808" operator="lessThan">
      <formula>0</formula>
    </cfRule>
  </conditionalFormatting>
  <conditionalFormatting sqref="LY6">
    <cfRule type="cellIs" dxfId="4" priority="801" operator="lessThan">
      <formula>0</formula>
    </cfRule>
    <cfRule type="cellIs" dxfId="0" priority="794" operator="lessThan">
      <formula>0</formula>
    </cfRule>
    <cfRule type="cellIs" dxfId="0" priority="787" operator="lessThan">
      <formula>-1</formula>
    </cfRule>
  </conditionalFormatting>
  <conditionalFormatting sqref="MN6">
    <cfRule type="cellIs" dxfId="2" priority="525" operator="greaterThan">
      <formula>0</formula>
    </cfRule>
    <cfRule type="cellIs" dxfId="3" priority="518" operator="lessThan">
      <formula>0</formula>
    </cfRule>
  </conditionalFormatting>
  <conditionalFormatting sqref="MV6">
    <cfRule type="cellIs" dxfId="1" priority="686" operator="greaterThan">
      <formula>0</formula>
    </cfRule>
    <cfRule type="cellIs" dxfId="0" priority="679" operator="lessThan">
      <formula>0</formula>
    </cfRule>
  </conditionalFormatting>
  <conditionalFormatting sqref="MW6">
    <cfRule type="cellIs" dxfId="1" priority="644" operator="greaterThan">
      <formula>0</formula>
    </cfRule>
    <cfRule type="cellIs" dxfId="0" priority="637" operator="lessThan">
      <formula>0</formula>
    </cfRule>
  </conditionalFormatting>
  <conditionalFormatting sqref="MX6">
    <cfRule type="cellIs" dxfId="1" priority="553" operator="greaterThan">
      <formula>0</formula>
    </cfRule>
    <cfRule type="cellIs" dxfId="0" priority="546" operator="lessThan">
      <formula>0</formula>
    </cfRule>
  </conditionalFormatting>
  <conditionalFormatting sqref="NC6">
    <cfRule type="cellIs" dxfId="1" priority="567" operator="greaterThan">
      <formula>0</formula>
    </cfRule>
    <cfRule type="cellIs" dxfId="0" priority="560" operator="lessThan">
      <formula>0</formula>
    </cfRule>
  </conditionalFormatting>
  <conditionalFormatting sqref="ND6">
    <cfRule type="cellIs" dxfId="1" priority="658" operator="greaterThan">
      <formula>0</formula>
    </cfRule>
    <cfRule type="cellIs" dxfId="0" priority="651" operator="lessThan">
      <formula>0</formula>
    </cfRule>
  </conditionalFormatting>
  <conditionalFormatting sqref="NE6">
    <cfRule type="cellIs" dxfId="1" priority="672" operator="greaterThan">
      <formula>0</formula>
    </cfRule>
    <cfRule type="cellIs" dxfId="0" priority="665" operator="lessThan">
      <formula>0</formula>
    </cfRule>
  </conditionalFormatting>
  <conditionalFormatting sqref="NF6">
    <cfRule type="cellIs" dxfId="5" priority="630" operator="greaterThan">
      <formula>1</formula>
    </cfRule>
    <cfRule type="cellIs" dxfId="6" priority="623" operator="lessThan">
      <formula>0</formula>
    </cfRule>
    <cfRule type="cellIs" dxfId="1" priority="616" operator="greaterThan">
      <formula>0</formula>
    </cfRule>
    <cfRule type="cellIs" dxfId="0" priority="609" operator="lessThan">
      <formula>0</formula>
    </cfRule>
    <cfRule type="cellIs" dxfId="1" priority="602" operator="greaterThan">
      <formula>0</formula>
    </cfRule>
    <cfRule type="cellIs" dxfId="0" priority="595" operator="lessThan">
      <formula>0</formula>
    </cfRule>
  </conditionalFormatting>
  <conditionalFormatting sqref="NG6">
    <cfRule type="cellIs" dxfId="4" priority="588" operator="lessThan">
      <formula>0</formula>
    </cfRule>
    <cfRule type="cellIs" dxfId="0" priority="581" operator="lessThan">
      <formula>0</formula>
    </cfRule>
    <cfRule type="cellIs" dxfId="0" priority="574" operator="lessThan">
      <formula>-1</formula>
    </cfRule>
  </conditionalFormatting>
  <conditionalFormatting sqref="NN6">
    <cfRule type="cellIs" dxfId="2" priority="99" operator="greaterThan">
      <formula>0</formula>
    </cfRule>
    <cfRule type="cellIs" dxfId="3" priority="98" operator="lessThan">
      <formula>0</formula>
    </cfRule>
  </conditionalFormatting>
  <conditionalFormatting sqref="NV6">
    <cfRule type="cellIs" dxfId="2" priority="91" operator="greaterThan">
      <formula>0</formula>
    </cfRule>
    <cfRule type="cellIs" dxfId="3" priority="90" operator="lessThan">
      <formula>0</formula>
    </cfRule>
  </conditionalFormatting>
  <conditionalFormatting sqref="OD6">
    <cfRule type="cellIs" dxfId="1" priority="291" operator="greaterThan">
      <formula>0</formula>
    </cfRule>
    <cfRule type="cellIs" dxfId="0" priority="284" operator="lessThan">
      <formula>0</formula>
    </cfRule>
  </conditionalFormatting>
  <conditionalFormatting sqref="OE6">
    <cfRule type="cellIs" dxfId="1" priority="249" operator="greaterThan">
      <formula>0</formula>
    </cfRule>
    <cfRule type="cellIs" dxfId="0" priority="242" operator="lessThan">
      <formula>0</formula>
    </cfRule>
  </conditionalFormatting>
  <conditionalFormatting sqref="OF6">
    <cfRule type="cellIs" dxfId="1" priority="158" operator="greaterThan">
      <formula>0</formula>
    </cfRule>
    <cfRule type="cellIs" dxfId="0" priority="151" operator="lessThan">
      <formula>0</formula>
    </cfRule>
  </conditionalFormatting>
  <conditionalFormatting sqref="OK6">
    <cfRule type="cellIs" dxfId="1" priority="172" operator="greaterThan">
      <formula>0</formula>
    </cfRule>
    <cfRule type="cellIs" dxfId="0" priority="165" operator="lessThan">
      <formula>0</formula>
    </cfRule>
  </conditionalFormatting>
  <conditionalFormatting sqref="OL6">
    <cfRule type="cellIs" dxfId="1" priority="263" operator="greaterThan">
      <formula>0</formula>
    </cfRule>
    <cfRule type="cellIs" dxfId="0" priority="256" operator="lessThan">
      <formula>0</formula>
    </cfRule>
  </conditionalFormatting>
  <conditionalFormatting sqref="OM6">
    <cfRule type="cellIs" dxfId="1" priority="277" operator="greaterThan">
      <formula>0</formula>
    </cfRule>
    <cfRule type="cellIs" dxfId="0" priority="270" operator="lessThan">
      <formula>0</formula>
    </cfRule>
  </conditionalFormatting>
  <conditionalFormatting sqref="ON6">
    <cfRule type="cellIs" dxfId="5" priority="235" operator="greaterThan">
      <formula>1</formula>
    </cfRule>
    <cfRule type="cellIs" dxfId="6" priority="228" operator="lessThan">
      <formula>0</formula>
    </cfRule>
    <cfRule type="cellIs" dxfId="1" priority="221" operator="greaterThan">
      <formula>0</formula>
    </cfRule>
    <cfRule type="cellIs" dxfId="0" priority="214" operator="lessThan">
      <formula>0</formula>
    </cfRule>
    <cfRule type="cellIs" dxfId="1" priority="207" operator="greaterThan">
      <formula>0</formula>
    </cfRule>
    <cfRule type="cellIs" dxfId="0" priority="200" operator="lessThan">
      <formula>0</formula>
    </cfRule>
  </conditionalFormatting>
  <conditionalFormatting sqref="OO6">
    <cfRule type="cellIs" dxfId="4" priority="193" operator="lessThan">
      <formula>0</formula>
    </cfRule>
    <cfRule type="cellIs" dxfId="0" priority="186" operator="lessThan">
      <formula>0</formula>
    </cfRule>
    <cfRule type="cellIs" dxfId="0" priority="179" operator="lessThan">
      <formula>-1</formula>
    </cfRule>
  </conditionalFormatting>
  <conditionalFormatting sqref="W7">
    <cfRule type="cellIs" dxfId="1" priority="6247" operator="greaterThan">
      <formula>0</formula>
    </cfRule>
    <cfRule type="cellIs" dxfId="0" priority="6246" operator="lessThan">
      <formula>0</formula>
    </cfRule>
  </conditionalFormatting>
  <conditionalFormatting sqref="BD7">
    <cfRule type="cellIs" dxfId="1" priority="5872" operator="greaterThan">
      <formula>0</formula>
    </cfRule>
    <cfRule type="cellIs" dxfId="0" priority="5871" operator="lessThan">
      <formula>0</formula>
    </cfRule>
  </conditionalFormatting>
  <conditionalFormatting sqref="CK7">
    <cfRule type="cellIs" dxfId="1" priority="5145" operator="greaterThan">
      <formula>0</formula>
    </cfRule>
    <cfRule type="cellIs" dxfId="0" priority="5144" operator="lessThan">
      <formula>0</formula>
    </cfRule>
  </conditionalFormatting>
  <conditionalFormatting sqref="DR7">
    <cfRule type="cellIs" dxfId="1" priority="4756" operator="greaterThan">
      <formula>0</formula>
    </cfRule>
    <cfRule type="cellIs" dxfId="0" priority="4755" operator="lessThan">
      <formula>0</formula>
    </cfRule>
  </conditionalFormatting>
  <conditionalFormatting sqref="EY7">
    <cfRule type="cellIs" dxfId="1" priority="3954" operator="greaterThan">
      <formula>0</formula>
    </cfRule>
    <cfRule type="cellIs" dxfId="0" priority="3944" operator="lessThan">
      <formula>0</formula>
    </cfRule>
  </conditionalFormatting>
  <conditionalFormatting sqref="EZ7">
    <cfRule type="cellIs" dxfId="1" priority="3894" operator="greaterThan">
      <formula>0</formula>
    </cfRule>
    <cfRule type="cellIs" dxfId="0" priority="3884" operator="lessThan">
      <formula>0</formula>
    </cfRule>
  </conditionalFormatting>
  <conditionalFormatting sqref="FA7">
    <cfRule type="cellIs" dxfId="1" priority="3764" operator="greaterThan">
      <formula>0</formula>
    </cfRule>
    <cfRule type="cellIs" dxfId="0" priority="3754" operator="lessThan">
      <formula>0</formula>
    </cfRule>
  </conditionalFormatting>
  <conditionalFormatting sqref="FF7">
    <cfRule type="cellIs" dxfId="1" priority="3784" operator="greaterThan">
      <formula>0</formula>
    </cfRule>
    <cfRule type="cellIs" dxfId="0" priority="3774" operator="lessThan">
      <formula>0</formula>
    </cfRule>
  </conditionalFormatting>
  <conditionalFormatting sqref="FG7">
    <cfRule type="cellIs" dxfId="1" priority="3914" operator="greaterThan">
      <formula>0</formula>
    </cfRule>
    <cfRule type="cellIs" dxfId="0" priority="3904" operator="lessThan">
      <formula>0</formula>
    </cfRule>
  </conditionalFormatting>
  <conditionalFormatting sqref="FH7">
    <cfRule type="cellIs" dxfId="1" priority="3934" operator="greaterThan">
      <formula>0</formula>
    </cfRule>
    <cfRule type="cellIs" dxfId="0" priority="3924" operator="lessThan">
      <formula>0</formula>
    </cfRule>
  </conditionalFormatting>
  <conditionalFormatting sqref="FI7">
    <cfRule type="cellIs" dxfId="5" priority="3874" operator="greaterThan">
      <formula>1</formula>
    </cfRule>
    <cfRule type="cellIs" dxfId="6" priority="3864" operator="lessThan">
      <formula>0</formula>
    </cfRule>
    <cfRule type="cellIs" dxfId="1" priority="3854" operator="greaterThan">
      <formula>0</formula>
    </cfRule>
    <cfRule type="cellIs" dxfId="0" priority="3844" operator="lessThan">
      <formula>0</formula>
    </cfRule>
    <cfRule type="cellIs" dxfId="1" priority="3834" operator="greaterThan">
      <formula>0</formula>
    </cfRule>
    <cfRule type="cellIs" dxfId="0" priority="3824" operator="lessThan">
      <formula>0</formula>
    </cfRule>
  </conditionalFormatting>
  <conditionalFormatting sqref="FJ7">
    <cfRule type="cellIs" dxfId="4" priority="3814" operator="lessThan">
      <formula>0</formula>
    </cfRule>
    <cfRule type="cellIs" dxfId="0" priority="3804" operator="lessThan">
      <formula>0</formula>
    </cfRule>
    <cfRule type="cellIs" dxfId="0" priority="3794" operator="lessThan">
      <formula>-1</formula>
    </cfRule>
  </conditionalFormatting>
  <conditionalFormatting sqref="GH7">
    <cfRule type="cellIs" dxfId="1" priority="3439" operator="greaterThan">
      <formula>0</formula>
    </cfRule>
    <cfRule type="cellIs" dxfId="0" priority="3429" operator="lessThan">
      <formula>0</formula>
    </cfRule>
  </conditionalFormatting>
  <conditionalFormatting sqref="GI7">
    <cfRule type="cellIs" dxfId="1" priority="3379" operator="greaterThan">
      <formula>0</formula>
    </cfRule>
    <cfRule type="cellIs" dxfId="0" priority="3369" operator="lessThan">
      <formula>0</formula>
    </cfRule>
  </conditionalFormatting>
  <conditionalFormatting sqref="GJ7">
    <cfRule type="cellIs" dxfId="1" priority="3249" operator="greaterThan">
      <formula>0</formula>
    </cfRule>
    <cfRule type="cellIs" dxfId="0" priority="3239" operator="lessThan">
      <formula>0</formula>
    </cfRule>
  </conditionalFormatting>
  <conditionalFormatting sqref="GO7">
    <cfRule type="cellIs" dxfId="1" priority="3269" operator="greaterThan">
      <formula>0</formula>
    </cfRule>
    <cfRule type="cellIs" dxfId="0" priority="3259" operator="lessThan">
      <formula>0</formula>
    </cfRule>
  </conditionalFormatting>
  <conditionalFormatting sqref="GP7">
    <cfRule type="cellIs" dxfId="1" priority="3399" operator="greaterThan">
      <formula>0</formula>
    </cfRule>
    <cfRule type="cellIs" dxfId="0" priority="3389" operator="lessThan">
      <formula>0</formula>
    </cfRule>
  </conditionalFormatting>
  <conditionalFormatting sqref="GQ7">
    <cfRule type="cellIs" dxfId="1" priority="3419" operator="greaterThan">
      <formula>0</formula>
    </cfRule>
    <cfRule type="cellIs" dxfId="0" priority="3409" operator="lessThan">
      <formula>0</formula>
    </cfRule>
  </conditionalFormatting>
  <conditionalFormatting sqref="GR7">
    <cfRule type="cellIs" dxfId="5" priority="3359" operator="greaterThan">
      <formula>1</formula>
    </cfRule>
    <cfRule type="cellIs" dxfId="6" priority="3349" operator="lessThan">
      <formula>0</formula>
    </cfRule>
    <cfRule type="cellIs" dxfId="1" priority="3339" operator="greaterThan">
      <formula>0</formula>
    </cfRule>
    <cfRule type="cellIs" dxfId="0" priority="3329" operator="lessThan">
      <formula>0</formula>
    </cfRule>
    <cfRule type="cellIs" dxfId="1" priority="3319" operator="greaterThan">
      <formula>0</formula>
    </cfRule>
    <cfRule type="cellIs" dxfId="0" priority="3309" operator="lessThan">
      <formula>0</formula>
    </cfRule>
  </conditionalFormatting>
  <conditionalFormatting sqref="GS7">
    <cfRule type="cellIs" dxfId="4" priority="3299" operator="lessThan">
      <formula>0</formula>
    </cfRule>
    <cfRule type="cellIs" dxfId="0" priority="3289" operator="lessThan">
      <formula>0</formula>
    </cfRule>
    <cfRule type="cellIs" dxfId="0" priority="3279" operator="lessThan">
      <formula>-1</formula>
    </cfRule>
  </conditionalFormatting>
  <conditionalFormatting sqref="HP7">
    <cfRule type="cellIs" dxfId="1" priority="2895" operator="greaterThan">
      <formula>0</formula>
    </cfRule>
    <cfRule type="cellIs" dxfId="0" priority="2885" operator="lessThan">
      <formula>0</formula>
    </cfRule>
  </conditionalFormatting>
  <conditionalFormatting sqref="HQ7">
    <cfRule type="cellIs" dxfId="1" priority="2835" operator="greaterThan">
      <formula>0</formula>
    </cfRule>
    <cfRule type="cellIs" dxfId="0" priority="2825" operator="lessThan">
      <formula>0</formula>
    </cfRule>
  </conditionalFormatting>
  <conditionalFormatting sqref="HR7">
    <cfRule type="cellIs" dxfId="1" priority="2705" operator="greaterThan">
      <formula>0</formula>
    </cfRule>
    <cfRule type="cellIs" dxfId="0" priority="2695" operator="lessThan">
      <formula>0</formula>
    </cfRule>
  </conditionalFormatting>
  <conditionalFormatting sqref="HW7">
    <cfRule type="cellIs" dxfId="1" priority="2725" operator="greaterThan">
      <formula>0</formula>
    </cfRule>
    <cfRule type="cellIs" dxfId="0" priority="2715" operator="lessThan">
      <formula>0</formula>
    </cfRule>
  </conditionalFormatting>
  <conditionalFormatting sqref="HX7">
    <cfRule type="cellIs" dxfId="1" priority="2855" operator="greaterThan">
      <formula>0</formula>
    </cfRule>
    <cfRule type="cellIs" dxfId="0" priority="2845" operator="lessThan">
      <formula>0</formula>
    </cfRule>
  </conditionalFormatting>
  <conditionalFormatting sqref="HY7">
    <cfRule type="cellIs" dxfId="1" priority="2875" operator="greaterThan">
      <formula>0</formula>
    </cfRule>
    <cfRule type="cellIs" dxfId="0" priority="2865" operator="lessThan">
      <formula>0</formula>
    </cfRule>
  </conditionalFormatting>
  <conditionalFormatting sqref="HZ7">
    <cfRule type="cellIs" dxfId="5" priority="2815" operator="greaterThan">
      <formula>1</formula>
    </cfRule>
    <cfRule type="cellIs" dxfId="6" priority="2805" operator="lessThan">
      <formula>0</formula>
    </cfRule>
    <cfRule type="cellIs" dxfId="1" priority="2795" operator="greaterThan">
      <formula>0</formula>
    </cfRule>
    <cfRule type="cellIs" dxfId="0" priority="2785" operator="lessThan">
      <formula>0</formula>
    </cfRule>
    <cfRule type="cellIs" dxfId="1" priority="2775" operator="greaterThan">
      <formula>0</formula>
    </cfRule>
    <cfRule type="cellIs" dxfId="0" priority="2765" operator="lessThan">
      <formula>0</formula>
    </cfRule>
  </conditionalFormatting>
  <conditionalFormatting sqref="IA7">
    <cfRule type="cellIs" dxfId="4" priority="2755" operator="lessThan">
      <formula>0</formula>
    </cfRule>
    <cfRule type="cellIs" dxfId="0" priority="2745" operator="lessThan">
      <formula>0</formula>
    </cfRule>
    <cfRule type="cellIs" dxfId="0" priority="2735" operator="lessThan">
      <formula>-1</formula>
    </cfRule>
  </conditionalFormatting>
  <conditionalFormatting sqref="IX7">
    <cfRule type="cellIs" dxfId="1" priority="2366" operator="greaterThan">
      <formula>0</formula>
    </cfRule>
    <cfRule type="cellIs" dxfId="0" priority="2354" operator="lessThan">
      <formula>0</formula>
    </cfRule>
  </conditionalFormatting>
  <conditionalFormatting sqref="IY7">
    <cfRule type="cellIs" dxfId="1" priority="2294" operator="greaterThan">
      <formula>0</formula>
    </cfRule>
    <cfRule type="cellIs" dxfId="0" priority="2282" operator="lessThan">
      <formula>0</formula>
    </cfRule>
  </conditionalFormatting>
  <conditionalFormatting sqref="IZ7">
    <cfRule type="cellIs" dxfId="1" priority="2138" operator="greaterThan">
      <formula>0</formula>
    </cfRule>
    <cfRule type="cellIs" dxfId="0" priority="2126" operator="lessThan">
      <formula>0</formula>
    </cfRule>
  </conditionalFormatting>
  <conditionalFormatting sqref="JE7">
    <cfRule type="cellIs" dxfId="1" priority="2162" operator="greaterThan">
      <formula>0</formula>
    </cfRule>
    <cfRule type="cellIs" dxfId="0" priority="2150" operator="lessThan">
      <formula>0</formula>
    </cfRule>
  </conditionalFormatting>
  <conditionalFormatting sqref="JF7">
    <cfRule type="cellIs" dxfId="1" priority="2318" operator="greaterThan">
      <formula>0</formula>
    </cfRule>
    <cfRule type="cellIs" dxfId="0" priority="2306" operator="lessThan">
      <formula>0</formula>
    </cfRule>
  </conditionalFormatting>
  <conditionalFormatting sqref="JG7">
    <cfRule type="cellIs" dxfId="1" priority="2342" operator="greaterThan">
      <formula>0</formula>
    </cfRule>
    <cfRule type="cellIs" dxfId="0" priority="2330" operator="lessThan">
      <formula>0</formula>
    </cfRule>
  </conditionalFormatting>
  <conditionalFormatting sqref="JH7">
    <cfRule type="cellIs" dxfId="5" priority="2270" operator="greaterThan">
      <formula>1</formula>
    </cfRule>
    <cfRule type="cellIs" dxfId="6" priority="2258" operator="lessThan">
      <formula>0</formula>
    </cfRule>
    <cfRule type="cellIs" dxfId="1" priority="2246" operator="greaterThan">
      <formula>0</formula>
    </cfRule>
    <cfRule type="cellIs" dxfId="0" priority="2234" operator="lessThan">
      <formula>0</formula>
    </cfRule>
    <cfRule type="cellIs" dxfId="1" priority="2222" operator="greaterThan">
      <formula>0</formula>
    </cfRule>
    <cfRule type="cellIs" dxfId="0" priority="2210" operator="lessThan">
      <formula>0</formula>
    </cfRule>
  </conditionalFormatting>
  <conditionalFormatting sqref="JI7">
    <cfRule type="cellIs" dxfId="4" priority="2198" operator="lessThan">
      <formula>0</formula>
    </cfRule>
    <cfRule type="cellIs" dxfId="0" priority="2186" operator="lessThan">
      <formula>0</formula>
    </cfRule>
    <cfRule type="cellIs" dxfId="0" priority="2174" operator="lessThan">
      <formula>-1</formula>
    </cfRule>
  </conditionalFormatting>
  <conditionalFormatting sqref="KF7">
    <cfRule type="cellIs" dxfId="1" priority="1589" operator="greaterThan">
      <formula>0</formula>
    </cfRule>
    <cfRule type="cellIs" dxfId="0" priority="1579" operator="lessThan">
      <formula>0</formula>
    </cfRule>
  </conditionalFormatting>
  <conditionalFormatting sqref="KG7">
    <cfRule type="cellIs" dxfId="1" priority="1529" operator="greaterThan">
      <formula>0</formula>
    </cfRule>
    <cfRule type="cellIs" dxfId="0" priority="1519" operator="lessThan">
      <formula>0</formula>
    </cfRule>
  </conditionalFormatting>
  <conditionalFormatting sqref="KH7">
    <cfRule type="cellIs" dxfId="1" priority="1399" operator="greaterThan">
      <formula>0</formula>
    </cfRule>
    <cfRule type="cellIs" dxfId="0" priority="1389" operator="lessThan">
      <formula>0</formula>
    </cfRule>
  </conditionalFormatting>
  <conditionalFormatting sqref="KM7">
    <cfRule type="cellIs" dxfId="1" priority="1419" operator="greaterThan">
      <formula>0</formula>
    </cfRule>
    <cfRule type="cellIs" dxfId="0" priority="1409" operator="lessThan">
      <formula>0</formula>
    </cfRule>
  </conditionalFormatting>
  <conditionalFormatting sqref="KN7">
    <cfRule type="cellIs" dxfId="1" priority="1549" operator="greaterThan">
      <formula>0</formula>
    </cfRule>
    <cfRule type="cellIs" dxfId="0" priority="1539" operator="lessThan">
      <formula>0</formula>
    </cfRule>
  </conditionalFormatting>
  <conditionalFormatting sqref="KO7">
    <cfRule type="cellIs" dxfId="1" priority="1569" operator="greaterThan">
      <formula>0</formula>
    </cfRule>
    <cfRule type="cellIs" dxfId="0" priority="1559" operator="lessThan">
      <formula>0</formula>
    </cfRule>
  </conditionalFormatting>
  <conditionalFormatting sqref="KP7">
    <cfRule type="cellIs" dxfId="5" priority="1509" operator="greaterThan">
      <formula>1</formula>
    </cfRule>
    <cfRule type="cellIs" dxfId="6" priority="1499" operator="lessThan">
      <formula>0</formula>
    </cfRule>
    <cfRule type="cellIs" dxfId="1" priority="1489" operator="greaterThan">
      <formula>0</formula>
    </cfRule>
    <cfRule type="cellIs" dxfId="0" priority="1479" operator="lessThan">
      <formula>0</formula>
    </cfRule>
    <cfRule type="cellIs" dxfId="1" priority="1469" operator="greaterThan">
      <formula>0</formula>
    </cfRule>
    <cfRule type="cellIs" dxfId="0" priority="1459" operator="lessThan">
      <formula>0</formula>
    </cfRule>
  </conditionalFormatting>
  <conditionalFormatting sqref="KQ7">
    <cfRule type="cellIs" dxfId="4" priority="1449" operator="lessThan">
      <formula>0</formula>
    </cfRule>
    <cfRule type="cellIs" dxfId="0" priority="1439" operator="lessThan">
      <formula>0</formula>
    </cfRule>
    <cfRule type="cellIs" dxfId="0" priority="1429" operator="lessThan">
      <formula>-1</formula>
    </cfRule>
  </conditionalFormatting>
  <conditionalFormatting sqref="LF7">
    <cfRule type="cellIs" dxfId="2" priority="737" operator="greaterThan">
      <formula>0</formula>
    </cfRule>
    <cfRule type="cellIs" dxfId="3" priority="730" operator="lessThan">
      <formula>0</formula>
    </cfRule>
  </conditionalFormatting>
  <conditionalFormatting sqref="LN7">
    <cfRule type="cellIs" dxfId="1" priority="898" operator="greaterThan">
      <formula>0</formula>
    </cfRule>
    <cfRule type="cellIs" dxfId="0" priority="891" operator="lessThan">
      <formula>0</formula>
    </cfRule>
  </conditionalFormatting>
  <conditionalFormatting sqref="LO7">
    <cfRule type="cellIs" dxfId="1" priority="856" operator="greaterThan">
      <formula>0</formula>
    </cfRule>
    <cfRule type="cellIs" dxfId="0" priority="849" operator="lessThan">
      <formula>0</formula>
    </cfRule>
  </conditionalFormatting>
  <conditionalFormatting sqref="LP7">
    <cfRule type="cellIs" dxfId="1" priority="765" operator="greaterThan">
      <formula>0</formula>
    </cfRule>
    <cfRule type="cellIs" dxfId="0" priority="758" operator="lessThan">
      <formula>0</formula>
    </cfRule>
  </conditionalFormatting>
  <conditionalFormatting sqref="LU7">
    <cfRule type="cellIs" dxfId="1" priority="779" operator="greaterThan">
      <formula>0</formula>
    </cfRule>
    <cfRule type="cellIs" dxfId="0" priority="772" operator="lessThan">
      <formula>0</formula>
    </cfRule>
  </conditionalFormatting>
  <conditionalFormatting sqref="LV7">
    <cfRule type="cellIs" dxfId="1" priority="870" operator="greaterThan">
      <formula>0</formula>
    </cfRule>
    <cfRule type="cellIs" dxfId="0" priority="863" operator="lessThan">
      <formula>0</formula>
    </cfRule>
  </conditionalFormatting>
  <conditionalFormatting sqref="LW7">
    <cfRule type="cellIs" dxfId="1" priority="884" operator="greaterThan">
      <formula>0</formula>
    </cfRule>
    <cfRule type="cellIs" dxfId="0" priority="877" operator="lessThan">
      <formula>0</formula>
    </cfRule>
  </conditionalFormatting>
  <conditionalFormatting sqref="LX7">
    <cfRule type="cellIs" dxfId="5" priority="842" operator="greaterThan">
      <formula>1</formula>
    </cfRule>
    <cfRule type="cellIs" dxfId="6" priority="835" operator="lessThan">
      <formula>0</formula>
    </cfRule>
    <cfRule type="cellIs" dxfId="1" priority="828" operator="greaterThan">
      <formula>0</formula>
    </cfRule>
    <cfRule type="cellIs" dxfId="0" priority="821" operator="lessThan">
      <formula>0</formula>
    </cfRule>
    <cfRule type="cellIs" dxfId="1" priority="814" operator="greaterThan">
      <formula>0</formula>
    </cfRule>
    <cfRule type="cellIs" dxfId="0" priority="807" operator="lessThan">
      <formula>0</formula>
    </cfRule>
  </conditionalFormatting>
  <conditionalFormatting sqref="LY7">
    <cfRule type="cellIs" dxfId="4" priority="800" operator="lessThan">
      <formula>0</formula>
    </cfRule>
    <cfRule type="cellIs" dxfId="0" priority="793" operator="lessThan">
      <formula>0</formula>
    </cfRule>
    <cfRule type="cellIs" dxfId="0" priority="786" operator="lessThan">
      <formula>-1</formula>
    </cfRule>
  </conditionalFormatting>
  <conditionalFormatting sqref="MN7">
    <cfRule type="cellIs" dxfId="2" priority="524" operator="greaterThan">
      <formula>0</formula>
    </cfRule>
    <cfRule type="cellIs" dxfId="3" priority="517" operator="lessThan">
      <formula>0</formula>
    </cfRule>
  </conditionalFormatting>
  <conditionalFormatting sqref="MV7">
    <cfRule type="cellIs" dxfId="1" priority="685" operator="greaterThan">
      <formula>0</formula>
    </cfRule>
    <cfRule type="cellIs" dxfId="0" priority="678" operator="lessThan">
      <formula>0</formula>
    </cfRule>
  </conditionalFormatting>
  <conditionalFormatting sqref="MW7">
    <cfRule type="cellIs" dxfId="1" priority="643" operator="greaterThan">
      <formula>0</formula>
    </cfRule>
    <cfRule type="cellIs" dxfId="0" priority="636" operator="lessThan">
      <formula>0</formula>
    </cfRule>
  </conditionalFormatting>
  <conditionalFormatting sqref="MX7">
    <cfRule type="cellIs" dxfId="1" priority="552" operator="greaterThan">
      <formula>0</formula>
    </cfRule>
    <cfRule type="cellIs" dxfId="0" priority="545" operator="lessThan">
      <formula>0</formula>
    </cfRule>
  </conditionalFormatting>
  <conditionalFormatting sqref="NC7">
    <cfRule type="cellIs" dxfId="1" priority="566" operator="greaterThan">
      <formula>0</formula>
    </cfRule>
    <cfRule type="cellIs" dxfId="0" priority="559" operator="lessThan">
      <formula>0</formula>
    </cfRule>
  </conditionalFormatting>
  <conditionalFormatting sqref="ND7">
    <cfRule type="cellIs" dxfId="1" priority="657" operator="greaterThan">
      <formula>0</formula>
    </cfRule>
    <cfRule type="cellIs" dxfId="0" priority="650" operator="lessThan">
      <formula>0</formula>
    </cfRule>
  </conditionalFormatting>
  <conditionalFormatting sqref="NE7">
    <cfRule type="cellIs" dxfId="1" priority="671" operator="greaterThan">
      <formula>0</formula>
    </cfRule>
    <cfRule type="cellIs" dxfId="0" priority="664" operator="lessThan">
      <formula>0</formula>
    </cfRule>
  </conditionalFormatting>
  <conditionalFormatting sqref="NF7">
    <cfRule type="cellIs" dxfId="5" priority="629" operator="greaterThan">
      <formula>1</formula>
    </cfRule>
    <cfRule type="cellIs" dxfId="6" priority="622" operator="lessThan">
      <formula>0</formula>
    </cfRule>
    <cfRule type="cellIs" dxfId="1" priority="615" operator="greaterThan">
      <formula>0</formula>
    </cfRule>
    <cfRule type="cellIs" dxfId="0" priority="608" operator="lessThan">
      <formula>0</formula>
    </cfRule>
    <cfRule type="cellIs" dxfId="1" priority="601" operator="greaterThan">
      <formula>0</formula>
    </cfRule>
    <cfRule type="cellIs" dxfId="0" priority="594" operator="lessThan">
      <formula>0</formula>
    </cfRule>
  </conditionalFormatting>
  <conditionalFormatting sqref="NG7">
    <cfRule type="cellIs" dxfId="4" priority="587" operator="lessThan">
      <formula>0</formula>
    </cfRule>
    <cfRule type="cellIs" dxfId="0" priority="580" operator="lessThan">
      <formula>0</formula>
    </cfRule>
    <cfRule type="cellIs" dxfId="0" priority="573" operator="lessThan">
      <formula>-1</formula>
    </cfRule>
  </conditionalFormatting>
  <conditionalFormatting sqref="NN7">
    <cfRule type="cellIs" dxfId="2" priority="97" operator="greaterThan">
      <formula>0</formula>
    </cfRule>
    <cfRule type="cellIs" dxfId="3" priority="96" operator="lessThan">
      <formula>0</formula>
    </cfRule>
  </conditionalFormatting>
  <conditionalFormatting sqref="NV7">
    <cfRule type="cellIs" dxfId="2" priority="89" operator="greaterThan">
      <formula>0</formula>
    </cfRule>
    <cfRule type="cellIs" dxfId="3" priority="88" operator="lessThan">
      <formula>0</formula>
    </cfRule>
  </conditionalFormatting>
  <conditionalFormatting sqref="OD7">
    <cfRule type="cellIs" dxfId="1" priority="290" operator="greaterThan">
      <formula>0</formula>
    </cfRule>
    <cfRule type="cellIs" dxfId="0" priority="283" operator="lessThan">
      <formula>0</formula>
    </cfRule>
  </conditionalFormatting>
  <conditionalFormatting sqref="OE7">
    <cfRule type="cellIs" dxfId="1" priority="248" operator="greaterThan">
      <formula>0</formula>
    </cfRule>
    <cfRule type="cellIs" dxfId="0" priority="241" operator="lessThan">
      <formula>0</formula>
    </cfRule>
  </conditionalFormatting>
  <conditionalFormatting sqref="OF7">
    <cfRule type="cellIs" dxfId="1" priority="157" operator="greaterThan">
      <formula>0</formula>
    </cfRule>
    <cfRule type="cellIs" dxfId="0" priority="150" operator="lessThan">
      <formula>0</formula>
    </cfRule>
  </conditionalFormatting>
  <conditionalFormatting sqref="OK7">
    <cfRule type="cellIs" dxfId="1" priority="171" operator="greaterThan">
      <formula>0</formula>
    </cfRule>
    <cfRule type="cellIs" dxfId="0" priority="164" operator="lessThan">
      <formula>0</formula>
    </cfRule>
  </conditionalFormatting>
  <conditionalFormatting sqref="OL7">
    <cfRule type="cellIs" dxfId="1" priority="262" operator="greaterThan">
      <formula>0</formula>
    </cfRule>
    <cfRule type="cellIs" dxfId="0" priority="255" operator="lessThan">
      <formula>0</formula>
    </cfRule>
  </conditionalFormatting>
  <conditionalFormatting sqref="OM7">
    <cfRule type="cellIs" dxfId="1" priority="276" operator="greaterThan">
      <formula>0</formula>
    </cfRule>
    <cfRule type="cellIs" dxfId="0" priority="269" operator="lessThan">
      <formula>0</formula>
    </cfRule>
  </conditionalFormatting>
  <conditionalFormatting sqref="ON7">
    <cfRule type="cellIs" dxfId="5" priority="234" operator="greaterThan">
      <formula>1</formula>
    </cfRule>
    <cfRule type="cellIs" dxfId="6" priority="227" operator="lessThan">
      <formula>0</formula>
    </cfRule>
    <cfRule type="cellIs" dxfId="1" priority="220" operator="greaterThan">
      <formula>0</formula>
    </cfRule>
    <cfRule type="cellIs" dxfId="0" priority="213" operator="lessThan">
      <formula>0</formula>
    </cfRule>
    <cfRule type="cellIs" dxfId="1" priority="206" operator="greaterThan">
      <formula>0</formula>
    </cfRule>
    <cfRule type="cellIs" dxfId="0" priority="199" operator="lessThan">
      <formula>0</formula>
    </cfRule>
  </conditionalFormatting>
  <conditionalFormatting sqref="OO7">
    <cfRule type="cellIs" dxfId="4" priority="192" operator="lessThan">
      <formula>0</formula>
    </cfRule>
    <cfRule type="cellIs" dxfId="0" priority="185" operator="lessThan">
      <formula>0</formula>
    </cfRule>
    <cfRule type="cellIs" dxfId="0" priority="178" operator="lessThan">
      <formula>-1</formula>
    </cfRule>
  </conditionalFormatting>
  <conditionalFormatting sqref="EY8">
    <cfRule type="cellIs" dxfId="1" priority="3953" operator="greaterThan">
      <formula>0</formula>
    </cfRule>
    <cfRule type="cellIs" dxfId="0" priority="3943" operator="lessThan">
      <formula>0</formula>
    </cfRule>
  </conditionalFormatting>
  <conditionalFormatting sqref="EZ8">
    <cfRule type="cellIs" dxfId="1" priority="3893" operator="greaterThan">
      <formula>0</formula>
    </cfRule>
    <cfRule type="cellIs" dxfId="0" priority="3883" operator="lessThan">
      <formula>0</formula>
    </cfRule>
  </conditionalFormatting>
  <conditionalFormatting sqref="FA8">
    <cfRule type="cellIs" dxfId="1" priority="3763" operator="greaterThan">
      <formula>0</formula>
    </cfRule>
    <cfRule type="cellIs" dxfId="0" priority="3753" operator="lessThan">
      <formula>0</formula>
    </cfRule>
  </conditionalFormatting>
  <conditionalFormatting sqref="FF8">
    <cfRule type="cellIs" dxfId="1" priority="3783" operator="greaterThan">
      <formula>0</formula>
    </cfRule>
    <cfRule type="cellIs" dxfId="0" priority="3773" operator="lessThan">
      <formula>0</formula>
    </cfRule>
  </conditionalFormatting>
  <conditionalFormatting sqref="FG8">
    <cfRule type="cellIs" dxfId="1" priority="3913" operator="greaterThan">
      <formula>0</formula>
    </cfRule>
    <cfRule type="cellIs" dxfId="0" priority="3903" operator="lessThan">
      <formula>0</formula>
    </cfRule>
  </conditionalFormatting>
  <conditionalFormatting sqref="FH8">
    <cfRule type="cellIs" dxfId="1" priority="3933" operator="greaterThan">
      <formula>0</formula>
    </cfRule>
    <cfRule type="cellIs" dxfId="0" priority="3923" operator="lessThan">
      <formula>0</formula>
    </cfRule>
  </conditionalFormatting>
  <conditionalFormatting sqref="FI8">
    <cfRule type="cellIs" dxfId="5" priority="3873" operator="greaterThan">
      <formula>1</formula>
    </cfRule>
    <cfRule type="cellIs" dxfId="6" priority="3863" operator="lessThan">
      <formula>0</formula>
    </cfRule>
    <cfRule type="cellIs" dxfId="1" priority="3853" operator="greaterThan">
      <formula>0</formula>
    </cfRule>
    <cfRule type="cellIs" dxfId="0" priority="3843" operator="lessThan">
      <formula>0</formula>
    </cfRule>
    <cfRule type="cellIs" dxfId="1" priority="3833" operator="greaterThan">
      <formula>0</formula>
    </cfRule>
    <cfRule type="cellIs" dxfId="0" priority="3823" operator="lessThan">
      <formula>0</formula>
    </cfRule>
  </conditionalFormatting>
  <conditionalFormatting sqref="FJ8">
    <cfRule type="cellIs" dxfId="4" priority="3813" operator="lessThan">
      <formula>0</formula>
    </cfRule>
    <cfRule type="cellIs" dxfId="0" priority="3803" operator="lessThan">
      <formula>0</formula>
    </cfRule>
    <cfRule type="cellIs" dxfId="0" priority="3793" operator="lessThan">
      <formula>-1</formula>
    </cfRule>
  </conditionalFormatting>
  <conditionalFormatting sqref="GH8">
    <cfRule type="cellIs" dxfId="1" priority="3438" operator="greaterThan">
      <formula>0</formula>
    </cfRule>
    <cfRule type="cellIs" dxfId="0" priority="3428" operator="lessThan">
      <formula>0</formula>
    </cfRule>
  </conditionalFormatting>
  <conditionalFormatting sqref="GI8">
    <cfRule type="cellIs" dxfId="1" priority="3378" operator="greaterThan">
      <formula>0</formula>
    </cfRule>
    <cfRule type="cellIs" dxfId="0" priority="3368" operator="lessThan">
      <formula>0</formula>
    </cfRule>
  </conditionalFormatting>
  <conditionalFormatting sqref="GJ8">
    <cfRule type="cellIs" dxfId="1" priority="3248" operator="greaterThan">
      <formula>0</formula>
    </cfRule>
    <cfRule type="cellIs" dxfId="0" priority="3238" operator="lessThan">
      <formula>0</formula>
    </cfRule>
  </conditionalFormatting>
  <conditionalFormatting sqref="GO8">
    <cfRule type="cellIs" dxfId="1" priority="3268" operator="greaterThan">
      <formula>0</formula>
    </cfRule>
    <cfRule type="cellIs" dxfId="0" priority="3258" operator="lessThan">
      <formula>0</formula>
    </cfRule>
  </conditionalFormatting>
  <conditionalFormatting sqref="GP8">
    <cfRule type="cellIs" dxfId="1" priority="3398" operator="greaterThan">
      <formula>0</formula>
    </cfRule>
    <cfRule type="cellIs" dxfId="0" priority="3388" operator="lessThan">
      <formula>0</formula>
    </cfRule>
  </conditionalFormatting>
  <conditionalFormatting sqref="GQ8">
    <cfRule type="cellIs" dxfId="1" priority="3418" operator="greaterThan">
      <formula>0</formula>
    </cfRule>
    <cfRule type="cellIs" dxfId="0" priority="3408" operator="lessThan">
      <formula>0</formula>
    </cfRule>
  </conditionalFormatting>
  <conditionalFormatting sqref="GR8">
    <cfRule type="cellIs" dxfId="5" priority="3358" operator="greaterThan">
      <formula>1</formula>
    </cfRule>
    <cfRule type="cellIs" dxfId="6" priority="3348" operator="lessThan">
      <formula>0</formula>
    </cfRule>
    <cfRule type="cellIs" dxfId="1" priority="3338" operator="greaterThan">
      <formula>0</formula>
    </cfRule>
    <cfRule type="cellIs" dxfId="0" priority="3328" operator="lessThan">
      <formula>0</formula>
    </cfRule>
    <cfRule type="cellIs" dxfId="1" priority="3318" operator="greaterThan">
      <formula>0</formula>
    </cfRule>
    <cfRule type="cellIs" dxfId="0" priority="3308" operator="lessThan">
      <formula>0</formula>
    </cfRule>
  </conditionalFormatting>
  <conditionalFormatting sqref="GS8">
    <cfRule type="cellIs" dxfId="4" priority="3298" operator="lessThan">
      <formula>0</formula>
    </cfRule>
    <cfRule type="cellIs" dxfId="0" priority="3288" operator="lessThan">
      <formula>0</formula>
    </cfRule>
    <cfRule type="cellIs" dxfId="0" priority="3278" operator="lessThan">
      <formula>-1</formula>
    </cfRule>
  </conditionalFormatting>
  <conditionalFormatting sqref="HP8">
    <cfRule type="cellIs" dxfId="1" priority="2894" operator="greaterThan">
      <formula>0</formula>
    </cfRule>
    <cfRule type="cellIs" dxfId="0" priority="2884" operator="lessThan">
      <formula>0</formula>
    </cfRule>
  </conditionalFormatting>
  <conditionalFormatting sqref="HQ8">
    <cfRule type="cellIs" dxfId="1" priority="2834" operator="greaterThan">
      <formula>0</formula>
    </cfRule>
    <cfRule type="cellIs" dxfId="0" priority="2824" operator="lessThan">
      <formula>0</formula>
    </cfRule>
  </conditionalFormatting>
  <conditionalFormatting sqref="HR8">
    <cfRule type="cellIs" dxfId="1" priority="2704" operator="greaterThan">
      <formula>0</formula>
    </cfRule>
    <cfRule type="cellIs" dxfId="0" priority="2694" operator="lessThan">
      <formula>0</formula>
    </cfRule>
  </conditionalFormatting>
  <conditionalFormatting sqref="HW8">
    <cfRule type="cellIs" dxfId="1" priority="2724" operator="greaterThan">
      <formula>0</formula>
    </cfRule>
    <cfRule type="cellIs" dxfId="0" priority="2714" operator="lessThan">
      <formula>0</formula>
    </cfRule>
  </conditionalFormatting>
  <conditionalFormatting sqref="HX8">
    <cfRule type="cellIs" dxfId="1" priority="2854" operator="greaterThan">
      <formula>0</formula>
    </cfRule>
    <cfRule type="cellIs" dxfId="0" priority="2844" operator="lessThan">
      <formula>0</formula>
    </cfRule>
  </conditionalFormatting>
  <conditionalFormatting sqref="HY8">
    <cfRule type="cellIs" dxfId="1" priority="2874" operator="greaterThan">
      <formula>0</formula>
    </cfRule>
    <cfRule type="cellIs" dxfId="0" priority="2864" operator="lessThan">
      <formula>0</formula>
    </cfRule>
  </conditionalFormatting>
  <conditionalFormatting sqref="HZ8">
    <cfRule type="cellIs" dxfId="5" priority="2814" operator="greaterThan">
      <formula>1</formula>
    </cfRule>
    <cfRule type="cellIs" dxfId="6" priority="2804" operator="lessThan">
      <formula>0</formula>
    </cfRule>
    <cfRule type="cellIs" dxfId="1" priority="2794" operator="greaterThan">
      <formula>0</formula>
    </cfRule>
    <cfRule type="cellIs" dxfId="0" priority="2784" operator="lessThan">
      <formula>0</formula>
    </cfRule>
    <cfRule type="cellIs" dxfId="1" priority="2774" operator="greaterThan">
      <formula>0</formula>
    </cfRule>
    <cfRule type="cellIs" dxfId="0" priority="2764" operator="lessThan">
      <formula>0</formula>
    </cfRule>
  </conditionalFormatting>
  <conditionalFormatting sqref="IA8">
    <cfRule type="cellIs" dxfId="4" priority="2754" operator="lessThan">
      <formula>0</formula>
    </cfRule>
    <cfRule type="cellIs" dxfId="0" priority="2744" operator="lessThan">
      <formula>0</formula>
    </cfRule>
    <cfRule type="cellIs" dxfId="0" priority="2734" operator="lessThan">
      <formula>-1</formula>
    </cfRule>
  </conditionalFormatting>
  <conditionalFormatting sqref="IX8">
    <cfRule type="cellIs" dxfId="1" priority="2365" operator="greaterThan">
      <formula>0</formula>
    </cfRule>
    <cfRule type="cellIs" dxfId="0" priority="2353" operator="lessThan">
      <formula>0</formula>
    </cfRule>
  </conditionalFormatting>
  <conditionalFormatting sqref="IY8">
    <cfRule type="cellIs" dxfId="1" priority="2293" operator="greaterThan">
      <formula>0</formula>
    </cfRule>
    <cfRule type="cellIs" dxfId="0" priority="2281" operator="lessThan">
      <formula>0</formula>
    </cfRule>
  </conditionalFormatting>
  <conditionalFormatting sqref="IZ8">
    <cfRule type="cellIs" dxfId="1" priority="2137" operator="greaterThan">
      <formula>0</formula>
    </cfRule>
    <cfRule type="cellIs" dxfId="0" priority="2125" operator="lessThan">
      <formula>0</formula>
    </cfRule>
  </conditionalFormatting>
  <conditionalFormatting sqref="JE8">
    <cfRule type="cellIs" dxfId="1" priority="2161" operator="greaterThan">
      <formula>0</formula>
    </cfRule>
    <cfRule type="cellIs" dxfId="0" priority="2149" operator="lessThan">
      <formula>0</formula>
    </cfRule>
  </conditionalFormatting>
  <conditionalFormatting sqref="JF8">
    <cfRule type="cellIs" dxfId="1" priority="2317" operator="greaterThan">
      <formula>0</formula>
    </cfRule>
    <cfRule type="cellIs" dxfId="0" priority="2305" operator="lessThan">
      <formula>0</formula>
    </cfRule>
  </conditionalFormatting>
  <conditionalFormatting sqref="JG8">
    <cfRule type="cellIs" dxfId="1" priority="2341" operator="greaterThan">
      <formula>0</formula>
    </cfRule>
    <cfRule type="cellIs" dxfId="0" priority="2329" operator="lessThan">
      <formula>0</formula>
    </cfRule>
  </conditionalFormatting>
  <conditionalFormatting sqref="JH8">
    <cfRule type="cellIs" dxfId="5" priority="2269" operator="greaterThan">
      <formula>1</formula>
    </cfRule>
    <cfRule type="cellIs" dxfId="6" priority="2257" operator="lessThan">
      <formula>0</formula>
    </cfRule>
    <cfRule type="cellIs" dxfId="1" priority="2245" operator="greaterThan">
      <formula>0</formula>
    </cfRule>
    <cfRule type="cellIs" dxfId="0" priority="2233" operator="lessThan">
      <formula>0</formula>
    </cfRule>
    <cfRule type="cellIs" dxfId="1" priority="2221" operator="greaterThan">
      <formula>0</formula>
    </cfRule>
    <cfRule type="cellIs" dxfId="0" priority="2209" operator="lessThan">
      <formula>0</formula>
    </cfRule>
  </conditionalFormatting>
  <conditionalFormatting sqref="JI8">
    <cfRule type="cellIs" dxfId="4" priority="2197" operator="lessThan">
      <formula>0</formula>
    </cfRule>
    <cfRule type="cellIs" dxfId="0" priority="2185" operator="lessThan">
      <formula>0</formula>
    </cfRule>
    <cfRule type="cellIs" dxfId="0" priority="2173" operator="lessThan">
      <formula>-1</formula>
    </cfRule>
  </conditionalFormatting>
  <conditionalFormatting sqref="KF8">
    <cfRule type="cellIs" dxfId="1" priority="1588" operator="greaterThan">
      <formula>0</formula>
    </cfRule>
    <cfRule type="cellIs" dxfId="0" priority="1578" operator="lessThan">
      <formula>0</formula>
    </cfRule>
  </conditionalFormatting>
  <conditionalFormatting sqref="KG8">
    <cfRule type="cellIs" dxfId="1" priority="1528" operator="greaterThan">
      <formula>0</formula>
    </cfRule>
    <cfRule type="cellIs" dxfId="0" priority="1518" operator="lessThan">
      <formula>0</formula>
    </cfRule>
  </conditionalFormatting>
  <conditionalFormatting sqref="KH8">
    <cfRule type="cellIs" dxfId="1" priority="1398" operator="greaterThan">
      <formula>0</formula>
    </cfRule>
    <cfRule type="cellIs" dxfId="0" priority="1388" operator="lessThan">
      <formula>0</formula>
    </cfRule>
  </conditionalFormatting>
  <conditionalFormatting sqref="KM8">
    <cfRule type="cellIs" dxfId="1" priority="1418" operator="greaterThan">
      <formula>0</formula>
    </cfRule>
    <cfRule type="cellIs" dxfId="0" priority="1408" operator="lessThan">
      <formula>0</formula>
    </cfRule>
  </conditionalFormatting>
  <conditionalFormatting sqref="KN8">
    <cfRule type="cellIs" dxfId="1" priority="1548" operator="greaterThan">
      <formula>0</formula>
    </cfRule>
    <cfRule type="cellIs" dxfId="0" priority="1538" operator="lessThan">
      <formula>0</formula>
    </cfRule>
  </conditionalFormatting>
  <conditionalFormatting sqref="KO8">
    <cfRule type="cellIs" dxfId="1" priority="1568" operator="greaterThan">
      <formula>0</formula>
    </cfRule>
    <cfRule type="cellIs" dxfId="0" priority="1558" operator="lessThan">
      <formula>0</formula>
    </cfRule>
  </conditionalFormatting>
  <conditionalFormatting sqref="KP8">
    <cfRule type="cellIs" dxfId="5" priority="1508" operator="greaterThan">
      <formula>1</formula>
    </cfRule>
    <cfRule type="cellIs" dxfId="6" priority="1498" operator="lessThan">
      <formula>0</formula>
    </cfRule>
    <cfRule type="cellIs" dxfId="1" priority="1488" operator="greaterThan">
      <formula>0</formula>
    </cfRule>
    <cfRule type="cellIs" dxfId="0" priority="1478" operator="lessThan">
      <formula>0</formula>
    </cfRule>
    <cfRule type="cellIs" dxfId="1" priority="1468" operator="greaterThan">
      <formula>0</formula>
    </cfRule>
    <cfRule type="cellIs" dxfId="0" priority="1458" operator="lessThan">
      <formula>0</formula>
    </cfRule>
  </conditionalFormatting>
  <conditionalFormatting sqref="KQ8">
    <cfRule type="cellIs" dxfId="4" priority="1448" operator="lessThan">
      <formula>0</formula>
    </cfRule>
    <cfRule type="cellIs" dxfId="0" priority="1438" operator="lessThan">
      <formula>0</formula>
    </cfRule>
    <cfRule type="cellIs" dxfId="0" priority="1428" operator="lessThan">
      <formula>-1</formula>
    </cfRule>
  </conditionalFormatting>
  <conditionalFormatting sqref="LF8">
    <cfRule type="cellIs" dxfId="2" priority="736" operator="greaterThan">
      <formula>0</formula>
    </cfRule>
    <cfRule type="cellIs" dxfId="3" priority="729" operator="lessThan">
      <formula>0</formula>
    </cfRule>
  </conditionalFormatting>
  <conditionalFormatting sqref="LN8">
    <cfRule type="cellIs" dxfId="1" priority="897" operator="greaterThan">
      <formula>0</formula>
    </cfRule>
    <cfRule type="cellIs" dxfId="0" priority="890" operator="lessThan">
      <formula>0</formula>
    </cfRule>
  </conditionalFormatting>
  <conditionalFormatting sqref="LO8">
    <cfRule type="cellIs" dxfId="1" priority="855" operator="greaterThan">
      <formula>0</formula>
    </cfRule>
    <cfRule type="cellIs" dxfId="0" priority="848" operator="lessThan">
      <formula>0</formula>
    </cfRule>
  </conditionalFormatting>
  <conditionalFormatting sqref="LP8">
    <cfRule type="cellIs" dxfId="1" priority="764" operator="greaterThan">
      <formula>0</formula>
    </cfRule>
    <cfRule type="cellIs" dxfId="0" priority="757" operator="lessThan">
      <formula>0</formula>
    </cfRule>
  </conditionalFormatting>
  <conditionalFormatting sqref="LU8">
    <cfRule type="cellIs" dxfId="1" priority="778" operator="greaterThan">
      <formula>0</formula>
    </cfRule>
    <cfRule type="cellIs" dxfId="0" priority="771" operator="lessThan">
      <formula>0</formula>
    </cfRule>
  </conditionalFormatting>
  <conditionalFormatting sqref="LV8">
    <cfRule type="cellIs" dxfId="1" priority="869" operator="greaterThan">
      <formula>0</formula>
    </cfRule>
    <cfRule type="cellIs" dxfId="0" priority="862" operator="lessThan">
      <formula>0</formula>
    </cfRule>
  </conditionalFormatting>
  <conditionalFormatting sqref="LW8">
    <cfRule type="cellIs" dxfId="1" priority="883" operator="greaterThan">
      <formula>0</formula>
    </cfRule>
    <cfRule type="cellIs" dxfId="0" priority="876" operator="lessThan">
      <formula>0</formula>
    </cfRule>
  </conditionalFormatting>
  <conditionalFormatting sqref="LX8">
    <cfRule type="cellIs" dxfId="5" priority="841" operator="greaterThan">
      <formula>1</formula>
    </cfRule>
    <cfRule type="cellIs" dxfId="6" priority="834" operator="lessThan">
      <formula>0</formula>
    </cfRule>
    <cfRule type="cellIs" dxfId="1" priority="827" operator="greaterThan">
      <formula>0</formula>
    </cfRule>
    <cfRule type="cellIs" dxfId="0" priority="820" operator="lessThan">
      <formula>0</formula>
    </cfRule>
    <cfRule type="cellIs" dxfId="1" priority="813" operator="greaterThan">
      <formula>0</formula>
    </cfRule>
    <cfRule type="cellIs" dxfId="0" priority="806" operator="lessThan">
      <formula>0</formula>
    </cfRule>
  </conditionalFormatting>
  <conditionalFormatting sqref="LY8">
    <cfRule type="cellIs" dxfId="4" priority="799" operator="lessThan">
      <formula>0</formula>
    </cfRule>
    <cfRule type="cellIs" dxfId="0" priority="792" operator="lessThan">
      <formula>0</formula>
    </cfRule>
    <cfRule type="cellIs" dxfId="0" priority="785" operator="lessThan">
      <formula>-1</formula>
    </cfRule>
  </conditionalFormatting>
  <conditionalFormatting sqref="MN8">
    <cfRule type="cellIs" dxfId="2" priority="523" operator="greaterThan">
      <formula>0</formula>
    </cfRule>
    <cfRule type="cellIs" dxfId="3" priority="516" operator="lessThan">
      <formula>0</formula>
    </cfRule>
  </conditionalFormatting>
  <conditionalFormatting sqref="MV8">
    <cfRule type="cellIs" dxfId="1" priority="684" operator="greaterThan">
      <formula>0</formula>
    </cfRule>
    <cfRule type="cellIs" dxfId="0" priority="677" operator="lessThan">
      <formula>0</formula>
    </cfRule>
  </conditionalFormatting>
  <conditionalFormatting sqref="MW8">
    <cfRule type="cellIs" dxfId="1" priority="642" operator="greaterThan">
      <formula>0</formula>
    </cfRule>
    <cfRule type="cellIs" dxfId="0" priority="635" operator="lessThan">
      <formula>0</formula>
    </cfRule>
  </conditionalFormatting>
  <conditionalFormatting sqref="MX8">
    <cfRule type="cellIs" dxfId="1" priority="551" operator="greaterThan">
      <formula>0</formula>
    </cfRule>
    <cfRule type="cellIs" dxfId="0" priority="544" operator="lessThan">
      <formula>0</formula>
    </cfRule>
  </conditionalFormatting>
  <conditionalFormatting sqref="NC8">
    <cfRule type="cellIs" dxfId="1" priority="565" operator="greaterThan">
      <formula>0</formula>
    </cfRule>
    <cfRule type="cellIs" dxfId="0" priority="558" operator="lessThan">
      <formula>0</formula>
    </cfRule>
  </conditionalFormatting>
  <conditionalFormatting sqref="ND8">
    <cfRule type="cellIs" dxfId="1" priority="656" operator="greaterThan">
      <formula>0</formula>
    </cfRule>
    <cfRule type="cellIs" dxfId="0" priority="649" operator="lessThan">
      <formula>0</formula>
    </cfRule>
  </conditionalFormatting>
  <conditionalFormatting sqref="NE8">
    <cfRule type="cellIs" dxfId="1" priority="670" operator="greaterThan">
      <formula>0</formula>
    </cfRule>
    <cfRule type="cellIs" dxfId="0" priority="663" operator="lessThan">
      <formula>0</formula>
    </cfRule>
  </conditionalFormatting>
  <conditionalFormatting sqref="NF8">
    <cfRule type="cellIs" dxfId="5" priority="628" operator="greaterThan">
      <formula>1</formula>
    </cfRule>
    <cfRule type="cellIs" dxfId="6" priority="621" operator="lessThan">
      <formula>0</formula>
    </cfRule>
    <cfRule type="cellIs" dxfId="1" priority="614" operator="greaterThan">
      <formula>0</formula>
    </cfRule>
    <cfRule type="cellIs" dxfId="0" priority="607" operator="lessThan">
      <formula>0</formula>
    </cfRule>
    <cfRule type="cellIs" dxfId="1" priority="600" operator="greaterThan">
      <formula>0</formula>
    </cfRule>
    <cfRule type="cellIs" dxfId="0" priority="593" operator="lessThan">
      <formula>0</formula>
    </cfRule>
  </conditionalFormatting>
  <conditionalFormatting sqref="NG8">
    <cfRule type="cellIs" dxfId="4" priority="586" operator="lessThan">
      <formula>0</formula>
    </cfRule>
    <cfRule type="cellIs" dxfId="0" priority="579" operator="lessThan">
      <formula>0</formula>
    </cfRule>
    <cfRule type="cellIs" dxfId="0" priority="572" operator="lessThan">
      <formula>-1</formula>
    </cfRule>
  </conditionalFormatting>
  <conditionalFormatting sqref="NV8">
    <cfRule type="cellIs" dxfId="2" priority="128" operator="greaterThan">
      <formula>0</formula>
    </cfRule>
    <cfRule type="cellIs" dxfId="3" priority="121" operator="lessThan">
      <formula>0</formula>
    </cfRule>
  </conditionalFormatting>
  <conditionalFormatting sqref="OD8">
    <cfRule type="cellIs" dxfId="1" priority="289" operator="greaterThan">
      <formula>0</formula>
    </cfRule>
    <cfRule type="cellIs" dxfId="0" priority="282" operator="lessThan">
      <formula>0</formula>
    </cfRule>
  </conditionalFormatting>
  <conditionalFormatting sqref="OE8">
    <cfRule type="cellIs" dxfId="1" priority="247" operator="greaterThan">
      <formula>0</formula>
    </cfRule>
    <cfRule type="cellIs" dxfId="0" priority="240" operator="lessThan">
      <formula>0</formula>
    </cfRule>
  </conditionalFormatting>
  <conditionalFormatting sqref="OF8">
    <cfRule type="cellIs" dxfId="1" priority="156" operator="greaterThan">
      <formula>0</formula>
    </cfRule>
    <cfRule type="cellIs" dxfId="0" priority="149" operator="lessThan">
      <formula>0</formula>
    </cfRule>
  </conditionalFormatting>
  <conditionalFormatting sqref="OK8">
    <cfRule type="cellIs" dxfId="1" priority="170" operator="greaterThan">
      <formula>0</formula>
    </cfRule>
    <cfRule type="cellIs" dxfId="0" priority="163" operator="lessThan">
      <formula>0</formula>
    </cfRule>
  </conditionalFormatting>
  <conditionalFormatting sqref="OL8">
    <cfRule type="cellIs" dxfId="1" priority="261" operator="greaterThan">
      <formula>0</formula>
    </cfRule>
    <cfRule type="cellIs" dxfId="0" priority="254" operator="lessThan">
      <formula>0</formula>
    </cfRule>
  </conditionalFormatting>
  <conditionalFormatting sqref="OM8">
    <cfRule type="cellIs" dxfId="1" priority="275" operator="greaterThan">
      <formula>0</formula>
    </cfRule>
    <cfRule type="cellIs" dxfId="0" priority="268" operator="lessThan">
      <formula>0</formula>
    </cfRule>
  </conditionalFormatting>
  <conditionalFormatting sqref="ON8">
    <cfRule type="cellIs" dxfId="5" priority="233" operator="greaterThan">
      <formula>1</formula>
    </cfRule>
    <cfRule type="cellIs" dxfId="6" priority="226" operator="lessThan">
      <formula>0</formula>
    </cfRule>
    <cfRule type="cellIs" dxfId="1" priority="219" operator="greaterThan">
      <formula>0</formula>
    </cfRule>
    <cfRule type="cellIs" dxfId="0" priority="212" operator="lessThan">
      <formula>0</formula>
    </cfRule>
    <cfRule type="cellIs" dxfId="1" priority="205" operator="greaterThan">
      <formula>0</formula>
    </cfRule>
    <cfRule type="cellIs" dxfId="0" priority="198" operator="lessThan">
      <formula>0</formula>
    </cfRule>
  </conditionalFormatting>
  <conditionalFormatting sqref="OO8">
    <cfRule type="cellIs" dxfId="4" priority="191" operator="lessThan">
      <formula>0</formula>
    </cfRule>
    <cfRule type="cellIs" dxfId="0" priority="184" operator="lessThan">
      <formula>0</formula>
    </cfRule>
    <cfRule type="cellIs" dxfId="0" priority="177" operator="lessThan">
      <formula>-1</formula>
    </cfRule>
  </conditionalFormatting>
  <conditionalFormatting sqref="EY9">
    <cfRule type="cellIs" dxfId="1" priority="3952" operator="greaterThan">
      <formula>0</formula>
    </cfRule>
    <cfRule type="cellIs" dxfId="0" priority="3942" operator="lessThan">
      <formula>0</formula>
    </cfRule>
  </conditionalFormatting>
  <conditionalFormatting sqref="EZ9">
    <cfRule type="cellIs" dxfId="1" priority="3892" operator="greaterThan">
      <formula>0</formula>
    </cfRule>
    <cfRule type="cellIs" dxfId="0" priority="3882" operator="lessThan">
      <formula>0</formula>
    </cfRule>
  </conditionalFormatting>
  <conditionalFormatting sqref="FA9">
    <cfRule type="cellIs" dxfId="1" priority="3762" operator="greaterThan">
      <formula>0</formula>
    </cfRule>
    <cfRule type="cellIs" dxfId="0" priority="3752" operator="lessThan">
      <formula>0</formula>
    </cfRule>
  </conditionalFormatting>
  <conditionalFormatting sqref="FF9">
    <cfRule type="cellIs" dxfId="1" priority="3782" operator="greaterThan">
      <formula>0</formula>
    </cfRule>
    <cfRule type="cellIs" dxfId="0" priority="3772" operator="lessThan">
      <formula>0</formula>
    </cfRule>
  </conditionalFormatting>
  <conditionalFormatting sqref="FG9">
    <cfRule type="cellIs" dxfId="1" priority="3912" operator="greaterThan">
      <formula>0</formula>
    </cfRule>
    <cfRule type="cellIs" dxfId="0" priority="3902" operator="lessThan">
      <formula>0</formula>
    </cfRule>
  </conditionalFormatting>
  <conditionalFormatting sqref="FH9">
    <cfRule type="cellIs" dxfId="1" priority="3932" operator="greaterThan">
      <formula>0</formula>
    </cfRule>
    <cfRule type="cellIs" dxfId="0" priority="3922" operator="lessThan">
      <formula>0</formula>
    </cfRule>
  </conditionalFormatting>
  <conditionalFormatting sqref="FI9">
    <cfRule type="cellIs" dxfId="5" priority="3872" operator="greaterThan">
      <formula>1</formula>
    </cfRule>
    <cfRule type="cellIs" dxfId="6" priority="3862" operator="lessThan">
      <formula>0</formula>
    </cfRule>
    <cfRule type="cellIs" dxfId="1" priority="3852" operator="greaterThan">
      <formula>0</formula>
    </cfRule>
    <cfRule type="cellIs" dxfId="0" priority="3842" operator="lessThan">
      <formula>0</formula>
    </cfRule>
    <cfRule type="cellIs" dxfId="1" priority="3832" operator="greaterThan">
      <formula>0</formula>
    </cfRule>
    <cfRule type="cellIs" dxfId="0" priority="3822" operator="lessThan">
      <formula>0</formula>
    </cfRule>
  </conditionalFormatting>
  <conditionalFormatting sqref="FJ9">
    <cfRule type="cellIs" dxfId="4" priority="3812" operator="lessThan">
      <formula>0</formula>
    </cfRule>
    <cfRule type="cellIs" dxfId="0" priority="3802" operator="lessThan">
      <formula>0</formula>
    </cfRule>
    <cfRule type="cellIs" dxfId="0" priority="3792" operator="lessThan">
      <formula>-1</formula>
    </cfRule>
  </conditionalFormatting>
  <conditionalFormatting sqref="GH9">
    <cfRule type="cellIs" dxfId="1" priority="3437" operator="greaterThan">
      <formula>0</formula>
    </cfRule>
    <cfRule type="cellIs" dxfId="0" priority="3427" operator="lessThan">
      <formula>0</formula>
    </cfRule>
  </conditionalFormatting>
  <conditionalFormatting sqref="GI9">
    <cfRule type="cellIs" dxfId="1" priority="3377" operator="greaterThan">
      <formula>0</formula>
    </cfRule>
    <cfRule type="cellIs" dxfId="0" priority="3367" operator="lessThan">
      <formula>0</formula>
    </cfRule>
  </conditionalFormatting>
  <conditionalFormatting sqref="GJ9">
    <cfRule type="cellIs" dxfId="1" priority="3247" operator="greaterThan">
      <formula>0</formula>
    </cfRule>
    <cfRule type="cellIs" dxfId="0" priority="3237" operator="lessThan">
      <formula>0</formula>
    </cfRule>
  </conditionalFormatting>
  <conditionalFormatting sqref="GO9">
    <cfRule type="cellIs" dxfId="1" priority="3267" operator="greaterThan">
      <formula>0</formula>
    </cfRule>
    <cfRule type="cellIs" dxfId="0" priority="3257" operator="lessThan">
      <formula>0</formula>
    </cfRule>
  </conditionalFormatting>
  <conditionalFormatting sqref="GP9">
    <cfRule type="cellIs" dxfId="1" priority="3397" operator="greaterThan">
      <formula>0</formula>
    </cfRule>
    <cfRule type="cellIs" dxfId="0" priority="3387" operator="lessThan">
      <formula>0</formula>
    </cfRule>
  </conditionalFormatting>
  <conditionalFormatting sqref="GQ9">
    <cfRule type="cellIs" dxfId="1" priority="3417" operator="greaterThan">
      <formula>0</formula>
    </cfRule>
    <cfRule type="cellIs" dxfId="0" priority="3407" operator="lessThan">
      <formula>0</formula>
    </cfRule>
  </conditionalFormatting>
  <conditionalFormatting sqref="GR9">
    <cfRule type="cellIs" dxfId="5" priority="3357" operator="greaterThan">
      <formula>1</formula>
    </cfRule>
    <cfRule type="cellIs" dxfId="6" priority="3347" operator="lessThan">
      <formula>0</formula>
    </cfRule>
    <cfRule type="cellIs" dxfId="1" priority="3337" operator="greaterThan">
      <formula>0</formula>
    </cfRule>
    <cfRule type="cellIs" dxfId="0" priority="3327" operator="lessThan">
      <formula>0</formula>
    </cfRule>
    <cfRule type="cellIs" dxfId="1" priority="3317" operator="greaterThan">
      <formula>0</formula>
    </cfRule>
    <cfRule type="cellIs" dxfId="0" priority="3307" operator="lessThan">
      <formula>0</formula>
    </cfRule>
  </conditionalFormatting>
  <conditionalFormatting sqref="GS9">
    <cfRule type="cellIs" dxfId="4" priority="3297" operator="lessThan">
      <formula>0</formula>
    </cfRule>
    <cfRule type="cellIs" dxfId="0" priority="3287" operator="lessThan">
      <formula>0</formula>
    </cfRule>
    <cfRule type="cellIs" dxfId="0" priority="3277" operator="lessThan">
      <formula>-1</formula>
    </cfRule>
  </conditionalFormatting>
  <conditionalFormatting sqref="HP9">
    <cfRule type="cellIs" dxfId="1" priority="2893" operator="greaterThan">
      <formula>0</formula>
    </cfRule>
    <cfRule type="cellIs" dxfId="0" priority="2883" operator="lessThan">
      <formula>0</formula>
    </cfRule>
  </conditionalFormatting>
  <conditionalFormatting sqref="HQ9">
    <cfRule type="cellIs" dxfId="1" priority="2833" operator="greaterThan">
      <formula>0</formula>
    </cfRule>
    <cfRule type="cellIs" dxfId="0" priority="2823" operator="lessThan">
      <formula>0</formula>
    </cfRule>
  </conditionalFormatting>
  <conditionalFormatting sqref="HR9">
    <cfRule type="cellIs" dxfId="1" priority="2703" operator="greaterThan">
      <formula>0</formula>
    </cfRule>
    <cfRule type="cellIs" dxfId="0" priority="2693" operator="lessThan">
      <formula>0</formula>
    </cfRule>
  </conditionalFormatting>
  <conditionalFormatting sqref="HW9">
    <cfRule type="cellIs" dxfId="1" priority="2723" operator="greaterThan">
      <formula>0</formula>
    </cfRule>
    <cfRule type="cellIs" dxfId="0" priority="2713" operator="lessThan">
      <formula>0</formula>
    </cfRule>
  </conditionalFormatting>
  <conditionalFormatting sqref="HX9">
    <cfRule type="cellIs" dxfId="1" priority="2853" operator="greaterThan">
      <formula>0</formula>
    </cfRule>
    <cfRule type="cellIs" dxfId="0" priority="2843" operator="lessThan">
      <formula>0</formula>
    </cfRule>
  </conditionalFormatting>
  <conditionalFormatting sqref="HY9">
    <cfRule type="cellIs" dxfId="1" priority="2873" operator="greaterThan">
      <formula>0</formula>
    </cfRule>
    <cfRule type="cellIs" dxfId="0" priority="2863" operator="lessThan">
      <formula>0</formula>
    </cfRule>
  </conditionalFormatting>
  <conditionalFormatting sqref="HZ9">
    <cfRule type="cellIs" dxfId="5" priority="2813" operator="greaterThan">
      <formula>1</formula>
    </cfRule>
    <cfRule type="cellIs" dxfId="6" priority="2803" operator="lessThan">
      <formula>0</formula>
    </cfRule>
    <cfRule type="cellIs" dxfId="1" priority="2793" operator="greaterThan">
      <formula>0</formula>
    </cfRule>
    <cfRule type="cellIs" dxfId="0" priority="2783" operator="lessThan">
      <formula>0</formula>
    </cfRule>
    <cfRule type="cellIs" dxfId="1" priority="2773" operator="greaterThan">
      <formula>0</formula>
    </cfRule>
    <cfRule type="cellIs" dxfId="0" priority="2763" operator="lessThan">
      <formula>0</formula>
    </cfRule>
  </conditionalFormatting>
  <conditionalFormatting sqref="IA9">
    <cfRule type="cellIs" dxfId="4" priority="2753" operator="lessThan">
      <formula>0</formula>
    </cfRule>
    <cfRule type="cellIs" dxfId="0" priority="2743" operator="lessThan">
      <formula>0</formula>
    </cfRule>
    <cfRule type="cellIs" dxfId="0" priority="2733" operator="lessThan">
      <formula>-1</formula>
    </cfRule>
  </conditionalFormatting>
  <conditionalFormatting sqref="IX9">
    <cfRule type="cellIs" dxfId="1" priority="2364" operator="greaterThan">
      <formula>0</formula>
    </cfRule>
    <cfRule type="cellIs" dxfId="0" priority="2352" operator="lessThan">
      <formula>0</formula>
    </cfRule>
  </conditionalFormatting>
  <conditionalFormatting sqref="IY9">
    <cfRule type="cellIs" dxfId="1" priority="2292" operator="greaterThan">
      <formula>0</formula>
    </cfRule>
    <cfRule type="cellIs" dxfId="0" priority="2280" operator="lessThan">
      <formula>0</formula>
    </cfRule>
  </conditionalFormatting>
  <conditionalFormatting sqref="IZ9">
    <cfRule type="cellIs" dxfId="1" priority="2136" operator="greaterThan">
      <formula>0</formula>
    </cfRule>
    <cfRule type="cellIs" dxfId="0" priority="2124" operator="lessThan">
      <formula>0</formula>
    </cfRule>
  </conditionalFormatting>
  <conditionalFormatting sqref="JE9">
    <cfRule type="cellIs" dxfId="1" priority="2160" operator="greaterThan">
      <formula>0</formula>
    </cfRule>
    <cfRule type="cellIs" dxfId="0" priority="2148" operator="lessThan">
      <formula>0</formula>
    </cfRule>
  </conditionalFormatting>
  <conditionalFormatting sqref="JF9">
    <cfRule type="cellIs" dxfId="1" priority="2316" operator="greaterThan">
      <formula>0</formula>
    </cfRule>
    <cfRule type="cellIs" dxfId="0" priority="2304" operator="lessThan">
      <formula>0</formula>
    </cfRule>
  </conditionalFormatting>
  <conditionalFormatting sqref="JG9">
    <cfRule type="cellIs" dxfId="1" priority="2340" operator="greaterThan">
      <formula>0</formula>
    </cfRule>
    <cfRule type="cellIs" dxfId="0" priority="2328" operator="lessThan">
      <formula>0</formula>
    </cfRule>
  </conditionalFormatting>
  <conditionalFormatting sqref="JH9">
    <cfRule type="cellIs" dxfId="5" priority="2268" operator="greaterThan">
      <formula>1</formula>
    </cfRule>
    <cfRule type="cellIs" dxfId="6" priority="2256" operator="lessThan">
      <formula>0</formula>
    </cfRule>
    <cfRule type="cellIs" dxfId="1" priority="2244" operator="greaterThan">
      <formula>0</formula>
    </cfRule>
    <cfRule type="cellIs" dxfId="0" priority="2232" operator="lessThan">
      <formula>0</formula>
    </cfRule>
    <cfRule type="cellIs" dxfId="1" priority="2220" operator="greaterThan">
      <formula>0</formula>
    </cfRule>
    <cfRule type="cellIs" dxfId="0" priority="2208" operator="lessThan">
      <formula>0</formula>
    </cfRule>
  </conditionalFormatting>
  <conditionalFormatting sqref="JI9">
    <cfRule type="cellIs" dxfId="4" priority="2196" operator="lessThan">
      <formula>0</formula>
    </cfRule>
    <cfRule type="cellIs" dxfId="0" priority="2184" operator="lessThan">
      <formula>0</formula>
    </cfRule>
    <cfRule type="cellIs" dxfId="0" priority="2172" operator="lessThan">
      <formula>-1</formula>
    </cfRule>
  </conditionalFormatting>
  <conditionalFormatting sqref="KF9">
    <cfRule type="cellIs" dxfId="1" priority="1587" operator="greaterThan">
      <formula>0</formula>
    </cfRule>
    <cfRule type="cellIs" dxfId="0" priority="1577" operator="lessThan">
      <formula>0</formula>
    </cfRule>
  </conditionalFormatting>
  <conditionalFormatting sqref="KG9">
    <cfRule type="cellIs" dxfId="1" priority="1527" operator="greaterThan">
      <formula>0</formula>
    </cfRule>
    <cfRule type="cellIs" dxfId="0" priority="1517" operator="lessThan">
      <formula>0</formula>
    </cfRule>
  </conditionalFormatting>
  <conditionalFormatting sqref="KH9">
    <cfRule type="cellIs" dxfId="1" priority="1397" operator="greaterThan">
      <formula>0</formula>
    </cfRule>
    <cfRule type="cellIs" dxfId="0" priority="1387" operator="lessThan">
      <formula>0</formula>
    </cfRule>
  </conditionalFormatting>
  <conditionalFormatting sqref="KM9">
    <cfRule type="cellIs" dxfId="1" priority="1417" operator="greaterThan">
      <formula>0</formula>
    </cfRule>
    <cfRule type="cellIs" dxfId="0" priority="1407" operator="lessThan">
      <formula>0</formula>
    </cfRule>
  </conditionalFormatting>
  <conditionalFormatting sqref="KN9">
    <cfRule type="cellIs" dxfId="1" priority="1547" operator="greaterThan">
      <formula>0</formula>
    </cfRule>
    <cfRule type="cellIs" dxfId="0" priority="1537" operator="lessThan">
      <formula>0</formula>
    </cfRule>
  </conditionalFormatting>
  <conditionalFormatting sqref="KO9">
    <cfRule type="cellIs" dxfId="1" priority="1567" operator="greaterThan">
      <formula>0</formula>
    </cfRule>
    <cfRule type="cellIs" dxfId="0" priority="1557" operator="lessThan">
      <formula>0</formula>
    </cfRule>
  </conditionalFormatting>
  <conditionalFormatting sqref="KP9">
    <cfRule type="cellIs" dxfId="5" priority="1507" operator="greaterThan">
      <formula>1</formula>
    </cfRule>
    <cfRule type="cellIs" dxfId="6" priority="1497" operator="lessThan">
      <formula>0</formula>
    </cfRule>
    <cfRule type="cellIs" dxfId="1" priority="1487" operator="greaterThan">
      <formula>0</formula>
    </cfRule>
    <cfRule type="cellIs" dxfId="0" priority="1477" operator="lessThan">
      <formula>0</formula>
    </cfRule>
    <cfRule type="cellIs" dxfId="1" priority="1467" operator="greaterThan">
      <formula>0</formula>
    </cfRule>
    <cfRule type="cellIs" dxfId="0" priority="1457" operator="lessThan">
      <formula>0</formula>
    </cfRule>
  </conditionalFormatting>
  <conditionalFormatting sqref="KQ9">
    <cfRule type="cellIs" dxfId="4" priority="1447" operator="lessThan">
      <formula>0</formula>
    </cfRule>
    <cfRule type="cellIs" dxfId="0" priority="1437" operator="lessThan">
      <formula>0</formula>
    </cfRule>
    <cfRule type="cellIs" dxfId="0" priority="1427" operator="lessThan">
      <formula>-1</formula>
    </cfRule>
  </conditionalFormatting>
  <conditionalFormatting sqref="LF9">
    <cfRule type="cellIs" dxfId="2" priority="735" operator="greaterThan">
      <formula>0</formula>
    </cfRule>
    <cfRule type="cellIs" dxfId="3" priority="728" operator="lessThan">
      <formula>0</formula>
    </cfRule>
  </conditionalFormatting>
  <conditionalFormatting sqref="LN9">
    <cfRule type="cellIs" dxfId="1" priority="896" operator="greaterThan">
      <formula>0</formula>
    </cfRule>
    <cfRule type="cellIs" dxfId="0" priority="889" operator="lessThan">
      <formula>0</formula>
    </cfRule>
  </conditionalFormatting>
  <conditionalFormatting sqref="LO9">
    <cfRule type="cellIs" dxfId="1" priority="854" operator="greaterThan">
      <formula>0</formula>
    </cfRule>
    <cfRule type="cellIs" dxfId="0" priority="847" operator="lessThan">
      <formula>0</formula>
    </cfRule>
  </conditionalFormatting>
  <conditionalFormatting sqref="LP9">
    <cfRule type="cellIs" dxfId="1" priority="763" operator="greaterThan">
      <formula>0</formula>
    </cfRule>
    <cfRule type="cellIs" dxfId="0" priority="756" operator="lessThan">
      <formula>0</formula>
    </cfRule>
  </conditionalFormatting>
  <conditionalFormatting sqref="LU9">
    <cfRule type="cellIs" dxfId="1" priority="777" operator="greaterThan">
      <formula>0</formula>
    </cfRule>
    <cfRule type="cellIs" dxfId="0" priority="770" operator="lessThan">
      <formula>0</formula>
    </cfRule>
  </conditionalFormatting>
  <conditionalFormatting sqref="LV9">
    <cfRule type="cellIs" dxfId="1" priority="868" operator="greaterThan">
      <formula>0</formula>
    </cfRule>
    <cfRule type="cellIs" dxfId="0" priority="861" operator="lessThan">
      <formula>0</formula>
    </cfRule>
  </conditionalFormatting>
  <conditionalFormatting sqref="LW9">
    <cfRule type="cellIs" dxfId="1" priority="882" operator="greaterThan">
      <formula>0</formula>
    </cfRule>
    <cfRule type="cellIs" dxfId="0" priority="875" operator="lessThan">
      <formula>0</formula>
    </cfRule>
  </conditionalFormatting>
  <conditionalFormatting sqref="LX9">
    <cfRule type="cellIs" dxfId="5" priority="840" operator="greaterThan">
      <formula>1</formula>
    </cfRule>
    <cfRule type="cellIs" dxfId="6" priority="833" operator="lessThan">
      <formula>0</formula>
    </cfRule>
    <cfRule type="cellIs" dxfId="1" priority="826" operator="greaterThan">
      <formula>0</formula>
    </cfRule>
    <cfRule type="cellIs" dxfId="0" priority="819" operator="lessThan">
      <formula>0</formula>
    </cfRule>
    <cfRule type="cellIs" dxfId="1" priority="812" operator="greaterThan">
      <formula>0</formula>
    </cfRule>
    <cfRule type="cellIs" dxfId="0" priority="805" operator="lessThan">
      <formula>0</formula>
    </cfRule>
  </conditionalFormatting>
  <conditionalFormatting sqref="LY9">
    <cfRule type="cellIs" dxfId="4" priority="798" operator="lessThan">
      <formula>0</formula>
    </cfRule>
    <cfRule type="cellIs" dxfId="0" priority="791" operator="lessThan">
      <formula>0</formula>
    </cfRule>
    <cfRule type="cellIs" dxfId="0" priority="784" operator="lessThan">
      <formula>-1</formula>
    </cfRule>
  </conditionalFormatting>
  <conditionalFormatting sqref="MN9">
    <cfRule type="cellIs" dxfId="2" priority="522" operator="greaterThan">
      <formula>0</formula>
    </cfRule>
    <cfRule type="cellIs" dxfId="3" priority="515" operator="lessThan">
      <formula>0</formula>
    </cfRule>
  </conditionalFormatting>
  <conditionalFormatting sqref="MV9">
    <cfRule type="cellIs" dxfId="1" priority="683" operator="greaterThan">
      <formula>0</formula>
    </cfRule>
    <cfRule type="cellIs" dxfId="0" priority="676" operator="lessThan">
      <formula>0</formula>
    </cfRule>
  </conditionalFormatting>
  <conditionalFormatting sqref="MW9">
    <cfRule type="cellIs" dxfId="1" priority="641" operator="greaterThan">
      <formula>0</formula>
    </cfRule>
    <cfRule type="cellIs" dxfId="0" priority="634" operator="lessThan">
      <formula>0</formula>
    </cfRule>
  </conditionalFormatting>
  <conditionalFormatting sqref="MX9">
    <cfRule type="cellIs" dxfId="1" priority="550" operator="greaterThan">
      <formula>0</formula>
    </cfRule>
    <cfRule type="cellIs" dxfId="0" priority="543" operator="lessThan">
      <formula>0</formula>
    </cfRule>
  </conditionalFormatting>
  <conditionalFormatting sqref="NC9">
    <cfRule type="cellIs" dxfId="1" priority="564" operator="greaterThan">
      <formula>0</formula>
    </cfRule>
    <cfRule type="cellIs" dxfId="0" priority="557" operator="lessThan">
      <formula>0</formula>
    </cfRule>
  </conditionalFormatting>
  <conditionalFormatting sqref="ND9">
    <cfRule type="cellIs" dxfId="1" priority="655" operator="greaterThan">
      <formula>0</formula>
    </cfRule>
    <cfRule type="cellIs" dxfId="0" priority="648" operator="lessThan">
      <formula>0</formula>
    </cfRule>
  </conditionalFormatting>
  <conditionalFormatting sqref="NE9">
    <cfRule type="cellIs" dxfId="1" priority="669" operator="greaterThan">
      <formula>0</formula>
    </cfRule>
    <cfRule type="cellIs" dxfId="0" priority="662" operator="lessThan">
      <formula>0</formula>
    </cfRule>
  </conditionalFormatting>
  <conditionalFormatting sqref="NF9">
    <cfRule type="cellIs" dxfId="5" priority="627" operator="greaterThan">
      <formula>1</formula>
    </cfRule>
    <cfRule type="cellIs" dxfId="6" priority="620" operator="lessThan">
      <formula>0</formula>
    </cfRule>
    <cfRule type="cellIs" dxfId="1" priority="613" operator="greaterThan">
      <formula>0</formula>
    </cfRule>
    <cfRule type="cellIs" dxfId="0" priority="606" operator="lessThan">
      <formula>0</formula>
    </cfRule>
    <cfRule type="cellIs" dxfId="1" priority="599" operator="greaterThan">
      <formula>0</formula>
    </cfRule>
    <cfRule type="cellIs" dxfId="0" priority="592" operator="lessThan">
      <formula>0</formula>
    </cfRule>
  </conditionalFormatting>
  <conditionalFormatting sqref="NG9">
    <cfRule type="cellIs" dxfId="4" priority="585" operator="lessThan">
      <formula>0</formula>
    </cfRule>
    <cfRule type="cellIs" dxfId="0" priority="578" operator="lessThan">
      <formula>0</formula>
    </cfRule>
    <cfRule type="cellIs" dxfId="0" priority="571" operator="lessThan">
      <formula>-1</formula>
    </cfRule>
  </conditionalFormatting>
  <conditionalFormatting sqref="NV9">
    <cfRule type="cellIs" dxfId="2" priority="127" operator="greaterThan">
      <formula>0</formula>
    </cfRule>
    <cfRule type="cellIs" dxfId="3" priority="120" operator="lessThan">
      <formula>0</formula>
    </cfRule>
  </conditionalFormatting>
  <conditionalFormatting sqref="OD9">
    <cfRule type="cellIs" dxfId="1" priority="288" operator="greaterThan">
      <formula>0</formula>
    </cfRule>
    <cfRule type="cellIs" dxfId="0" priority="281" operator="lessThan">
      <formula>0</formula>
    </cfRule>
  </conditionalFormatting>
  <conditionalFormatting sqref="OE9">
    <cfRule type="cellIs" dxfId="1" priority="246" operator="greaterThan">
      <formula>0</formula>
    </cfRule>
    <cfRule type="cellIs" dxfId="0" priority="239" operator="lessThan">
      <formula>0</formula>
    </cfRule>
  </conditionalFormatting>
  <conditionalFormatting sqref="OF9">
    <cfRule type="cellIs" dxfId="1" priority="155" operator="greaterThan">
      <formula>0</formula>
    </cfRule>
    <cfRule type="cellIs" dxfId="0" priority="148" operator="lessThan">
      <formula>0</formula>
    </cfRule>
  </conditionalFormatting>
  <conditionalFormatting sqref="OK9">
    <cfRule type="cellIs" dxfId="1" priority="169" operator="greaterThan">
      <formula>0</formula>
    </cfRule>
    <cfRule type="cellIs" dxfId="0" priority="162" operator="lessThan">
      <formula>0</formula>
    </cfRule>
  </conditionalFormatting>
  <conditionalFormatting sqref="OL9">
    <cfRule type="cellIs" dxfId="1" priority="260" operator="greaterThan">
      <formula>0</formula>
    </cfRule>
    <cfRule type="cellIs" dxfId="0" priority="253" operator="lessThan">
      <formula>0</formula>
    </cfRule>
  </conditionalFormatting>
  <conditionalFormatting sqref="OM9">
    <cfRule type="cellIs" dxfId="1" priority="274" operator="greaterThan">
      <formula>0</formula>
    </cfRule>
    <cfRule type="cellIs" dxfId="0" priority="267" operator="lessThan">
      <formula>0</formula>
    </cfRule>
  </conditionalFormatting>
  <conditionalFormatting sqref="ON9">
    <cfRule type="cellIs" dxfId="5" priority="232" operator="greaterThan">
      <formula>1</formula>
    </cfRule>
    <cfRule type="cellIs" dxfId="6" priority="225" operator="lessThan">
      <formula>0</formula>
    </cfRule>
    <cfRule type="cellIs" dxfId="1" priority="218" operator="greaterThan">
      <formula>0</formula>
    </cfRule>
    <cfRule type="cellIs" dxfId="0" priority="211" operator="lessThan">
      <formula>0</formula>
    </cfRule>
    <cfRule type="cellIs" dxfId="1" priority="204" operator="greaterThan">
      <formula>0</formula>
    </cfRule>
    <cfRule type="cellIs" dxfId="0" priority="197" operator="lessThan">
      <formula>0</formula>
    </cfRule>
  </conditionalFormatting>
  <conditionalFormatting sqref="OO9">
    <cfRule type="cellIs" dxfId="4" priority="190" operator="lessThan">
      <formula>0</formula>
    </cfRule>
    <cfRule type="cellIs" dxfId="0" priority="183" operator="lessThan">
      <formula>0</formula>
    </cfRule>
    <cfRule type="cellIs" dxfId="0" priority="176" operator="lessThan">
      <formula>-1</formula>
    </cfRule>
  </conditionalFormatting>
  <conditionalFormatting sqref="W10">
    <cfRule type="cellIs" dxfId="1" priority="6243" operator="greaterThan">
      <formula>0</formula>
    </cfRule>
    <cfRule type="cellIs" dxfId="0" priority="6242" operator="lessThan">
      <formula>0</formula>
    </cfRule>
  </conditionalFormatting>
  <conditionalFormatting sqref="X10">
    <cfRule type="cellIs" dxfId="1" priority="6245" operator="greaterThan">
      <formula>0</formula>
    </cfRule>
    <cfRule type="cellIs" dxfId="0" priority="6244" operator="lessThan">
      <formula>0</formula>
    </cfRule>
  </conditionalFormatting>
  <conditionalFormatting sqref="BD10">
    <cfRule type="cellIs" dxfId="1" priority="5868" operator="greaterThan">
      <formula>0</formula>
    </cfRule>
    <cfRule type="cellIs" dxfId="0" priority="5867" operator="lessThan">
      <formula>0</formula>
    </cfRule>
  </conditionalFormatting>
  <conditionalFormatting sqref="BE10">
    <cfRule type="cellIs" dxfId="1" priority="5870" operator="greaterThan">
      <formula>0</formula>
    </cfRule>
    <cfRule type="cellIs" dxfId="0" priority="5869" operator="lessThan">
      <formula>0</formula>
    </cfRule>
  </conditionalFormatting>
  <conditionalFormatting sqref="CK10">
    <cfRule type="cellIs" dxfId="1" priority="5141" operator="greaterThan">
      <formula>0</formula>
    </cfRule>
    <cfRule type="cellIs" dxfId="0" priority="5140" operator="lessThan">
      <formula>0</formula>
    </cfRule>
  </conditionalFormatting>
  <conditionalFormatting sqref="CL10">
    <cfRule type="cellIs" dxfId="1" priority="5143" operator="greaterThan">
      <formula>0</formula>
    </cfRule>
    <cfRule type="cellIs" dxfId="0" priority="5142" operator="lessThan">
      <formula>0</formula>
    </cfRule>
  </conditionalFormatting>
  <conditionalFormatting sqref="DR10">
    <cfRule type="cellIs" dxfId="1" priority="4752" operator="greaterThan">
      <formula>0</formula>
    </cfRule>
    <cfRule type="cellIs" dxfId="0" priority="4751" operator="lessThan">
      <formula>0</formula>
    </cfRule>
  </conditionalFormatting>
  <conditionalFormatting sqref="DS10">
    <cfRule type="cellIs" dxfId="1" priority="4754" operator="greaterThan">
      <formula>0</formula>
    </cfRule>
    <cfRule type="cellIs" dxfId="0" priority="4753" operator="lessThan">
      <formula>0</formula>
    </cfRule>
  </conditionalFormatting>
  <conditionalFormatting sqref="EY10">
    <cfRule type="cellIs" dxfId="1" priority="3951" operator="greaterThan">
      <formula>0</formula>
    </cfRule>
    <cfRule type="cellIs" dxfId="0" priority="3941" operator="lessThan">
      <formula>0</formula>
    </cfRule>
  </conditionalFormatting>
  <conditionalFormatting sqref="EZ10">
    <cfRule type="cellIs" dxfId="1" priority="3891" operator="greaterThan">
      <formula>0</formula>
    </cfRule>
    <cfRule type="cellIs" dxfId="0" priority="3881" operator="lessThan">
      <formula>0</formula>
    </cfRule>
  </conditionalFormatting>
  <conditionalFormatting sqref="FA10">
    <cfRule type="cellIs" dxfId="1" priority="3761" operator="greaterThan">
      <formula>0</formula>
    </cfRule>
    <cfRule type="cellIs" dxfId="0" priority="3751" operator="lessThan">
      <formula>0</formula>
    </cfRule>
  </conditionalFormatting>
  <conditionalFormatting sqref="FF10">
    <cfRule type="cellIs" dxfId="1" priority="3781" operator="greaterThan">
      <formula>0</formula>
    </cfRule>
    <cfRule type="cellIs" dxfId="0" priority="3771" operator="lessThan">
      <formula>0</formula>
    </cfRule>
  </conditionalFormatting>
  <conditionalFormatting sqref="FG10">
    <cfRule type="cellIs" dxfId="1" priority="3911" operator="greaterThan">
      <formula>0</formula>
    </cfRule>
    <cfRule type="cellIs" dxfId="0" priority="3901" operator="lessThan">
      <formula>0</formula>
    </cfRule>
  </conditionalFormatting>
  <conditionalFormatting sqref="FH10">
    <cfRule type="cellIs" dxfId="1" priority="3931" operator="greaterThan">
      <formula>0</formula>
    </cfRule>
    <cfRule type="cellIs" dxfId="0" priority="3921" operator="lessThan">
      <formula>0</formula>
    </cfRule>
  </conditionalFormatting>
  <conditionalFormatting sqref="FI10">
    <cfRule type="cellIs" dxfId="5" priority="3871" operator="greaterThan">
      <formula>1</formula>
    </cfRule>
    <cfRule type="cellIs" dxfId="6" priority="3861" operator="lessThan">
      <formula>0</formula>
    </cfRule>
    <cfRule type="cellIs" dxfId="1" priority="3851" operator="greaterThan">
      <formula>0</formula>
    </cfRule>
    <cfRule type="cellIs" dxfId="0" priority="3841" operator="lessThan">
      <formula>0</formula>
    </cfRule>
    <cfRule type="cellIs" dxfId="1" priority="3831" operator="greaterThan">
      <formula>0</formula>
    </cfRule>
    <cfRule type="cellIs" dxfId="0" priority="3821" operator="lessThan">
      <formula>0</formula>
    </cfRule>
  </conditionalFormatting>
  <conditionalFormatting sqref="FJ10">
    <cfRule type="cellIs" dxfId="4" priority="3811" operator="lessThan">
      <formula>0</formula>
    </cfRule>
    <cfRule type="cellIs" dxfId="0" priority="3801" operator="lessThan">
      <formula>0</formula>
    </cfRule>
    <cfRule type="cellIs" dxfId="0" priority="3791" operator="lessThan">
      <formula>-1</formula>
    </cfRule>
  </conditionalFormatting>
  <conditionalFormatting sqref="GH10">
    <cfRule type="cellIs" dxfId="1" priority="3436" operator="greaterThan">
      <formula>0</formula>
    </cfRule>
    <cfRule type="cellIs" dxfId="0" priority="3426" operator="lessThan">
      <formula>0</formula>
    </cfRule>
  </conditionalFormatting>
  <conditionalFormatting sqref="GI10">
    <cfRule type="cellIs" dxfId="1" priority="3376" operator="greaterThan">
      <formula>0</formula>
    </cfRule>
    <cfRule type="cellIs" dxfId="0" priority="3366" operator="lessThan">
      <formula>0</formula>
    </cfRule>
  </conditionalFormatting>
  <conditionalFormatting sqref="GJ10">
    <cfRule type="cellIs" dxfId="1" priority="3246" operator="greaterThan">
      <formula>0</formula>
    </cfRule>
    <cfRule type="cellIs" dxfId="0" priority="3236" operator="lessThan">
      <formula>0</formula>
    </cfRule>
  </conditionalFormatting>
  <conditionalFormatting sqref="GO10">
    <cfRule type="cellIs" dxfId="1" priority="3266" operator="greaterThan">
      <formula>0</formula>
    </cfRule>
    <cfRule type="cellIs" dxfId="0" priority="3256" operator="lessThan">
      <formula>0</formula>
    </cfRule>
  </conditionalFormatting>
  <conditionalFormatting sqref="GP10">
    <cfRule type="cellIs" dxfId="1" priority="3396" operator="greaterThan">
      <formula>0</formula>
    </cfRule>
    <cfRule type="cellIs" dxfId="0" priority="3386" operator="lessThan">
      <formula>0</formula>
    </cfRule>
  </conditionalFormatting>
  <conditionalFormatting sqref="GQ10">
    <cfRule type="cellIs" dxfId="1" priority="3416" operator="greaterThan">
      <formula>0</formula>
    </cfRule>
    <cfRule type="cellIs" dxfId="0" priority="3406" operator="lessThan">
      <formula>0</formula>
    </cfRule>
  </conditionalFormatting>
  <conditionalFormatting sqref="GR10">
    <cfRule type="cellIs" dxfId="5" priority="3356" operator="greaterThan">
      <formula>1</formula>
    </cfRule>
    <cfRule type="cellIs" dxfId="6" priority="3346" operator="lessThan">
      <formula>0</formula>
    </cfRule>
    <cfRule type="cellIs" dxfId="1" priority="3336" operator="greaterThan">
      <formula>0</formula>
    </cfRule>
    <cfRule type="cellIs" dxfId="0" priority="3326" operator="lessThan">
      <formula>0</formula>
    </cfRule>
    <cfRule type="cellIs" dxfId="1" priority="3316" operator="greaterThan">
      <formula>0</formula>
    </cfRule>
    <cfRule type="cellIs" dxfId="0" priority="3306" operator="lessThan">
      <formula>0</formula>
    </cfRule>
  </conditionalFormatting>
  <conditionalFormatting sqref="GS10">
    <cfRule type="cellIs" dxfId="4" priority="3296" operator="lessThan">
      <formula>0</formula>
    </cfRule>
    <cfRule type="cellIs" dxfId="0" priority="3286" operator="lessThan">
      <formula>0</formula>
    </cfRule>
    <cfRule type="cellIs" dxfId="0" priority="3276" operator="lessThan">
      <formula>-1</formula>
    </cfRule>
  </conditionalFormatting>
  <conditionalFormatting sqref="HP10">
    <cfRule type="cellIs" dxfId="1" priority="2892" operator="greaterThan">
      <formula>0</formula>
    </cfRule>
    <cfRule type="cellIs" dxfId="0" priority="2882" operator="lessThan">
      <formula>0</formula>
    </cfRule>
  </conditionalFormatting>
  <conditionalFormatting sqref="HQ10">
    <cfRule type="cellIs" dxfId="1" priority="2832" operator="greaterThan">
      <formula>0</formula>
    </cfRule>
    <cfRule type="cellIs" dxfId="0" priority="2822" operator="lessThan">
      <formula>0</formula>
    </cfRule>
  </conditionalFormatting>
  <conditionalFormatting sqref="HR10">
    <cfRule type="cellIs" dxfId="1" priority="2702" operator="greaterThan">
      <formula>0</formula>
    </cfRule>
    <cfRule type="cellIs" dxfId="0" priority="2692" operator="lessThan">
      <formula>0</formula>
    </cfRule>
  </conditionalFormatting>
  <conditionalFormatting sqref="HW10">
    <cfRule type="cellIs" dxfId="1" priority="2722" operator="greaterThan">
      <formula>0</formula>
    </cfRule>
    <cfRule type="cellIs" dxfId="0" priority="2712" operator="lessThan">
      <formula>0</formula>
    </cfRule>
  </conditionalFormatting>
  <conditionalFormatting sqref="HX10">
    <cfRule type="cellIs" dxfId="1" priority="2852" operator="greaterThan">
      <formula>0</formula>
    </cfRule>
    <cfRule type="cellIs" dxfId="0" priority="2842" operator="lessThan">
      <formula>0</formula>
    </cfRule>
  </conditionalFormatting>
  <conditionalFormatting sqref="HY10">
    <cfRule type="cellIs" dxfId="1" priority="2872" operator="greaterThan">
      <formula>0</formula>
    </cfRule>
    <cfRule type="cellIs" dxfId="0" priority="2862" operator="lessThan">
      <formula>0</formula>
    </cfRule>
  </conditionalFormatting>
  <conditionalFormatting sqref="HZ10">
    <cfRule type="cellIs" dxfId="5" priority="2812" operator="greaterThan">
      <formula>1</formula>
    </cfRule>
    <cfRule type="cellIs" dxfId="6" priority="2802" operator="lessThan">
      <formula>0</formula>
    </cfRule>
    <cfRule type="cellIs" dxfId="1" priority="2792" operator="greaterThan">
      <formula>0</formula>
    </cfRule>
    <cfRule type="cellIs" dxfId="0" priority="2782" operator="lessThan">
      <formula>0</formula>
    </cfRule>
    <cfRule type="cellIs" dxfId="1" priority="2772" operator="greaterThan">
      <formula>0</formula>
    </cfRule>
    <cfRule type="cellIs" dxfId="0" priority="2762" operator="lessThan">
      <formula>0</formula>
    </cfRule>
  </conditionalFormatting>
  <conditionalFormatting sqref="IA10">
    <cfRule type="cellIs" dxfId="4" priority="2752" operator="lessThan">
      <formula>0</formula>
    </cfRule>
    <cfRule type="cellIs" dxfId="0" priority="2742" operator="lessThan">
      <formula>0</formula>
    </cfRule>
    <cfRule type="cellIs" dxfId="0" priority="2732" operator="lessThan">
      <formula>-1</formula>
    </cfRule>
  </conditionalFormatting>
  <conditionalFormatting sqref="IX10">
    <cfRule type="cellIs" dxfId="1" priority="2363" operator="greaterThan">
      <formula>0</formula>
    </cfRule>
    <cfRule type="cellIs" dxfId="0" priority="2351" operator="lessThan">
      <formula>0</formula>
    </cfRule>
  </conditionalFormatting>
  <conditionalFormatting sqref="IY10">
    <cfRule type="cellIs" dxfId="1" priority="2291" operator="greaterThan">
      <formula>0</formula>
    </cfRule>
    <cfRule type="cellIs" dxfId="0" priority="2279" operator="lessThan">
      <formula>0</formula>
    </cfRule>
  </conditionalFormatting>
  <conditionalFormatting sqref="IZ10">
    <cfRule type="cellIs" dxfId="1" priority="2135" operator="greaterThan">
      <formula>0</formula>
    </cfRule>
    <cfRule type="cellIs" dxfId="0" priority="2123" operator="lessThan">
      <formula>0</formula>
    </cfRule>
  </conditionalFormatting>
  <conditionalFormatting sqref="JE10">
    <cfRule type="cellIs" dxfId="1" priority="2159" operator="greaterThan">
      <formula>0</formula>
    </cfRule>
    <cfRule type="cellIs" dxfId="0" priority="2147" operator="lessThan">
      <formula>0</formula>
    </cfRule>
  </conditionalFormatting>
  <conditionalFormatting sqref="JF10">
    <cfRule type="cellIs" dxfId="1" priority="2315" operator="greaterThan">
      <formula>0</formula>
    </cfRule>
    <cfRule type="cellIs" dxfId="0" priority="2303" operator="lessThan">
      <formula>0</formula>
    </cfRule>
  </conditionalFormatting>
  <conditionalFormatting sqref="JG10">
    <cfRule type="cellIs" dxfId="1" priority="2339" operator="greaterThan">
      <formula>0</formula>
    </cfRule>
    <cfRule type="cellIs" dxfId="0" priority="2327" operator="lessThan">
      <formula>0</formula>
    </cfRule>
  </conditionalFormatting>
  <conditionalFormatting sqref="JH10">
    <cfRule type="cellIs" dxfId="5" priority="2267" operator="greaterThan">
      <formula>1</formula>
    </cfRule>
    <cfRule type="cellIs" dxfId="6" priority="2255" operator="lessThan">
      <formula>0</formula>
    </cfRule>
    <cfRule type="cellIs" dxfId="1" priority="2243" operator="greaterThan">
      <formula>0</formula>
    </cfRule>
    <cfRule type="cellIs" dxfId="0" priority="2231" operator="lessThan">
      <formula>0</formula>
    </cfRule>
    <cfRule type="cellIs" dxfId="1" priority="2219" operator="greaterThan">
      <formula>0</formula>
    </cfRule>
    <cfRule type="cellIs" dxfId="0" priority="2207" operator="lessThan">
      <formula>0</formula>
    </cfRule>
  </conditionalFormatting>
  <conditionalFormatting sqref="JI10">
    <cfRule type="cellIs" dxfId="4" priority="2195" operator="lessThan">
      <formula>0</formula>
    </cfRule>
    <cfRule type="cellIs" dxfId="0" priority="2183" operator="lessThan">
      <formula>0</formula>
    </cfRule>
    <cfRule type="cellIs" dxfId="0" priority="2171" operator="lessThan">
      <formula>-1</formula>
    </cfRule>
  </conditionalFormatting>
  <conditionalFormatting sqref="KF10">
    <cfRule type="cellIs" dxfId="1" priority="1586" operator="greaterThan">
      <formula>0</formula>
    </cfRule>
    <cfRule type="cellIs" dxfId="0" priority="1576" operator="lessThan">
      <formula>0</formula>
    </cfRule>
  </conditionalFormatting>
  <conditionalFormatting sqref="KG10">
    <cfRule type="cellIs" dxfId="1" priority="1526" operator="greaterThan">
      <formula>0</formula>
    </cfRule>
    <cfRule type="cellIs" dxfId="0" priority="1516" operator="lessThan">
      <formula>0</formula>
    </cfRule>
  </conditionalFormatting>
  <conditionalFormatting sqref="KH10">
    <cfRule type="cellIs" dxfId="1" priority="1396" operator="greaterThan">
      <formula>0</formula>
    </cfRule>
    <cfRule type="cellIs" dxfId="0" priority="1386" operator="lessThan">
      <formula>0</formula>
    </cfRule>
  </conditionalFormatting>
  <conditionalFormatting sqref="KM10">
    <cfRule type="cellIs" dxfId="1" priority="1416" operator="greaterThan">
      <formula>0</formula>
    </cfRule>
    <cfRule type="cellIs" dxfId="0" priority="1406" operator="lessThan">
      <formula>0</formula>
    </cfRule>
  </conditionalFormatting>
  <conditionalFormatting sqref="KN10">
    <cfRule type="cellIs" dxfId="1" priority="1546" operator="greaterThan">
      <formula>0</formula>
    </cfRule>
    <cfRule type="cellIs" dxfId="0" priority="1536" operator="lessThan">
      <formula>0</formula>
    </cfRule>
  </conditionalFormatting>
  <conditionalFormatting sqref="KO10">
    <cfRule type="cellIs" dxfId="1" priority="1566" operator="greaterThan">
      <formula>0</formula>
    </cfRule>
    <cfRule type="cellIs" dxfId="0" priority="1556" operator="lessThan">
      <formula>0</formula>
    </cfRule>
  </conditionalFormatting>
  <conditionalFormatting sqref="KP10">
    <cfRule type="cellIs" dxfId="5" priority="1506" operator="greaterThan">
      <formula>1</formula>
    </cfRule>
    <cfRule type="cellIs" dxfId="6" priority="1496" operator="lessThan">
      <formula>0</formula>
    </cfRule>
    <cfRule type="cellIs" dxfId="1" priority="1486" operator="greaterThan">
      <formula>0</formula>
    </cfRule>
    <cfRule type="cellIs" dxfId="0" priority="1476" operator="lessThan">
      <formula>0</formula>
    </cfRule>
    <cfRule type="cellIs" dxfId="1" priority="1466" operator="greaterThan">
      <formula>0</formula>
    </cfRule>
    <cfRule type="cellIs" dxfId="0" priority="1456" operator="lessThan">
      <formula>0</formula>
    </cfRule>
  </conditionalFormatting>
  <conditionalFormatting sqref="KQ10">
    <cfRule type="cellIs" dxfId="4" priority="1446" operator="lessThan">
      <formula>0</formula>
    </cfRule>
    <cfRule type="cellIs" dxfId="0" priority="1436" operator="lessThan">
      <formula>0</formula>
    </cfRule>
    <cfRule type="cellIs" dxfId="0" priority="1426" operator="lessThan">
      <formula>-1</formula>
    </cfRule>
  </conditionalFormatting>
  <conditionalFormatting sqref="LF10">
    <cfRule type="cellIs" dxfId="2" priority="734" operator="greaterThan">
      <formula>0</formula>
    </cfRule>
    <cfRule type="cellIs" dxfId="3" priority="727" operator="lessThan">
      <formula>0</formula>
    </cfRule>
  </conditionalFormatting>
  <conditionalFormatting sqref="LN10">
    <cfRule type="cellIs" dxfId="1" priority="895" operator="greaterThan">
      <formula>0</formula>
    </cfRule>
    <cfRule type="cellIs" dxfId="0" priority="888" operator="lessThan">
      <formula>0</formula>
    </cfRule>
  </conditionalFormatting>
  <conditionalFormatting sqref="LO10">
    <cfRule type="cellIs" dxfId="1" priority="853" operator="greaterThan">
      <formula>0</formula>
    </cfRule>
    <cfRule type="cellIs" dxfId="0" priority="846" operator="lessThan">
      <formula>0</formula>
    </cfRule>
  </conditionalFormatting>
  <conditionalFormatting sqref="LP10">
    <cfRule type="cellIs" dxfId="1" priority="762" operator="greaterThan">
      <formula>0</formula>
    </cfRule>
    <cfRule type="cellIs" dxfId="0" priority="755" operator="lessThan">
      <formula>0</formula>
    </cfRule>
  </conditionalFormatting>
  <conditionalFormatting sqref="LU10">
    <cfRule type="cellIs" dxfId="1" priority="776" operator="greaterThan">
      <formula>0</formula>
    </cfRule>
    <cfRule type="cellIs" dxfId="0" priority="769" operator="lessThan">
      <formula>0</formula>
    </cfRule>
  </conditionalFormatting>
  <conditionalFormatting sqref="LV10">
    <cfRule type="cellIs" dxfId="1" priority="867" operator="greaterThan">
      <formula>0</formula>
    </cfRule>
    <cfRule type="cellIs" dxfId="0" priority="860" operator="lessThan">
      <formula>0</formula>
    </cfRule>
  </conditionalFormatting>
  <conditionalFormatting sqref="LW10">
    <cfRule type="cellIs" dxfId="1" priority="881" operator="greaterThan">
      <formula>0</formula>
    </cfRule>
    <cfRule type="cellIs" dxfId="0" priority="874" operator="lessThan">
      <formula>0</formula>
    </cfRule>
  </conditionalFormatting>
  <conditionalFormatting sqref="LX10">
    <cfRule type="cellIs" dxfId="5" priority="839" operator="greaterThan">
      <formula>1</formula>
    </cfRule>
    <cfRule type="cellIs" dxfId="6" priority="832" operator="lessThan">
      <formula>0</formula>
    </cfRule>
    <cfRule type="cellIs" dxfId="1" priority="825" operator="greaterThan">
      <formula>0</formula>
    </cfRule>
    <cfRule type="cellIs" dxfId="0" priority="818" operator="lessThan">
      <formula>0</formula>
    </cfRule>
    <cfRule type="cellIs" dxfId="1" priority="811" operator="greaterThan">
      <formula>0</formula>
    </cfRule>
    <cfRule type="cellIs" dxfId="0" priority="804" operator="lessThan">
      <formula>0</formula>
    </cfRule>
  </conditionalFormatting>
  <conditionalFormatting sqref="LY10">
    <cfRule type="cellIs" dxfId="4" priority="797" operator="lessThan">
      <formula>0</formula>
    </cfRule>
    <cfRule type="cellIs" dxfId="0" priority="790" operator="lessThan">
      <formula>0</formula>
    </cfRule>
    <cfRule type="cellIs" dxfId="0" priority="783" operator="lessThan">
      <formula>-1</formula>
    </cfRule>
  </conditionalFormatting>
  <conditionalFormatting sqref="MN10">
    <cfRule type="cellIs" dxfId="2" priority="521" operator="greaterThan">
      <formula>0</formula>
    </cfRule>
    <cfRule type="cellIs" dxfId="3" priority="514" operator="lessThan">
      <formula>0</formula>
    </cfRule>
  </conditionalFormatting>
  <conditionalFormatting sqref="MV10">
    <cfRule type="cellIs" dxfId="1" priority="682" operator="greaterThan">
      <formula>0</formula>
    </cfRule>
    <cfRule type="cellIs" dxfId="0" priority="675" operator="lessThan">
      <formula>0</formula>
    </cfRule>
  </conditionalFormatting>
  <conditionalFormatting sqref="MW10">
    <cfRule type="cellIs" dxfId="1" priority="640" operator="greaterThan">
      <formula>0</formula>
    </cfRule>
    <cfRule type="cellIs" dxfId="0" priority="633" operator="lessThan">
      <formula>0</formula>
    </cfRule>
  </conditionalFormatting>
  <conditionalFormatting sqref="MX10">
    <cfRule type="cellIs" dxfId="1" priority="549" operator="greaterThan">
      <formula>0</formula>
    </cfRule>
    <cfRule type="cellIs" dxfId="0" priority="542" operator="lessThan">
      <formula>0</formula>
    </cfRule>
  </conditionalFormatting>
  <conditionalFormatting sqref="NC10">
    <cfRule type="cellIs" dxfId="1" priority="563" operator="greaterThan">
      <formula>0</formula>
    </cfRule>
    <cfRule type="cellIs" dxfId="0" priority="556" operator="lessThan">
      <formula>0</formula>
    </cfRule>
  </conditionalFormatting>
  <conditionalFormatting sqref="ND10">
    <cfRule type="cellIs" dxfId="1" priority="654" operator="greaterThan">
      <formula>0</formula>
    </cfRule>
    <cfRule type="cellIs" dxfId="0" priority="647" operator="lessThan">
      <formula>0</formula>
    </cfRule>
  </conditionalFormatting>
  <conditionalFormatting sqref="NE10">
    <cfRule type="cellIs" dxfId="1" priority="668" operator="greaterThan">
      <formula>0</formula>
    </cfRule>
    <cfRule type="cellIs" dxfId="0" priority="661" operator="lessThan">
      <formula>0</formula>
    </cfRule>
  </conditionalFormatting>
  <conditionalFormatting sqref="NF10">
    <cfRule type="cellIs" dxfId="5" priority="626" operator="greaterThan">
      <formula>1</formula>
    </cfRule>
    <cfRule type="cellIs" dxfId="6" priority="619" operator="lessThan">
      <formula>0</formula>
    </cfRule>
    <cfRule type="cellIs" dxfId="1" priority="612" operator="greaterThan">
      <formula>0</formula>
    </cfRule>
    <cfRule type="cellIs" dxfId="0" priority="605" operator="lessThan">
      <formula>0</formula>
    </cfRule>
    <cfRule type="cellIs" dxfId="1" priority="598" operator="greaterThan">
      <formula>0</formula>
    </cfRule>
    <cfRule type="cellIs" dxfId="0" priority="591" operator="lessThan">
      <formula>0</formula>
    </cfRule>
  </conditionalFormatting>
  <conditionalFormatting sqref="NG10">
    <cfRule type="cellIs" dxfId="4" priority="584" operator="lessThan">
      <formula>0</formula>
    </cfRule>
    <cfRule type="cellIs" dxfId="0" priority="577" operator="lessThan">
      <formula>0</formula>
    </cfRule>
    <cfRule type="cellIs" dxfId="0" priority="570" operator="lessThan">
      <formula>-1</formula>
    </cfRule>
  </conditionalFormatting>
  <conditionalFormatting sqref="NN10">
    <cfRule type="cellIs" dxfId="2" priority="95" operator="greaterThan">
      <formula>0</formula>
    </cfRule>
    <cfRule type="cellIs" dxfId="3" priority="94" operator="lessThan">
      <formula>0</formula>
    </cfRule>
  </conditionalFormatting>
  <conditionalFormatting sqref="NV10">
    <cfRule type="cellIs" dxfId="2" priority="87" operator="greaterThan">
      <formula>0</formula>
    </cfRule>
    <cfRule type="cellIs" dxfId="3" priority="86" operator="lessThan">
      <formula>0</formula>
    </cfRule>
  </conditionalFormatting>
  <conditionalFormatting sqref="OD10">
    <cfRule type="cellIs" dxfId="1" priority="287" operator="greaterThan">
      <formula>0</formula>
    </cfRule>
    <cfRule type="cellIs" dxfId="0" priority="280" operator="lessThan">
      <formula>0</formula>
    </cfRule>
  </conditionalFormatting>
  <conditionalFormatting sqref="OE10">
    <cfRule type="cellIs" dxfId="1" priority="245" operator="greaterThan">
      <formula>0</formula>
    </cfRule>
    <cfRule type="cellIs" dxfId="0" priority="238" operator="lessThan">
      <formula>0</formula>
    </cfRule>
  </conditionalFormatting>
  <conditionalFormatting sqref="OF10">
    <cfRule type="cellIs" dxfId="1" priority="154" operator="greaterThan">
      <formula>0</formula>
    </cfRule>
    <cfRule type="cellIs" dxfId="0" priority="147" operator="lessThan">
      <formula>0</formula>
    </cfRule>
  </conditionalFormatting>
  <conditionalFormatting sqref="OK10">
    <cfRule type="cellIs" dxfId="1" priority="168" operator="greaterThan">
      <formula>0</formula>
    </cfRule>
    <cfRule type="cellIs" dxfId="0" priority="161" operator="lessThan">
      <formula>0</formula>
    </cfRule>
  </conditionalFormatting>
  <conditionalFormatting sqref="OL10">
    <cfRule type="cellIs" dxfId="1" priority="259" operator="greaterThan">
      <formula>0</formula>
    </cfRule>
    <cfRule type="cellIs" dxfId="0" priority="252" operator="lessThan">
      <formula>0</formula>
    </cfRule>
  </conditionalFormatting>
  <conditionalFormatting sqref="OM10">
    <cfRule type="cellIs" dxfId="1" priority="273" operator="greaterThan">
      <formula>0</formula>
    </cfRule>
    <cfRule type="cellIs" dxfId="0" priority="266" operator="lessThan">
      <formula>0</formula>
    </cfRule>
  </conditionalFormatting>
  <conditionalFormatting sqref="ON10">
    <cfRule type="cellIs" dxfId="5" priority="231" operator="greaterThan">
      <formula>1</formula>
    </cfRule>
    <cfRule type="cellIs" dxfId="6" priority="224" operator="lessThan">
      <formula>0</formula>
    </cfRule>
    <cfRule type="cellIs" dxfId="1" priority="217" operator="greaterThan">
      <formula>0</formula>
    </cfRule>
    <cfRule type="cellIs" dxfId="0" priority="210" operator="lessThan">
      <formula>0</formula>
    </cfRule>
    <cfRule type="cellIs" dxfId="1" priority="203" operator="greaterThan">
      <formula>0</formula>
    </cfRule>
    <cfRule type="cellIs" dxfId="0" priority="196" operator="lessThan">
      <formula>0</formula>
    </cfRule>
  </conditionalFormatting>
  <conditionalFormatting sqref="OO10">
    <cfRule type="cellIs" dxfId="4" priority="189" operator="lessThan">
      <formula>0</formula>
    </cfRule>
    <cfRule type="cellIs" dxfId="0" priority="182" operator="lessThan">
      <formula>0</formula>
    </cfRule>
    <cfRule type="cellIs" dxfId="0" priority="175" operator="lessThan">
      <formula>-1</formula>
    </cfRule>
  </conditionalFormatting>
  <conditionalFormatting sqref="EY11">
    <cfRule type="cellIs" dxfId="1" priority="3950" operator="greaterThan">
      <formula>0</formula>
    </cfRule>
    <cfRule type="cellIs" dxfId="0" priority="3940" operator="lessThan">
      <formula>0</formula>
    </cfRule>
  </conditionalFormatting>
  <conditionalFormatting sqref="EZ11">
    <cfRule type="cellIs" dxfId="1" priority="3890" operator="greaterThan">
      <formula>0</formula>
    </cfRule>
    <cfRule type="cellIs" dxfId="0" priority="3880" operator="lessThan">
      <formula>0</formula>
    </cfRule>
  </conditionalFormatting>
  <conditionalFormatting sqref="FA11">
    <cfRule type="cellIs" dxfId="1" priority="3760" operator="greaterThan">
      <formula>0</formula>
    </cfRule>
    <cfRule type="cellIs" dxfId="0" priority="3750" operator="lessThan">
      <formula>0</formula>
    </cfRule>
  </conditionalFormatting>
  <conditionalFormatting sqref="FF11">
    <cfRule type="cellIs" dxfId="1" priority="3780" operator="greaterThan">
      <formula>0</formula>
    </cfRule>
    <cfRule type="cellIs" dxfId="0" priority="3770" operator="lessThan">
      <formula>0</formula>
    </cfRule>
  </conditionalFormatting>
  <conditionalFormatting sqref="FG11">
    <cfRule type="cellIs" dxfId="1" priority="3910" operator="greaterThan">
      <formula>0</formula>
    </cfRule>
    <cfRule type="cellIs" dxfId="0" priority="3900" operator="lessThan">
      <formula>0</formula>
    </cfRule>
  </conditionalFormatting>
  <conditionalFormatting sqref="FH11">
    <cfRule type="cellIs" dxfId="1" priority="3930" operator="greaterThan">
      <formula>0</formula>
    </cfRule>
    <cfRule type="cellIs" dxfId="0" priority="3920" operator="lessThan">
      <formula>0</formula>
    </cfRule>
  </conditionalFormatting>
  <conditionalFormatting sqref="FI11">
    <cfRule type="cellIs" dxfId="5" priority="3870" operator="greaterThan">
      <formula>1</formula>
    </cfRule>
    <cfRule type="cellIs" dxfId="6" priority="3860" operator="lessThan">
      <formula>0</formula>
    </cfRule>
    <cfRule type="cellIs" dxfId="1" priority="3850" operator="greaterThan">
      <formula>0</formula>
    </cfRule>
    <cfRule type="cellIs" dxfId="0" priority="3840" operator="lessThan">
      <formula>0</formula>
    </cfRule>
    <cfRule type="cellIs" dxfId="1" priority="3830" operator="greaterThan">
      <formula>0</formula>
    </cfRule>
    <cfRule type="cellIs" dxfId="0" priority="3820" operator="lessThan">
      <formula>0</formula>
    </cfRule>
  </conditionalFormatting>
  <conditionalFormatting sqref="FJ11">
    <cfRule type="cellIs" dxfId="4" priority="3810" operator="lessThan">
      <formula>0</formula>
    </cfRule>
    <cfRule type="cellIs" dxfId="0" priority="3800" operator="lessThan">
      <formula>0</formula>
    </cfRule>
    <cfRule type="cellIs" dxfId="0" priority="3790" operator="lessThan">
      <formula>-1</formula>
    </cfRule>
  </conditionalFormatting>
  <conditionalFormatting sqref="GH11">
    <cfRule type="cellIs" dxfId="1" priority="3435" operator="greaterThan">
      <formula>0</formula>
    </cfRule>
    <cfRule type="cellIs" dxfId="0" priority="3425" operator="lessThan">
      <formula>0</formula>
    </cfRule>
  </conditionalFormatting>
  <conditionalFormatting sqref="GI11">
    <cfRule type="cellIs" dxfId="1" priority="3375" operator="greaterThan">
      <formula>0</formula>
    </cfRule>
    <cfRule type="cellIs" dxfId="0" priority="3365" operator="lessThan">
      <formula>0</formula>
    </cfRule>
  </conditionalFormatting>
  <conditionalFormatting sqref="GJ11">
    <cfRule type="cellIs" dxfId="1" priority="3245" operator="greaterThan">
      <formula>0</formula>
    </cfRule>
    <cfRule type="cellIs" dxfId="0" priority="3235" operator="lessThan">
      <formula>0</formula>
    </cfRule>
  </conditionalFormatting>
  <conditionalFormatting sqref="GO11">
    <cfRule type="cellIs" dxfId="1" priority="3265" operator="greaterThan">
      <formula>0</formula>
    </cfRule>
    <cfRule type="cellIs" dxfId="0" priority="3255" operator="lessThan">
      <formula>0</formula>
    </cfRule>
  </conditionalFormatting>
  <conditionalFormatting sqref="GP11">
    <cfRule type="cellIs" dxfId="1" priority="3395" operator="greaterThan">
      <formula>0</formula>
    </cfRule>
    <cfRule type="cellIs" dxfId="0" priority="3385" operator="lessThan">
      <formula>0</formula>
    </cfRule>
  </conditionalFormatting>
  <conditionalFormatting sqref="GQ11">
    <cfRule type="cellIs" dxfId="1" priority="3415" operator="greaterThan">
      <formula>0</formula>
    </cfRule>
    <cfRule type="cellIs" dxfId="0" priority="3405" operator="lessThan">
      <formula>0</formula>
    </cfRule>
  </conditionalFormatting>
  <conditionalFormatting sqref="GR11">
    <cfRule type="cellIs" dxfId="5" priority="3355" operator="greaterThan">
      <formula>1</formula>
    </cfRule>
    <cfRule type="cellIs" dxfId="6" priority="3345" operator="lessThan">
      <formula>0</formula>
    </cfRule>
    <cfRule type="cellIs" dxfId="1" priority="3335" operator="greaterThan">
      <formula>0</formula>
    </cfRule>
    <cfRule type="cellIs" dxfId="0" priority="3325" operator="lessThan">
      <formula>0</formula>
    </cfRule>
    <cfRule type="cellIs" dxfId="1" priority="3315" operator="greaterThan">
      <formula>0</formula>
    </cfRule>
    <cfRule type="cellIs" dxfId="0" priority="3305" operator="lessThan">
      <formula>0</formula>
    </cfRule>
  </conditionalFormatting>
  <conditionalFormatting sqref="GS11">
    <cfRule type="cellIs" dxfId="4" priority="3295" operator="lessThan">
      <formula>0</formula>
    </cfRule>
    <cfRule type="cellIs" dxfId="0" priority="3285" operator="lessThan">
      <formula>0</formula>
    </cfRule>
    <cfRule type="cellIs" dxfId="0" priority="3275" operator="lessThan">
      <formula>-1</formula>
    </cfRule>
  </conditionalFormatting>
  <conditionalFormatting sqref="HP11">
    <cfRule type="cellIs" dxfId="1" priority="2891" operator="greaterThan">
      <formula>0</formula>
    </cfRule>
    <cfRule type="cellIs" dxfId="0" priority="2881" operator="lessThan">
      <formula>0</formula>
    </cfRule>
  </conditionalFormatting>
  <conditionalFormatting sqref="HQ11">
    <cfRule type="cellIs" dxfId="1" priority="2831" operator="greaterThan">
      <formula>0</formula>
    </cfRule>
    <cfRule type="cellIs" dxfId="0" priority="2821" operator="lessThan">
      <formula>0</formula>
    </cfRule>
  </conditionalFormatting>
  <conditionalFormatting sqref="HR11">
    <cfRule type="cellIs" dxfId="1" priority="2701" operator="greaterThan">
      <formula>0</formula>
    </cfRule>
    <cfRule type="cellIs" dxfId="0" priority="2691" operator="lessThan">
      <formula>0</formula>
    </cfRule>
  </conditionalFormatting>
  <conditionalFormatting sqref="HW11">
    <cfRule type="cellIs" dxfId="1" priority="2721" operator="greaterThan">
      <formula>0</formula>
    </cfRule>
    <cfRule type="cellIs" dxfId="0" priority="2711" operator="lessThan">
      <formula>0</formula>
    </cfRule>
  </conditionalFormatting>
  <conditionalFormatting sqref="HX11">
    <cfRule type="cellIs" dxfId="1" priority="2851" operator="greaterThan">
      <formula>0</formula>
    </cfRule>
    <cfRule type="cellIs" dxfId="0" priority="2841" operator="lessThan">
      <formula>0</formula>
    </cfRule>
  </conditionalFormatting>
  <conditionalFormatting sqref="HY11">
    <cfRule type="cellIs" dxfId="1" priority="2871" operator="greaterThan">
      <formula>0</formula>
    </cfRule>
    <cfRule type="cellIs" dxfId="0" priority="2861" operator="lessThan">
      <formula>0</formula>
    </cfRule>
  </conditionalFormatting>
  <conditionalFormatting sqref="HZ11">
    <cfRule type="cellIs" dxfId="5" priority="2811" operator="greaterThan">
      <formula>1</formula>
    </cfRule>
    <cfRule type="cellIs" dxfId="6" priority="2801" operator="lessThan">
      <formula>0</formula>
    </cfRule>
    <cfRule type="cellIs" dxfId="1" priority="2791" operator="greaterThan">
      <formula>0</formula>
    </cfRule>
    <cfRule type="cellIs" dxfId="0" priority="2781" operator="lessThan">
      <formula>0</formula>
    </cfRule>
    <cfRule type="cellIs" dxfId="1" priority="2771" operator="greaterThan">
      <formula>0</formula>
    </cfRule>
    <cfRule type="cellIs" dxfId="0" priority="2761" operator="lessThan">
      <formula>0</formula>
    </cfRule>
  </conditionalFormatting>
  <conditionalFormatting sqref="IA11">
    <cfRule type="cellIs" dxfId="4" priority="2751" operator="lessThan">
      <formula>0</formula>
    </cfRule>
    <cfRule type="cellIs" dxfId="0" priority="2741" operator="lessThan">
      <formula>0</formula>
    </cfRule>
    <cfRule type="cellIs" dxfId="0" priority="2731" operator="lessThan">
      <formula>-1</formula>
    </cfRule>
  </conditionalFormatting>
  <conditionalFormatting sqref="IX11">
    <cfRule type="cellIs" dxfId="1" priority="2362" operator="greaterThan">
      <formula>0</formula>
    </cfRule>
    <cfRule type="cellIs" dxfId="0" priority="2350" operator="lessThan">
      <formula>0</formula>
    </cfRule>
  </conditionalFormatting>
  <conditionalFormatting sqref="IY11">
    <cfRule type="cellIs" dxfId="1" priority="2290" operator="greaterThan">
      <formula>0</formula>
    </cfRule>
    <cfRule type="cellIs" dxfId="0" priority="2278" operator="lessThan">
      <formula>0</formula>
    </cfRule>
  </conditionalFormatting>
  <conditionalFormatting sqref="IZ11">
    <cfRule type="cellIs" dxfId="1" priority="2134" operator="greaterThan">
      <formula>0</formula>
    </cfRule>
    <cfRule type="cellIs" dxfId="0" priority="2122" operator="lessThan">
      <formula>0</formula>
    </cfRule>
  </conditionalFormatting>
  <conditionalFormatting sqref="JE11">
    <cfRule type="cellIs" dxfId="1" priority="2158" operator="greaterThan">
      <formula>0</formula>
    </cfRule>
    <cfRule type="cellIs" dxfId="0" priority="2146" operator="lessThan">
      <formula>0</formula>
    </cfRule>
  </conditionalFormatting>
  <conditionalFormatting sqref="JF11">
    <cfRule type="cellIs" dxfId="1" priority="2314" operator="greaterThan">
      <formula>0</formula>
    </cfRule>
    <cfRule type="cellIs" dxfId="0" priority="2302" operator="lessThan">
      <formula>0</formula>
    </cfRule>
  </conditionalFormatting>
  <conditionalFormatting sqref="JG11">
    <cfRule type="cellIs" dxfId="1" priority="2338" operator="greaterThan">
      <formula>0</formula>
    </cfRule>
    <cfRule type="cellIs" dxfId="0" priority="2326" operator="lessThan">
      <formula>0</formula>
    </cfRule>
  </conditionalFormatting>
  <conditionalFormatting sqref="JH11">
    <cfRule type="cellIs" dxfId="5" priority="2266" operator="greaterThan">
      <formula>1</formula>
    </cfRule>
    <cfRule type="cellIs" dxfId="6" priority="2254" operator="lessThan">
      <formula>0</formula>
    </cfRule>
    <cfRule type="cellIs" dxfId="1" priority="2242" operator="greaterThan">
      <formula>0</formula>
    </cfRule>
    <cfRule type="cellIs" dxfId="0" priority="2230" operator="lessThan">
      <formula>0</formula>
    </cfRule>
    <cfRule type="cellIs" dxfId="1" priority="2218" operator="greaterThan">
      <formula>0</formula>
    </cfRule>
    <cfRule type="cellIs" dxfId="0" priority="2206" operator="lessThan">
      <formula>0</formula>
    </cfRule>
  </conditionalFormatting>
  <conditionalFormatting sqref="JI11">
    <cfRule type="cellIs" dxfId="4" priority="2194" operator="lessThan">
      <formula>0</formula>
    </cfRule>
    <cfRule type="cellIs" dxfId="0" priority="2182" operator="lessThan">
      <formula>0</formula>
    </cfRule>
    <cfRule type="cellIs" dxfId="0" priority="2170" operator="lessThan">
      <formula>-1</formula>
    </cfRule>
  </conditionalFormatting>
  <conditionalFormatting sqref="KF11">
    <cfRule type="cellIs" dxfId="1" priority="1585" operator="greaterThan">
      <formula>0</formula>
    </cfRule>
    <cfRule type="cellIs" dxfId="0" priority="1575" operator="lessThan">
      <formula>0</formula>
    </cfRule>
  </conditionalFormatting>
  <conditionalFormatting sqref="KG11">
    <cfRule type="cellIs" dxfId="1" priority="1525" operator="greaterThan">
      <formula>0</formula>
    </cfRule>
    <cfRule type="cellIs" dxfId="0" priority="1515" operator="lessThan">
      <formula>0</formula>
    </cfRule>
  </conditionalFormatting>
  <conditionalFormatting sqref="KH11">
    <cfRule type="cellIs" dxfId="1" priority="1395" operator="greaterThan">
      <formula>0</formula>
    </cfRule>
    <cfRule type="cellIs" dxfId="0" priority="1385" operator="lessThan">
      <formula>0</formula>
    </cfRule>
  </conditionalFormatting>
  <conditionalFormatting sqref="KM11">
    <cfRule type="cellIs" dxfId="1" priority="1415" operator="greaterThan">
      <formula>0</formula>
    </cfRule>
    <cfRule type="cellIs" dxfId="0" priority="1405" operator="lessThan">
      <formula>0</formula>
    </cfRule>
  </conditionalFormatting>
  <conditionalFormatting sqref="KN11">
    <cfRule type="cellIs" dxfId="1" priority="1545" operator="greaterThan">
      <formula>0</formula>
    </cfRule>
    <cfRule type="cellIs" dxfId="0" priority="1535" operator="lessThan">
      <formula>0</formula>
    </cfRule>
  </conditionalFormatting>
  <conditionalFormatting sqref="KO11">
    <cfRule type="cellIs" dxfId="1" priority="1565" operator="greaterThan">
      <formula>0</formula>
    </cfRule>
    <cfRule type="cellIs" dxfId="0" priority="1555" operator="lessThan">
      <formula>0</formula>
    </cfRule>
  </conditionalFormatting>
  <conditionalFormatting sqref="KP11">
    <cfRule type="cellIs" dxfId="5" priority="1505" operator="greaterThan">
      <formula>1</formula>
    </cfRule>
    <cfRule type="cellIs" dxfId="6" priority="1495" operator="lessThan">
      <formula>0</formula>
    </cfRule>
    <cfRule type="cellIs" dxfId="1" priority="1485" operator="greaterThan">
      <formula>0</formula>
    </cfRule>
    <cfRule type="cellIs" dxfId="0" priority="1475" operator="lessThan">
      <formula>0</formula>
    </cfRule>
    <cfRule type="cellIs" dxfId="1" priority="1465" operator="greaterThan">
      <formula>0</formula>
    </cfRule>
    <cfRule type="cellIs" dxfId="0" priority="1455" operator="lessThan">
      <formula>0</formula>
    </cfRule>
  </conditionalFormatting>
  <conditionalFormatting sqref="KQ11">
    <cfRule type="cellIs" dxfId="4" priority="1445" operator="lessThan">
      <formula>0</formula>
    </cfRule>
    <cfRule type="cellIs" dxfId="0" priority="1435" operator="lessThan">
      <formula>0</formula>
    </cfRule>
    <cfRule type="cellIs" dxfId="0" priority="1425" operator="lessThan">
      <formula>-1</formula>
    </cfRule>
  </conditionalFormatting>
  <conditionalFormatting sqref="LX11">
    <cfRule type="cellIs" dxfId="0" priority="9597" operator="lessThan">
      <formula>0</formula>
    </cfRule>
    <cfRule type="cellIs" dxfId="1" priority="9607" operator="greaterThan">
      <formula>0</formula>
    </cfRule>
    <cfRule type="cellIs" dxfId="0" priority="9617" operator="lessThan">
      <formula>0</formula>
    </cfRule>
    <cfRule type="cellIs" dxfId="1" priority="9627" operator="greaterThan">
      <formula>0</formula>
    </cfRule>
    <cfRule type="cellIs" dxfId="6" priority="9637" operator="lessThan">
      <formula>0</formula>
    </cfRule>
    <cfRule type="cellIs" dxfId="5" priority="9647" operator="greaterThan">
      <formula>1</formula>
    </cfRule>
  </conditionalFormatting>
  <conditionalFormatting sqref="LY11">
    <cfRule type="cellIs" dxfId="0" priority="9657" operator="lessThan">
      <formula>-1</formula>
    </cfRule>
    <cfRule type="cellIs" dxfId="0" priority="9667" operator="lessThan">
      <formula>0</formula>
    </cfRule>
    <cfRule type="cellIs" dxfId="4" priority="9677" operator="lessThan">
      <formula>0</formula>
    </cfRule>
  </conditionalFormatting>
  <conditionalFormatting sqref="NF11">
    <cfRule type="cellIs" dxfId="0" priority="9980" operator="lessThan">
      <formula>0</formula>
    </cfRule>
    <cfRule type="cellIs" dxfId="1" priority="9990" operator="greaterThan">
      <formula>0</formula>
    </cfRule>
    <cfRule type="cellIs" dxfId="0" priority="10000" operator="lessThan">
      <formula>0</formula>
    </cfRule>
    <cfRule type="cellIs" dxfId="1" priority="10010" operator="greaterThan">
      <formula>0</formula>
    </cfRule>
    <cfRule type="cellIs" dxfId="6" priority="10020" operator="lessThan">
      <formula>0</formula>
    </cfRule>
    <cfRule type="cellIs" dxfId="5" priority="10030" operator="greaterThan">
      <formula>1</formula>
    </cfRule>
  </conditionalFormatting>
  <conditionalFormatting sqref="NG11">
    <cfRule type="cellIs" dxfId="0" priority="10040" operator="lessThan">
      <formula>-1</formula>
    </cfRule>
    <cfRule type="cellIs" dxfId="0" priority="10050" operator="lessThan">
      <formula>0</formula>
    </cfRule>
    <cfRule type="cellIs" dxfId="4" priority="10060" operator="lessThan">
      <formula>0</formula>
    </cfRule>
  </conditionalFormatting>
  <conditionalFormatting sqref="EY12">
    <cfRule type="cellIs" dxfId="1" priority="3949" operator="greaterThan">
      <formula>0</formula>
    </cfRule>
    <cfRule type="cellIs" dxfId="0" priority="3939" operator="lessThan">
      <formula>0</formula>
    </cfRule>
  </conditionalFormatting>
  <conditionalFormatting sqref="EZ12">
    <cfRule type="cellIs" dxfId="1" priority="3889" operator="greaterThan">
      <formula>0</formula>
    </cfRule>
    <cfRule type="cellIs" dxfId="0" priority="3879" operator="lessThan">
      <formula>0</formula>
    </cfRule>
  </conditionalFormatting>
  <conditionalFormatting sqref="FA12">
    <cfRule type="cellIs" dxfId="1" priority="3759" operator="greaterThan">
      <formula>0</formula>
    </cfRule>
    <cfRule type="cellIs" dxfId="0" priority="3749" operator="lessThan">
      <formula>0</formula>
    </cfRule>
  </conditionalFormatting>
  <conditionalFormatting sqref="FF12">
    <cfRule type="cellIs" dxfId="1" priority="3779" operator="greaterThan">
      <formula>0</formula>
    </cfRule>
    <cfRule type="cellIs" dxfId="0" priority="3769" operator="lessThan">
      <formula>0</formula>
    </cfRule>
  </conditionalFormatting>
  <conditionalFormatting sqref="FG12">
    <cfRule type="cellIs" dxfId="1" priority="3909" operator="greaterThan">
      <formula>0</formula>
    </cfRule>
    <cfRule type="cellIs" dxfId="0" priority="3899" operator="lessThan">
      <formula>0</formula>
    </cfRule>
  </conditionalFormatting>
  <conditionalFormatting sqref="FH12">
    <cfRule type="cellIs" dxfId="1" priority="3929" operator="greaterThan">
      <formula>0</formula>
    </cfRule>
    <cfRule type="cellIs" dxfId="0" priority="3919" operator="lessThan">
      <formula>0</formula>
    </cfRule>
  </conditionalFormatting>
  <conditionalFormatting sqref="FI12">
    <cfRule type="cellIs" dxfId="5" priority="3869" operator="greaterThan">
      <formula>1</formula>
    </cfRule>
    <cfRule type="cellIs" dxfId="6" priority="3859" operator="lessThan">
      <formula>0</formula>
    </cfRule>
    <cfRule type="cellIs" dxfId="1" priority="3849" operator="greaterThan">
      <formula>0</formula>
    </cfRule>
    <cfRule type="cellIs" dxfId="0" priority="3839" operator="lessThan">
      <formula>0</formula>
    </cfRule>
    <cfRule type="cellIs" dxfId="1" priority="3829" operator="greaterThan">
      <formula>0</formula>
    </cfRule>
    <cfRule type="cellIs" dxfId="0" priority="3819" operator="lessThan">
      <formula>0</formula>
    </cfRule>
  </conditionalFormatting>
  <conditionalFormatting sqref="FJ12">
    <cfRule type="cellIs" dxfId="4" priority="3809" operator="lessThan">
      <formula>0</formula>
    </cfRule>
    <cfRule type="cellIs" dxfId="0" priority="3799" operator="lessThan">
      <formula>0</formula>
    </cfRule>
    <cfRule type="cellIs" dxfId="0" priority="3789" operator="lessThan">
      <formula>-1</formula>
    </cfRule>
  </conditionalFormatting>
  <conditionalFormatting sqref="GH12">
    <cfRule type="cellIs" dxfId="1" priority="3434" operator="greaterThan">
      <formula>0</formula>
    </cfRule>
    <cfRule type="cellIs" dxfId="0" priority="3424" operator="lessThan">
      <formula>0</formula>
    </cfRule>
  </conditionalFormatting>
  <conditionalFormatting sqref="GI12">
    <cfRule type="cellIs" dxfId="1" priority="3374" operator="greaterThan">
      <formula>0</formula>
    </cfRule>
    <cfRule type="cellIs" dxfId="0" priority="3364" operator="lessThan">
      <formula>0</formula>
    </cfRule>
  </conditionalFormatting>
  <conditionalFormatting sqref="GJ12">
    <cfRule type="cellIs" dxfId="1" priority="3244" operator="greaterThan">
      <formula>0</formula>
    </cfRule>
    <cfRule type="cellIs" dxfId="0" priority="3234" operator="lessThan">
      <formula>0</formula>
    </cfRule>
  </conditionalFormatting>
  <conditionalFormatting sqref="GO12">
    <cfRule type="cellIs" dxfId="1" priority="3264" operator="greaterThan">
      <formula>0</formula>
    </cfRule>
    <cfRule type="cellIs" dxfId="0" priority="3254" operator="lessThan">
      <formula>0</formula>
    </cfRule>
  </conditionalFormatting>
  <conditionalFormatting sqref="GP12">
    <cfRule type="cellIs" dxfId="1" priority="3394" operator="greaterThan">
      <formula>0</formula>
    </cfRule>
    <cfRule type="cellIs" dxfId="0" priority="3384" operator="lessThan">
      <formula>0</formula>
    </cfRule>
  </conditionalFormatting>
  <conditionalFormatting sqref="GQ12">
    <cfRule type="cellIs" dxfId="1" priority="3414" operator="greaterThan">
      <formula>0</formula>
    </cfRule>
    <cfRule type="cellIs" dxfId="0" priority="3404" operator="lessThan">
      <formula>0</formula>
    </cfRule>
  </conditionalFormatting>
  <conditionalFormatting sqref="GR12">
    <cfRule type="cellIs" dxfId="5" priority="3354" operator="greaterThan">
      <formula>1</formula>
    </cfRule>
    <cfRule type="cellIs" dxfId="6" priority="3344" operator="lessThan">
      <formula>0</formula>
    </cfRule>
    <cfRule type="cellIs" dxfId="1" priority="3334" operator="greaterThan">
      <formula>0</formula>
    </cfRule>
    <cfRule type="cellIs" dxfId="0" priority="3324" operator="lessThan">
      <formula>0</formula>
    </cfRule>
    <cfRule type="cellIs" dxfId="1" priority="3314" operator="greaterThan">
      <formula>0</formula>
    </cfRule>
    <cfRule type="cellIs" dxfId="0" priority="3304" operator="lessThan">
      <formula>0</formula>
    </cfRule>
  </conditionalFormatting>
  <conditionalFormatting sqref="GS12">
    <cfRule type="cellIs" dxfId="4" priority="3294" operator="lessThan">
      <formula>0</formula>
    </cfRule>
    <cfRule type="cellIs" dxfId="0" priority="3284" operator="lessThan">
      <formula>0</formula>
    </cfRule>
    <cfRule type="cellIs" dxfId="0" priority="3274" operator="lessThan">
      <formula>-1</formula>
    </cfRule>
  </conditionalFormatting>
  <conditionalFormatting sqref="HP12">
    <cfRule type="cellIs" dxfId="1" priority="2890" operator="greaterThan">
      <formula>0</formula>
    </cfRule>
    <cfRule type="cellIs" dxfId="0" priority="2880" operator="lessThan">
      <formula>0</formula>
    </cfRule>
  </conditionalFormatting>
  <conditionalFormatting sqref="HQ12">
    <cfRule type="cellIs" dxfId="1" priority="2830" operator="greaterThan">
      <formula>0</formula>
    </cfRule>
    <cfRule type="cellIs" dxfId="0" priority="2820" operator="lessThan">
      <formula>0</formula>
    </cfRule>
  </conditionalFormatting>
  <conditionalFormatting sqref="HR12">
    <cfRule type="cellIs" dxfId="1" priority="2700" operator="greaterThan">
      <formula>0</formula>
    </cfRule>
    <cfRule type="cellIs" dxfId="0" priority="2690" operator="lessThan">
      <formula>0</formula>
    </cfRule>
  </conditionalFormatting>
  <conditionalFormatting sqref="HW12">
    <cfRule type="cellIs" dxfId="1" priority="2720" operator="greaterThan">
      <formula>0</formula>
    </cfRule>
    <cfRule type="cellIs" dxfId="0" priority="2710" operator="lessThan">
      <formula>0</formula>
    </cfRule>
  </conditionalFormatting>
  <conditionalFormatting sqref="HX12">
    <cfRule type="cellIs" dxfId="1" priority="2850" operator="greaterThan">
      <formula>0</formula>
    </cfRule>
    <cfRule type="cellIs" dxfId="0" priority="2840" operator="lessThan">
      <formula>0</formula>
    </cfRule>
  </conditionalFormatting>
  <conditionalFormatting sqref="HY12">
    <cfRule type="cellIs" dxfId="1" priority="2870" operator="greaterThan">
      <formula>0</formula>
    </cfRule>
    <cfRule type="cellIs" dxfId="0" priority="2860" operator="lessThan">
      <formula>0</formula>
    </cfRule>
  </conditionalFormatting>
  <conditionalFormatting sqref="HZ12">
    <cfRule type="cellIs" dxfId="5" priority="2810" operator="greaterThan">
      <formula>1</formula>
    </cfRule>
    <cfRule type="cellIs" dxfId="6" priority="2800" operator="lessThan">
      <formula>0</formula>
    </cfRule>
    <cfRule type="cellIs" dxfId="1" priority="2790" operator="greaterThan">
      <formula>0</formula>
    </cfRule>
    <cfRule type="cellIs" dxfId="0" priority="2780" operator="lessThan">
      <formula>0</formula>
    </cfRule>
    <cfRule type="cellIs" dxfId="1" priority="2770" operator="greaterThan">
      <formula>0</formula>
    </cfRule>
    <cfRule type="cellIs" dxfId="0" priority="2760" operator="lessThan">
      <formula>0</formula>
    </cfRule>
  </conditionalFormatting>
  <conditionalFormatting sqref="IA12">
    <cfRule type="cellIs" dxfId="4" priority="2750" operator="lessThan">
      <formula>0</formula>
    </cfRule>
    <cfRule type="cellIs" dxfId="0" priority="2740" operator="lessThan">
      <formula>0</formula>
    </cfRule>
    <cfRule type="cellIs" dxfId="0" priority="2730" operator="lessThan">
      <formula>-1</formula>
    </cfRule>
  </conditionalFormatting>
  <conditionalFormatting sqref="IX12">
    <cfRule type="cellIs" dxfId="1" priority="2361" operator="greaterThan">
      <formula>0</formula>
    </cfRule>
    <cfRule type="cellIs" dxfId="0" priority="2349" operator="lessThan">
      <formula>0</formula>
    </cfRule>
  </conditionalFormatting>
  <conditionalFormatting sqref="IY12">
    <cfRule type="cellIs" dxfId="1" priority="2289" operator="greaterThan">
      <formula>0</formula>
    </cfRule>
    <cfRule type="cellIs" dxfId="0" priority="2277" operator="lessThan">
      <formula>0</formula>
    </cfRule>
  </conditionalFormatting>
  <conditionalFormatting sqref="IZ12">
    <cfRule type="cellIs" dxfId="1" priority="2133" operator="greaterThan">
      <formula>0</formula>
    </cfRule>
    <cfRule type="cellIs" dxfId="0" priority="2121" operator="lessThan">
      <formula>0</formula>
    </cfRule>
  </conditionalFormatting>
  <conditionalFormatting sqref="JE12">
    <cfRule type="cellIs" dxfId="1" priority="2157" operator="greaterThan">
      <formula>0</formula>
    </cfRule>
    <cfRule type="cellIs" dxfId="0" priority="2145" operator="lessThan">
      <formula>0</formula>
    </cfRule>
  </conditionalFormatting>
  <conditionalFormatting sqref="JF12">
    <cfRule type="cellIs" dxfId="1" priority="2313" operator="greaterThan">
      <formula>0</formula>
    </cfRule>
    <cfRule type="cellIs" dxfId="0" priority="2301" operator="lessThan">
      <formula>0</formula>
    </cfRule>
  </conditionalFormatting>
  <conditionalFormatting sqref="JG12">
    <cfRule type="cellIs" dxfId="1" priority="2337" operator="greaterThan">
      <formula>0</formula>
    </cfRule>
    <cfRule type="cellIs" dxfId="0" priority="2325" operator="lessThan">
      <formula>0</formula>
    </cfRule>
  </conditionalFormatting>
  <conditionalFormatting sqref="JH12">
    <cfRule type="cellIs" dxfId="5" priority="2265" operator="greaterThan">
      <formula>1</formula>
    </cfRule>
    <cfRule type="cellIs" dxfId="6" priority="2253" operator="lessThan">
      <formula>0</formula>
    </cfRule>
    <cfRule type="cellIs" dxfId="1" priority="2241" operator="greaterThan">
      <formula>0</formula>
    </cfRule>
    <cfRule type="cellIs" dxfId="0" priority="2229" operator="lessThan">
      <formula>0</formula>
    </cfRule>
    <cfRule type="cellIs" dxfId="1" priority="2217" operator="greaterThan">
      <formula>0</formula>
    </cfRule>
    <cfRule type="cellIs" dxfId="0" priority="2205" operator="lessThan">
      <formula>0</formula>
    </cfRule>
  </conditionalFormatting>
  <conditionalFormatting sqref="JI12">
    <cfRule type="cellIs" dxfId="4" priority="2193" operator="lessThan">
      <formula>0</formula>
    </cfRule>
    <cfRule type="cellIs" dxfId="0" priority="2181" operator="lessThan">
      <formula>0</formula>
    </cfRule>
    <cfRule type="cellIs" dxfId="0" priority="2169" operator="lessThan">
      <formula>-1</formula>
    </cfRule>
  </conditionalFormatting>
  <conditionalFormatting sqref="KF12">
    <cfRule type="cellIs" dxfId="1" priority="1584" operator="greaterThan">
      <formula>0</formula>
    </cfRule>
    <cfRule type="cellIs" dxfId="0" priority="1574" operator="lessThan">
      <formula>0</formula>
    </cfRule>
  </conditionalFormatting>
  <conditionalFormatting sqref="KG12">
    <cfRule type="cellIs" dxfId="1" priority="1524" operator="greaterThan">
      <formula>0</formula>
    </cfRule>
    <cfRule type="cellIs" dxfId="0" priority="1514" operator="lessThan">
      <formula>0</formula>
    </cfRule>
  </conditionalFormatting>
  <conditionalFormatting sqref="KH12">
    <cfRule type="cellIs" dxfId="1" priority="1394" operator="greaterThan">
      <formula>0</formula>
    </cfRule>
    <cfRule type="cellIs" dxfId="0" priority="1384" operator="lessThan">
      <formula>0</formula>
    </cfRule>
  </conditionalFormatting>
  <conditionalFormatting sqref="KM12">
    <cfRule type="cellIs" dxfId="1" priority="1414" operator="greaterThan">
      <formula>0</formula>
    </cfRule>
    <cfRule type="cellIs" dxfId="0" priority="1404" operator="lessThan">
      <formula>0</formula>
    </cfRule>
  </conditionalFormatting>
  <conditionalFormatting sqref="KN12">
    <cfRule type="cellIs" dxfId="1" priority="1544" operator="greaterThan">
      <formula>0</formula>
    </cfRule>
    <cfRule type="cellIs" dxfId="0" priority="1534" operator="lessThan">
      <formula>0</formula>
    </cfRule>
  </conditionalFormatting>
  <conditionalFormatting sqref="KO12">
    <cfRule type="cellIs" dxfId="1" priority="1564" operator="greaterThan">
      <formula>0</formula>
    </cfRule>
    <cfRule type="cellIs" dxfId="0" priority="1554" operator="lessThan">
      <formula>0</formula>
    </cfRule>
  </conditionalFormatting>
  <conditionalFormatting sqref="KP12">
    <cfRule type="cellIs" dxfId="5" priority="1504" operator="greaterThan">
      <formula>1</formula>
    </cfRule>
    <cfRule type="cellIs" dxfId="6" priority="1494" operator="lessThan">
      <formula>0</formula>
    </cfRule>
    <cfRule type="cellIs" dxfId="1" priority="1484" operator="greaterThan">
      <formula>0</formula>
    </cfRule>
    <cfRule type="cellIs" dxfId="0" priority="1474" operator="lessThan">
      <formula>0</formula>
    </cfRule>
    <cfRule type="cellIs" dxfId="1" priority="1464" operator="greaterThan">
      <formula>0</formula>
    </cfRule>
    <cfRule type="cellIs" dxfId="0" priority="1454" operator="lessThan">
      <formula>0</formula>
    </cfRule>
  </conditionalFormatting>
  <conditionalFormatting sqref="KQ12">
    <cfRule type="cellIs" dxfId="4" priority="1444" operator="lessThan">
      <formula>0</formula>
    </cfRule>
    <cfRule type="cellIs" dxfId="0" priority="1434" operator="lessThan">
      <formula>0</formula>
    </cfRule>
    <cfRule type="cellIs" dxfId="0" priority="1424" operator="lessThan">
      <formula>-1</formula>
    </cfRule>
  </conditionalFormatting>
  <conditionalFormatting sqref="LX12">
    <cfRule type="cellIs" dxfId="0" priority="9596" operator="lessThan">
      <formula>0</formula>
    </cfRule>
    <cfRule type="cellIs" dxfId="1" priority="9606" operator="greaterThan">
      <formula>0</formula>
    </cfRule>
    <cfRule type="cellIs" dxfId="0" priority="9616" operator="lessThan">
      <formula>0</formula>
    </cfRule>
    <cfRule type="cellIs" dxfId="1" priority="9626" operator="greaterThan">
      <formula>0</formula>
    </cfRule>
    <cfRule type="cellIs" dxfId="6" priority="9636" operator="lessThan">
      <formula>0</formula>
    </cfRule>
    <cfRule type="cellIs" dxfId="5" priority="9646" operator="greaterThan">
      <formula>1</formula>
    </cfRule>
  </conditionalFormatting>
  <conditionalFormatting sqref="LY12">
    <cfRule type="cellIs" dxfId="0" priority="9656" operator="lessThan">
      <formula>-1</formula>
    </cfRule>
    <cfRule type="cellIs" dxfId="0" priority="9666" operator="lessThan">
      <formula>0</formula>
    </cfRule>
    <cfRule type="cellIs" dxfId="4" priority="9676" operator="lessThan">
      <formula>0</formula>
    </cfRule>
  </conditionalFormatting>
  <conditionalFormatting sqref="NF12">
    <cfRule type="cellIs" dxfId="0" priority="9979" operator="lessThan">
      <formula>0</formula>
    </cfRule>
    <cfRule type="cellIs" dxfId="1" priority="9989" operator="greaterThan">
      <formula>0</formula>
    </cfRule>
    <cfRule type="cellIs" dxfId="0" priority="9999" operator="lessThan">
      <formula>0</formula>
    </cfRule>
    <cfRule type="cellIs" dxfId="1" priority="10009" operator="greaterThan">
      <formula>0</formula>
    </cfRule>
    <cfRule type="cellIs" dxfId="6" priority="10019" operator="lessThan">
      <formula>0</formula>
    </cfRule>
    <cfRule type="cellIs" dxfId="5" priority="10029" operator="greaterThan">
      <formula>1</formula>
    </cfRule>
  </conditionalFormatting>
  <conditionalFormatting sqref="NG12">
    <cfRule type="cellIs" dxfId="0" priority="10039" operator="lessThan">
      <formula>-1</formula>
    </cfRule>
    <cfRule type="cellIs" dxfId="0" priority="10049" operator="lessThan">
      <formula>0</formula>
    </cfRule>
    <cfRule type="cellIs" dxfId="4" priority="10059" operator="lessThan">
      <formula>0</formula>
    </cfRule>
  </conditionalFormatting>
  <conditionalFormatting sqref="EY13">
    <cfRule type="cellIs" dxfId="1" priority="3948" operator="greaterThan">
      <formula>0</formula>
    </cfRule>
    <cfRule type="cellIs" dxfId="0" priority="3938" operator="lessThan">
      <formula>0</formula>
    </cfRule>
  </conditionalFormatting>
  <conditionalFormatting sqref="EZ13">
    <cfRule type="cellIs" dxfId="1" priority="3888" operator="greaterThan">
      <formula>0</formula>
    </cfRule>
    <cfRule type="cellIs" dxfId="0" priority="3878" operator="lessThan">
      <formula>0</formula>
    </cfRule>
  </conditionalFormatting>
  <conditionalFormatting sqref="FA13">
    <cfRule type="cellIs" dxfId="1" priority="3758" operator="greaterThan">
      <formula>0</formula>
    </cfRule>
    <cfRule type="cellIs" dxfId="0" priority="3748" operator="lessThan">
      <formula>0</formula>
    </cfRule>
  </conditionalFormatting>
  <conditionalFormatting sqref="FF13">
    <cfRule type="cellIs" dxfId="1" priority="3778" operator="greaterThan">
      <formula>0</formula>
    </cfRule>
    <cfRule type="cellIs" dxfId="0" priority="3768" operator="lessThan">
      <formula>0</formula>
    </cfRule>
  </conditionalFormatting>
  <conditionalFormatting sqref="FG13">
    <cfRule type="cellIs" dxfId="1" priority="3908" operator="greaterThan">
      <formula>0</formula>
    </cfRule>
    <cfRule type="cellIs" dxfId="0" priority="3898" operator="lessThan">
      <formula>0</formula>
    </cfRule>
  </conditionalFormatting>
  <conditionalFormatting sqref="FH13">
    <cfRule type="cellIs" dxfId="1" priority="3928" operator="greaterThan">
      <formula>0</formula>
    </cfRule>
    <cfRule type="cellIs" dxfId="0" priority="3918" operator="lessThan">
      <formula>0</formula>
    </cfRule>
  </conditionalFormatting>
  <conditionalFormatting sqref="FI13">
    <cfRule type="cellIs" dxfId="5" priority="3868" operator="greaterThan">
      <formula>1</formula>
    </cfRule>
    <cfRule type="cellIs" dxfId="6" priority="3858" operator="lessThan">
      <formula>0</formula>
    </cfRule>
    <cfRule type="cellIs" dxfId="1" priority="3848" operator="greaterThan">
      <formula>0</formula>
    </cfRule>
    <cfRule type="cellIs" dxfId="0" priority="3838" operator="lessThan">
      <formula>0</formula>
    </cfRule>
    <cfRule type="cellIs" dxfId="1" priority="3828" operator="greaterThan">
      <formula>0</formula>
    </cfRule>
    <cfRule type="cellIs" dxfId="0" priority="3818" operator="lessThan">
      <formula>0</formula>
    </cfRule>
  </conditionalFormatting>
  <conditionalFormatting sqref="FJ13">
    <cfRule type="cellIs" dxfId="4" priority="3808" operator="lessThan">
      <formula>0</formula>
    </cfRule>
    <cfRule type="cellIs" dxfId="0" priority="3798" operator="lessThan">
      <formula>0</formula>
    </cfRule>
    <cfRule type="cellIs" dxfId="0" priority="3788" operator="lessThan">
      <formula>-1</formula>
    </cfRule>
  </conditionalFormatting>
  <conditionalFormatting sqref="GH13">
    <cfRule type="cellIs" dxfId="1" priority="3433" operator="greaterThan">
      <formula>0</formula>
    </cfRule>
    <cfRule type="cellIs" dxfId="0" priority="3423" operator="lessThan">
      <formula>0</formula>
    </cfRule>
  </conditionalFormatting>
  <conditionalFormatting sqref="GI13">
    <cfRule type="cellIs" dxfId="1" priority="3373" operator="greaterThan">
      <formula>0</formula>
    </cfRule>
    <cfRule type="cellIs" dxfId="0" priority="3363" operator="lessThan">
      <formula>0</formula>
    </cfRule>
  </conditionalFormatting>
  <conditionalFormatting sqref="GJ13">
    <cfRule type="cellIs" dxfId="1" priority="3243" operator="greaterThan">
      <formula>0</formula>
    </cfRule>
    <cfRule type="cellIs" dxfId="0" priority="3233" operator="lessThan">
      <formula>0</formula>
    </cfRule>
  </conditionalFormatting>
  <conditionalFormatting sqref="GO13">
    <cfRule type="cellIs" dxfId="1" priority="3263" operator="greaterThan">
      <formula>0</formula>
    </cfRule>
    <cfRule type="cellIs" dxfId="0" priority="3253" operator="lessThan">
      <formula>0</formula>
    </cfRule>
  </conditionalFormatting>
  <conditionalFormatting sqref="GP13">
    <cfRule type="cellIs" dxfId="1" priority="3393" operator="greaterThan">
      <formula>0</formula>
    </cfRule>
    <cfRule type="cellIs" dxfId="0" priority="3383" operator="lessThan">
      <formula>0</formula>
    </cfRule>
  </conditionalFormatting>
  <conditionalFormatting sqref="GQ13">
    <cfRule type="cellIs" dxfId="1" priority="3413" operator="greaterThan">
      <formula>0</formula>
    </cfRule>
    <cfRule type="cellIs" dxfId="0" priority="3403" operator="lessThan">
      <formula>0</formula>
    </cfRule>
  </conditionalFormatting>
  <conditionalFormatting sqref="GR13">
    <cfRule type="cellIs" dxfId="5" priority="3353" operator="greaterThan">
      <formula>1</formula>
    </cfRule>
    <cfRule type="cellIs" dxfId="6" priority="3343" operator="lessThan">
      <formula>0</formula>
    </cfRule>
    <cfRule type="cellIs" dxfId="1" priority="3333" operator="greaterThan">
      <formula>0</formula>
    </cfRule>
    <cfRule type="cellIs" dxfId="0" priority="3323" operator="lessThan">
      <formula>0</formula>
    </cfRule>
    <cfRule type="cellIs" dxfId="1" priority="3313" operator="greaterThan">
      <formula>0</formula>
    </cfRule>
    <cfRule type="cellIs" dxfId="0" priority="3303" operator="lessThan">
      <formula>0</formula>
    </cfRule>
  </conditionalFormatting>
  <conditionalFormatting sqref="GS13">
    <cfRule type="cellIs" dxfId="4" priority="3293" operator="lessThan">
      <formula>0</formula>
    </cfRule>
    <cfRule type="cellIs" dxfId="0" priority="3283" operator="lessThan">
      <formula>0</formula>
    </cfRule>
    <cfRule type="cellIs" dxfId="0" priority="3273" operator="lessThan">
      <formula>-1</formula>
    </cfRule>
  </conditionalFormatting>
  <conditionalFormatting sqref="HP13">
    <cfRule type="cellIs" dxfId="1" priority="2889" operator="greaterThan">
      <formula>0</formula>
    </cfRule>
    <cfRule type="cellIs" dxfId="0" priority="2879" operator="lessThan">
      <formula>0</formula>
    </cfRule>
  </conditionalFormatting>
  <conditionalFormatting sqref="HQ13">
    <cfRule type="cellIs" dxfId="1" priority="2829" operator="greaterThan">
      <formula>0</formula>
    </cfRule>
    <cfRule type="cellIs" dxfId="0" priority="2819" operator="lessThan">
      <formula>0</formula>
    </cfRule>
  </conditionalFormatting>
  <conditionalFormatting sqref="HR13">
    <cfRule type="cellIs" dxfId="1" priority="2699" operator="greaterThan">
      <formula>0</formula>
    </cfRule>
    <cfRule type="cellIs" dxfId="0" priority="2689" operator="lessThan">
      <formula>0</formula>
    </cfRule>
  </conditionalFormatting>
  <conditionalFormatting sqref="HW13">
    <cfRule type="cellIs" dxfId="1" priority="2719" operator="greaterThan">
      <formula>0</formula>
    </cfRule>
    <cfRule type="cellIs" dxfId="0" priority="2709" operator="lessThan">
      <formula>0</formula>
    </cfRule>
  </conditionalFormatting>
  <conditionalFormatting sqref="HX13">
    <cfRule type="cellIs" dxfId="1" priority="2849" operator="greaterThan">
      <formula>0</formula>
    </cfRule>
    <cfRule type="cellIs" dxfId="0" priority="2839" operator="lessThan">
      <formula>0</formula>
    </cfRule>
  </conditionalFormatting>
  <conditionalFormatting sqref="HY13">
    <cfRule type="cellIs" dxfId="1" priority="2869" operator="greaterThan">
      <formula>0</formula>
    </cfRule>
    <cfRule type="cellIs" dxfId="0" priority="2859" operator="lessThan">
      <formula>0</formula>
    </cfRule>
  </conditionalFormatting>
  <conditionalFormatting sqref="HZ13">
    <cfRule type="cellIs" dxfId="5" priority="2809" operator="greaterThan">
      <formula>1</formula>
    </cfRule>
    <cfRule type="cellIs" dxfId="6" priority="2799" operator="lessThan">
      <formula>0</formula>
    </cfRule>
    <cfRule type="cellIs" dxfId="1" priority="2789" operator="greaterThan">
      <formula>0</formula>
    </cfRule>
    <cfRule type="cellIs" dxfId="0" priority="2779" operator="lessThan">
      <formula>0</formula>
    </cfRule>
    <cfRule type="cellIs" dxfId="1" priority="2769" operator="greaterThan">
      <formula>0</formula>
    </cfRule>
    <cfRule type="cellIs" dxfId="0" priority="2759" operator="lessThan">
      <formula>0</formula>
    </cfRule>
  </conditionalFormatting>
  <conditionalFormatting sqref="IA13">
    <cfRule type="cellIs" dxfId="4" priority="2749" operator="lessThan">
      <formula>0</formula>
    </cfRule>
    <cfRule type="cellIs" dxfId="0" priority="2739" operator="lessThan">
      <formula>0</formula>
    </cfRule>
    <cfRule type="cellIs" dxfId="0" priority="2729" operator="lessThan">
      <formula>-1</formula>
    </cfRule>
  </conditionalFormatting>
  <conditionalFormatting sqref="IX13">
    <cfRule type="cellIs" dxfId="1" priority="2360" operator="greaterThan">
      <formula>0</formula>
    </cfRule>
    <cfRule type="cellIs" dxfId="0" priority="2348" operator="lessThan">
      <formula>0</formula>
    </cfRule>
  </conditionalFormatting>
  <conditionalFormatting sqref="IY13">
    <cfRule type="cellIs" dxfId="1" priority="2288" operator="greaterThan">
      <formula>0</formula>
    </cfRule>
    <cfRule type="cellIs" dxfId="0" priority="2276" operator="lessThan">
      <formula>0</formula>
    </cfRule>
  </conditionalFormatting>
  <conditionalFormatting sqref="IZ13">
    <cfRule type="cellIs" dxfId="1" priority="2132" operator="greaterThan">
      <formula>0</formula>
    </cfRule>
    <cfRule type="cellIs" dxfId="0" priority="2120" operator="lessThan">
      <formula>0</formula>
    </cfRule>
  </conditionalFormatting>
  <conditionalFormatting sqref="JE13">
    <cfRule type="cellIs" dxfId="1" priority="2156" operator="greaterThan">
      <formula>0</formula>
    </cfRule>
    <cfRule type="cellIs" dxfId="0" priority="2144" operator="lessThan">
      <formula>0</formula>
    </cfRule>
  </conditionalFormatting>
  <conditionalFormatting sqref="JF13">
    <cfRule type="cellIs" dxfId="1" priority="2312" operator="greaterThan">
      <formula>0</formula>
    </cfRule>
    <cfRule type="cellIs" dxfId="0" priority="2300" operator="lessThan">
      <formula>0</formula>
    </cfRule>
  </conditionalFormatting>
  <conditionalFormatting sqref="JG13">
    <cfRule type="cellIs" dxfId="1" priority="2336" operator="greaterThan">
      <formula>0</formula>
    </cfRule>
    <cfRule type="cellIs" dxfId="0" priority="2324" operator="lessThan">
      <formula>0</formula>
    </cfRule>
  </conditionalFormatting>
  <conditionalFormatting sqref="JH13">
    <cfRule type="cellIs" dxfId="5" priority="2264" operator="greaterThan">
      <formula>1</formula>
    </cfRule>
    <cfRule type="cellIs" dxfId="6" priority="2252" operator="lessThan">
      <formula>0</formula>
    </cfRule>
    <cfRule type="cellIs" dxfId="1" priority="2240" operator="greaterThan">
      <formula>0</formula>
    </cfRule>
    <cfRule type="cellIs" dxfId="0" priority="2228" operator="lessThan">
      <formula>0</formula>
    </cfRule>
    <cfRule type="cellIs" dxfId="1" priority="2216" operator="greaterThan">
      <formula>0</formula>
    </cfRule>
    <cfRule type="cellIs" dxfId="0" priority="2204" operator="lessThan">
      <formula>0</formula>
    </cfRule>
  </conditionalFormatting>
  <conditionalFormatting sqref="JI13">
    <cfRule type="cellIs" dxfId="4" priority="2192" operator="lessThan">
      <formula>0</formula>
    </cfRule>
    <cfRule type="cellIs" dxfId="0" priority="2180" operator="lessThan">
      <formula>0</formula>
    </cfRule>
    <cfRule type="cellIs" dxfId="0" priority="2168" operator="lessThan">
      <formula>-1</formula>
    </cfRule>
  </conditionalFormatting>
  <conditionalFormatting sqref="KF13">
    <cfRule type="cellIs" dxfId="1" priority="1583" operator="greaterThan">
      <formula>0</formula>
    </cfRule>
    <cfRule type="cellIs" dxfId="0" priority="1573" operator="lessThan">
      <formula>0</formula>
    </cfRule>
  </conditionalFormatting>
  <conditionalFormatting sqref="KG13">
    <cfRule type="cellIs" dxfId="1" priority="1523" operator="greaterThan">
      <formula>0</formula>
    </cfRule>
    <cfRule type="cellIs" dxfId="0" priority="1513" operator="lessThan">
      <formula>0</formula>
    </cfRule>
  </conditionalFormatting>
  <conditionalFormatting sqref="KH13">
    <cfRule type="cellIs" dxfId="1" priority="1393" operator="greaterThan">
      <formula>0</formula>
    </cfRule>
    <cfRule type="cellIs" dxfId="0" priority="1383" operator="lessThan">
      <formula>0</formula>
    </cfRule>
  </conditionalFormatting>
  <conditionalFormatting sqref="KM13">
    <cfRule type="cellIs" dxfId="1" priority="1413" operator="greaterThan">
      <formula>0</formula>
    </cfRule>
    <cfRule type="cellIs" dxfId="0" priority="1403" operator="lessThan">
      <formula>0</formula>
    </cfRule>
  </conditionalFormatting>
  <conditionalFormatting sqref="KN13">
    <cfRule type="cellIs" dxfId="1" priority="1543" operator="greaterThan">
      <formula>0</formula>
    </cfRule>
    <cfRule type="cellIs" dxfId="0" priority="1533" operator="lessThan">
      <formula>0</formula>
    </cfRule>
  </conditionalFormatting>
  <conditionalFormatting sqref="KO13">
    <cfRule type="cellIs" dxfId="1" priority="1563" operator="greaterThan">
      <formula>0</formula>
    </cfRule>
    <cfRule type="cellIs" dxfId="0" priority="1553" operator="lessThan">
      <formula>0</formula>
    </cfRule>
  </conditionalFormatting>
  <conditionalFormatting sqref="KP13">
    <cfRule type="cellIs" dxfId="5" priority="1503" operator="greaterThan">
      <formula>1</formula>
    </cfRule>
    <cfRule type="cellIs" dxfId="6" priority="1493" operator="lessThan">
      <formula>0</formula>
    </cfRule>
    <cfRule type="cellIs" dxfId="1" priority="1483" operator="greaterThan">
      <formula>0</formula>
    </cfRule>
    <cfRule type="cellIs" dxfId="0" priority="1473" operator="lessThan">
      <formula>0</formula>
    </cfRule>
    <cfRule type="cellIs" dxfId="1" priority="1463" operator="greaterThan">
      <formula>0</formula>
    </cfRule>
    <cfRule type="cellIs" dxfId="0" priority="1453" operator="lessThan">
      <formula>0</formula>
    </cfRule>
  </conditionalFormatting>
  <conditionalFormatting sqref="KQ13">
    <cfRule type="cellIs" dxfId="4" priority="1443" operator="lessThan">
      <formula>0</formula>
    </cfRule>
    <cfRule type="cellIs" dxfId="0" priority="1433" operator="lessThan">
      <formula>0</formula>
    </cfRule>
    <cfRule type="cellIs" dxfId="0" priority="1423" operator="lessThan">
      <formula>-1</formula>
    </cfRule>
  </conditionalFormatting>
  <conditionalFormatting sqref="LX13">
    <cfRule type="cellIs" dxfId="0" priority="9595" operator="lessThan">
      <formula>0</formula>
    </cfRule>
    <cfRule type="cellIs" dxfId="1" priority="9605" operator="greaterThan">
      <formula>0</formula>
    </cfRule>
    <cfRule type="cellIs" dxfId="0" priority="9615" operator="lessThan">
      <formula>0</formula>
    </cfRule>
    <cfRule type="cellIs" dxfId="1" priority="9625" operator="greaterThan">
      <formula>0</formula>
    </cfRule>
    <cfRule type="cellIs" dxfId="6" priority="9635" operator="lessThan">
      <formula>0</formula>
    </cfRule>
    <cfRule type="cellIs" dxfId="5" priority="9645" operator="greaterThan">
      <formula>1</formula>
    </cfRule>
  </conditionalFormatting>
  <conditionalFormatting sqref="LY13">
    <cfRule type="cellIs" dxfId="0" priority="9655" operator="lessThan">
      <formula>-1</formula>
    </cfRule>
    <cfRule type="cellIs" dxfId="0" priority="9665" operator="lessThan">
      <formula>0</formula>
    </cfRule>
    <cfRule type="cellIs" dxfId="4" priority="9675" operator="lessThan">
      <formula>0</formula>
    </cfRule>
  </conditionalFormatting>
  <conditionalFormatting sqref="NF13">
    <cfRule type="cellIs" dxfId="0" priority="9978" operator="lessThan">
      <formula>0</formula>
    </cfRule>
    <cfRule type="cellIs" dxfId="1" priority="9988" operator="greaterThan">
      <formula>0</formula>
    </cfRule>
    <cfRule type="cellIs" dxfId="0" priority="9998" operator="lessThan">
      <formula>0</formula>
    </cfRule>
    <cfRule type="cellIs" dxfId="1" priority="10008" operator="greaterThan">
      <formula>0</formula>
    </cfRule>
    <cfRule type="cellIs" dxfId="6" priority="10018" operator="lessThan">
      <formula>0</formula>
    </cfRule>
    <cfRule type="cellIs" dxfId="5" priority="10028" operator="greaterThan">
      <formula>1</formula>
    </cfRule>
  </conditionalFormatting>
  <conditionalFormatting sqref="NG13">
    <cfRule type="cellIs" dxfId="0" priority="10038" operator="lessThan">
      <formula>-1</formula>
    </cfRule>
    <cfRule type="cellIs" dxfId="0" priority="10048" operator="lessThan">
      <formula>0</formula>
    </cfRule>
    <cfRule type="cellIs" dxfId="4" priority="10058" operator="lessThan">
      <formula>0</formula>
    </cfRule>
  </conditionalFormatting>
  <conditionalFormatting sqref="W14">
    <cfRule type="cellIs" dxfId="1" priority="6239" operator="greaterThan">
      <formula>0</formula>
    </cfRule>
    <cfRule type="cellIs" dxfId="0" priority="6238" operator="lessThan">
      <formula>0</formula>
    </cfRule>
  </conditionalFormatting>
  <conditionalFormatting sqref="X14">
    <cfRule type="cellIs" dxfId="1" priority="6241" operator="greaterThan">
      <formula>0</formula>
    </cfRule>
    <cfRule type="cellIs" dxfId="0" priority="6240" operator="lessThan">
      <formula>0</formula>
    </cfRule>
  </conditionalFormatting>
  <conditionalFormatting sqref="Y14">
    <cfRule type="cellIs" dxfId="1" priority="6249" operator="greaterThan">
      <formula>0</formula>
    </cfRule>
    <cfRule type="cellIs" dxfId="0" priority="6248" operator="lessThan">
      <formula>0</formula>
    </cfRule>
  </conditionalFormatting>
  <conditionalFormatting sqref="AD14">
    <cfRule type="cellIs" dxfId="1" priority="6251" operator="greaterThan">
      <formula>0</formula>
    </cfRule>
    <cfRule type="cellIs" dxfId="0" priority="6250" operator="lessThan">
      <formula>0</formula>
    </cfRule>
  </conditionalFormatting>
  <conditionalFormatting sqref="AE14">
    <cfRule type="cellIs" dxfId="1" priority="6262" operator="greaterThan">
      <formula>0</formula>
    </cfRule>
    <cfRule type="cellIs" dxfId="0" priority="6261" operator="lessThan">
      <formula>0</formula>
    </cfRule>
  </conditionalFormatting>
  <conditionalFormatting sqref="AF14">
    <cfRule type="cellIs" dxfId="1" priority="6264" operator="greaterThan">
      <formula>0</formula>
    </cfRule>
    <cfRule type="cellIs" dxfId="0" priority="6263" operator="lessThan">
      <formula>0</formula>
    </cfRule>
  </conditionalFormatting>
  <conditionalFormatting sqref="AG14">
    <cfRule type="cellIs" dxfId="5" priority="6212" operator="greaterThan">
      <formula>1</formula>
    </cfRule>
    <cfRule type="cellIs" dxfId="6" priority="6211" operator="lessThan">
      <formula>0</formula>
    </cfRule>
    <cfRule type="cellIs" dxfId="1" priority="6210" operator="greaterThan">
      <formula>0</formula>
    </cfRule>
    <cfRule type="cellIs" dxfId="0" priority="6209" operator="lessThan">
      <formula>0</formula>
    </cfRule>
    <cfRule type="cellIs" dxfId="1" priority="6208" operator="greaterThan">
      <formula>0</formula>
    </cfRule>
    <cfRule type="cellIs" dxfId="0" priority="6207" operator="lessThan">
      <formula>0</formula>
    </cfRule>
  </conditionalFormatting>
  <conditionalFormatting sqref="AH14">
    <cfRule type="cellIs" dxfId="4" priority="6254" operator="lessThan">
      <formula>0</formula>
    </cfRule>
    <cfRule type="cellIs" dxfId="0" priority="6253" operator="lessThan">
      <formula>0</formula>
    </cfRule>
    <cfRule type="cellIs" dxfId="0" priority="6252" operator="lessThan">
      <formula>-1</formula>
    </cfRule>
  </conditionalFormatting>
  <conditionalFormatting sqref="BD14">
    <cfRule type="cellIs" dxfId="1" priority="5864" operator="greaterThan">
      <formula>0</formula>
    </cfRule>
    <cfRule type="cellIs" dxfId="0" priority="5863" operator="lessThan">
      <formula>0</formula>
    </cfRule>
  </conditionalFormatting>
  <conditionalFormatting sqref="BE14">
    <cfRule type="cellIs" dxfId="1" priority="5866" operator="greaterThan">
      <formula>0</formula>
    </cfRule>
    <cfRule type="cellIs" dxfId="0" priority="5865" operator="lessThan">
      <formula>0</formula>
    </cfRule>
  </conditionalFormatting>
  <conditionalFormatting sqref="BF14">
    <cfRule type="cellIs" dxfId="1" priority="5874" operator="greaterThan">
      <formula>0</formula>
    </cfRule>
    <cfRule type="cellIs" dxfId="0" priority="5873" operator="lessThan">
      <formula>0</formula>
    </cfRule>
  </conditionalFormatting>
  <conditionalFormatting sqref="BK14">
    <cfRule type="cellIs" dxfId="1" priority="5876" operator="greaterThan">
      <formula>0</formula>
    </cfRule>
    <cfRule type="cellIs" dxfId="0" priority="5875" operator="lessThan">
      <formula>0</formula>
    </cfRule>
  </conditionalFormatting>
  <conditionalFormatting sqref="BL14">
    <cfRule type="cellIs" dxfId="1" priority="5881" operator="greaterThan">
      <formula>0</formula>
    </cfRule>
    <cfRule type="cellIs" dxfId="0" priority="5880" operator="lessThan">
      <formula>0</formula>
    </cfRule>
  </conditionalFormatting>
  <conditionalFormatting sqref="BM14">
    <cfRule type="cellIs" dxfId="1" priority="5883" operator="greaterThan">
      <formula>0</formula>
    </cfRule>
    <cfRule type="cellIs" dxfId="0" priority="5882" operator="lessThan">
      <formula>0</formula>
    </cfRule>
  </conditionalFormatting>
  <conditionalFormatting sqref="BN14">
    <cfRule type="cellIs" dxfId="5" priority="5857" operator="greaterThan">
      <formula>1</formula>
    </cfRule>
    <cfRule type="cellIs" dxfId="6" priority="5856" operator="lessThan">
      <formula>0</formula>
    </cfRule>
    <cfRule type="cellIs" dxfId="1" priority="5855" operator="greaterThan">
      <formula>0</formula>
    </cfRule>
    <cfRule type="cellIs" dxfId="0" priority="5854" operator="lessThan">
      <formula>0</formula>
    </cfRule>
    <cfRule type="cellIs" dxfId="1" priority="5853" operator="greaterThan">
      <formula>0</formula>
    </cfRule>
    <cfRule type="cellIs" dxfId="0" priority="5852" operator="lessThan">
      <formula>0</formula>
    </cfRule>
  </conditionalFormatting>
  <conditionalFormatting sqref="BO14">
    <cfRule type="cellIs" dxfId="4" priority="5879" operator="lessThan">
      <formula>0</formula>
    </cfRule>
    <cfRule type="cellIs" dxfId="0" priority="5878" operator="lessThan">
      <formula>0</formula>
    </cfRule>
    <cfRule type="cellIs" dxfId="0" priority="5877" operator="lessThan">
      <formula>-1</formula>
    </cfRule>
  </conditionalFormatting>
  <conditionalFormatting sqref="CM14">
    <cfRule type="cellIs" dxfId="1" priority="1768" operator="greaterThan">
      <formula>0</formula>
    </cfRule>
    <cfRule type="cellIs" dxfId="0" priority="1767" operator="lessThan">
      <formula>0</formula>
    </cfRule>
  </conditionalFormatting>
  <conditionalFormatting sqref="CU14">
    <cfRule type="cellIs" dxfId="5" priority="1774" operator="greaterThan">
      <formula>1</formula>
    </cfRule>
    <cfRule type="cellIs" dxfId="6" priority="1773" operator="lessThan">
      <formula>0</formula>
    </cfRule>
    <cfRule type="cellIs" dxfId="1" priority="1772" operator="greaterThan">
      <formula>0</formula>
    </cfRule>
    <cfRule type="cellIs" dxfId="0" priority="1771" operator="lessThan">
      <formula>0</formula>
    </cfRule>
    <cfRule type="cellIs" dxfId="1" priority="1770" operator="greaterThan">
      <formula>0</formula>
    </cfRule>
    <cfRule type="cellIs" dxfId="0" priority="1769" operator="lessThan">
      <formula>0</formula>
    </cfRule>
  </conditionalFormatting>
  <conditionalFormatting sqref="CV14">
    <cfRule type="cellIs" dxfId="4" priority="1779" operator="lessThan">
      <formula>0</formula>
    </cfRule>
    <cfRule type="cellIs" dxfId="0" priority="1776" operator="lessThan">
      <formula>0</formula>
    </cfRule>
    <cfRule type="cellIs" dxfId="0" priority="1775" operator="lessThan">
      <formula>-1</formula>
    </cfRule>
  </conditionalFormatting>
  <conditionalFormatting sqref="DT14">
    <cfRule type="cellIs" dxfId="1" priority="1744" operator="greaterThan">
      <formula>0</formula>
    </cfRule>
    <cfRule type="cellIs" dxfId="0" priority="1742" operator="lessThan">
      <formula>0</formula>
    </cfRule>
  </conditionalFormatting>
  <conditionalFormatting sqref="EB14">
    <cfRule type="cellIs" dxfId="5" priority="1756" operator="greaterThan">
      <formula>1</formula>
    </cfRule>
    <cfRule type="cellIs" dxfId="6" priority="1754" operator="lessThan">
      <formula>0</formula>
    </cfRule>
    <cfRule type="cellIs" dxfId="1" priority="1752" operator="greaterThan">
      <formula>0</formula>
    </cfRule>
    <cfRule type="cellIs" dxfId="0" priority="1750" operator="lessThan">
      <formula>0</formula>
    </cfRule>
    <cfRule type="cellIs" dxfId="1" priority="1748" operator="greaterThan">
      <formula>0</formula>
    </cfRule>
    <cfRule type="cellIs" dxfId="0" priority="1746" operator="lessThan">
      <formula>0</formula>
    </cfRule>
  </conditionalFormatting>
  <conditionalFormatting sqref="EC14">
    <cfRule type="cellIs" dxfId="4" priority="1766" operator="lessThan">
      <formula>0</formula>
    </cfRule>
    <cfRule type="cellIs" dxfId="0" priority="1760" operator="lessThan">
      <formula>0</formula>
    </cfRule>
    <cfRule type="cellIs" dxfId="0" priority="1758" operator="lessThan">
      <formula>-1</formula>
    </cfRule>
  </conditionalFormatting>
  <conditionalFormatting sqref="FI14">
    <cfRule type="cellIs" dxfId="0" priority="7668" operator="lessThan">
      <formula>0</formula>
    </cfRule>
    <cfRule type="cellIs" dxfId="1" priority="7669" operator="greaterThan">
      <formula>0</formula>
    </cfRule>
    <cfRule type="cellIs" dxfId="0" priority="7670" operator="lessThan">
      <formula>0</formula>
    </cfRule>
    <cfRule type="cellIs" dxfId="1" priority="7671" operator="greaterThan">
      <formula>0</formula>
    </cfRule>
    <cfRule type="cellIs" dxfId="6" priority="7672" operator="lessThan">
      <formula>0</formula>
    </cfRule>
    <cfRule type="cellIs" dxfId="5" priority="7673" operator="greaterThan">
      <formula>1</formula>
    </cfRule>
  </conditionalFormatting>
  <conditionalFormatting sqref="FJ14">
    <cfRule type="cellIs" dxfId="0" priority="7496" operator="lessThan">
      <formula>-1</formula>
    </cfRule>
    <cfRule type="cellIs" dxfId="0" priority="7497" operator="lessThan">
      <formula>0</formula>
    </cfRule>
    <cfRule type="cellIs" dxfId="4" priority="7498" operator="lessThan">
      <formula>0</formula>
    </cfRule>
  </conditionalFormatting>
  <conditionalFormatting sqref="GR14">
    <cfRule type="cellIs" dxfId="0" priority="8326" operator="lessThan">
      <formula>0</formula>
    </cfRule>
    <cfRule type="cellIs" dxfId="1" priority="8327" operator="greaterThan">
      <formula>0</formula>
    </cfRule>
    <cfRule type="cellIs" dxfId="0" priority="8328" operator="lessThan">
      <formula>0</formula>
    </cfRule>
    <cfRule type="cellIs" dxfId="1" priority="8329" operator="greaterThan">
      <formula>0</formula>
    </cfRule>
    <cfRule type="cellIs" dxfId="6" priority="8330" operator="lessThan">
      <formula>0</formula>
    </cfRule>
    <cfRule type="cellIs" dxfId="5" priority="8331" operator="greaterThan">
      <formula>1</formula>
    </cfRule>
  </conditionalFormatting>
  <conditionalFormatting sqref="GS14">
    <cfRule type="cellIs" dxfId="0" priority="8126" operator="lessThan">
      <formula>-1</formula>
    </cfRule>
    <cfRule type="cellIs" dxfId="0" priority="8127" operator="lessThan">
      <formula>0</formula>
    </cfRule>
    <cfRule type="cellIs" dxfId="4" priority="8128" operator="lessThan">
      <formula>0</formula>
    </cfRule>
  </conditionalFormatting>
  <conditionalFormatting sqref="HZ14">
    <cfRule type="cellIs" dxfId="0" priority="8656" operator="lessThan">
      <formula>0</formula>
    </cfRule>
    <cfRule type="cellIs" dxfId="1" priority="8657" operator="greaterThan">
      <formula>0</formula>
    </cfRule>
    <cfRule type="cellIs" dxfId="0" priority="8658" operator="lessThan">
      <formula>0</formula>
    </cfRule>
    <cfRule type="cellIs" dxfId="1" priority="8659" operator="greaterThan">
      <formula>0</formula>
    </cfRule>
    <cfRule type="cellIs" dxfId="6" priority="8660" operator="lessThan">
      <formula>0</formula>
    </cfRule>
    <cfRule type="cellIs" dxfId="5" priority="8661" operator="greaterThan">
      <formula>1</formula>
    </cfRule>
  </conditionalFormatting>
  <conditionalFormatting sqref="IA14">
    <cfRule type="cellIs" dxfId="0" priority="8456" operator="lessThan">
      <formula>-1</formula>
    </cfRule>
    <cfRule type="cellIs" dxfId="0" priority="8457" operator="lessThan">
      <formula>0</formula>
    </cfRule>
    <cfRule type="cellIs" dxfId="4" priority="8458" operator="lessThan">
      <formula>0</formula>
    </cfRule>
  </conditionalFormatting>
  <conditionalFormatting sqref="IX14">
    <cfRule type="cellIs" dxfId="1" priority="2359" operator="greaterThan">
      <formula>0</formula>
    </cfRule>
    <cfRule type="cellIs" dxfId="0" priority="2347" operator="lessThan">
      <formula>0</formula>
    </cfRule>
  </conditionalFormatting>
  <conditionalFormatting sqref="IY14">
    <cfRule type="cellIs" dxfId="1" priority="2287" operator="greaterThan">
      <formula>0</formula>
    </cfRule>
    <cfRule type="cellIs" dxfId="0" priority="2275" operator="lessThan">
      <formula>0</formula>
    </cfRule>
  </conditionalFormatting>
  <conditionalFormatting sqref="IZ14">
    <cfRule type="cellIs" dxfId="1" priority="2131" operator="greaterThan">
      <formula>0</formula>
    </cfRule>
    <cfRule type="cellIs" dxfId="0" priority="2119" operator="lessThan">
      <formula>0</formula>
    </cfRule>
  </conditionalFormatting>
  <conditionalFormatting sqref="JE14">
    <cfRule type="cellIs" dxfId="1" priority="2155" operator="greaterThan">
      <formula>0</formula>
    </cfRule>
    <cfRule type="cellIs" dxfId="0" priority="2143" operator="lessThan">
      <formula>0</formula>
    </cfRule>
  </conditionalFormatting>
  <conditionalFormatting sqref="JF14">
    <cfRule type="cellIs" dxfId="1" priority="2311" operator="greaterThan">
      <formula>0</formula>
    </cfRule>
    <cfRule type="cellIs" dxfId="0" priority="2299" operator="lessThan">
      <formula>0</formula>
    </cfRule>
  </conditionalFormatting>
  <conditionalFormatting sqref="JG14">
    <cfRule type="cellIs" dxfId="1" priority="2335" operator="greaterThan">
      <formula>0</formula>
    </cfRule>
    <cfRule type="cellIs" dxfId="0" priority="2323" operator="lessThan">
      <formula>0</formula>
    </cfRule>
  </conditionalFormatting>
  <conditionalFormatting sqref="JH14">
    <cfRule type="cellIs" dxfId="5" priority="2263" operator="greaterThan">
      <formula>1</formula>
    </cfRule>
    <cfRule type="cellIs" dxfId="6" priority="2251" operator="lessThan">
      <formula>0</formula>
    </cfRule>
    <cfRule type="cellIs" dxfId="1" priority="2239" operator="greaterThan">
      <formula>0</formula>
    </cfRule>
    <cfRule type="cellIs" dxfId="0" priority="2227" operator="lessThan">
      <formula>0</formula>
    </cfRule>
    <cfRule type="cellIs" dxfId="1" priority="2215" operator="greaterThan">
      <formula>0</formula>
    </cfRule>
    <cfRule type="cellIs" dxfId="0" priority="2203" operator="lessThan">
      <formula>0</formula>
    </cfRule>
  </conditionalFormatting>
  <conditionalFormatting sqref="JI14">
    <cfRule type="cellIs" dxfId="4" priority="2191" operator="lessThan">
      <formula>0</formula>
    </cfRule>
    <cfRule type="cellIs" dxfId="0" priority="2179" operator="lessThan">
      <formula>0</formula>
    </cfRule>
    <cfRule type="cellIs" dxfId="0" priority="2167" operator="lessThan">
      <formula>-1</formula>
    </cfRule>
  </conditionalFormatting>
  <conditionalFormatting sqref="KP14">
    <cfRule type="cellIs" dxfId="0" priority="9482" operator="lessThan">
      <formula>0</formula>
    </cfRule>
    <cfRule type="cellIs" dxfId="1" priority="9483" operator="greaterThan">
      <formula>0</formula>
    </cfRule>
    <cfRule type="cellIs" dxfId="0" priority="9484" operator="lessThan">
      <formula>0</formula>
    </cfRule>
    <cfRule type="cellIs" dxfId="1" priority="9485" operator="greaterThan">
      <formula>0</formula>
    </cfRule>
    <cfRule type="cellIs" dxfId="6" priority="9486" operator="lessThan">
      <formula>0</formula>
    </cfRule>
    <cfRule type="cellIs" dxfId="5" priority="9487" operator="greaterThan">
      <formula>1</formula>
    </cfRule>
  </conditionalFormatting>
  <conditionalFormatting sqref="KQ14">
    <cfRule type="cellIs" dxfId="0" priority="9150" operator="lessThan">
      <formula>-1</formula>
    </cfRule>
    <cfRule type="cellIs" dxfId="0" priority="9151" operator="lessThan">
      <formula>0</formula>
    </cfRule>
    <cfRule type="cellIs" dxfId="4" priority="9152" operator="lessThan">
      <formula>0</formula>
    </cfRule>
  </conditionalFormatting>
  <conditionalFormatting sqref="LX14">
    <cfRule type="cellIs" dxfId="0" priority="9860" operator="lessThan">
      <formula>0</formula>
    </cfRule>
    <cfRule type="cellIs" dxfId="1" priority="9861" operator="greaterThan">
      <formula>0</formula>
    </cfRule>
    <cfRule type="cellIs" dxfId="0" priority="9862" operator="lessThan">
      <formula>0</formula>
    </cfRule>
    <cfRule type="cellIs" dxfId="1" priority="9863" operator="greaterThan">
      <formula>0</formula>
    </cfRule>
    <cfRule type="cellIs" dxfId="6" priority="9864" operator="lessThan">
      <formula>0</formula>
    </cfRule>
    <cfRule type="cellIs" dxfId="5" priority="9865" operator="greaterThan">
      <formula>1</formula>
    </cfRule>
  </conditionalFormatting>
  <conditionalFormatting sqref="LY14">
    <cfRule type="cellIs" dxfId="0" priority="9528" operator="lessThan">
      <formula>-1</formula>
    </cfRule>
    <cfRule type="cellIs" dxfId="0" priority="9529" operator="lessThan">
      <formula>0</formula>
    </cfRule>
    <cfRule type="cellIs" dxfId="4" priority="9530" operator="lessThan">
      <formula>0</formula>
    </cfRule>
  </conditionalFormatting>
  <conditionalFormatting sqref="NF14">
    <cfRule type="cellIs" dxfId="0" priority="10267" operator="lessThan">
      <formula>0</formula>
    </cfRule>
    <cfRule type="cellIs" dxfId="1" priority="10268" operator="greaterThan">
      <formula>0</formula>
    </cfRule>
    <cfRule type="cellIs" dxfId="0" priority="10269" operator="lessThan">
      <formula>0</formula>
    </cfRule>
    <cfRule type="cellIs" dxfId="1" priority="10270" operator="greaterThan">
      <formula>0</formula>
    </cfRule>
    <cfRule type="cellIs" dxfId="6" priority="10271" operator="lessThan">
      <formula>0</formula>
    </cfRule>
    <cfRule type="cellIs" dxfId="5" priority="10272" operator="greaterThan">
      <formula>1</formula>
    </cfRule>
  </conditionalFormatting>
  <conditionalFormatting sqref="NG14">
    <cfRule type="cellIs" dxfId="0" priority="10273" operator="lessThan">
      <formula>-1</formula>
    </cfRule>
    <cfRule type="cellIs" dxfId="0" priority="10274" operator="lessThan">
      <formula>0</formula>
    </cfRule>
    <cfRule type="cellIs" dxfId="4" priority="10277" operator="lessThan">
      <formula>0</formula>
    </cfRule>
  </conditionalFormatting>
  <conditionalFormatting sqref="ON14">
    <cfRule type="cellIs" dxfId="0" priority="10430" operator="lessThan">
      <formula>0</formula>
    </cfRule>
    <cfRule type="cellIs" dxfId="1" priority="10431" operator="greaterThan">
      <formula>0</formula>
    </cfRule>
    <cfRule type="cellIs" dxfId="0" priority="10432" operator="lessThan">
      <formula>0</formula>
    </cfRule>
    <cfRule type="cellIs" dxfId="1" priority="10433" operator="greaterThan">
      <formula>0</formula>
    </cfRule>
    <cfRule type="cellIs" dxfId="6" priority="10434" operator="lessThan">
      <formula>0</formula>
    </cfRule>
    <cfRule type="cellIs" dxfId="5" priority="10435" operator="greaterThan">
      <formula>1</formula>
    </cfRule>
  </conditionalFormatting>
  <conditionalFormatting sqref="OO14">
    <cfRule type="cellIs" dxfId="0" priority="10436" operator="lessThan">
      <formula>-1</formula>
    </cfRule>
    <cfRule type="cellIs" dxfId="0" priority="10437" operator="lessThan">
      <formula>0</formula>
    </cfRule>
    <cfRule type="cellIs" dxfId="4" priority="10440" operator="lessThan">
      <formula>0</formula>
    </cfRule>
  </conditionalFormatting>
  <conditionalFormatting sqref="Y15">
    <cfRule type="cellIs" dxfId="1" priority="6299" operator="greaterThan">
      <formula>0</formula>
    </cfRule>
    <cfRule type="cellIs" dxfId="0" priority="6298" operator="lessThan">
      <formula>0</formula>
    </cfRule>
  </conditionalFormatting>
  <conditionalFormatting sqref="AG15">
    <cfRule type="cellIs" dxfId="5" priority="6582" operator="greaterThan">
      <formula>1</formula>
    </cfRule>
    <cfRule type="cellIs" dxfId="6" priority="6581" operator="lessThan">
      <formula>0</formula>
    </cfRule>
    <cfRule type="cellIs" dxfId="1" priority="6580" operator="greaterThan">
      <formula>0</formula>
    </cfRule>
    <cfRule type="cellIs" dxfId="0" priority="6579" operator="lessThan">
      <formula>0</formula>
    </cfRule>
    <cfRule type="cellIs" dxfId="1" priority="6578" operator="greaterThan">
      <formula>0</formula>
    </cfRule>
    <cfRule type="cellIs" dxfId="0" priority="6577" operator="lessThan">
      <formula>0</formula>
    </cfRule>
  </conditionalFormatting>
  <conditionalFormatting sqref="AH15">
    <cfRule type="cellIs" dxfId="4" priority="6595" operator="lessThan">
      <formula>0</formula>
    </cfRule>
  </conditionalFormatting>
  <conditionalFormatting sqref="BF15">
    <cfRule type="cellIs" dxfId="1" priority="5912" operator="greaterThan">
      <formula>0</formula>
    </cfRule>
    <cfRule type="cellIs" dxfId="0" priority="5911" operator="lessThan">
      <formula>0</formula>
    </cfRule>
  </conditionalFormatting>
  <conditionalFormatting sqref="BN15">
    <cfRule type="cellIs" dxfId="5" priority="6158" operator="greaterThan">
      <formula>1</formula>
    </cfRule>
    <cfRule type="cellIs" dxfId="6" priority="6157" operator="lessThan">
      <formula>0</formula>
    </cfRule>
    <cfRule type="cellIs" dxfId="1" priority="6156" operator="greaterThan">
      <formula>0</formula>
    </cfRule>
    <cfRule type="cellIs" dxfId="0" priority="6155" operator="lessThan">
      <formula>0</formula>
    </cfRule>
    <cfRule type="cellIs" dxfId="1" priority="6154" operator="greaterThan">
      <formula>0</formula>
    </cfRule>
    <cfRule type="cellIs" dxfId="0" priority="6153" operator="lessThan">
      <formula>0</formula>
    </cfRule>
  </conditionalFormatting>
  <conditionalFormatting sqref="BO15">
    <cfRule type="cellIs" dxfId="4" priority="6170" operator="lessThan">
      <formula>0</formula>
    </cfRule>
  </conditionalFormatting>
  <conditionalFormatting sqref="CM15">
    <cfRule type="cellIs" dxfId="1" priority="5179" operator="greaterThan">
      <formula>0</formula>
    </cfRule>
    <cfRule type="cellIs" dxfId="0" priority="5178" operator="lessThan">
      <formula>0</formula>
    </cfRule>
  </conditionalFormatting>
  <conditionalFormatting sqref="CU15">
    <cfRule type="cellIs" dxfId="5" priority="5423" operator="greaterThan">
      <formula>1</formula>
    </cfRule>
    <cfRule type="cellIs" dxfId="6" priority="5422" operator="lessThan">
      <formula>0</formula>
    </cfRule>
    <cfRule type="cellIs" dxfId="1" priority="5421" operator="greaterThan">
      <formula>0</formula>
    </cfRule>
    <cfRule type="cellIs" dxfId="0" priority="5420" operator="lessThan">
      <formula>0</formula>
    </cfRule>
    <cfRule type="cellIs" dxfId="1" priority="5419" operator="greaterThan">
      <formula>0</formula>
    </cfRule>
    <cfRule type="cellIs" dxfId="0" priority="5418" operator="lessThan">
      <formula>0</formula>
    </cfRule>
  </conditionalFormatting>
  <conditionalFormatting sqref="CV15">
    <cfRule type="cellIs" dxfId="4" priority="5435" operator="lessThan">
      <formula>0</formula>
    </cfRule>
  </conditionalFormatting>
  <conditionalFormatting sqref="DT15">
    <cfRule type="cellIs" dxfId="1" priority="1743" operator="greaterThan">
      <formula>0</formula>
    </cfRule>
    <cfRule type="cellIs" dxfId="0" priority="1741" operator="lessThan">
      <formula>0</formula>
    </cfRule>
  </conditionalFormatting>
  <conditionalFormatting sqref="EB15">
    <cfRule type="cellIs" dxfId="5" priority="1755" operator="greaterThan">
      <formula>1</formula>
    </cfRule>
    <cfRule type="cellIs" dxfId="6" priority="1753" operator="lessThan">
      <formula>0</formula>
    </cfRule>
    <cfRule type="cellIs" dxfId="1" priority="1751" operator="greaterThan">
      <formula>0</formula>
    </cfRule>
    <cfRule type="cellIs" dxfId="0" priority="1749" operator="lessThan">
      <formula>0</formula>
    </cfRule>
    <cfRule type="cellIs" dxfId="1" priority="1747" operator="greaterThan">
      <formula>0</formula>
    </cfRule>
    <cfRule type="cellIs" dxfId="0" priority="1745" operator="lessThan">
      <formula>0</formula>
    </cfRule>
  </conditionalFormatting>
  <conditionalFormatting sqref="EC15">
    <cfRule type="cellIs" dxfId="4" priority="1765" operator="lessThan">
      <formula>0</formula>
    </cfRule>
    <cfRule type="cellIs" dxfId="0" priority="1759" operator="lessThan">
      <formula>0</formula>
    </cfRule>
    <cfRule type="cellIs" dxfId="0" priority="1757" operator="lessThan">
      <formula>-1</formula>
    </cfRule>
  </conditionalFormatting>
  <conditionalFormatting sqref="FI15">
    <cfRule type="cellIs" dxfId="0" priority="7693" operator="lessThan">
      <formula>0</formula>
    </cfRule>
    <cfRule type="cellIs" dxfId="1" priority="7694" operator="greaterThan">
      <formula>0</formula>
    </cfRule>
    <cfRule type="cellIs" dxfId="0" priority="7695" operator="lessThan">
      <formula>0</formula>
    </cfRule>
    <cfRule type="cellIs" dxfId="1" priority="7696" operator="greaterThan">
      <formula>0</formula>
    </cfRule>
    <cfRule type="cellIs" dxfId="6" priority="7697" operator="lessThan">
      <formula>0</formula>
    </cfRule>
    <cfRule type="cellIs" dxfId="5" priority="7698" operator="greaterThan">
      <formula>1</formula>
    </cfRule>
  </conditionalFormatting>
  <conditionalFormatting sqref="FJ15">
    <cfRule type="cellIs" dxfId="4" priority="7715" operator="lessThan">
      <formula>0</formula>
    </cfRule>
    <cfRule type="cellIs" dxfId="0" priority="7705" operator="lessThan">
      <formula>-1</formula>
    </cfRule>
    <cfRule type="cellIs" dxfId="0" priority="7706" operator="lessThan">
      <formula>0</formula>
    </cfRule>
  </conditionalFormatting>
  <conditionalFormatting sqref="GR15">
    <cfRule type="cellIs" dxfId="0" priority="8353" operator="lessThan">
      <formula>0</formula>
    </cfRule>
    <cfRule type="cellIs" dxfId="1" priority="8354" operator="greaterThan">
      <formula>0</formula>
    </cfRule>
    <cfRule type="cellIs" dxfId="0" priority="8355" operator="lessThan">
      <formula>0</formula>
    </cfRule>
    <cfRule type="cellIs" dxfId="1" priority="8356" operator="greaterThan">
      <formula>0</formula>
    </cfRule>
    <cfRule type="cellIs" dxfId="6" priority="8357" operator="lessThan">
      <formula>0</formula>
    </cfRule>
    <cfRule type="cellIs" dxfId="5" priority="8358" operator="greaterThan">
      <formula>1</formula>
    </cfRule>
  </conditionalFormatting>
  <conditionalFormatting sqref="GS15">
    <cfRule type="cellIs" dxfId="4" priority="8371" operator="lessThan">
      <formula>0</formula>
    </cfRule>
    <cfRule type="cellIs" dxfId="0" priority="8362" operator="lessThan">
      <formula>-1</formula>
    </cfRule>
    <cfRule type="cellIs" dxfId="0" priority="8363" operator="lessThan">
      <formula>0</formula>
    </cfRule>
  </conditionalFormatting>
  <conditionalFormatting sqref="HZ15">
    <cfRule type="cellIs" dxfId="0" priority="8683" operator="lessThan">
      <formula>0</formula>
    </cfRule>
    <cfRule type="cellIs" dxfId="1" priority="8684" operator="greaterThan">
      <formula>0</formula>
    </cfRule>
    <cfRule type="cellIs" dxfId="0" priority="8685" operator="lessThan">
      <formula>0</formula>
    </cfRule>
    <cfRule type="cellIs" dxfId="1" priority="8686" operator="greaterThan">
      <formula>0</formula>
    </cfRule>
    <cfRule type="cellIs" dxfId="6" priority="8687" operator="lessThan">
      <formula>0</formula>
    </cfRule>
    <cfRule type="cellIs" dxfId="5" priority="8688" operator="greaterThan">
      <formula>1</formula>
    </cfRule>
  </conditionalFormatting>
  <conditionalFormatting sqref="IA15">
    <cfRule type="cellIs" dxfId="4" priority="8701" operator="lessThan">
      <formula>0</formula>
    </cfRule>
    <cfRule type="cellIs" dxfId="0" priority="8692" operator="lessThan">
      <formula>-1</formula>
    </cfRule>
    <cfRule type="cellIs" dxfId="0" priority="8693" operator="lessThan">
      <formula>0</formula>
    </cfRule>
  </conditionalFormatting>
  <conditionalFormatting sqref="IX15">
    <cfRule type="cellIs" dxfId="1" priority="2358" operator="greaterThan">
      <formula>0</formula>
    </cfRule>
    <cfRule type="cellIs" dxfId="0" priority="2346" operator="lessThan">
      <formula>0</formula>
    </cfRule>
  </conditionalFormatting>
  <conditionalFormatting sqref="IY15">
    <cfRule type="cellIs" dxfId="1" priority="2286" operator="greaterThan">
      <formula>0</formula>
    </cfRule>
    <cfRule type="cellIs" dxfId="0" priority="2274" operator="lessThan">
      <formula>0</formula>
    </cfRule>
  </conditionalFormatting>
  <conditionalFormatting sqref="IZ15">
    <cfRule type="cellIs" dxfId="1" priority="2130" operator="greaterThan">
      <formula>0</formula>
    </cfRule>
    <cfRule type="cellIs" dxfId="0" priority="2118" operator="lessThan">
      <formula>0</formula>
    </cfRule>
  </conditionalFormatting>
  <conditionalFormatting sqref="JE15">
    <cfRule type="cellIs" dxfId="1" priority="2154" operator="greaterThan">
      <formula>0</formula>
    </cfRule>
    <cfRule type="cellIs" dxfId="0" priority="2142" operator="lessThan">
      <formula>0</formula>
    </cfRule>
  </conditionalFormatting>
  <conditionalFormatting sqref="JF15">
    <cfRule type="cellIs" dxfId="1" priority="2310" operator="greaterThan">
      <formula>0</formula>
    </cfRule>
    <cfRule type="cellIs" dxfId="0" priority="2298" operator="lessThan">
      <formula>0</formula>
    </cfRule>
  </conditionalFormatting>
  <conditionalFormatting sqref="JG15">
    <cfRule type="cellIs" dxfId="1" priority="2334" operator="greaterThan">
      <formula>0</formula>
    </cfRule>
    <cfRule type="cellIs" dxfId="0" priority="2322" operator="lessThan">
      <formula>0</formula>
    </cfRule>
  </conditionalFormatting>
  <conditionalFormatting sqref="JH15">
    <cfRule type="cellIs" dxfId="5" priority="2262" operator="greaterThan">
      <formula>1</formula>
    </cfRule>
    <cfRule type="cellIs" dxfId="6" priority="2250" operator="lessThan">
      <formula>0</formula>
    </cfRule>
    <cfRule type="cellIs" dxfId="1" priority="2238" operator="greaterThan">
      <formula>0</formula>
    </cfRule>
    <cfRule type="cellIs" dxfId="0" priority="2226" operator="lessThan">
      <formula>0</formula>
    </cfRule>
    <cfRule type="cellIs" dxfId="1" priority="2214" operator="greaterThan">
      <formula>0</formula>
    </cfRule>
    <cfRule type="cellIs" dxfId="0" priority="2202" operator="lessThan">
      <formula>0</formula>
    </cfRule>
  </conditionalFormatting>
  <conditionalFormatting sqref="JI15">
    <cfRule type="cellIs" dxfId="4" priority="2190" operator="lessThan">
      <formula>0</formula>
    </cfRule>
    <cfRule type="cellIs" dxfId="0" priority="2178" operator="lessThan">
      <formula>0</formula>
    </cfRule>
    <cfRule type="cellIs" dxfId="0" priority="2166" operator="lessThan">
      <formula>-1</formula>
    </cfRule>
  </conditionalFormatting>
  <conditionalFormatting sqref="KP15">
    <cfRule type="cellIs" dxfId="0" priority="9509" operator="lessThan">
      <formula>0</formula>
    </cfRule>
    <cfRule type="cellIs" dxfId="1" priority="9510" operator="greaterThan">
      <formula>0</formula>
    </cfRule>
    <cfRule type="cellIs" dxfId="0" priority="9511" operator="lessThan">
      <formula>0</formula>
    </cfRule>
    <cfRule type="cellIs" dxfId="1" priority="9512" operator="greaterThan">
      <formula>0</formula>
    </cfRule>
    <cfRule type="cellIs" dxfId="6" priority="9513" operator="lessThan">
      <formula>0</formula>
    </cfRule>
    <cfRule type="cellIs" dxfId="5" priority="9514" operator="greaterThan">
      <formula>1</formula>
    </cfRule>
  </conditionalFormatting>
  <conditionalFormatting sqref="KQ15">
    <cfRule type="cellIs" dxfId="4" priority="9527" operator="lessThan">
      <formula>0</formula>
    </cfRule>
  </conditionalFormatting>
  <conditionalFormatting sqref="LX15">
    <cfRule type="cellIs" dxfId="0" priority="9889" operator="lessThan">
      <formula>0</formula>
    </cfRule>
    <cfRule type="cellIs" dxfId="1" priority="9890" operator="greaterThan">
      <formula>0</formula>
    </cfRule>
    <cfRule type="cellIs" dxfId="0" priority="9891" operator="lessThan">
      <formula>0</formula>
    </cfRule>
    <cfRule type="cellIs" dxfId="1" priority="9892" operator="greaterThan">
      <formula>0</formula>
    </cfRule>
    <cfRule type="cellIs" dxfId="6" priority="9893" operator="lessThan">
      <formula>0</formula>
    </cfRule>
    <cfRule type="cellIs" dxfId="5" priority="9894" operator="greaterThan">
      <formula>1</formula>
    </cfRule>
  </conditionalFormatting>
  <conditionalFormatting sqref="LY15">
    <cfRule type="cellIs" dxfId="4" priority="9907" operator="lessThan">
      <formula>0</formula>
    </cfRule>
  </conditionalFormatting>
  <conditionalFormatting sqref="NF15">
    <cfRule type="cellIs" dxfId="0" priority="10299" operator="lessThan">
      <formula>0</formula>
    </cfRule>
    <cfRule type="cellIs" dxfId="1" priority="10300" operator="greaterThan">
      <formula>0</formula>
    </cfRule>
    <cfRule type="cellIs" dxfId="0" priority="10301" operator="lessThan">
      <formula>0</formula>
    </cfRule>
    <cfRule type="cellIs" dxfId="1" priority="10302" operator="greaterThan">
      <formula>0</formula>
    </cfRule>
    <cfRule type="cellIs" dxfId="6" priority="10303" operator="lessThan">
      <formula>0</formula>
    </cfRule>
    <cfRule type="cellIs" dxfId="5" priority="10304" operator="greaterThan">
      <formula>1</formula>
    </cfRule>
  </conditionalFormatting>
  <conditionalFormatting sqref="NG15">
    <cfRule type="cellIs" dxfId="4" priority="10317" operator="lessThan">
      <formula>0</formula>
    </cfRule>
  </conditionalFormatting>
  <conditionalFormatting sqref="AD16">
    <cfRule type="cellIs" dxfId="1" priority="6362" operator="greaterThan">
      <formula>0</formula>
    </cfRule>
    <cfRule type="cellIs" dxfId="0" priority="6361" operator="lessThan">
      <formula>0</formula>
    </cfRule>
  </conditionalFormatting>
  <conditionalFormatting sqref="AG16">
    <cfRule type="cellIs" dxfId="5" priority="6410" operator="greaterThan">
      <formula>1</formula>
    </cfRule>
    <cfRule type="cellIs" dxfId="6" priority="6409" operator="lessThan">
      <formula>0</formula>
    </cfRule>
    <cfRule type="cellIs" dxfId="1" priority="6408" operator="greaterThan">
      <formula>0</formula>
    </cfRule>
    <cfRule type="cellIs" dxfId="0" priority="6407" operator="lessThan">
      <formula>0</formula>
    </cfRule>
    <cfRule type="cellIs" dxfId="1" priority="6406" operator="greaterThan">
      <formula>0</formula>
    </cfRule>
    <cfRule type="cellIs" dxfId="0" priority="6405" operator="lessThan">
      <formula>0</formula>
    </cfRule>
  </conditionalFormatting>
  <conditionalFormatting sqref="AH16">
    <cfRule type="cellIs" dxfId="0" priority="6344" operator="lessThan">
      <formula>0</formula>
    </cfRule>
    <cfRule type="cellIs" dxfId="0" priority="6343" operator="lessThan">
      <formula>-1</formula>
    </cfRule>
    <cfRule type="cellIs" dxfId="4" priority="6342" operator="lessThan">
      <formula>0</formula>
    </cfRule>
  </conditionalFormatting>
  <conditionalFormatting sqref="BK16">
    <cfRule type="cellIs" dxfId="1" priority="5969" operator="greaterThan">
      <formula>0</formula>
    </cfRule>
    <cfRule type="cellIs" dxfId="0" priority="5968" operator="lessThan">
      <formula>0</formula>
    </cfRule>
  </conditionalFormatting>
  <conditionalFormatting sqref="BN16">
    <cfRule type="cellIs" dxfId="5" priority="6011" operator="greaterThan">
      <formula>1</formula>
    </cfRule>
    <cfRule type="cellIs" dxfId="6" priority="6010" operator="lessThan">
      <formula>0</formula>
    </cfRule>
    <cfRule type="cellIs" dxfId="1" priority="6009" operator="greaterThan">
      <formula>0</formula>
    </cfRule>
    <cfRule type="cellIs" dxfId="0" priority="6008" operator="lessThan">
      <formula>0</formula>
    </cfRule>
    <cfRule type="cellIs" dxfId="1" priority="6007" operator="greaterThan">
      <formula>0</formula>
    </cfRule>
    <cfRule type="cellIs" dxfId="0" priority="6006" operator="lessThan">
      <formula>0</formula>
    </cfRule>
  </conditionalFormatting>
  <conditionalFormatting sqref="BO16">
    <cfRule type="cellIs" dxfId="0" priority="5957" operator="lessThan">
      <formula>0</formula>
    </cfRule>
    <cfRule type="cellIs" dxfId="0" priority="5956" operator="lessThan">
      <formula>-1</formula>
    </cfRule>
    <cfRule type="cellIs" dxfId="4" priority="5955" operator="lessThan">
      <formula>0</formula>
    </cfRule>
  </conditionalFormatting>
  <conditionalFormatting sqref="CR16">
    <cfRule type="cellIs" dxfId="1" priority="5236" operator="greaterThan">
      <formula>0</formula>
    </cfRule>
    <cfRule type="cellIs" dxfId="0" priority="5235" operator="lessThan">
      <formula>0</formula>
    </cfRule>
  </conditionalFormatting>
  <conditionalFormatting sqref="CU16">
    <cfRule type="cellIs" dxfId="5" priority="5278" operator="greaterThan">
      <formula>1</formula>
    </cfRule>
    <cfRule type="cellIs" dxfId="6" priority="5277" operator="lessThan">
      <formula>0</formula>
    </cfRule>
    <cfRule type="cellIs" dxfId="1" priority="5276" operator="greaterThan">
      <formula>0</formula>
    </cfRule>
    <cfRule type="cellIs" dxfId="0" priority="5275" operator="lessThan">
      <formula>0</formula>
    </cfRule>
    <cfRule type="cellIs" dxfId="1" priority="5274" operator="greaterThan">
      <formula>0</formula>
    </cfRule>
    <cfRule type="cellIs" dxfId="0" priority="5273" operator="lessThan">
      <formula>0</formula>
    </cfRule>
  </conditionalFormatting>
  <conditionalFormatting sqref="CV16">
    <cfRule type="cellIs" dxfId="0" priority="5224" operator="lessThan">
      <formula>0</formula>
    </cfRule>
    <cfRule type="cellIs" dxfId="0" priority="5223" operator="lessThan">
      <formula>-1</formula>
    </cfRule>
    <cfRule type="cellIs" dxfId="4" priority="5222" operator="lessThan">
      <formula>0</formula>
    </cfRule>
  </conditionalFormatting>
  <conditionalFormatting sqref="DY16">
    <cfRule type="cellIs" dxfId="1" priority="4847" operator="greaterThan">
      <formula>0</formula>
    </cfRule>
    <cfRule type="cellIs" dxfId="0" priority="4846" operator="lessThan">
      <formula>0</formula>
    </cfRule>
  </conditionalFormatting>
  <conditionalFormatting sqref="EB16">
    <cfRule type="cellIs" dxfId="5" priority="4889" operator="greaterThan">
      <formula>1</formula>
    </cfRule>
    <cfRule type="cellIs" dxfId="6" priority="4888" operator="lessThan">
      <formula>0</formula>
    </cfRule>
    <cfRule type="cellIs" dxfId="1" priority="4887" operator="greaterThan">
      <formula>0</formula>
    </cfRule>
    <cfRule type="cellIs" dxfId="0" priority="4886" operator="lessThan">
      <formula>0</formula>
    </cfRule>
    <cfRule type="cellIs" dxfId="1" priority="4885" operator="greaterThan">
      <formula>0</formula>
    </cfRule>
    <cfRule type="cellIs" dxfId="0" priority="4884" operator="lessThan">
      <formula>0</formula>
    </cfRule>
  </conditionalFormatting>
  <conditionalFormatting sqref="EC16">
    <cfRule type="cellIs" dxfId="0" priority="4835" operator="lessThan">
      <formula>0</formula>
    </cfRule>
    <cfRule type="cellIs" dxfId="0" priority="4834" operator="lessThan">
      <formula>-1</formula>
    </cfRule>
    <cfRule type="cellIs" dxfId="4" priority="4833" operator="lessThan">
      <formula>0</formula>
    </cfRule>
  </conditionalFormatting>
  <conditionalFormatting sqref="EE16:FJ16">
    <cfRule type="cellIs" dxfId="2" priority="3732" operator="greaterThan">
      <formula>0</formula>
    </cfRule>
    <cfRule type="cellIs" dxfId="3" priority="3731" operator="lessThan">
      <formula>0</formula>
    </cfRule>
  </conditionalFormatting>
  <conditionalFormatting sqref="FF16">
    <cfRule type="cellIs" dxfId="1" priority="3737" operator="greaterThan">
      <formula>0</formula>
    </cfRule>
    <cfRule type="cellIs" dxfId="0" priority="3736" operator="lessThan">
      <formula>0</formula>
    </cfRule>
  </conditionalFormatting>
  <conditionalFormatting sqref="FG16:FH16">
    <cfRule type="cellIs" dxfId="1" priority="3745" operator="greaterThan">
      <formula>0</formula>
    </cfRule>
    <cfRule type="cellIs" dxfId="0" priority="3744" operator="lessThan">
      <formula>0</formula>
    </cfRule>
  </conditionalFormatting>
  <conditionalFormatting sqref="FI16">
    <cfRule type="cellIs" dxfId="5" priority="3743" operator="greaterThan">
      <formula>1</formula>
    </cfRule>
    <cfRule type="cellIs" dxfId="6" priority="3742" operator="lessThan">
      <formula>0</formula>
    </cfRule>
    <cfRule type="cellIs" dxfId="1" priority="3741" operator="greaterThan">
      <formula>0</formula>
    </cfRule>
    <cfRule type="cellIs" dxfId="0" priority="3740" operator="lessThan">
      <formula>0</formula>
    </cfRule>
    <cfRule type="cellIs" dxfId="1" priority="3739" operator="greaterThan">
      <formula>0</formula>
    </cfRule>
    <cfRule type="cellIs" dxfId="0" priority="3738" operator="lessThan">
      <formula>0</formula>
    </cfRule>
  </conditionalFormatting>
  <conditionalFormatting sqref="FJ16">
    <cfRule type="cellIs" dxfId="0" priority="3735" operator="lessThan">
      <formula>0</formula>
    </cfRule>
    <cfRule type="cellIs" dxfId="0" priority="3734" operator="lessThan">
      <formula>-1</formula>
    </cfRule>
    <cfRule type="cellIs" dxfId="4" priority="3733" operator="lessThan">
      <formula>0</formula>
    </cfRule>
  </conditionalFormatting>
  <conditionalFormatting sqref="FN16:GS16">
    <cfRule type="cellIs" dxfId="2" priority="3217" operator="greaterThan">
      <formula>0</formula>
    </cfRule>
    <cfRule type="cellIs" dxfId="3" priority="3216" operator="lessThan">
      <formula>0</formula>
    </cfRule>
  </conditionalFormatting>
  <conditionalFormatting sqref="GO16">
    <cfRule type="cellIs" dxfId="1" priority="3222" operator="greaterThan">
      <formula>0</formula>
    </cfRule>
    <cfRule type="cellIs" dxfId="0" priority="3221" operator="lessThan">
      <formula>0</formula>
    </cfRule>
  </conditionalFormatting>
  <conditionalFormatting sqref="GP16:GQ16">
    <cfRule type="cellIs" dxfId="1" priority="3230" operator="greaterThan">
      <formula>0</formula>
    </cfRule>
    <cfRule type="cellIs" dxfId="0" priority="3229" operator="lessThan">
      <formula>0</formula>
    </cfRule>
  </conditionalFormatting>
  <conditionalFormatting sqref="GR16">
    <cfRule type="cellIs" dxfId="5" priority="3228" operator="greaterThan">
      <formula>1</formula>
    </cfRule>
    <cfRule type="cellIs" dxfId="6" priority="3227" operator="lessThan">
      <formula>0</formula>
    </cfRule>
    <cfRule type="cellIs" dxfId="1" priority="3226" operator="greaterThan">
      <formula>0</formula>
    </cfRule>
    <cfRule type="cellIs" dxfId="0" priority="3225" operator="lessThan">
      <formula>0</formula>
    </cfRule>
    <cfRule type="cellIs" dxfId="1" priority="3224" operator="greaterThan">
      <formula>0</formula>
    </cfRule>
    <cfRule type="cellIs" dxfId="0" priority="3223" operator="lessThan">
      <formula>0</formula>
    </cfRule>
  </conditionalFormatting>
  <conditionalFormatting sqref="GS16">
    <cfRule type="cellIs" dxfId="0" priority="3220" operator="lessThan">
      <formula>0</formula>
    </cfRule>
    <cfRule type="cellIs" dxfId="0" priority="3219" operator="lessThan">
      <formula>-1</formula>
    </cfRule>
    <cfRule type="cellIs" dxfId="4" priority="3218" operator="lessThan">
      <formula>0</formula>
    </cfRule>
  </conditionalFormatting>
  <conditionalFormatting sqref="GV16:IA16">
    <cfRule type="cellIs" dxfId="2" priority="2673" operator="greaterThan">
      <formula>0</formula>
    </cfRule>
    <cfRule type="cellIs" dxfId="3" priority="2672" operator="lessThan">
      <formula>0</formula>
    </cfRule>
  </conditionalFormatting>
  <conditionalFormatting sqref="HW16">
    <cfRule type="cellIs" dxfId="1" priority="2678" operator="greaterThan">
      <formula>0</formula>
    </cfRule>
    <cfRule type="cellIs" dxfId="0" priority="2677" operator="lessThan">
      <formula>0</formula>
    </cfRule>
  </conditionalFormatting>
  <conditionalFormatting sqref="HX16:HY16">
    <cfRule type="cellIs" dxfId="1" priority="2686" operator="greaterThan">
      <formula>0</formula>
    </cfRule>
    <cfRule type="cellIs" dxfId="0" priority="2685" operator="lessThan">
      <formula>0</formula>
    </cfRule>
  </conditionalFormatting>
  <conditionalFormatting sqref="HZ16">
    <cfRule type="cellIs" dxfId="5" priority="2684" operator="greaterThan">
      <formula>1</formula>
    </cfRule>
    <cfRule type="cellIs" dxfId="6" priority="2683" operator="lessThan">
      <formula>0</formula>
    </cfRule>
    <cfRule type="cellIs" dxfId="1" priority="2682" operator="greaterThan">
      <formula>0</formula>
    </cfRule>
    <cfRule type="cellIs" dxfId="0" priority="2681" operator="lessThan">
      <formula>0</formula>
    </cfRule>
    <cfRule type="cellIs" dxfId="1" priority="2680" operator="greaterThan">
      <formula>0</formula>
    </cfRule>
    <cfRule type="cellIs" dxfId="0" priority="2679" operator="lessThan">
      <formula>0</formula>
    </cfRule>
  </conditionalFormatting>
  <conditionalFormatting sqref="IA16">
    <cfRule type="cellIs" dxfId="0" priority="2676" operator="lessThan">
      <formula>0</formula>
    </cfRule>
    <cfRule type="cellIs" dxfId="0" priority="2675" operator="lessThan">
      <formula>-1</formula>
    </cfRule>
    <cfRule type="cellIs" dxfId="4" priority="2674" operator="lessThan">
      <formula>0</formula>
    </cfRule>
  </conditionalFormatting>
  <conditionalFormatting sqref="IH16">
    <cfRule type="cellIs" dxfId="2" priority="1724" operator="greaterThan">
      <formula>0</formula>
    </cfRule>
    <cfRule type="cellIs" dxfId="3" priority="1723" operator="lessThan">
      <formula>0</formula>
    </cfRule>
  </conditionalFormatting>
  <conditionalFormatting sqref="IP16">
    <cfRule type="cellIs" dxfId="2" priority="1708" operator="greaterThan">
      <formula>0</formula>
    </cfRule>
    <cfRule type="cellIs" dxfId="3" priority="1707" operator="lessThan">
      <formula>0</formula>
    </cfRule>
  </conditionalFormatting>
  <conditionalFormatting sqref="JE16">
    <cfRule type="cellIs" dxfId="1" priority="1786" operator="greaterThan">
      <formula>0</formula>
    </cfRule>
    <cfRule type="cellIs" dxfId="0" priority="1785" operator="lessThan">
      <formula>0</formula>
    </cfRule>
  </conditionalFormatting>
  <conditionalFormatting sqref="JF16:JG16">
    <cfRule type="cellIs" dxfId="1" priority="1794" operator="greaterThan">
      <formula>0</formula>
    </cfRule>
    <cfRule type="cellIs" dxfId="0" priority="1793" operator="lessThan">
      <formula>0</formula>
    </cfRule>
  </conditionalFormatting>
  <conditionalFormatting sqref="JH16">
    <cfRule type="cellIs" dxfId="5" priority="1792" operator="greaterThan">
      <formula>1</formula>
    </cfRule>
    <cfRule type="cellIs" dxfId="6" priority="1791" operator="lessThan">
      <formula>0</formula>
    </cfRule>
    <cfRule type="cellIs" dxfId="1" priority="1790" operator="greaterThan">
      <formula>0</formula>
    </cfRule>
    <cfRule type="cellIs" dxfId="0" priority="1789" operator="lessThan">
      <formula>0</formula>
    </cfRule>
    <cfRule type="cellIs" dxfId="1" priority="1788" operator="greaterThan">
      <formula>0</formula>
    </cfRule>
    <cfRule type="cellIs" dxfId="0" priority="1787" operator="lessThan">
      <formula>0</formula>
    </cfRule>
  </conditionalFormatting>
  <conditionalFormatting sqref="JI16">
    <cfRule type="cellIs" dxfId="0" priority="1784" operator="lessThan">
      <formula>0</formula>
    </cfRule>
    <cfRule type="cellIs" dxfId="0" priority="1783" operator="lessThan">
      <formula>-1</formula>
    </cfRule>
    <cfRule type="cellIs" dxfId="4" priority="1782" operator="lessThan">
      <formula>0</formula>
    </cfRule>
  </conditionalFormatting>
  <conditionalFormatting sqref="JP16">
    <cfRule type="cellIs" dxfId="2" priority="905" operator="greaterThan">
      <formula>0</formula>
    </cfRule>
    <cfRule type="cellIs" dxfId="3" priority="904" operator="lessThan">
      <formula>0</formula>
    </cfRule>
  </conditionalFormatting>
  <conditionalFormatting sqref="KM16">
    <cfRule type="cellIs" dxfId="1" priority="1312" operator="greaterThan">
      <formula>0</formula>
    </cfRule>
    <cfRule type="cellIs" dxfId="0" priority="1311" operator="lessThan">
      <formula>0</formula>
    </cfRule>
  </conditionalFormatting>
  <conditionalFormatting sqref="KN16:KO16">
    <cfRule type="cellIs" dxfId="1" priority="1320" operator="greaterThan">
      <formula>0</formula>
    </cfRule>
    <cfRule type="cellIs" dxfId="0" priority="1319" operator="lessThan">
      <formula>0</formula>
    </cfRule>
  </conditionalFormatting>
  <conditionalFormatting sqref="KP16">
    <cfRule type="cellIs" dxfId="5" priority="1318" operator="greaterThan">
      <formula>1</formula>
    </cfRule>
    <cfRule type="cellIs" dxfId="6" priority="1317" operator="lessThan">
      <formula>0</formula>
    </cfRule>
    <cfRule type="cellIs" dxfId="1" priority="1316" operator="greaterThan">
      <formula>0</formula>
    </cfRule>
    <cfRule type="cellIs" dxfId="0" priority="1315" operator="lessThan">
      <formula>0</formula>
    </cfRule>
    <cfRule type="cellIs" dxfId="1" priority="1314" operator="greaterThan">
      <formula>0</formula>
    </cfRule>
    <cfRule type="cellIs" dxfId="0" priority="1313" operator="lessThan">
      <formula>0</formula>
    </cfRule>
  </conditionalFormatting>
  <conditionalFormatting sqref="KQ16">
    <cfRule type="cellIs" dxfId="0" priority="1310" operator="lessThan">
      <formula>0</formula>
    </cfRule>
    <cfRule type="cellIs" dxfId="0" priority="1309" operator="lessThan">
      <formula>-1</formula>
    </cfRule>
    <cfRule type="cellIs" dxfId="4" priority="1308" operator="lessThan">
      <formula>0</formula>
    </cfRule>
  </conditionalFormatting>
  <conditionalFormatting sqref="KX16">
    <cfRule type="cellIs" dxfId="2" priority="711" operator="greaterThan">
      <formula>0</formula>
    </cfRule>
    <cfRule type="cellIs" dxfId="3" priority="710" operator="lessThan">
      <formula>0</formula>
    </cfRule>
  </conditionalFormatting>
  <conditionalFormatting sqref="LF16">
    <cfRule type="cellIs" dxfId="2" priority="709" operator="greaterThan">
      <formula>0</formula>
    </cfRule>
    <cfRule type="cellIs" dxfId="3" priority="708" operator="lessThan">
      <formula>0</formula>
    </cfRule>
  </conditionalFormatting>
  <conditionalFormatting sqref="LU16">
    <cfRule type="cellIs" dxfId="1" priority="718" operator="greaterThan">
      <formula>0</formula>
    </cfRule>
    <cfRule type="cellIs" dxfId="0" priority="717" operator="lessThan">
      <formula>0</formula>
    </cfRule>
  </conditionalFormatting>
  <conditionalFormatting sqref="LV16:LW16">
    <cfRule type="cellIs" dxfId="1" priority="726" operator="greaterThan">
      <formula>0</formula>
    </cfRule>
    <cfRule type="cellIs" dxfId="0" priority="725" operator="lessThan">
      <formula>0</formula>
    </cfRule>
  </conditionalFormatting>
  <conditionalFormatting sqref="LX16">
    <cfRule type="cellIs" dxfId="5" priority="724" operator="greaterThan">
      <formula>1</formula>
    </cfRule>
    <cfRule type="cellIs" dxfId="6" priority="723" operator="lessThan">
      <formula>0</formula>
    </cfRule>
    <cfRule type="cellIs" dxfId="1" priority="722" operator="greaterThan">
      <formula>0</formula>
    </cfRule>
    <cfRule type="cellIs" dxfId="0" priority="721" operator="lessThan">
      <formula>0</formula>
    </cfRule>
    <cfRule type="cellIs" dxfId="1" priority="720" operator="greaterThan">
      <formula>0</formula>
    </cfRule>
    <cfRule type="cellIs" dxfId="0" priority="719" operator="lessThan">
      <formula>0</formula>
    </cfRule>
  </conditionalFormatting>
  <conditionalFormatting sqref="LY16">
    <cfRule type="cellIs" dxfId="0" priority="716" operator="lessThan">
      <formula>0</formula>
    </cfRule>
    <cfRule type="cellIs" dxfId="0" priority="715" operator="lessThan">
      <formula>-1</formula>
    </cfRule>
    <cfRule type="cellIs" dxfId="4" priority="714" operator="lessThan">
      <formula>0</formula>
    </cfRule>
  </conditionalFormatting>
  <conditionalFormatting sqref="MF16">
    <cfRule type="cellIs" dxfId="2" priority="692" operator="greaterThan">
      <formula>0</formula>
    </cfRule>
    <cfRule type="cellIs" dxfId="3" priority="691" operator="lessThan">
      <formula>0</formula>
    </cfRule>
  </conditionalFormatting>
  <conditionalFormatting sqref="MN16">
    <cfRule type="cellIs" dxfId="2" priority="690" operator="greaterThan">
      <formula>0</formula>
    </cfRule>
    <cfRule type="cellIs" dxfId="3" priority="689" operator="lessThan">
      <formula>0</formula>
    </cfRule>
  </conditionalFormatting>
  <conditionalFormatting sqref="NC16">
    <cfRule type="cellIs" dxfId="1" priority="699" operator="greaterThan">
      <formula>0</formula>
    </cfRule>
    <cfRule type="cellIs" dxfId="0" priority="698" operator="lessThan">
      <formula>0</formula>
    </cfRule>
  </conditionalFormatting>
  <conditionalFormatting sqref="ND16:NE16">
    <cfRule type="cellIs" dxfId="1" priority="707" operator="greaterThan">
      <formula>0</formula>
    </cfRule>
    <cfRule type="cellIs" dxfId="0" priority="706" operator="lessThan">
      <formula>0</formula>
    </cfRule>
  </conditionalFormatting>
  <conditionalFormatting sqref="NF16">
    <cfRule type="cellIs" dxfId="5" priority="705" operator="greaterThan">
      <formula>1</formula>
    </cfRule>
    <cfRule type="cellIs" dxfId="6" priority="704" operator="lessThan">
      <formula>0</formula>
    </cfRule>
    <cfRule type="cellIs" dxfId="1" priority="703" operator="greaterThan">
      <formula>0</formula>
    </cfRule>
    <cfRule type="cellIs" dxfId="0" priority="702" operator="lessThan">
      <formula>0</formula>
    </cfRule>
    <cfRule type="cellIs" dxfId="1" priority="701" operator="greaterThan">
      <formula>0</formula>
    </cfRule>
    <cfRule type="cellIs" dxfId="0" priority="700" operator="lessThan">
      <formula>0</formula>
    </cfRule>
  </conditionalFormatting>
  <conditionalFormatting sqref="NG16">
    <cfRule type="cellIs" dxfId="0" priority="697" operator="lessThan">
      <formula>0</formula>
    </cfRule>
    <cfRule type="cellIs" dxfId="0" priority="696" operator="lessThan">
      <formula>-1</formula>
    </cfRule>
    <cfRule type="cellIs" dxfId="4" priority="695" operator="lessThan">
      <formula>0</formula>
    </cfRule>
  </conditionalFormatting>
  <conditionalFormatting sqref="NN16">
    <cfRule type="cellIs" dxfId="2" priority="93" operator="greaterThan">
      <formula>0</formula>
    </cfRule>
    <cfRule type="cellIs" dxfId="3" priority="92" operator="lessThan">
      <formula>0</formula>
    </cfRule>
  </conditionalFormatting>
  <conditionalFormatting sqref="NV16">
    <cfRule type="cellIs" dxfId="2" priority="85" operator="greaterThan">
      <formula>0</formula>
    </cfRule>
    <cfRule type="cellIs" dxfId="3" priority="84" operator="lessThan">
      <formula>0</formula>
    </cfRule>
  </conditionalFormatting>
  <conditionalFormatting sqref="OK16">
    <cfRule type="cellIs" dxfId="1" priority="110" operator="greaterThan">
      <formula>0</formula>
    </cfRule>
    <cfRule type="cellIs" dxfId="0" priority="109" operator="lessThan">
      <formula>0</formula>
    </cfRule>
  </conditionalFormatting>
  <conditionalFormatting sqref="OL16:OM16">
    <cfRule type="cellIs" dxfId="1" priority="118" operator="greaterThan">
      <formula>0</formula>
    </cfRule>
    <cfRule type="cellIs" dxfId="0" priority="117" operator="lessThan">
      <formula>0</formula>
    </cfRule>
  </conditionalFormatting>
  <conditionalFormatting sqref="ON16">
    <cfRule type="cellIs" dxfId="5" priority="116" operator="greaterThan">
      <formula>1</formula>
    </cfRule>
    <cfRule type="cellIs" dxfId="6" priority="115" operator="lessThan">
      <formula>0</formula>
    </cfRule>
    <cfRule type="cellIs" dxfId="1" priority="114" operator="greaterThan">
      <formula>0</formula>
    </cfRule>
    <cfRule type="cellIs" dxfId="0" priority="113" operator="lessThan">
      <formula>0</formula>
    </cfRule>
    <cfRule type="cellIs" dxfId="1" priority="112" operator="greaterThan">
      <formula>0</formula>
    </cfRule>
    <cfRule type="cellIs" dxfId="0" priority="111" operator="lessThan">
      <formula>0</formula>
    </cfRule>
  </conditionalFormatting>
  <conditionalFormatting sqref="OO16">
    <cfRule type="cellIs" dxfId="0" priority="108" operator="lessThan">
      <formula>0</formula>
    </cfRule>
    <cfRule type="cellIs" dxfId="0" priority="107" operator="lessThan">
      <formula>-1</formula>
    </cfRule>
    <cfRule type="cellIs" dxfId="4" priority="106" operator="lessThan">
      <formula>0</formula>
    </cfRule>
  </conditionalFormatting>
  <conditionalFormatting sqref="PP16">
    <cfRule type="cellIs" dxfId="0" priority="10646" operator="lessThan">
      <formula>0</formula>
    </cfRule>
    <cfRule type="cellIs" dxfId="1" priority="10647" operator="greaterThan">
      <formula>0</formula>
    </cfRule>
    <cfRule type="cellIs" dxfId="0" priority="10648" operator="lessThan">
      <formula>0</formula>
    </cfRule>
    <cfRule type="cellIs" dxfId="1" priority="10649" operator="greaterThan">
      <formula>0</formula>
    </cfRule>
    <cfRule type="cellIs" dxfId="6" priority="10650" operator="lessThan">
      <formula>0</formula>
    </cfRule>
    <cfRule type="cellIs" dxfId="5" priority="10651" operator="greaterThan">
      <formula>1</formula>
    </cfRule>
  </conditionalFormatting>
  <conditionalFormatting sqref="QP16">
    <cfRule type="cellIs" dxfId="0" priority="10658" operator="lessThan">
      <formula>0</formula>
    </cfRule>
    <cfRule type="cellIs" dxfId="1" priority="10659" operator="greaterThan">
      <formula>0</formula>
    </cfRule>
    <cfRule type="cellIs" dxfId="0" priority="10660" operator="lessThan">
      <formula>0</formula>
    </cfRule>
    <cfRule type="cellIs" dxfId="1" priority="10661" operator="greaterThan">
      <formula>0</formula>
    </cfRule>
    <cfRule type="cellIs" dxfId="6" priority="10662" operator="lessThan">
      <formula>0</formula>
    </cfRule>
    <cfRule type="cellIs" dxfId="5" priority="10663" operator="greaterThan">
      <formula>1</formula>
    </cfRule>
  </conditionalFormatting>
  <conditionalFormatting sqref="RD16">
    <cfRule type="cellIs" dxfId="0" priority="11085" operator="lessThan">
      <formula>0</formula>
    </cfRule>
    <cfRule type="cellIs" dxfId="1" priority="11086" operator="greaterThan">
      <formula>0</formula>
    </cfRule>
  </conditionalFormatting>
  <conditionalFormatting sqref="RJ16">
    <cfRule type="cellIs" dxfId="0" priority="10630" operator="lessThan">
      <formula>0</formula>
    </cfRule>
    <cfRule type="cellIs" dxfId="1" priority="10631" operator="greaterThan">
      <formula>0</formula>
    </cfRule>
  </conditionalFormatting>
  <conditionalFormatting sqref="RK16">
    <cfRule type="cellIs" dxfId="0" priority="8716" operator="lessThan">
      <formula>0</formula>
    </cfRule>
    <cfRule type="cellIs" dxfId="1" priority="8717" operator="greaterThan">
      <formula>0</formula>
    </cfRule>
  </conditionalFormatting>
  <conditionalFormatting sqref="RL16">
    <cfRule type="cellIs" dxfId="0" priority="10664" operator="lessThan">
      <formula>0</formula>
    </cfRule>
    <cfRule type="cellIs" dxfId="1" priority="10665" operator="greaterThan">
      <formula>0</formula>
    </cfRule>
    <cfRule type="cellIs" dxfId="0" priority="10666" operator="lessThan">
      <formula>0</formula>
    </cfRule>
    <cfRule type="cellIs" dxfId="1" priority="10667" operator="greaterThan">
      <formula>0</formula>
    </cfRule>
    <cfRule type="cellIs" dxfId="6" priority="10668" operator="lessThan">
      <formula>0</formula>
    </cfRule>
    <cfRule type="cellIs" dxfId="5" priority="10669" operator="greaterThan">
      <formula>1</formula>
    </cfRule>
  </conditionalFormatting>
  <conditionalFormatting sqref="SH16">
    <cfRule type="cellIs" dxfId="0" priority="10682" operator="lessThan">
      <formula>0</formula>
    </cfRule>
    <cfRule type="cellIs" dxfId="1" priority="10683" operator="greaterThan">
      <formula>0</formula>
    </cfRule>
    <cfRule type="cellIs" dxfId="0" priority="10684" operator="lessThan">
      <formula>0</formula>
    </cfRule>
    <cfRule type="cellIs" dxfId="1" priority="10685" operator="greaterThan">
      <formula>0</formula>
    </cfRule>
    <cfRule type="cellIs" dxfId="6" priority="10686" operator="lessThan">
      <formula>0</formula>
    </cfRule>
    <cfRule type="cellIs" dxfId="5" priority="10687" operator="greaterThan">
      <formula>1</formula>
    </cfRule>
  </conditionalFormatting>
  <conditionalFormatting sqref="SI16">
    <cfRule type="cellIs" dxfId="0" priority="11080" operator="lessThan">
      <formula>-1</formula>
    </cfRule>
    <cfRule type="cellIs" dxfId="0" priority="11081" operator="lessThan">
      <formula>0</formula>
    </cfRule>
    <cfRule type="cellIs" dxfId="4" priority="11084" operator="lessThan">
      <formula>0</formula>
    </cfRule>
  </conditionalFormatting>
  <conditionalFormatting sqref="TD16">
    <cfRule type="cellIs" dxfId="0" priority="10688" operator="lessThan">
      <formula>0</formula>
    </cfRule>
    <cfRule type="cellIs" dxfId="1" priority="10689" operator="greaterThan">
      <formula>0</formula>
    </cfRule>
    <cfRule type="cellIs" dxfId="0" priority="10690" operator="lessThan">
      <formula>0</formula>
    </cfRule>
    <cfRule type="cellIs" dxfId="1" priority="10691" operator="greaterThan">
      <formula>0</formula>
    </cfRule>
    <cfRule type="cellIs" dxfId="6" priority="10692" operator="lessThan">
      <formula>0</formula>
    </cfRule>
    <cfRule type="cellIs" dxfId="5" priority="10693" operator="greaterThan">
      <formula>1</formula>
    </cfRule>
  </conditionalFormatting>
  <conditionalFormatting sqref="TE16">
    <cfRule type="cellIs" dxfId="0" priority="11075" operator="lessThan">
      <formula>-1</formula>
    </cfRule>
    <cfRule type="cellIs" dxfId="0" priority="11076" operator="lessThan">
      <formula>0</formula>
    </cfRule>
    <cfRule type="cellIs" dxfId="4" priority="11079" operator="lessThan">
      <formula>0</formula>
    </cfRule>
  </conditionalFormatting>
  <conditionalFormatting sqref="TY16">
    <cfRule type="cellIs" dxfId="0" priority="11064" operator="lessThan">
      <formula>0</formula>
    </cfRule>
    <cfRule type="cellIs" dxfId="1" priority="11065" operator="greaterThan">
      <formula>0</formula>
    </cfRule>
    <cfRule type="cellIs" dxfId="0" priority="11066" operator="lessThan">
      <formula>0</formula>
    </cfRule>
    <cfRule type="cellIs" dxfId="1" priority="11067" operator="greaterThan">
      <formula>0</formula>
    </cfRule>
    <cfRule type="cellIs" dxfId="6" priority="11068" operator="lessThan">
      <formula>0</formula>
    </cfRule>
    <cfRule type="cellIs" dxfId="5" priority="11069" operator="greaterThan">
      <formula>1</formula>
    </cfRule>
  </conditionalFormatting>
  <conditionalFormatting sqref="TZ16">
    <cfRule type="cellIs" dxfId="0" priority="11070" operator="lessThan">
      <formula>-1</formula>
    </cfRule>
    <cfRule type="cellIs" dxfId="0" priority="11071" operator="lessThan">
      <formula>0</formula>
    </cfRule>
    <cfRule type="cellIs" dxfId="4" priority="11074" operator="lessThan">
      <formula>0</formula>
    </cfRule>
  </conditionalFormatting>
  <conditionalFormatting sqref="UU16">
    <cfRule type="cellIs" dxfId="0" priority="11053" operator="lessThan">
      <formula>0</formula>
    </cfRule>
    <cfRule type="cellIs" dxfId="1" priority="11054" operator="greaterThan">
      <formula>0</formula>
    </cfRule>
    <cfRule type="cellIs" dxfId="0" priority="11055" operator="lessThan">
      <formula>0</formula>
    </cfRule>
    <cfRule type="cellIs" dxfId="1" priority="11056" operator="greaterThan">
      <formula>0</formula>
    </cfRule>
    <cfRule type="cellIs" dxfId="6" priority="11057" operator="lessThan">
      <formula>0</formula>
    </cfRule>
    <cfRule type="cellIs" dxfId="5" priority="11058" operator="greaterThan">
      <formula>1</formula>
    </cfRule>
  </conditionalFormatting>
  <conditionalFormatting sqref="UV16">
    <cfRule type="cellIs" dxfId="0" priority="11059" operator="lessThan">
      <formula>-1</formula>
    </cfRule>
    <cfRule type="cellIs" dxfId="0" priority="11060" operator="lessThan">
      <formula>0</formula>
    </cfRule>
    <cfRule type="cellIs" dxfId="4" priority="11063" operator="lessThan">
      <formula>0</formula>
    </cfRule>
  </conditionalFormatting>
  <conditionalFormatting sqref="VQ16">
    <cfRule type="cellIs" dxfId="0" priority="11042" operator="lessThan">
      <formula>0</formula>
    </cfRule>
    <cfRule type="cellIs" dxfId="1" priority="11043" operator="greaterThan">
      <formula>0</formula>
    </cfRule>
    <cfRule type="cellIs" dxfId="0" priority="11044" operator="lessThan">
      <formula>0</formula>
    </cfRule>
    <cfRule type="cellIs" dxfId="1" priority="11045" operator="greaterThan">
      <formula>0</formula>
    </cfRule>
    <cfRule type="cellIs" dxfId="6" priority="11046" operator="lessThan">
      <formula>0</formula>
    </cfRule>
    <cfRule type="cellIs" dxfId="5" priority="11047" operator="greaterThan">
      <formula>1</formula>
    </cfRule>
  </conditionalFormatting>
  <conditionalFormatting sqref="VR16">
    <cfRule type="cellIs" dxfId="0" priority="11048" operator="lessThan">
      <formula>-1</formula>
    </cfRule>
    <cfRule type="cellIs" dxfId="0" priority="11049" operator="lessThan">
      <formula>0</formula>
    </cfRule>
    <cfRule type="cellIs" dxfId="4" priority="11052" operator="lessThan">
      <formula>0</formula>
    </cfRule>
  </conditionalFormatting>
  <conditionalFormatting sqref="C18">
    <cfRule type="cellIs" dxfId="2" priority="5617" operator="greaterThan">
      <formula>0</formula>
    </cfRule>
    <cfRule type="cellIs" dxfId="3" priority="5616" operator="lessThan">
      <formula>0</formula>
    </cfRule>
  </conditionalFormatting>
  <conditionalFormatting sqref="D18:AA18">
    <cfRule type="cellIs" dxfId="2" priority="5609" operator="greaterThan">
      <formula>0</formula>
    </cfRule>
    <cfRule type="cellIs" dxfId="3" priority="5608" operator="lessThan">
      <formula>0</formula>
    </cfRule>
  </conditionalFormatting>
  <conditionalFormatting sqref="K18:R18">
    <cfRule type="cellIs" dxfId="1" priority="5613" operator="greaterThan">
      <formula>0</formula>
    </cfRule>
    <cfRule type="cellIs" dxfId="0" priority="5612" operator="lessThan">
      <formula>0</formula>
    </cfRule>
  </conditionalFormatting>
  <conditionalFormatting sqref="X18">
    <cfRule type="cellIs" dxfId="1" priority="5611" operator="greaterThan">
      <formula>0</formula>
    </cfRule>
    <cfRule type="cellIs" dxfId="0" priority="5610" operator="lessThan">
      <formula>0</formula>
    </cfRule>
  </conditionalFormatting>
  <conditionalFormatting sqref="AB18:AH18">
    <cfRule type="cellIs" dxfId="2" priority="5599" operator="greaterThan">
      <formula>0</formula>
    </cfRule>
    <cfRule type="cellIs" dxfId="3" priority="5598" operator="lessThan">
      <formula>0</formula>
    </cfRule>
  </conditionalFormatting>
  <conditionalFormatting sqref="AD18:AF18">
    <cfRule type="cellIs" dxfId="1" priority="5607" operator="greaterThan">
      <formula>0</formula>
    </cfRule>
    <cfRule type="cellIs" dxfId="0" priority="5606" operator="lessThan">
      <formula>0</formula>
    </cfRule>
  </conditionalFormatting>
  <conditionalFormatting sqref="AG18">
    <cfRule type="cellIs" dxfId="4" priority="5602" operator="lessThan">
      <formula>0</formula>
    </cfRule>
    <cfRule type="cellIs" dxfId="0" priority="5601" operator="lessThan">
      <formula>0</formula>
    </cfRule>
    <cfRule type="cellIs" dxfId="0" priority="5600" operator="lessThan">
      <formula>-1</formula>
    </cfRule>
  </conditionalFormatting>
  <conditionalFormatting sqref="AH18">
    <cfRule type="cellIs" dxfId="4" priority="5605" operator="lessThan">
      <formula>0</formula>
    </cfRule>
    <cfRule type="cellIs" dxfId="0" priority="5604" operator="lessThan">
      <formula>0</formula>
    </cfRule>
    <cfRule type="cellIs" dxfId="0" priority="5603" operator="lessThan">
      <formula>-1</formula>
    </cfRule>
  </conditionalFormatting>
  <conditionalFormatting sqref="AR18:AY18">
    <cfRule type="cellIs" dxfId="1" priority="5849" operator="greaterThan">
      <formula>0</formula>
    </cfRule>
    <cfRule type="cellIs" dxfId="0" priority="5848" operator="lessThan">
      <formula>0</formula>
    </cfRule>
  </conditionalFormatting>
  <conditionalFormatting sqref="BE18">
    <cfRule type="cellIs" dxfId="1" priority="5847" operator="greaterThan">
      <formula>0</formula>
    </cfRule>
    <cfRule type="cellIs" dxfId="0" priority="5846" operator="lessThan">
      <formula>0</formula>
    </cfRule>
  </conditionalFormatting>
  <conditionalFormatting sqref="BN18">
    <cfRule type="cellIs" dxfId="4" priority="5842" operator="lessThan">
      <formula>0</formula>
    </cfRule>
    <cfRule type="cellIs" dxfId="0" priority="5841" operator="lessThan">
      <formula>0</formula>
    </cfRule>
    <cfRule type="cellIs" dxfId="0" priority="5840" operator="lessThan">
      <formula>-1</formula>
    </cfRule>
  </conditionalFormatting>
  <conditionalFormatting sqref="BO18">
    <cfRule type="cellIs" dxfId="4" priority="5845" operator="lessThan">
      <formula>0</formula>
    </cfRule>
    <cfRule type="cellIs" dxfId="0" priority="5844" operator="lessThan">
      <formula>0</formula>
    </cfRule>
    <cfRule type="cellIs" dxfId="0" priority="5843" operator="lessThan">
      <formula>-1</formula>
    </cfRule>
  </conditionalFormatting>
  <conditionalFormatting sqref="BQ18">
    <cfRule type="cellIs" dxfId="2" priority="5066" operator="greaterThan">
      <formula>0</formula>
    </cfRule>
    <cfRule type="cellIs" dxfId="3" priority="5065" operator="lessThan">
      <formula>0</formula>
    </cfRule>
  </conditionalFormatting>
  <conditionalFormatting sqref="BR18:CO18">
    <cfRule type="cellIs" dxfId="2" priority="5058" operator="greaterThan">
      <formula>0</formula>
    </cfRule>
    <cfRule type="cellIs" dxfId="3" priority="5057" operator="lessThan">
      <formula>0</formula>
    </cfRule>
  </conditionalFormatting>
  <conditionalFormatting sqref="BY18:CF18">
    <cfRule type="cellIs" dxfId="1" priority="5062" operator="greaterThan">
      <formula>0</formula>
    </cfRule>
    <cfRule type="cellIs" dxfId="0" priority="5061" operator="lessThan">
      <formula>0</formula>
    </cfRule>
  </conditionalFormatting>
  <conditionalFormatting sqref="CL18">
    <cfRule type="cellIs" dxfId="1" priority="5060" operator="greaterThan">
      <formula>0</formula>
    </cfRule>
    <cfRule type="cellIs" dxfId="0" priority="5059" operator="lessThan">
      <formula>0</formula>
    </cfRule>
  </conditionalFormatting>
  <conditionalFormatting sqref="CP18:CV18">
    <cfRule type="cellIs" dxfId="2" priority="5048" operator="greaterThan">
      <formula>0</formula>
    </cfRule>
    <cfRule type="cellIs" dxfId="3" priority="5047" operator="lessThan">
      <formula>0</formula>
    </cfRule>
  </conditionalFormatting>
  <conditionalFormatting sqref="CR18:CT18">
    <cfRule type="cellIs" dxfId="1" priority="5056" operator="greaterThan">
      <formula>0</formula>
    </cfRule>
    <cfRule type="cellIs" dxfId="0" priority="5055" operator="lessThan">
      <formula>0</formula>
    </cfRule>
  </conditionalFormatting>
  <conditionalFormatting sqref="CU18">
    <cfRule type="cellIs" dxfId="4" priority="5051" operator="lessThan">
      <formula>0</formula>
    </cfRule>
    <cfRule type="cellIs" dxfId="0" priority="5050" operator="lessThan">
      <formula>0</formula>
    </cfRule>
    <cfRule type="cellIs" dxfId="0" priority="5049" operator="lessThan">
      <formula>-1</formula>
    </cfRule>
  </conditionalFormatting>
  <conditionalFormatting sqref="CV18">
    <cfRule type="cellIs" dxfId="4" priority="5054" operator="lessThan">
      <formula>0</formula>
    </cfRule>
    <cfRule type="cellIs" dxfId="0" priority="5053" operator="lessThan">
      <formula>0</formula>
    </cfRule>
    <cfRule type="cellIs" dxfId="0" priority="5052" operator="lessThan">
      <formula>-1</formula>
    </cfRule>
  </conditionalFormatting>
  <conditionalFormatting sqref="CX18">
    <cfRule type="cellIs" dxfId="2" priority="4000" operator="greaterThan">
      <formula>0</formula>
    </cfRule>
    <cfRule type="cellIs" dxfId="3" priority="3999" operator="lessThan">
      <formula>0</formula>
    </cfRule>
  </conditionalFormatting>
  <conditionalFormatting sqref="CY18:DV18">
    <cfRule type="cellIs" dxfId="2" priority="3992" operator="greaterThan">
      <formula>0</formula>
    </cfRule>
    <cfRule type="cellIs" dxfId="3" priority="3991" operator="lessThan">
      <formula>0</formula>
    </cfRule>
  </conditionalFormatting>
  <conditionalFormatting sqref="DF18:DM18">
    <cfRule type="cellIs" dxfId="1" priority="3996" operator="greaterThan">
      <formula>0</formula>
    </cfRule>
    <cfRule type="cellIs" dxfId="0" priority="3995" operator="lessThan">
      <formula>0</formula>
    </cfRule>
  </conditionalFormatting>
  <conditionalFormatting sqref="DS18">
    <cfRule type="cellIs" dxfId="1" priority="3994" operator="greaterThan">
      <formula>0</formula>
    </cfRule>
    <cfRule type="cellIs" dxfId="0" priority="3993" operator="lessThan">
      <formula>0</formula>
    </cfRule>
  </conditionalFormatting>
  <conditionalFormatting sqref="DW18:EC18">
    <cfRule type="cellIs" dxfId="2" priority="3982" operator="greaterThan">
      <formula>0</formula>
    </cfRule>
    <cfRule type="cellIs" dxfId="3" priority="3981" operator="lessThan">
      <formula>0</formula>
    </cfRule>
  </conditionalFormatting>
  <conditionalFormatting sqref="DY18:EA18">
    <cfRule type="cellIs" dxfId="1" priority="3990" operator="greaterThan">
      <formula>0</formula>
    </cfRule>
    <cfRule type="cellIs" dxfId="0" priority="3989" operator="lessThan">
      <formula>0</formula>
    </cfRule>
  </conditionalFormatting>
  <conditionalFormatting sqref="EB18">
    <cfRule type="cellIs" dxfId="4" priority="3985" operator="lessThan">
      <formula>0</formula>
    </cfRule>
    <cfRule type="cellIs" dxfId="0" priority="3984" operator="lessThan">
      <formula>0</formula>
    </cfRule>
    <cfRule type="cellIs" dxfId="0" priority="3983" operator="lessThan">
      <formula>-1</formula>
    </cfRule>
  </conditionalFormatting>
  <conditionalFormatting sqref="EC18">
    <cfRule type="cellIs" dxfId="4" priority="3988" operator="lessThan">
      <formula>0</formula>
    </cfRule>
    <cfRule type="cellIs" dxfId="0" priority="3987" operator="lessThan">
      <formula>0</formula>
    </cfRule>
    <cfRule type="cellIs" dxfId="0" priority="3986" operator="lessThan">
      <formula>-1</formula>
    </cfRule>
  </conditionalFormatting>
  <conditionalFormatting sqref="EE18">
    <cfRule type="cellIs" dxfId="2" priority="4020" operator="greaterThan">
      <formula>0</formula>
    </cfRule>
    <cfRule type="cellIs" dxfId="3" priority="4019" operator="lessThan">
      <formula>0</formula>
    </cfRule>
  </conditionalFormatting>
  <conditionalFormatting sqref="EF18:FC18">
    <cfRule type="cellIs" dxfId="2" priority="4012" operator="greaterThan">
      <formula>0</formula>
    </cfRule>
    <cfRule type="cellIs" dxfId="3" priority="4011" operator="lessThan">
      <formula>0</formula>
    </cfRule>
  </conditionalFormatting>
  <conditionalFormatting sqref="EM18:ET18">
    <cfRule type="cellIs" dxfId="1" priority="4016" operator="greaterThan">
      <formula>0</formula>
    </cfRule>
    <cfRule type="cellIs" dxfId="0" priority="4015" operator="lessThan">
      <formula>0</formula>
    </cfRule>
  </conditionalFormatting>
  <conditionalFormatting sqref="EZ18">
    <cfRule type="cellIs" dxfId="1" priority="4014" operator="greaterThan">
      <formula>0</formula>
    </cfRule>
    <cfRule type="cellIs" dxfId="0" priority="4013" operator="lessThan">
      <formula>0</formula>
    </cfRule>
  </conditionalFormatting>
  <conditionalFormatting sqref="FD18:FJ18">
    <cfRule type="cellIs" dxfId="2" priority="4002" operator="greaterThan">
      <formula>0</formula>
    </cfRule>
    <cfRule type="cellIs" dxfId="3" priority="4001" operator="lessThan">
      <formula>0</formula>
    </cfRule>
  </conditionalFormatting>
  <conditionalFormatting sqref="FF18:FH18">
    <cfRule type="cellIs" dxfId="1" priority="4010" operator="greaterThan">
      <formula>0</formula>
    </cfRule>
    <cfRule type="cellIs" dxfId="0" priority="4009" operator="lessThan">
      <formula>0</formula>
    </cfRule>
  </conditionalFormatting>
  <conditionalFormatting sqref="FI18">
    <cfRule type="cellIs" dxfId="4" priority="4005" operator="lessThan">
      <formula>0</formula>
    </cfRule>
    <cfRule type="cellIs" dxfId="0" priority="4004" operator="lessThan">
      <formula>0</formula>
    </cfRule>
    <cfRule type="cellIs" dxfId="0" priority="4003" operator="lessThan">
      <formula>-1</formula>
    </cfRule>
  </conditionalFormatting>
  <conditionalFormatting sqref="FJ18">
    <cfRule type="cellIs" dxfId="4" priority="4008" operator="lessThan">
      <formula>0</formula>
    </cfRule>
    <cfRule type="cellIs" dxfId="0" priority="4007" operator="lessThan">
      <formula>0</formula>
    </cfRule>
    <cfRule type="cellIs" dxfId="0" priority="4006" operator="lessThan">
      <formula>-1</formula>
    </cfRule>
  </conditionalFormatting>
  <conditionalFormatting sqref="FN18">
    <cfRule type="cellIs" dxfId="2" priority="4120" operator="greaterThan">
      <formula>0</formula>
    </cfRule>
    <cfRule type="cellIs" dxfId="3" priority="4119" operator="lessThan">
      <formula>0</formula>
    </cfRule>
  </conditionalFormatting>
  <conditionalFormatting sqref="FO18:GL18">
    <cfRule type="cellIs" dxfId="2" priority="4112" operator="greaterThan">
      <formula>0</formula>
    </cfRule>
    <cfRule type="cellIs" dxfId="3" priority="4111" operator="lessThan">
      <formula>0</formula>
    </cfRule>
  </conditionalFormatting>
  <conditionalFormatting sqref="FV18:GC18">
    <cfRule type="cellIs" dxfId="1" priority="4116" operator="greaterThan">
      <formula>0</formula>
    </cfRule>
    <cfRule type="cellIs" dxfId="0" priority="4115" operator="lessThan">
      <formula>0</formula>
    </cfRule>
  </conditionalFormatting>
  <conditionalFormatting sqref="GI18">
    <cfRule type="cellIs" dxfId="1" priority="4114" operator="greaterThan">
      <formula>0</formula>
    </cfRule>
    <cfRule type="cellIs" dxfId="0" priority="4113" operator="lessThan">
      <formula>0</formula>
    </cfRule>
  </conditionalFormatting>
  <conditionalFormatting sqref="GM18:GS18">
    <cfRule type="cellIs" dxfId="2" priority="4102" operator="greaterThan">
      <formula>0</formula>
    </cfRule>
    <cfRule type="cellIs" dxfId="3" priority="4101" operator="lessThan">
      <formula>0</formula>
    </cfRule>
  </conditionalFormatting>
  <conditionalFormatting sqref="GO18:GQ18">
    <cfRule type="cellIs" dxfId="1" priority="4110" operator="greaterThan">
      <formula>0</formula>
    </cfRule>
    <cfRule type="cellIs" dxfId="0" priority="4109" operator="lessThan">
      <formula>0</formula>
    </cfRule>
  </conditionalFormatting>
  <conditionalFormatting sqref="GR18">
    <cfRule type="cellIs" dxfId="4" priority="4105" operator="lessThan">
      <formula>0</formula>
    </cfRule>
    <cfRule type="cellIs" dxfId="0" priority="4104" operator="lessThan">
      <formula>0</formula>
    </cfRule>
    <cfRule type="cellIs" dxfId="0" priority="4103" operator="lessThan">
      <formula>-1</formula>
    </cfRule>
  </conditionalFormatting>
  <conditionalFormatting sqref="GS18">
    <cfRule type="cellIs" dxfId="4" priority="4108" operator="lessThan">
      <formula>0</formula>
    </cfRule>
    <cfRule type="cellIs" dxfId="0" priority="4107" operator="lessThan">
      <formula>0</formula>
    </cfRule>
    <cfRule type="cellIs" dxfId="0" priority="4106" operator="lessThan">
      <formula>-1</formula>
    </cfRule>
  </conditionalFormatting>
  <conditionalFormatting sqref="GV18">
    <cfRule type="cellIs" dxfId="2" priority="4240" operator="greaterThan">
      <formula>0</formula>
    </cfRule>
    <cfRule type="cellIs" dxfId="3" priority="4239" operator="lessThan">
      <formula>0</formula>
    </cfRule>
  </conditionalFormatting>
  <conditionalFormatting sqref="GW18:HT18">
    <cfRule type="cellIs" dxfId="2" priority="4232" operator="greaterThan">
      <formula>0</formula>
    </cfRule>
    <cfRule type="cellIs" dxfId="3" priority="4231" operator="lessThan">
      <formula>0</formula>
    </cfRule>
  </conditionalFormatting>
  <conditionalFormatting sqref="HD18:HK18">
    <cfRule type="cellIs" dxfId="1" priority="4236" operator="greaterThan">
      <formula>0</formula>
    </cfRule>
    <cfRule type="cellIs" dxfId="0" priority="4235" operator="lessThan">
      <formula>0</formula>
    </cfRule>
  </conditionalFormatting>
  <conditionalFormatting sqref="HQ18">
    <cfRule type="cellIs" dxfId="1" priority="4234" operator="greaterThan">
      <formula>0</formula>
    </cfRule>
    <cfRule type="cellIs" dxfId="0" priority="4233" operator="lessThan">
      <formula>0</formula>
    </cfRule>
  </conditionalFormatting>
  <conditionalFormatting sqref="HU18:IA18">
    <cfRule type="cellIs" dxfId="2" priority="4222" operator="greaterThan">
      <formula>0</formula>
    </cfRule>
    <cfRule type="cellIs" dxfId="3" priority="4221" operator="lessThan">
      <formula>0</formula>
    </cfRule>
  </conditionalFormatting>
  <conditionalFormatting sqref="HW18:HY18">
    <cfRule type="cellIs" dxfId="1" priority="4230" operator="greaterThan">
      <formula>0</formula>
    </cfRule>
    <cfRule type="cellIs" dxfId="0" priority="4229" operator="lessThan">
      <formula>0</formula>
    </cfRule>
  </conditionalFormatting>
  <conditionalFormatting sqref="HZ18">
    <cfRule type="cellIs" dxfId="4" priority="4225" operator="lessThan">
      <formula>0</formula>
    </cfRule>
    <cfRule type="cellIs" dxfId="0" priority="4224" operator="lessThan">
      <formula>0</formula>
    </cfRule>
    <cfRule type="cellIs" dxfId="0" priority="4223" operator="lessThan">
      <formula>-1</formula>
    </cfRule>
  </conditionalFormatting>
  <conditionalFormatting sqref="IA18">
    <cfRule type="cellIs" dxfId="4" priority="4228" operator="lessThan">
      <formula>0</formula>
    </cfRule>
    <cfRule type="cellIs" dxfId="0" priority="4227" operator="lessThan">
      <formula>0</formula>
    </cfRule>
    <cfRule type="cellIs" dxfId="0" priority="4226" operator="lessThan">
      <formula>-1</formula>
    </cfRule>
  </conditionalFormatting>
  <conditionalFormatting sqref="ID18">
    <cfRule type="cellIs" dxfId="2" priority="1945" operator="greaterThan">
      <formula>0</formula>
    </cfRule>
    <cfRule type="cellIs" dxfId="3" priority="1944" operator="lessThan">
      <formula>0</formula>
    </cfRule>
  </conditionalFormatting>
  <conditionalFormatting sqref="IE18:JB18">
    <cfRule type="cellIs" dxfId="2" priority="1937" operator="greaterThan">
      <formula>0</formula>
    </cfRule>
    <cfRule type="cellIs" dxfId="3" priority="1936" operator="lessThan">
      <formula>0</formula>
    </cfRule>
  </conditionalFormatting>
  <conditionalFormatting sqref="IL18:IS18">
    <cfRule type="cellIs" dxfId="1" priority="1941" operator="greaterThan">
      <formula>0</formula>
    </cfRule>
    <cfRule type="cellIs" dxfId="0" priority="1940" operator="lessThan">
      <formula>0</formula>
    </cfRule>
  </conditionalFormatting>
  <conditionalFormatting sqref="IY18">
    <cfRule type="cellIs" dxfId="1" priority="1939" operator="greaterThan">
      <formula>0</formula>
    </cfRule>
    <cfRule type="cellIs" dxfId="0" priority="1938" operator="lessThan">
      <formula>0</formula>
    </cfRule>
  </conditionalFormatting>
  <conditionalFormatting sqref="JC18:JI18">
    <cfRule type="cellIs" dxfId="2" priority="1927" operator="greaterThan">
      <formula>0</formula>
    </cfRule>
    <cfRule type="cellIs" dxfId="3" priority="1926" operator="lessThan">
      <formula>0</formula>
    </cfRule>
  </conditionalFormatting>
  <conditionalFormatting sqref="JE18:JG18">
    <cfRule type="cellIs" dxfId="1" priority="1935" operator="greaterThan">
      <formula>0</formula>
    </cfRule>
    <cfRule type="cellIs" dxfId="0" priority="1934" operator="lessThan">
      <formula>0</formula>
    </cfRule>
  </conditionalFormatting>
  <conditionalFormatting sqref="JH18">
    <cfRule type="cellIs" dxfId="4" priority="1930" operator="lessThan">
      <formula>0</formula>
    </cfRule>
    <cfRule type="cellIs" dxfId="0" priority="1929" operator="lessThan">
      <formula>0</formula>
    </cfRule>
    <cfRule type="cellIs" dxfId="0" priority="1928" operator="lessThan">
      <formula>-1</formula>
    </cfRule>
  </conditionalFormatting>
  <conditionalFormatting sqref="JI18">
    <cfRule type="cellIs" dxfId="4" priority="1933" operator="lessThan">
      <formula>0</formula>
    </cfRule>
    <cfRule type="cellIs" dxfId="0" priority="1932" operator="lessThan">
      <formula>0</formula>
    </cfRule>
    <cfRule type="cellIs" dxfId="0" priority="1931" operator="lessThan">
      <formula>-1</formula>
    </cfRule>
  </conditionalFormatting>
  <conditionalFormatting sqref="JL18">
    <cfRule type="cellIs" dxfId="2" priority="1380" operator="greaterThan">
      <formula>0</formula>
    </cfRule>
    <cfRule type="cellIs" dxfId="3" priority="1379" operator="lessThan">
      <formula>0</formula>
    </cfRule>
  </conditionalFormatting>
  <conditionalFormatting sqref="JM18:KJ18">
    <cfRule type="cellIs" dxfId="2" priority="1372" operator="greaterThan">
      <formula>0</formula>
    </cfRule>
    <cfRule type="cellIs" dxfId="3" priority="1371" operator="lessThan">
      <formula>0</formula>
    </cfRule>
  </conditionalFormatting>
  <conditionalFormatting sqref="JT18:KA18">
    <cfRule type="cellIs" dxfId="1" priority="1376" operator="greaterThan">
      <formula>0</formula>
    </cfRule>
    <cfRule type="cellIs" dxfId="0" priority="1375" operator="lessThan">
      <formula>0</formula>
    </cfRule>
  </conditionalFormatting>
  <conditionalFormatting sqref="KG18">
    <cfRule type="cellIs" dxfId="1" priority="1374" operator="greaterThan">
      <formula>0</formula>
    </cfRule>
    <cfRule type="cellIs" dxfId="0" priority="1373" operator="lessThan">
      <formula>0</formula>
    </cfRule>
  </conditionalFormatting>
  <conditionalFormatting sqref="KK18:KQ18">
    <cfRule type="cellIs" dxfId="2" priority="1362" operator="greaterThan">
      <formula>0</formula>
    </cfRule>
    <cfRule type="cellIs" dxfId="3" priority="1361" operator="lessThan">
      <formula>0</formula>
    </cfRule>
  </conditionalFormatting>
  <conditionalFormatting sqref="KM18:KO18">
    <cfRule type="cellIs" dxfId="1" priority="1370" operator="greaterThan">
      <formula>0</formula>
    </cfRule>
    <cfRule type="cellIs" dxfId="0" priority="1369" operator="lessThan">
      <formula>0</formula>
    </cfRule>
  </conditionalFormatting>
  <conditionalFormatting sqref="KP18">
    <cfRule type="cellIs" dxfId="4" priority="1365" operator="lessThan">
      <formula>0</formula>
    </cfRule>
    <cfRule type="cellIs" dxfId="0" priority="1364" operator="lessThan">
      <formula>0</formula>
    </cfRule>
    <cfRule type="cellIs" dxfId="0" priority="1363" operator="lessThan">
      <formula>-1</formula>
    </cfRule>
  </conditionalFormatting>
  <conditionalFormatting sqref="KQ18">
    <cfRule type="cellIs" dxfId="4" priority="1368" operator="lessThan">
      <formula>0</formula>
    </cfRule>
    <cfRule type="cellIs" dxfId="0" priority="1367" operator="lessThan">
      <formula>0</formula>
    </cfRule>
    <cfRule type="cellIs" dxfId="0" priority="1366" operator="lessThan">
      <formula>-1</formula>
    </cfRule>
  </conditionalFormatting>
  <conditionalFormatting sqref="LD18:LF18">
    <cfRule type="cellIs" dxfId="0" priority="9832" operator="lessThan">
      <formula>0</formula>
    </cfRule>
    <cfRule type="cellIs" dxfId="1" priority="9833" operator="greaterThan">
      <formula>0</formula>
    </cfRule>
  </conditionalFormatting>
  <conditionalFormatting sqref="LG18:LI18">
    <cfRule type="cellIs" dxfId="0" priority="9692" operator="lessThan">
      <formula>0</formula>
    </cfRule>
    <cfRule type="cellIs" dxfId="1" priority="9693" operator="greaterThan">
      <formula>0</formula>
    </cfRule>
  </conditionalFormatting>
  <conditionalFormatting sqref="LX18">
    <cfRule type="cellIs" dxfId="0" priority="9886" operator="lessThan">
      <formula>-1</formula>
    </cfRule>
    <cfRule type="cellIs" dxfId="0" priority="9887" operator="lessThan">
      <formula>0</formula>
    </cfRule>
    <cfRule type="cellIs" dxfId="4" priority="9888" operator="lessThan">
      <formula>0</formula>
    </cfRule>
  </conditionalFormatting>
  <conditionalFormatting sqref="LY18">
    <cfRule type="cellIs" dxfId="4" priority="9906" operator="lessThan">
      <formula>0</formula>
    </cfRule>
  </conditionalFormatting>
  <conditionalFormatting sqref="ML18:MN18">
    <cfRule type="cellIs" dxfId="0" priority="10239" operator="lessThan">
      <formula>0</formula>
    </cfRule>
    <cfRule type="cellIs" dxfId="1" priority="10240" operator="greaterThan">
      <formula>0</formula>
    </cfRule>
  </conditionalFormatting>
  <conditionalFormatting sqref="MO18:MQ18">
    <cfRule type="cellIs" dxfId="0" priority="10075" operator="lessThan">
      <formula>0</formula>
    </cfRule>
    <cfRule type="cellIs" dxfId="1" priority="10076" operator="greaterThan">
      <formula>0</formula>
    </cfRule>
  </conditionalFormatting>
  <conditionalFormatting sqref="NF18">
    <cfRule type="cellIs" dxfId="0" priority="10296" operator="lessThan">
      <formula>-1</formula>
    </cfRule>
    <cfRule type="cellIs" dxfId="0" priority="10297" operator="lessThan">
      <formula>0</formula>
    </cfRule>
    <cfRule type="cellIs" dxfId="4" priority="10298" operator="lessThan">
      <formula>0</formula>
    </cfRule>
  </conditionalFormatting>
  <conditionalFormatting sqref="NG18">
    <cfRule type="cellIs" dxfId="4" priority="10316" operator="lessThan">
      <formula>0</formula>
    </cfRule>
  </conditionalFormatting>
  <conditionalFormatting sqref="NT18:NV18">
    <cfRule type="cellIs" dxfId="0" priority="10327" operator="lessThan">
      <formula>0</formula>
    </cfRule>
    <cfRule type="cellIs" dxfId="1" priority="10328" operator="greaterThan">
      <formula>0</formula>
    </cfRule>
  </conditionalFormatting>
  <conditionalFormatting sqref="NW18:NY18">
    <cfRule type="cellIs" dxfId="0" priority="9910" operator="lessThan">
      <formula>0</formula>
    </cfRule>
    <cfRule type="cellIs" dxfId="1" priority="9911" operator="greaterThan">
      <formula>0</formula>
    </cfRule>
  </conditionalFormatting>
  <conditionalFormatting sqref="ON18">
    <cfRule type="cellIs" dxfId="0" priority="10515" operator="lessThan">
      <formula>-1</formula>
    </cfRule>
    <cfRule type="cellIs" dxfId="0" priority="10516" operator="lessThan">
      <formula>0</formula>
    </cfRule>
    <cfRule type="cellIs" dxfId="4" priority="10517" operator="lessThan">
      <formula>0</formula>
    </cfRule>
  </conditionalFormatting>
  <conditionalFormatting sqref="OO18">
    <cfRule type="cellIs" dxfId="4" priority="10535" operator="lessThan">
      <formula>0</formula>
    </cfRule>
  </conditionalFormatting>
  <conditionalFormatting sqref="PA18:PB18">
    <cfRule type="cellIs" dxfId="0" priority="10321" operator="lessThan">
      <formula>0</formula>
    </cfRule>
    <cfRule type="cellIs" dxfId="1" priority="10322" operator="greaterThan">
      <formula>0</formula>
    </cfRule>
  </conditionalFormatting>
  <conditionalFormatting sqref="PP18">
    <cfRule type="cellIs" dxfId="0" priority="10787" operator="lessThan">
      <formula>-1</formula>
    </cfRule>
    <cfRule type="cellIs" dxfId="0" priority="10788" operator="lessThan">
      <formula>0</formula>
    </cfRule>
    <cfRule type="cellIs" dxfId="4" priority="10789" operator="lessThan">
      <formula>0</formula>
    </cfRule>
  </conditionalFormatting>
  <conditionalFormatting sqref="PQ18">
    <cfRule type="cellIs" dxfId="4" priority="10807" operator="lessThan">
      <formula>0</formula>
    </cfRule>
  </conditionalFormatting>
  <conditionalFormatting sqref="QA18:QB18">
    <cfRule type="cellIs" dxfId="0" priority="10355" operator="lessThan">
      <formula>0</formula>
    </cfRule>
    <cfRule type="cellIs" dxfId="1" priority="10356" operator="greaterThan">
      <formula>0</formula>
    </cfRule>
  </conditionalFormatting>
  <conditionalFormatting sqref="QP18">
    <cfRule type="cellIs" dxfId="0" priority="11129" operator="lessThan">
      <formula>-1</formula>
    </cfRule>
    <cfRule type="cellIs" dxfId="0" priority="11130" operator="lessThan">
      <formula>0</formula>
    </cfRule>
    <cfRule type="cellIs" dxfId="4" priority="11131" operator="lessThan">
      <formula>0</formula>
    </cfRule>
  </conditionalFormatting>
  <conditionalFormatting sqref="QQ18">
    <cfRule type="cellIs" dxfId="4" priority="11156" operator="lessThan">
      <formula>0</formula>
    </cfRule>
  </conditionalFormatting>
  <conditionalFormatting sqref="RK18">
    <cfRule type="cellIs" dxfId="0" priority="8710" operator="lessThan">
      <formula>0</formula>
    </cfRule>
    <cfRule type="cellIs" dxfId="1" priority="8711" operator="greaterThan">
      <formula>0</formula>
    </cfRule>
  </conditionalFormatting>
  <conditionalFormatting sqref="RL18">
    <cfRule type="cellIs" dxfId="0" priority="11141" operator="lessThan">
      <formula>-1</formula>
    </cfRule>
    <cfRule type="cellIs" dxfId="0" priority="11142" operator="lessThan">
      <formula>0</formula>
    </cfRule>
    <cfRule type="cellIs" dxfId="4" priority="11143" operator="lessThan">
      <formula>0</formula>
    </cfRule>
  </conditionalFormatting>
  <conditionalFormatting sqref="RM18">
    <cfRule type="cellIs" dxfId="4" priority="11182" operator="lessThan">
      <formula>0</formula>
    </cfRule>
  </conditionalFormatting>
  <conditionalFormatting sqref="SG18">
    <cfRule type="cellIs" dxfId="0" priority="10853" operator="lessThan">
      <formula>0</formula>
    </cfRule>
    <cfRule type="cellIs" dxfId="1" priority="10854" operator="greaterThan">
      <formula>0</formula>
    </cfRule>
  </conditionalFormatting>
  <conditionalFormatting sqref="SH18">
    <cfRule type="cellIs" dxfId="0" priority="11120" operator="lessThan">
      <formula>-1</formula>
    </cfRule>
    <cfRule type="cellIs" dxfId="0" priority="11121" operator="lessThan">
      <formula>0</formula>
    </cfRule>
    <cfRule type="cellIs" dxfId="4" priority="11122" operator="lessThan">
      <formula>0</formula>
    </cfRule>
  </conditionalFormatting>
  <conditionalFormatting sqref="SI18">
    <cfRule type="cellIs" dxfId="4" priority="11188" operator="lessThan">
      <formula>0</formula>
    </cfRule>
  </conditionalFormatting>
  <conditionalFormatting sqref="TC18">
    <cfRule type="cellIs" dxfId="0" priority="10843" operator="lessThan">
      <formula>0</formula>
    </cfRule>
    <cfRule type="cellIs" dxfId="1" priority="10844" operator="greaterThan">
      <formula>0</formula>
    </cfRule>
  </conditionalFormatting>
  <conditionalFormatting sqref="TD18">
    <cfRule type="cellIs" dxfId="0" priority="11114" operator="lessThan">
      <formula>-1</formula>
    </cfRule>
    <cfRule type="cellIs" dxfId="0" priority="11115" operator="lessThan">
      <formula>0</formula>
    </cfRule>
    <cfRule type="cellIs" dxfId="4" priority="11116" operator="lessThan">
      <formula>0</formula>
    </cfRule>
  </conditionalFormatting>
  <conditionalFormatting sqref="TE18">
    <cfRule type="cellIs" dxfId="4" priority="11193" operator="lessThan">
      <formula>0</formula>
    </cfRule>
  </conditionalFormatting>
  <conditionalFormatting sqref="TX18">
    <cfRule type="cellIs" dxfId="0" priority="10831" operator="lessThan">
      <formula>0</formula>
    </cfRule>
    <cfRule type="cellIs" dxfId="1" priority="10832" operator="greaterThan">
      <formula>0</formula>
    </cfRule>
  </conditionalFormatting>
  <conditionalFormatting sqref="TY18">
    <cfRule type="cellIs" dxfId="0" priority="11108" operator="lessThan">
      <formula>-1</formula>
    </cfRule>
    <cfRule type="cellIs" dxfId="0" priority="11109" operator="lessThan">
      <formula>0</formula>
    </cfRule>
    <cfRule type="cellIs" dxfId="4" priority="11110" operator="lessThan">
      <formula>0</formula>
    </cfRule>
  </conditionalFormatting>
  <conditionalFormatting sqref="TZ18">
    <cfRule type="cellIs" dxfId="4" priority="11192" operator="lessThan">
      <formula>0</formula>
    </cfRule>
  </conditionalFormatting>
  <conditionalFormatting sqref="UT18">
    <cfRule type="cellIs" dxfId="0" priority="10821" operator="lessThan">
      <formula>0</formula>
    </cfRule>
    <cfRule type="cellIs" dxfId="1" priority="10822" operator="greaterThan">
      <formula>0</formula>
    </cfRule>
  </conditionalFormatting>
  <conditionalFormatting sqref="UU18">
    <cfRule type="cellIs" dxfId="0" priority="11102" operator="lessThan">
      <formula>-1</formula>
    </cfRule>
    <cfRule type="cellIs" dxfId="0" priority="11103" operator="lessThan">
      <formula>0</formula>
    </cfRule>
    <cfRule type="cellIs" dxfId="4" priority="11104" operator="lessThan">
      <formula>0</formula>
    </cfRule>
  </conditionalFormatting>
  <conditionalFormatting sqref="UV18">
    <cfRule type="cellIs" dxfId="4" priority="11191" operator="lessThan">
      <formula>0</formula>
    </cfRule>
  </conditionalFormatting>
  <conditionalFormatting sqref="VP18">
    <cfRule type="cellIs" dxfId="0" priority="10811" operator="lessThan">
      <formula>0</formula>
    </cfRule>
    <cfRule type="cellIs" dxfId="1" priority="10812" operator="greaterThan">
      <formula>0</formula>
    </cfRule>
  </conditionalFormatting>
  <conditionalFormatting sqref="VQ18">
    <cfRule type="cellIs" dxfId="0" priority="11096" operator="lessThan">
      <formula>-1</formula>
    </cfRule>
    <cfRule type="cellIs" dxfId="0" priority="11097" operator="lessThan">
      <formula>0</formula>
    </cfRule>
    <cfRule type="cellIs" dxfId="4" priority="11098" operator="lessThan">
      <formula>0</formula>
    </cfRule>
  </conditionalFormatting>
  <conditionalFormatting sqref="VR18">
    <cfRule type="cellIs" dxfId="4" priority="11190" operator="lessThan">
      <formula>0</formula>
    </cfRule>
  </conditionalFormatting>
  <conditionalFormatting sqref="X19">
    <cfRule type="cellIs" dxfId="1" priority="6348" operator="greaterThan">
      <formula>0</formula>
    </cfRule>
    <cfRule type="cellIs" dxfId="0" priority="6347" operator="lessThan">
      <formula>0</formula>
    </cfRule>
  </conditionalFormatting>
  <conditionalFormatting sqref="AG19">
    <cfRule type="cellIs" dxfId="5" priority="6540" operator="greaterThan">
      <formula>1</formula>
    </cfRule>
    <cfRule type="cellIs" dxfId="6" priority="6539" operator="lessThan">
      <formula>0</formula>
    </cfRule>
    <cfRule type="cellIs" dxfId="1" priority="6538" operator="greaterThan">
      <formula>0</formula>
    </cfRule>
    <cfRule type="cellIs" dxfId="0" priority="6537" operator="lessThan">
      <formula>0</formula>
    </cfRule>
    <cfRule type="cellIs" dxfId="1" priority="6536" operator="greaterThan">
      <formula>0</formula>
    </cfRule>
    <cfRule type="cellIs" dxfId="0" priority="6535" operator="lessThan">
      <formula>0</formula>
    </cfRule>
  </conditionalFormatting>
  <conditionalFormatting sqref="AH19">
    <cfRule type="cellIs" dxfId="4" priority="6541" operator="lessThan">
      <formula>0</formula>
    </cfRule>
  </conditionalFormatting>
  <conditionalFormatting sqref="BE19">
    <cfRule type="cellIs" dxfId="1" priority="5961" operator="greaterThan">
      <formula>0</formula>
    </cfRule>
    <cfRule type="cellIs" dxfId="0" priority="5960" operator="lessThan">
      <formula>0</formula>
    </cfRule>
  </conditionalFormatting>
  <conditionalFormatting sqref="BN19">
    <cfRule type="cellIs" dxfId="5" priority="6127" operator="greaterThan">
      <formula>1</formula>
    </cfRule>
    <cfRule type="cellIs" dxfId="6" priority="6126" operator="lessThan">
      <formula>0</formula>
    </cfRule>
    <cfRule type="cellIs" dxfId="1" priority="6125" operator="greaterThan">
      <formula>0</formula>
    </cfRule>
    <cfRule type="cellIs" dxfId="0" priority="6124" operator="lessThan">
      <formula>0</formula>
    </cfRule>
    <cfRule type="cellIs" dxfId="1" priority="6123" operator="greaterThan">
      <formula>0</formula>
    </cfRule>
    <cfRule type="cellIs" dxfId="0" priority="6122" operator="lessThan">
      <formula>0</formula>
    </cfRule>
  </conditionalFormatting>
  <conditionalFormatting sqref="BO19">
    <cfRule type="cellIs" dxfId="4" priority="6128" operator="lessThan">
      <formula>0</formula>
    </cfRule>
  </conditionalFormatting>
  <conditionalFormatting sqref="CL19">
    <cfRule type="cellIs" dxfId="1" priority="5228" operator="greaterThan">
      <formula>0</formula>
    </cfRule>
    <cfRule type="cellIs" dxfId="0" priority="5227" operator="lessThan">
      <formula>0</formula>
    </cfRule>
  </conditionalFormatting>
  <conditionalFormatting sqref="CU19">
    <cfRule type="cellIs" dxfId="5" priority="5394" operator="greaterThan">
      <formula>1</formula>
    </cfRule>
    <cfRule type="cellIs" dxfId="6" priority="5393" operator="lessThan">
      <formula>0</formula>
    </cfRule>
    <cfRule type="cellIs" dxfId="1" priority="5392" operator="greaterThan">
      <formula>0</formula>
    </cfRule>
    <cfRule type="cellIs" dxfId="0" priority="5391" operator="lessThan">
      <formula>0</formula>
    </cfRule>
    <cfRule type="cellIs" dxfId="1" priority="5390" operator="greaterThan">
      <formula>0</formula>
    </cfRule>
    <cfRule type="cellIs" dxfId="0" priority="5389" operator="lessThan">
      <formula>0</formula>
    </cfRule>
  </conditionalFormatting>
  <conditionalFormatting sqref="CV19">
    <cfRule type="cellIs" dxfId="4" priority="5395" operator="lessThan">
      <formula>0</formula>
    </cfRule>
  </conditionalFormatting>
  <conditionalFormatting sqref="DS19">
    <cfRule type="cellIs" dxfId="1" priority="4839" operator="greaterThan">
      <formula>0</formula>
    </cfRule>
    <cfRule type="cellIs" dxfId="0" priority="4838" operator="lessThan">
      <formula>0</formula>
    </cfRule>
  </conditionalFormatting>
  <conditionalFormatting sqref="EB19">
    <cfRule type="cellIs" dxfId="5" priority="5005" operator="greaterThan">
      <formula>1</formula>
    </cfRule>
    <cfRule type="cellIs" dxfId="6" priority="5004" operator="lessThan">
      <formula>0</formula>
    </cfRule>
    <cfRule type="cellIs" dxfId="1" priority="5003" operator="greaterThan">
      <formula>0</formula>
    </cfRule>
    <cfRule type="cellIs" dxfId="0" priority="5002" operator="lessThan">
      <formula>0</formula>
    </cfRule>
    <cfRule type="cellIs" dxfId="1" priority="5001" operator="greaterThan">
      <formula>0</formula>
    </cfRule>
    <cfRule type="cellIs" dxfId="0" priority="5000" operator="lessThan">
      <formula>0</formula>
    </cfRule>
  </conditionalFormatting>
  <conditionalFormatting sqref="EC19">
    <cfRule type="cellIs" dxfId="4" priority="5006" operator="lessThan">
      <formula>0</formula>
    </cfRule>
  </conditionalFormatting>
  <conditionalFormatting sqref="EY19">
    <cfRule type="cellIs" dxfId="1" priority="3683" operator="greaterThan">
      <formula>0</formula>
    </cfRule>
    <cfRule type="cellIs" dxfId="0" priority="3676" operator="lessThan">
      <formula>0</formula>
    </cfRule>
  </conditionalFormatting>
  <conditionalFormatting sqref="EZ19">
    <cfRule type="cellIs" dxfId="1" priority="3641" operator="greaterThan">
      <formula>0</formula>
    </cfRule>
    <cfRule type="cellIs" dxfId="0" priority="3634" operator="lessThan">
      <formula>0</formula>
    </cfRule>
  </conditionalFormatting>
  <conditionalFormatting sqref="FA19">
    <cfRule type="cellIs" dxfId="1" priority="3550" operator="greaterThan">
      <formula>0</formula>
    </cfRule>
    <cfRule type="cellIs" dxfId="0" priority="3543" operator="lessThan">
      <formula>0</formula>
    </cfRule>
  </conditionalFormatting>
  <conditionalFormatting sqref="FF19">
    <cfRule type="cellIs" dxfId="1" priority="3564" operator="greaterThan">
      <formula>0</formula>
    </cfRule>
    <cfRule type="cellIs" dxfId="0" priority="3557" operator="lessThan">
      <formula>0</formula>
    </cfRule>
  </conditionalFormatting>
  <conditionalFormatting sqref="FG19">
    <cfRule type="cellIs" dxfId="1" priority="3655" operator="greaterThan">
      <formula>0</formula>
    </cfRule>
    <cfRule type="cellIs" dxfId="0" priority="3648" operator="lessThan">
      <formula>0</formula>
    </cfRule>
  </conditionalFormatting>
  <conditionalFormatting sqref="FH19">
    <cfRule type="cellIs" dxfId="1" priority="3669" operator="greaterThan">
      <formula>0</formula>
    </cfRule>
    <cfRule type="cellIs" dxfId="0" priority="3662" operator="lessThan">
      <formula>0</formula>
    </cfRule>
  </conditionalFormatting>
  <conditionalFormatting sqref="FI19">
    <cfRule type="cellIs" dxfId="5" priority="3627" operator="greaterThan">
      <formula>1</formula>
    </cfRule>
    <cfRule type="cellIs" dxfId="6" priority="3620" operator="lessThan">
      <formula>0</formula>
    </cfRule>
    <cfRule type="cellIs" dxfId="1" priority="3613" operator="greaterThan">
      <formula>0</formula>
    </cfRule>
    <cfRule type="cellIs" dxfId="0" priority="3606" operator="lessThan">
      <formula>0</formula>
    </cfRule>
    <cfRule type="cellIs" dxfId="1" priority="3599" operator="greaterThan">
      <formula>0</formula>
    </cfRule>
    <cfRule type="cellIs" dxfId="0" priority="3592" operator="lessThan">
      <formula>0</formula>
    </cfRule>
  </conditionalFormatting>
  <conditionalFormatting sqref="FJ19">
    <cfRule type="cellIs" dxfId="4" priority="3585" operator="lessThan">
      <formula>0</formula>
    </cfRule>
    <cfRule type="cellIs" dxfId="0" priority="3578" operator="lessThan">
      <formula>0</formula>
    </cfRule>
    <cfRule type="cellIs" dxfId="0" priority="3571" operator="lessThan">
      <formula>-1</formula>
    </cfRule>
  </conditionalFormatting>
  <conditionalFormatting sqref="GH19">
    <cfRule type="cellIs" dxfId="1" priority="3130" operator="greaterThan">
      <formula>0</formula>
    </cfRule>
    <cfRule type="cellIs" dxfId="0" priority="3123" operator="lessThan">
      <formula>0</formula>
    </cfRule>
  </conditionalFormatting>
  <conditionalFormatting sqref="GI19">
    <cfRule type="cellIs" dxfId="1" priority="3088" operator="greaterThan">
      <formula>0</formula>
    </cfRule>
    <cfRule type="cellIs" dxfId="0" priority="3081" operator="lessThan">
      <formula>0</formula>
    </cfRule>
  </conditionalFormatting>
  <conditionalFormatting sqref="GJ19">
    <cfRule type="cellIs" dxfId="1" priority="2997" operator="greaterThan">
      <formula>0</formula>
    </cfRule>
    <cfRule type="cellIs" dxfId="0" priority="2990" operator="lessThan">
      <formula>0</formula>
    </cfRule>
  </conditionalFormatting>
  <conditionalFormatting sqref="GO19">
    <cfRule type="cellIs" dxfId="1" priority="3011" operator="greaterThan">
      <formula>0</formula>
    </cfRule>
    <cfRule type="cellIs" dxfId="0" priority="3004" operator="lessThan">
      <formula>0</formula>
    </cfRule>
  </conditionalFormatting>
  <conditionalFormatting sqref="GP19">
    <cfRule type="cellIs" dxfId="1" priority="3102" operator="greaterThan">
      <formula>0</formula>
    </cfRule>
    <cfRule type="cellIs" dxfId="0" priority="3095" operator="lessThan">
      <formula>0</formula>
    </cfRule>
  </conditionalFormatting>
  <conditionalFormatting sqref="GQ19">
    <cfRule type="cellIs" dxfId="1" priority="3116" operator="greaterThan">
      <formula>0</formula>
    </cfRule>
    <cfRule type="cellIs" dxfId="0" priority="3109" operator="lessThan">
      <formula>0</formula>
    </cfRule>
  </conditionalFormatting>
  <conditionalFormatting sqref="GR19">
    <cfRule type="cellIs" dxfId="5" priority="3074" operator="greaterThan">
      <formula>1</formula>
    </cfRule>
    <cfRule type="cellIs" dxfId="6" priority="3067" operator="lessThan">
      <formula>0</formula>
    </cfRule>
    <cfRule type="cellIs" dxfId="1" priority="3060" operator="greaterThan">
      <formula>0</formula>
    </cfRule>
    <cfRule type="cellIs" dxfId="0" priority="3053" operator="lessThan">
      <formula>0</formula>
    </cfRule>
    <cfRule type="cellIs" dxfId="1" priority="3046" operator="greaterThan">
      <formula>0</formula>
    </cfRule>
    <cfRule type="cellIs" dxfId="0" priority="3039" operator="lessThan">
      <formula>0</formula>
    </cfRule>
  </conditionalFormatting>
  <conditionalFormatting sqref="GS19">
    <cfRule type="cellIs" dxfId="4" priority="3032" operator="lessThan">
      <formula>0</formula>
    </cfRule>
    <cfRule type="cellIs" dxfId="0" priority="3025" operator="lessThan">
      <formula>0</formula>
    </cfRule>
    <cfRule type="cellIs" dxfId="0" priority="3018" operator="lessThan">
      <formula>-1</formula>
    </cfRule>
  </conditionalFormatting>
  <conditionalFormatting sqref="HP19">
    <cfRule type="cellIs" dxfId="1" priority="2626" operator="greaterThan">
      <formula>0</formula>
    </cfRule>
    <cfRule type="cellIs" dxfId="0" priority="2619" operator="lessThan">
      <formula>0</formula>
    </cfRule>
  </conditionalFormatting>
  <conditionalFormatting sqref="HQ19">
    <cfRule type="cellIs" dxfId="1" priority="2584" operator="greaterThan">
      <formula>0</formula>
    </cfRule>
    <cfRule type="cellIs" dxfId="0" priority="2577" operator="lessThan">
      <formula>0</formula>
    </cfRule>
  </conditionalFormatting>
  <conditionalFormatting sqref="HR19">
    <cfRule type="cellIs" dxfId="1" priority="2493" operator="greaterThan">
      <formula>0</formula>
    </cfRule>
    <cfRule type="cellIs" dxfId="0" priority="2486" operator="lessThan">
      <formula>0</formula>
    </cfRule>
  </conditionalFormatting>
  <conditionalFormatting sqref="HW19">
    <cfRule type="cellIs" dxfId="1" priority="2507" operator="greaterThan">
      <formula>0</formula>
    </cfRule>
    <cfRule type="cellIs" dxfId="0" priority="2500" operator="lessThan">
      <formula>0</formula>
    </cfRule>
  </conditionalFormatting>
  <conditionalFormatting sqref="HX19">
    <cfRule type="cellIs" dxfId="1" priority="2598" operator="greaterThan">
      <formula>0</formula>
    </cfRule>
    <cfRule type="cellIs" dxfId="0" priority="2591" operator="lessThan">
      <formula>0</formula>
    </cfRule>
  </conditionalFormatting>
  <conditionalFormatting sqref="HY19">
    <cfRule type="cellIs" dxfId="1" priority="2612" operator="greaterThan">
      <formula>0</formula>
    </cfRule>
    <cfRule type="cellIs" dxfId="0" priority="2605" operator="lessThan">
      <formula>0</formula>
    </cfRule>
  </conditionalFormatting>
  <conditionalFormatting sqref="HZ19">
    <cfRule type="cellIs" dxfId="5" priority="2570" operator="greaterThan">
      <formula>1</formula>
    </cfRule>
    <cfRule type="cellIs" dxfId="6" priority="2563" operator="lessThan">
      <formula>0</formula>
    </cfRule>
    <cfRule type="cellIs" dxfId="1" priority="2556" operator="greaterThan">
      <formula>0</formula>
    </cfRule>
    <cfRule type="cellIs" dxfId="0" priority="2549" operator="lessThan">
      <formula>0</formula>
    </cfRule>
    <cfRule type="cellIs" dxfId="1" priority="2542" operator="greaterThan">
      <formula>0</formula>
    </cfRule>
    <cfRule type="cellIs" dxfId="0" priority="2535" operator="lessThan">
      <formula>0</formula>
    </cfRule>
  </conditionalFormatting>
  <conditionalFormatting sqref="IA19">
    <cfRule type="cellIs" dxfId="4" priority="2528" operator="lessThan">
      <formula>0</formula>
    </cfRule>
    <cfRule type="cellIs" dxfId="0" priority="2521" operator="lessThan">
      <formula>0</formula>
    </cfRule>
    <cfRule type="cellIs" dxfId="0" priority="2514" operator="lessThan">
      <formula>-1</formula>
    </cfRule>
  </conditionalFormatting>
  <conditionalFormatting sqref="IX19">
    <cfRule type="cellIs" dxfId="1" priority="2114" operator="greaterThan">
      <formula>0</formula>
    </cfRule>
    <cfRule type="cellIs" dxfId="0" priority="2106" operator="lessThan">
      <formula>0</formula>
    </cfRule>
  </conditionalFormatting>
  <conditionalFormatting sqref="IY19">
    <cfRule type="cellIs" dxfId="1" priority="2066" operator="greaterThan">
      <formula>0</formula>
    </cfRule>
    <cfRule type="cellIs" dxfId="0" priority="2058" operator="lessThan">
      <formula>0</formula>
    </cfRule>
  </conditionalFormatting>
  <conditionalFormatting sqref="IZ19">
    <cfRule type="cellIs" dxfId="1" priority="1962" operator="greaterThan">
      <formula>0</formula>
    </cfRule>
    <cfRule type="cellIs" dxfId="0" priority="1954" operator="lessThan">
      <formula>0</formula>
    </cfRule>
  </conditionalFormatting>
  <conditionalFormatting sqref="JE19">
    <cfRule type="cellIs" dxfId="1" priority="1978" operator="greaterThan">
      <formula>0</formula>
    </cfRule>
    <cfRule type="cellIs" dxfId="0" priority="1970" operator="lessThan">
      <formula>0</formula>
    </cfRule>
  </conditionalFormatting>
  <conditionalFormatting sqref="JF19">
    <cfRule type="cellIs" dxfId="1" priority="2082" operator="greaterThan">
      <formula>0</formula>
    </cfRule>
    <cfRule type="cellIs" dxfId="0" priority="2074" operator="lessThan">
      <formula>0</formula>
    </cfRule>
  </conditionalFormatting>
  <conditionalFormatting sqref="JG19">
    <cfRule type="cellIs" dxfId="1" priority="2098" operator="greaterThan">
      <formula>0</formula>
    </cfRule>
    <cfRule type="cellIs" dxfId="0" priority="2090" operator="lessThan">
      <formula>0</formula>
    </cfRule>
  </conditionalFormatting>
  <conditionalFormatting sqref="JH19">
    <cfRule type="cellIs" dxfId="5" priority="2050" operator="greaterThan">
      <formula>1</formula>
    </cfRule>
    <cfRule type="cellIs" dxfId="6" priority="2042" operator="lessThan">
      <formula>0</formula>
    </cfRule>
    <cfRule type="cellIs" dxfId="1" priority="2034" operator="greaterThan">
      <formula>0</formula>
    </cfRule>
    <cfRule type="cellIs" dxfId="0" priority="2026" operator="lessThan">
      <formula>0</formula>
    </cfRule>
    <cfRule type="cellIs" dxfId="1" priority="2018" operator="greaterThan">
      <formula>0</formula>
    </cfRule>
    <cfRule type="cellIs" dxfId="0" priority="2010" operator="lessThan">
      <formula>0</formula>
    </cfRule>
  </conditionalFormatting>
  <conditionalFormatting sqref="JI19">
    <cfRule type="cellIs" dxfId="4" priority="2002" operator="lessThan">
      <formula>0</formula>
    </cfRule>
    <cfRule type="cellIs" dxfId="0" priority="1994" operator="lessThan">
      <formula>0</formula>
    </cfRule>
    <cfRule type="cellIs" dxfId="0" priority="1986" operator="lessThan">
      <formula>-1</formula>
    </cfRule>
  </conditionalFormatting>
  <conditionalFormatting sqref="KF19">
    <cfRule type="cellIs" dxfId="1" priority="1244" operator="greaterThan">
      <formula>0</formula>
    </cfRule>
    <cfRule type="cellIs" dxfId="0" priority="1238" operator="lessThan">
      <formula>0</formula>
    </cfRule>
  </conditionalFormatting>
  <conditionalFormatting sqref="KG19">
    <cfRule type="cellIs" dxfId="1" priority="1208" operator="greaterThan">
      <formula>0</formula>
    </cfRule>
    <cfRule type="cellIs" dxfId="0" priority="1202" operator="lessThan">
      <formula>0</formula>
    </cfRule>
  </conditionalFormatting>
  <conditionalFormatting sqref="KH19">
    <cfRule type="cellIs" dxfId="1" priority="1130" operator="greaterThan">
      <formula>0</formula>
    </cfRule>
    <cfRule type="cellIs" dxfId="0" priority="1124" operator="lessThan">
      <formula>0</formula>
    </cfRule>
  </conditionalFormatting>
  <conditionalFormatting sqref="KM19">
    <cfRule type="cellIs" dxfId="1" priority="1142" operator="greaterThan">
      <formula>0</formula>
    </cfRule>
    <cfRule type="cellIs" dxfId="0" priority="1136" operator="lessThan">
      <formula>0</formula>
    </cfRule>
  </conditionalFormatting>
  <conditionalFormatting sqref="KN19">
    <cfRule type="cellIs" dxfId="1" priority="1220" operator="greaterThan">
      <formula>0</formula>
    </cfRule>
    <cfRule type="cellIs" dxfId="0" priority="1214" operator="lessThan">
      <formula>0</formula>
    </cfRule>
  </conditionalFormatting>
  <conditionalFormatting sqref="KO19">
    <cfRule type="cellIs" dxfId="1" priority="1232" operator="greaterThan">
      <formula>0</formula>
    </cfRule>
    <cfRule type="cellIs" dxfId="0" priority="1226" operator="lessThan">
      <formula>0</formula>
    </cfRule>
  </conditionalFormatting>
  <conditionalFormatting sqref="KP19">
    <cfRule type="cellIs" dxfId="5" priority="1196" operator="greaterThan">
      <formula>1</formula>
    </cfRule>
    <cfRule type="cellIs" dxfId="6" priority="1190" operator="lessThan">
      <formula>0</formula>
    </cfRule>
    <cfRule type="cellIs" dxfId="1" priority="1184" operator="greaterThan">
      <formula>0</formula>
    </cfRule>
    <cfRule type="cellIs" dxfId="0" priority="1178" operator="lessThan">
      <formula>0</formula>
    </cfRule>
    <cfRule type="cellIs" dxfId="1" priority="1172" operator="greaterThan">
      <formula>0</formula>
    </cfRule>
    <cfRule type="cellIs" dxfId="0" priority="1166" operator="lessThan">
      <formula>0</formula>
    </cfRule>
  </conditionalFormatting>
  <conditionalFormatting sqref="KQ19">
    <cfRule type="cellIs" dxfId="4" priority="1160" operator="lessThan">
      <formula>0</formula>
    </cfRule>
    <cfRule type="cellIs" dxfId="0" priority="1154" operator="lessThan">
      <formula>0</formula>
    </cfRule>
    <cfRule type="cellIs" dxfId="0" priority="1148" operator="lessThan">
      <formula>-1</formula>
    </cfRule>
  </conditionalFormatting>
  <conditionalFormatting sqref="LX19">
    <cfRule type="cellIs" dxfId="0" priority="9834" operator="lessThan">
      <formula>0</formula>
    </cfRule>
    <cfRule type="cellIs" dxfId="1" priority="9835" operator="greaterThan">
      <formula>0</formula>
    </cfRule>
    <cfRule type="cellIs" dxfId="0" priority="9836" operator="lessThan">
      <formula>0</formula>
    </cfRule>
    <cfRule type="cellIs" dxfId="1" priority="9837" operator="greaterThan">
      <formula>0</formula>
    </cfRule>
    <cfRule type="cellIs" dxfId="6" priority="9838" operator="lessThan">
      <formula>0</formula>
    </cfRule>
    <cfRule type="cellIs" dxfId="5" priority="9839" operator="greaterThan">
      <formula>1</formula>
    </cfRule>
  </conditionalFormatting>
  <conditionalFormatting sqref="LY19">
    <cfRule type="cellIs" dxfId="4" priority="9840" operator="lessThan">
      <formula>0</formula>
    </cfRule>
  </conditionalFormatting>
  <conditionalFormatting sqref="NF19">
    <cfRule type="cellIs" dxfId="0" priority="10241" operator="lessThan">
      <formula>0</formula>
    </cfRule>
    <cfRule type="cellIs" dxfId="1" priority="10242" operator="greaterThan">
      <formula>0</formula>
    </cfRule>
    <cfRule type="cellIs" dxfId="0" priority="10243" operator="lessThan">
      <formula>0</formula>
    </cfRule>
    <cfRule type="cellIs" dxfId="1" priority="10244" operator="greaterThan">
      <formula>0</formula>
    </cfRule>
    <cfRule type="cellIs" dxfId="6" priority="10245" operator="lessThan">
      <formula>0</formula>
    </cfRule>
    <cfRule type="cellIs" dxfId="5" priority="10246" operator="greaterThan">
      <formula>1</formula>
    </cfRule>
  </conditionalFormatting>
  <conditionalFormatting sqref="NG19">
    <cfRule type="cellIs" dxfId="4" priority="10247" operator="lessThan">
      <formula>0</formula>
    </cfRule>
  </conditionalFormatting>
  <conditionalFormatting sqref="X20">
    <cfRule type="cellIs" dxfId="1" priority="6339" operator="greaterThan">
      <formula>0</formula>
    </cfRule>
    <cfRule type="cellIs" dxfId="0" priority="6338" operator="lessThan">
      <formula>0</formula>
    </cfRule>
  </conditionalFormatting>
  <conditionalFormatting sqref="AG20">
    <cfRule type="cellIs" dxfId="5" priority="6398" operator="greaterThan">
      <formula>1</formula>
    </cfRule>
    <cfRule type="cellIs" dxfId="6" priority="6394" operator="lessThan">
      <formula>0</formula>
    </cfRule>
    <cfRule type="cellIs" dxfId="1" priority="6390" operator="greaterThan">
      <formula>0</formula>
    </cfRule>
    <cfRule type="cellIs" dxfId="0" priority="6386" operator="lessThan">
      <formula>0</formula>
    </cfRule>
    <cfRule type="cellIs" dxfId="1" priority="6382" operator="greaterThan">
      <formula>0</formula>
    </cfRule>
    <cfRule type="cellIs" dxfId="0" priority="6378" operator="lessThan">
      <formula>0</formula>
    </cfRule>
  </conditionalFormatting>
  <conditionalFormatting sqref="BE20">
    <cfRule type="cellIs" dxfId="1" priority="5952" operator="greaterThan">
      <formula>0</formula>
    </cfRule>
    <cfRule type="cellIs" dxfId="0" priority="5951" operator="lessThan">
      <formula>0</formula>
    </cfRule>
  </conditionalFormatting>
  <conditionalFormatting sqref="BN20">
    <cfRule type="cellIs" dxfId="5" priority="6005" operator="greaterThan">
      <formula>1</formula>
    </cfRule>
    <cfRule type="cellIs" dxfId="6" priority="6001" operator="lessThan">
      <formula>0</formula>
    </cfRule>
    <cfRule type="cellIs" dxfId="1" priority="5997" operator="greaterThan">
      <formula>0</formula>
    </cfRule>
    <cfRule type="cellIs" dxfId="0" priority="5993" operator="lessThan">
      <formula>0</formula>
    </cfRule>
    <cfRule type="cellIs" dxfId="1" priority="5989" operator="greaterThan">
      <formula>0</formula>
    </cfRule>
    <cfRule type="cellIs" dxfId="0" priority="5985" operator="lessThan">
      <formula>0</formula>
    </cfRule>
  </conditionalFormatting>
  <conditionalFormatting sqref="CL20">
    <cfRule type="cellIs" dxfId="1" priority="5219" operator="greaterThan">
      <formula>0</formula>
    </cfRule>
    <cfRule type="cellIs" dxfId="0" priority="5218" operator="lessThan">
      <formula>0</formula>
    </cfRule>
  </conditionalFormatting>
  <conditionalFormatting sqref="CU20">
    <cfRule type="cellIs" dxfId="5" priority="5272" operator="greaterThan">
      <formula>1</formula>
    </cfRule>
    <cfRule type="cellIs" dxfId="6" priority="5268" operator="lessThan">
      <formula>0</formula>
    </cfRule>
    <cfRule type="cellIs" dxfId="1" priority="5264" operator="greaterThan">
      <formula>0</formula>
    </cfRule>
    <cfRule type="cellIs" dxfId="0" priority="5260" operator="lessThan">
      <formula>0</formula>
    </cfRule>
    <cfRule type="cellIs" dxfId="1" priority="5256" operator="greaterThan">
      <formula>0</formula>
    </cfRule>
    <cfRule type="cellIs" dxfId="0" priority="5252" operator="lessThan">
      <formula>0</formula>
    </cfRule>
  </conditionalFormatting>
  <conditionalFormatting sqref="DS20">
    <cfRule type="cellIs" dxfId="1" priority="4830" operator="greaterThan">
      <formula>0</formula>
    </cfRule>
    <cfRule type="cellIs" dxfId="0" priority="4829" operator="lessThan">
      <formula>0</formula>
    </cfRule>
  </conditionalFormatting>
  <conditionalFormatting sqref="EB20">
    <cfRule type="cellIs" dxfId="5" priority="4883" operator="greaterThan">
      <formula>1</formula>
    </cfRule>
    <cfRule type="cellIs" dxfId="6" priority="4879" operator="lessThan">
      <formula>0</formula>
    </cfRule>
    <cfRule type="cellIs" dxfId="1" priority="4875" operator="greaterThan">
      <formula>0</formula>
    </cfRule>
    <cfRule type="cellIs" dxfId="0" priority="4871" operator="lessThan">
      <formula>0</formula>
    </cfRule>
    <cfRule type="cellIs" dxfId="1" priority="4867" operator="greaterThan">
      <formula>0</formula>
    </cfRule>
    <cfRule type="cellIs" dxfId="0" priority="4863" operator="lessThan">
      <formula>0</formula>
    </cfRule>
  </conditionalFormatting>
  <conditionalFormatting sqref="EY20">
    <cfRule type="cellIs" dxfId="1" priority="3682" operator="greaterThan">
      <formula>0</formula>
    </cfRule>
    <cfRule type="cellIs" dxfId="0" priority="3675" operator="lessThan">
      <formula>0</formula>
    </cfRule>
  </conditionalFormatting>
  <conditionalFormatting sqref="EZ20">
    <cfRule type="cellIs" dxfId="1" priority="3640" operator="greaterThan">
      <formula>0</formula>
    </cfRule>
    <cfRule type="cellIs" dxfId="0" priority="3633" operator="lessThan">
      <formula>0</formula>
    </cfRule>
  </conditionalFormatting>
  <conditionalFormatting sqref="FA20">
    <cfRule type="cellIs" dxfId="1" priority="3549" operator="greaterThan">
      <formula>0</formula>
    </cfRule>
    <cfRule type="cellIs" dxfId="0" priority="3542" operator="lessThan">
      <formula>0</formula>
    </cfRule>
  </conditionalFormatting>
  <conditionalFormatting sqref="FF20">
    <cfRule type="cellIs" dxfId="1" priority="3563" operator="greaterThan">
      <formula>0</formula>
    </cfRule>
    <cfRule type="cellIs" dxfId="0" priority="3556" operator="lessThan">
      <formula>0</formula>
    </cfRule>
  </conditionalFormatting>
  <conditionalFormatting sqref="FG20">
    <cfRule type="cellIs" dxfId="1" priority="3654" operator="greaterThan">
      <formula>0</formula>
    </cfRule>
    <cfRule type="cellIs" dxfId="0" priority="3647" operator="lessThan">
      <formula>0</formula>
    </cfRule>
  </conditionalFormatting>
  <conditionalFormatting sqref="FH20">
    <cfRule type="cellIs" dxfId="1" priority="3668" operator="greaterThan">
      <formula>0</formula>
    </cfRule>
    <cfRule type="cellIs" dxfId="0" priority="3661" operator="lessThan">
      <formula>0</formula>
    </cfRule>
  </conditionalFormatting>
  <conditionalFormatting sqref="FI20">
    <cfRule type="cellIs" dxfId="5" priority="3626" operator="greaterThan">
      <formula>1</formula>
    </cfRule>
    <cfRule type="cellIs" dxfId="6" priority="3619" operator="lessThan">
      <formula>0</formula>
    </cfRule>
    <cfRule type="cellIs" dxfId="1" priority="3612" operator="greaterThan">
      <formula>0</formula>
    </cfRule>
    <cfRule type="cellIs" dxfId="0" priority="3605" operator="lessThan">
      <formula>0</formula>
    </cfRule>
    <cfRule type="cellIs" dxfId="1" priority="3598" operator="greaterThan">
      <formula>0</formula>
    </cfRule>
    <cfRule type="cellIs" dxfId="0" priority="3591" operator="lessThan">
      <formula>0</formula>
    </cfRule>
  </conditionalFormatting>
  <conditionalFormatting sqref="FJ20">
    <cfRule type="cellIs" dxfId="4" priority="3584" operator="lessThan">
      <formula>0</formula>
    </cfRule>
    <cfRule type="cellIs" dxfId="0" priority="3577" operator="lessThan">
      <formula>0</formula>
    </cfRule>
    <cfRule type="cellIs" dxfId="0" priority="3570" operator="lessThan">
      <formula>-1</formula>
    </cfRule>
  </conditionalFormatting>
  <conditionalFormatting sqref="FR20">
    <cfRule type="cellIs" dxfId="2" priority="2931" operator="greaterThan">
      <formula>0</formula>
    </cfRule>
    <cfRule type="cellIs" dxfId="3" priority="2930" operator="lessThan">
      <formula>0</formula>
    </cfRule>
  </conditionalFormatting>
  <conditionalFormatting sqref="GH20">
    <cfRule type="cellIs" dxfId="1" priority="3129" operator="greaterThan">
      <formula>0</formula>
    </cfRule>
    <cfRule type="cellIs" dxfId="0" priority="3122" operator="lessThan">
      <formula>0</formula>
    </cfRule>
  </conditionalFormatting>
  <conditionalFormatting sqref="GI20">
    <cfRule type="cellIs" dxfId="1" priority="3087" operator="greaterThan">
      <formula>0</formula>
    </cfRule>
    <cfRule type="cellIs" dxfId="0" priority="3080" operator="lessThan">
      <formula>0</formula>
    </cfRule>
  </conditionalFormatting>
  <conditionalFormatting sqref="GJ20">
    <cfRule type="cellIs" dxfId="1" priority="2996" operator="greaterThan">
      <formula>0</formula>
    </cfRule>
    <cfRule type="cellIs" dxfId="0" priority="2989" operator="lessThan">
      <formula>0</formula>
    </cfRule>
  </conditionalFormatting>
  <conditionalFormatting sqref="GO20">
    <cfRule type="cellIs" dxfId="1" priority="3010" operator="greaterThan">
      <formula>0</formula>
    </cfRule>
    <cfRule type="cellIs" dxfId="0" priority="3003" operator="lessThan">
      <formula>0</formula>
    </cfRule>
  </conditionalFormatting>
  <conditionalFormatting sqref="GP20">
    <cfRule type="cellIs" dxfId="1" priority="3101" operator="greaterThan">
      <formula>0</formula>
    </cfRule>
    <cfRule type="cellIs" dxfId="0" priority="3094" operator="lessThan">
      <formula>0</formula>
    </cfRule>
  </conditionalFormatting>
  <conditionalFormatting sqref="GQ20">
    <cfRule type="cellIs" dxfId="1" priority="3115" operator="greaterThan">
      <formula>0</formula>
    </cfRule>
    <cfRule type="cellIs" dxfId="0" priority="3108" operator="lessThan">
      <formula>0</formula>
    </cfRule>
  </conditionalFormatting>
  <conditionalFormatting sqref="GR20">
    <cfRule type="cellIs" dxfId="5" priority="3073" operator="greaterThan">
      <formula>1</formula>
    </cfRule>
    <cfRule type="cellIs" dxfId="6" priority="3066" operator="lessThan">
      <formula>0</formula>
    </cfRule>
    <cfRule type="cellIs" dxfId="1" priority="3059" operator="greaterThan">
      <formula>0</formula>
    </cfRule>
    <cfRule type="cellIs" dxfId="0" priority="3052" operator="lessThan">
      <formula>0</formula>
    </cfRule>
    <cfRule type="cellIs" dxfId="1" priority="3045" operator="greaterThan">
      <formula>0</formula>
    </cfRule>
    <cfRule type="cellIs" dxfId="0" priority="3038" operator="lessThan">
      <formula>0</formula>
    </cfRule>
  </conditionalFormatting>
  <conditionalFormatting sqref="GS20">
    <cfRule type="cellIs" dxfId="4" priority="3031" operator="lessThan">
      <formula>0</formula>
    </cfRule>
    <cfRule type="cellIs" dxfId="0" priority="3024" operator="lessThan">
      <formula>0</formula>
    </cfRule>
    <cfRule type="cellIs" dxfId="0" priority="3017" operator="lessThan">
      <formula>-1</formula>
    </cfRule>
  </conditionalFormatting>
  <conditionalFormatting sqref="HP20">
    <cfRule type="cellIs" dxfId="1" priority="2625" operator="greaterThan">
      <formula>0</formula>
    </cfRule>
    <cfRule type="cellIs" dxfId="0" priority="2618" operator="lessThan">
      <formula>0</formula>
    </cfRule>
  </conditionalFormatting>
  <conditionalFormatting sqref="HQ20">
    <cfRule type="cellIs" dxfId="1" priority="2583" operator="greaterThan">
      <formula>0</formula>
    </cfRule>
    <cfRule type="cellIs" dxfId="0" priority="2576" operator="lessThan">
      <formula>0</formula>
    </cfRule>
  </conditionalFormatting>
  <conditionalFormatting sqref="HR20">
    <cfRule type="cellIs" dxfId="1" priority="2492" operator="greaterThan">
      <formula>0</formula>
    </cfRule>
    <cfRule type="cellIs" dxfId="0" priority="2485" operator="lessThan">
      <formula>0</formula>
    </cfRule>
  </conditionalFormatting>
  <conditionalFormatting sqref="HW20">
    <cfRule type="cellIs" dxfId="1" priority="2506" operator="greaterThan">
      <formula>0</formula>
    </cfRule>
    <cfRule type="cellIs" dxfId="0" priority="2499" operator="lessThan">
      <formula>0</formula>
    </cfRule>
  </conditionalFormatting>
  <conditionalFormatting sqref="HX20">
    <cfRule type="cellIs" dxfId="1" priority="2597" operator="greaterThan">
      <formula>0</formula>
    </cfRule>
    <cfRule type="cellIs" dxfId="0" priority="2590" operator="lessThan">
      <formula>0</formula>
    </cfRule>
  </conditionalFormatting>
  <conditionalFormatting sqref="HY20">
    <cfRule type="cellIs" dxfId="1" priority="2611" operator="greaterThan">
      <formula>0</formula>
    </cfRule>
    <cfRule type="cellIs" dxfId="0" priority="2604" operator="lessThan">
      <formula>0</formula>
    </cfRule>
  </conditionalFormatting>
  <conditionalFormatting sqref="HZ20">
    <cfRule type="cellIs" dxfId="5" priority="2569" operator="greaterThan">
      <formula>1</formula>
    </cfRule>
    <cfRule type="cellIs" dxfId="6" priority="2562" operator="lessThan">
      <formula>0</formula>
    </cfRule>
    <cfRule type="cellIs" dxfId="1" priority="2555" operator="greaterThan">
      <formula>0</formula>
    </cfRule>
    <cfRule type="cellIs" dxfId="0" priority="2548" operator="lessThan">
      <formula>0</formula>
    </cfRule>
    <cfRule type="cellIs" dxfId="1" priority="2541" operator="greaterThan">
      <formula>0</formula>
    </cfRule>
    <cfRule type="cellIs" dxfId="0" priority="2534" operator="lessThan">
      <formula>0</formula>
    </cfRule>
  </conditionalFormatting>
  <conditionalFormatting sqref="IA20">
    <cfRule type="cellIs" dxfId="4" priority="2527" operator="lessThan">
      <formula>0</formula>
    </cfRule>
    <cfRule type="cellIs" dxfId="0" priority="2520" operator="lessThan">
      <formula>0</formula>
    </cfRule>
    <cfRule type="cellIs" dxfId="0" priority="2513" operator="lessThan">
      <formula>-1</formula>
    </cfRule>
  </conditionalFormatting>
  <conditionalFormatting sqref="IH20">
    <cfRule type="cellIs" dxfId="2" priority="1738" operator="greaterThan">
      <formula>0</formula>
    </cfRule>
    <cfRule type="cellIs" dxfId="3" priority="1737" operator="lessThan">
      <formula>0</formula>
    </cfRule>
  </conditionalFormatting>
  <conditionalFormatting sqref="IP20">
    <cfRule type="cellIs" dxfId="2" priority="1722" operator="greaterThan">
      <formula>0</formula>
    </cfRule>
    <cfRule type="cellIs" dxfId="3" priority="1721" operator="lessThan">
      <formula>0</formula>
    </cfRule>
  </conditionalFormatting>
  <conditionalFormatting sqref="IX20">
    <cfRule type="cellIs" dxfId="1" priority="2113" operator="greaterThan">
      <formula>0</formula>
    </cfRule>
    <cfRule type="cellIs" dxfId="0" priority="2105" operator="lessThan">
      <formula>0</formula>
    </cfRule>
  </conditionalFormatting>
  <conditionalFormatting sqref="IY20">
    <cfRule type="cellIs" dxfId="1" priority="2065" operator="greaterThan">
      <formula>0</formula>
    </cfRule>
    <cfRule type="cellIs" dxfId="0" priority="2057" operator="lessThan">
      <formula>0</formula>
    </cfRule>
  </conditionalFormatting>
  <conditionalFormatting sqref="IZ20">
    <cfRule type="cellIs" dxfId="1" priority="1961" operator="greaterThan">
      <formula>0</formula>
    </cfRule>
    <cfRule type="cellIs" dxfId="0" priority="1953" operator="lessThan">
      <formula>0</formula>
    </cfRule>
  </conditionalFormatting>
  <conditionalFormatting sqref="JE20">
    <cfRule type="cellIs" dxfId="1" priority="1977" operator="greaterThan">
      <formula>0</formula>
    </cfRule>
    <cfRule type="cellIs" dxfId="0" priority="1969" operator="lessThan">
      <formula>0</formula>
    </cfRule>
  </conditionalFormatting>
  <conditionalFormatting sqref="JF20">
    <cfRule type="cellIs" dxfId="1" priority="2081" operator="greaterThan">
      <formula>0</formula>
    </cfRule>
    <cfRule type="cellIs" dxfId="0" priority="2073" operator="lessThan">
      <formula>0</formula>
    </cfRule>
  </conditionalFormatting>
  <conditionalFormatting sqref="JG20">
    <cfRule type="cellIs" dxfId="1" priority="2097" operator="greaterThan">
      <formula>0</formula>
    </cfRule>
    <cfRule type="cellIs" dxfId="0" priority="2089" operator="lessThan">
      <formula>0</formula>
    </cfRule>
  </conditionalFormatting>
  <conditionalFormatting sqref="JH20">
    <cfRule type="cellIs" dxfId="5" priority="2049" operator="greaterThan">
      <formula>1</formula>
    </cfRule>
    <cfRule type="cellIs" dxfId="6" priority="2041" operator="lessThan">
      <formula>0</formula>
    </cfRule>
    <cfRule type="cellIs" dxfId="1" priority="2033" operator="greaterThan">
      <formula>0</formula>
    </cfRule>
    <cfRule type="cellIs" dxfId="0" priority="2025" operator="lessThan">
      <formula>0</formula>
    </cfRule>
    <cfRule type="cellIs" dxfId="1" priority="2017" operator="greaterThan">
      <formula>0</formula>
    </cfRule>
    <cfRule type="cellIs" dxfId="0" priority="2009" operator="lessThan">
      <formula>0</formula>
    </cfRule>
  </conditionalFormatting>
  <conditionalFormatting sqref="JI20">
    <cfRule type="cellIs" dxfId="4" priority="2001" operator="lessThan">
      <formula>0</formula>
    </cfRule>
    <cfRule type="cellIs" dxfId="0" priority="1993" operator="lessThan">
      <formula>0</formula>
    </cfRule>
    <cfRule type="cellIs" dxfId="0" priority="1985" operator="lessThan">
      <formula>-1</formula>
    </cfRule>
  </conditionalFormatting>
  <conditionalFormatting sqref="KF20">
    <cfRule type="cellIs" dxfId="1" priority="1243" operator="greaterThan">
      <formula>0</formula>
    </cfRule>
    <cfRule type="cellIs" dxfId="0" priority="1237" operator="lessThan">
      <formula>0</formula>
    </cfRule>
  </conditionalFormatting>
  <conditionalFormatting sqref="KG20">
    <cfRule type="cellIs" dxfId="1" priority="1207" operator="greaterThan">
      <formula>0</formula>
    </cfRule>
    <cfRule type="cellIs" dxfId="0" priority="1201" operator="lessThan">
      <formula>0</formula>
    </cfRule>
  </conditionalFormatting>
  <conditionalFormatting sqref="KH20">
    <cfRule type="cellIs" dxfId="1" priority="1129" operator="greaterThan">
      <formula>0</formula>
    </cfRule>
    <cfRule type="cellIs" dxfId="0" priority="1123" operator="lessThan">
      <formula>0</formula>
    </cfRule>
  </conditionalFormatting>
  <conditionalFormatting sqref="KM20">
    <cfRule type="cellIs" dxfId="1" priority="1141" operator="greaterThan">
      <formula>0</formula>
    </cfRule>
    <cfRule type="cellIs" dxfId="0" priority="1135" operator="lessThan">
      <formula>0</formula>
    </cfRule>
  </conditionalFormatting>
  <conditionalFormatting sqref="KN20">
    <cfRule type="cellIs" dxfId="1" priority="1219" operator="greaterThan">
      <formula>0</formula>
    </cfRule>
    <cfRule type="cellIs" dxfId="0" priority="1213" operator="lessThan">
      <formula>0</formula>
    </cfRule>
  </conditionalFormatting>
  <conditionalFormatting sqref="KO20">
    <cfRule type="cellIs" dxfId="1" priority="1231" operator="greaterThan">
      <formula>0</formula>
    </cfRule>
    <cfRule type="cellIs" dxfId="0" priority="1225" operator="lessThan">
      <formula>0</formula>
    </cfRule>
  </conditionalFormatting>
  <conditionalFormatting sqref="KP20">
    <cfRule type="cellIs" dxfId="5" priority="1195" operator="greaterThan">
      <formula>1</formula>
    </cfRule>
    <cfRule type="cellIs" dxfId="6" priority="1189" operator="lessThan">
      <formula>0</formula>
    </cfRule>
    <cfRule type="cellIs" dxfId="1" priority="1183" operator="greaterThan">
      <formula>0</formula>
    </cfRule>
    <cfRule type="cellIs" dxfId="0" priority="1177" operator="lessThan">
      <formula>0</formula>
    </cfRule>
    <cfRule type="cellIs" dxfId="1" priority="1171" operator="greaterThan">
      <formula>0</formula>
    </cfRule>
    <cfRule type="cellIs" dxfId="0" priority="1165" operator="lessThan">
      <formula>0</formula>
    </cfRule>
  </conditionalFormatting>
  <conditionalFormatting sqref="KQ20">
    <cfRule type="cellIs" dxfId="4" priority="1159" operator="lessThan">
      <formula>0</formula>
    </cfRule>
    <cfRule type="cellIs" dxfId="0" priority="1153" operator="lessThan">
      <formula>0</formula>
    </cfRule>
    <cfRule type="cellIs" dxfId="0" priority="1147" operator="lessThan">
      <formula>-1</formula>
    </cfRule>
  </conditionalFormatting>
  <conditionalFormatting sqref="LX20">
    <cfRule type="cellIs" dxfId="0" priority="9562" operator="lessThan">
      <formula>0</formula>
    </cfRule>
    <cfRule type="cellIs" dxfId="1" priority="9566" operator="greaterThan">
      <formula>0</formula>
    </cfRule>
    <cfRule type="cellIs" dxfId="0" priority="9570" operator="lessThan">
      <formula>0</formula>
    </cfRule>
    <cfRule type="cellIs" dxfId="1" priority="9574" operator="greaterThan">
      <formula>0</formula>
    </cfRule>
    <cfRule type="cellIs" dxfId="6" priority="9578" operator="lessThan">
      <formula>0</formula>
    </cfRule>
    <cfRule type="cellIs" dxfId="5" priority="9582" operator="greaterThan">
      <formula>1</formula>
    </cfRule>
  </conditionalFormatting>
  <conditionalFormatting sqref="LY20">
    <cfRule type="cellIs" dxfId="0" priority="9586" operator="lessThan">
      <formula>-1</formula>
    </cfRule>
    <cfRule type="cellIs" dxfId="0" priority="9590" operator="lessThan">
      <formula>0</formula>
    </cfRule>
    <cfRule type="cellIs" dxfId="4" priority="9594" operator="lessThan">
      <formula>0</formula>
    </cfRule>
  </conditionalFormatting>
  <conditionalFormatting sqref="NF20">
    <cfRule type="cellIs" dxfId="0" priority="9945" operator="lessThan">
      <formula>0</formula>
    </cfRule>
    <cfRule type="cellIs" dxfId="1" priority="9949" operator="greaterThan">
      <formula>0</formula>
    </cfRule>
    <cfRule type="cellIs" dxfId="0" priority="9953" operator="lessThan">
      <formula>0</formula>
    </cfRule>
    <cfRule type="cellIs" dxfId="1" priority="9957" operator="greaterThan">
      <formula>0</formula>
    </cfRule>
    <cfRule type="cellIs" dxfId="6" priority="9961" operator="lessThan">
      <formula>0</formula>
    </cfRule>
    <cfRule type="cellIs" dxfId="5" priority="9965" operator="greaterThan">
      <formula>1</formula>
    </cfRule>
  </conditionalFormatting>
  <conditionalFormatting sqref="NG20">
    <cfRule type="cellIs" dxfId="0" priority="9969" operator="lessThan">
      <formula>-1</formula>
    </cfRule>
    <cfRule type="cellIs" dxfId="0" priority="9973" operator="lessThan">
      <formula>0</formula>
    </cfRule>
    <cfRule type="cellIs" dxfId="4" priority="9977" operator="lessThan">
      <formula>0</formula>
    </cfRule>
  </conditionalFormatting>
  <conditionalFormatting sqref="AG21">
    <cfRule type="cellIs" dxfId="5" priority="6397" operator="greaterThan">
      <formula>1</formula>
    </cfRule>
    <cfRule type="cellIs" dxfId="6" priority="6393" operator="lessThan">
      <formula>0</formula>
    </cfRule>
    <cfRule type="cellIs" dxfId="1" priority="6389" operator="greaterThan">
      <formula>0</formula>
    </cfRule>
    <cfRule type="cellIs" dxfId="0" priority="6385" operator="lessThan">
      <formula>0</formula>
    </cfRule>
    <cfRule type="cellIs" dxfId="1" priority="6381" operator="greaterThan">
      <formula>0</formula>
    </cfRule>
    <cfRule type="cellIs" dxfId="0" priority="6377" operator="lessThan">
      <formula>0</formula>
    </cfRule>
  </conditionalFormatting>
  <conditionalFormatting sqref="BN21">
    <cfRule type="cellIs" dxfId="5" priority="6004" operator="greaterThan">
      <formula>1</formula>
    </cfRule>
    <cfRule type="cellIs" dxfId="6" priority="6000" operator="lessThan">
      <formula>0</formula>
    </cfRule>
    <cfRule type="cellIs" dxfId="1" priority="5996" operator="greaterThan">
      <formula>0</formula>
    </cfRule>
    <cfRule type="cellIs" dxfId="0" priority="5992" operator="lessThan">
      <formula>0</formula>
    </cfRule>
    <cfRule type="cellIs" dxfId="1" priority="5988" operator="greaterThan">
      <formula>0</formula>
    </cfRule>
    <cfRule type="cellIs" dxfId="0" priority="5984" operator="lessThan">
      <formula>0</formula>
    </cfRule>
  </conditionalFormatting>
  <conditionalFormatting sqref="CU21">
    <cfRule type="cellIs" dxfId="5" priority="5271" operator="greaterThan">
      <formula>1</formula>
    </cfRule>
    <cfRule type="cellIs" dxfId="6" priority="5267" operator="lessThan">
      <formula>0</formula>
    </cfRule>
    <cfRule type="cellIs" dxfId="1" priority="5263" operator="greaterThan">
      <formula>0</formula>
    </cfRule>
    <cfRule type="cellIs" dxfId="0" priority="5259" operator="lessThan">
      <formula>0</formula>
    </cfRule>
    <cfRule type="cellIs" dxfId="1" priority="5255" operator="greaterThan">
      <formula>0</formula>
    </cfRule>
    <cfRule type="cellIs" dxfId="0" priority="5251" operator="lessThan">
      <formula>0</formula>
    </cfRule>
  </conditionalFormatting>
  <conditionalFormatting sqref="EB21">
    <cfRule type="cellIs" dxfId="5" priority="4882" operator="greaterThan">
      <formula>1</formula>
    </cfRule>
    <cfRule type="cellIs" dxfId="6" priority="4878" operator="lessThan">
      <formula>0</formula>
    </cfRule>
    <cfRule type="cellIs" dxfId="1" priority="4874" operator="greaterThan">
      <formula>0</formula>
    </cfRule>
    <cfRule type="cellIs" dxfId="0" priority="4870" operator="lessThan">
      <formula>0</formula>
    </cfRule>
    <cfRule type="cellIs" dxfId="1" priority="4866" operator="greaterThan">
      <formula>0</formula>
    </cfRule>
    <cfRule type="cellIs" dxfId="0" priority="4862" operator="lessThan">
      <formula>0</formula>
    </cfRule>
  </conditionalFormatting>
  <conditionalFormatting sqref="EY21">
    <cfRule type="cellIs" dxfId="1" priority="3681" operator="greaterThan">
      <formula>0</formula>
    </cfRule>
    <cfRule type="cellIs" dxfId="0" priority="3674" operator="lessThan">
      <formula>0</formula>
    </cfRule>
  </conditionalFormatting>
  <conditionalFormatting sqref="EZ21">
    <cfRule type="cellIs" dxfId="1" priority="3639" operator="greaterThan">
      <formula>0</formula>
    </cfRule>
    <cfRule type="cellIs" dxfId="0" priority="3632" operator="lessThan">
      <formula>0</formula>
    </cfRule>
  </conditionalFormatting>
  <conditionalFormatting sqref="FA21">
    <cfRule type="cellIs" dxfId="1" priority="3548" operator="greaterThan">
      <formula>0</formula>
    </cfRule>
    <cfRule type="cellIs" dxfId="0" priority="3541" operator="lessThan">
      <formula>0</formula>
    </cfRule>
  </conditionalFormatting>
  <conditionalFormatting sqref="FF21">
    <cfRule type="cellIs" dxfId="1" priority="3562" operator="greaterThan">
      <formula>0</formula>
    </cfRule>
    <cfRule type="cellIs" dxfId="0" priority="3555" operator="lessThan">
      <formula>0</formula>
    </cfRule>
  </conditionalFormatting>
  <conditionalFormatting sqref="FG21">
    <cfRule type="cellIs" dxfId="1" priority="3653" operator="greaterThan">
      <formula>0</formula>
    </cfRule>
    <cfRule type="cellIs" dxfId="0" priority="3646" operator="lessThan">
      <formula>0</formula>
    </cfRule>
  </conditionalFormatting>
  <conditionalFormatting sqref="FH21">
    <cfRule type="cellIs" dxfId="1" priority="3667" operator="greaterThan">
      <formula>0</formula>
    </cfRule>
    <cfRule type="cellIs" dxfId="0" priority="3660" operator="lessThan">
      <formula>0</formula>
    </cfRule>
  </conditionalFormatting>
  <conditionalFormatting sqref="FI21">
    <cfRule type="cellIs" dxfId="5" priority="3625" operator="greaterThan">
      <formula>1</formula>
    </cfRule>
    <cfRule type="cellIs" dxfId="6" priority="3618" operator="lessThan">
      <formula>0</formula>
    </cfRule>
    <cfRule type="cellIs" dxfId="1" priority="3611" operator="greaterThan">
      <formula>0</formula>
    </cfRule>
    <cfRule type="cellIs" dxfId="0" priority="3604" operator="lessThan">
      <formula>0</formula>
    </cfRule>
    <cfRule type="cellIs" dxfId="1" priority="3597" operator="greaterThan">
      <formula>0</formula>
    </cfRule>
    <cfRule type="cellIs" dxfId="0" priority="3590" operator="lessThan">
      <formula>0</formula>
    </cfRule>
  </conditionalFormatting>
  <conditionalFormatting sqref="FJ21">
    <cfRule type="cellIs" dxfId="4" priority="3583" operator="lessThan">
      <formula>0</formula>
    </cfRule>
    <cfRule type="cellIs" dxfId="0" priority="3576" operator="lessThan">
      <formula>0</formula>
    </cfRule>
    <cfRule type="cellIs" dxfId="0" priority="3569" operator="lessThan">
      <formula>-1</formula>
    </cfRule>
  </conditionalFormatting>
  <conditionalFormatting sqref="GH21">
    <cfRule type="cellIs" dxfId="1" priority="3128" operator="greaterThan">
      <formula>0</formula>
    </cfRule>
    <cfRule type="cellIs" dxfId="0" priority="3121" operator="lessThan">
      <formula>0</formula>
    </cfRule>
  </conditionalFormatting>
  <conditionalFormatting sqref="GI21">
    <cfRule type="cellIs" dxfId="1" priority="3086" operator="greaterThan">
      <formula>0</formula>
    </cfRule>
    <cfRule type="cellIs" dxfId="0" priority="3079" operator="lessThan">
      <formula>0</formula>
    </cfRule>
  </conditionalFormatting>
  <conditionalFormatting sqref="GJ21">
    <cfRule type="cellIs" dxfId="1" priority="2995" operator="greaterThan">
      <formula>0</formula>
    </cfRule>
    <cfRule type="cellIs" dxfId="0" priority="2988" operator="lessThan">
      <formula>0</formula>
    </cfRule>
  </conditionalFormatting>
  <conditionalFormatting sqref="GO21">
    <cfRule type="cellIs" dxfId="1" priority="3009" operator="greaterThan">
      <formula>0</formula>
    </cfRule>
    <cfRule type="cellIs" dxfId="0" priority="3002" operator="lessThan">
      <formula>0</formula>
    </cfRule>
  </conditionalFormatting>
  <conditionalFormatting sqref="GP21">
    <cfRule type="cellIs" dxfId="1" priority="3100" operator="greaterThan">
      <formula>0</formula>
    </cfRule>
    <cfRule type="cellIs" dxfId="0" priority="3093" operator="lessThan">
      <formula>0</formula>
    </cfRule>
  </conditionalFormatting>
  <conditionalFormatting sqref="GQ21">
    <cfRule type="cellIs" dxfId="1" priority="3114" operator="greaterThan">
      <formula>0</formula>
    </cfRule>
    <cfRule type="cellIs" dxfId="0" priority="3107" operator="lessThan">
      <formula>0</formula>
    </cfRule>
  </conditionalFormatting>
  <conditionalFormatting sqref="GR21">
    <cfRule type="cellIs" dxfId="5" priority="3072" operator="greaterThan">
      <formula>1</formula>
    </cfRule>
    <cfRule type="cellIs" dxfId="6" priority="3065" operator="lessThan">
      <formula>0</formula>
    </cfRule>
    <cfRule type="cellIs" dxfId="1" priority="3058" operator="greaterThan">
      <formula>0</formula>
    </cfRule>
    <cfRule type="cellIs" dxfId="0" priority="3051" operator="lessThan">
      <formula>0</formula>
    </cfRule>
    <cfRule type="cellIs" dxfId="1" priority="3044" operator="greaterThan">
      <formula>0</formula>
    </cfRule>
    <cfRule type="cellIs" dxfId="0" priority="3037" operator="lessThan">
      <formula>0</formula>
    </cfRule>
  </conditionalFormatting>
  <conditionalFormatting sqref="GS21">
    <cfRule type="cellIs" dxfId="4" priority="3030" operator="lessThan">
      <formula>0</formula>
    </cfRule>
    <cfRule type="cellIs" dxfId="0" priority="3023" operator="lessThan">
      <formula>0</formula>
    </cfRule>
    <cfRule type="cellIs" dxfId="0" priority="3016" operator="lessThan">
      <formula>-1</formula>
    </cfRule>
  </conditionalFormatting>
  <conditionalFormatting sqref="HP21">
    <cfRule type="cellIs" dxfId="1" priority="2624" operator="greaterThan">
      <formula>0</formula>
    </cfRule>
    <cfRule type="cellIs" dxfId="0" priority="2617" operator="lessThan">
      <formula>0</formula>
    </cfRule>
  </conditionalFormatting>
  <conditionalFormatting sqref="HQ21">
    <cfRule type="cellIs" dxfId="1" priority="2582" operator="greaterThan">
      <formula>0</formula>
    </cfRule>
    <cfRule type="cellIs" dxfId="0" priority="2575" operator="lessThan">
      <formula>0</formula>
    </cfRule>
  </conditionalFormatting>
  <conditionalFormatting sqref="HR21">
    <cfRule type="cellIs" dxfId="1" priority="2491" operator="greaterThan">
      <formula>0</formula>
    </cfRule>
    <cfRule type="cellIs" dxfId="0" priority="2484" operator="lessThan">
      <formula>0</formula>
    </cfRule>
  </conditionalFormatting>
  <conditionalFormatting sqref="HW21">
    <cfRule type="cellIs" dxfId="1" priority="2505" operator="greaterThan">
      <formula>0</formula>
    </cfRule>
    <cfRule type="cellIs" dxfId="0" priority="2498" operator="lessThan">
      <formula>0</formula>
    </cfRule>
  </conditionalFormatting>
  <conditionalFormatting sqref="HX21">
    <cfRule type="cellIs" dxfId="1" priority="2596" operator="greaterThan">
      <formula>0</formula>
    </cfRule>
    <cfRule type="cellIs" dxfId="0" priority="2589" operator="lessThan">
      <formula>0</formula>
    </cfRule>
  </conditionalFormatting>
  <conditionalFormatting sqref="HY21">
    <cfRule type="cellIs" dxfId="1" priority="2610" operator="greaterThan">
      <formula>0</formula>
    </cfRule>
    <cfRule type="cellIs" dxfId="0" priority="2603" operator="lessThan">
      <formula>0</formula>
    </cfRule>
  </conditionalFormatting>
  <conditionalFormatting sqref="HZ21">
    <cfRule type="cellIs" dxfId="5" priority="2568" operator="greaterThan">
      <formula>1</formula>
    </cfRule>
    <cfRule type="cellIs" dxfId="6" priority="2561" operator="lessThan">
      <formula>0</formula>
    </cfRule>
    <cfRule type="cellIs" dxfId="1" priority="2554" operator="greaterThan">
      <formula>0</formula>
    </cfRule>
    <cfRule type="cellIs" dxfId="0" priority="2547" operator="lessThan">
      <formula>0</formula>
    </cfRule>
    <cfRule type="cellIs" dxfId="1" priority="2540" operator="greaterThan">
      <formula>0</formula>
    </cfRule>
    <cfRule type="cellIs" dxfId="0" priority="2533" operator="lessThan">
      <formula>0</formula>
    </cfRule>
  </conditionalFormatting>
  <conditionalFormatting sqref="IA21">
    <cfRule type="cellIs" dxfId="4" priority="2526" operator="lessThan">
      <formula>0</formula>
    </cfRule>
    <cfRule type="cellIs" dxfId="0" priority="2519" operator="lessThan">
      <formula>0</formula>
    </cfRule>
    <cfRule type="cellIs" dxfId="0" priority="2512" operator="lessThan">
      <formula>-1</formula>
    </cfRule>
  </conditionalFormatting>
  <conditionalFormatting sqref="IX21">
    <cfRule type="cellIs" dxfId="1" priority="2112" operator="greaterThan">
      <formula>0</formula>
    </cfRule>
    <cfRule type="cellIs" dxfId="0" priority="2104" operator="lessThan">
      <formula>0</formula>
    </cfRule>
  </conditionalFormatting>
  <conditionalFormatting sqref="IY21">
    <cfRule type="cellIs" dxfId="1" priority="2064" operator="greaterThan">
      <formula>0</formula>
    </cfRule>
    <cfRule type="cellIs" dxfId="0" priority="2056" operator="lessThan">
      <formula>0</formula>
    </cfRule>
  </conditionalFormatting>
  <conditionalFormatting sqref="IZ21">
    <cfRule type="cellIs" dxfId="1" priority="1960" operator="greaterThan">
      <formula>0</formula>
    </cfRule>
    <cfRule type="cellIs" dxfId="0" priority="1952" operator="lessThan">
      <formula>0</formula>
    </cfRule>
  </conditionalFormatting>
  <conditionalFormatting sqref="JE21">
    <cfRule type="cellIs" dxfId="1" priority="1976" operator="greaterThan">
      <formula>0</formula>
    </cfRule>
    <cfRule type="cellIs" dxfId="0" priority="1968" operator="lessThan">
      <formula>0</formula>
    </cfRule>
  </conditionalFormatting>
  <conditionalFormatting sqref="JF21">
    <cfRule type="cellIs" dxfId="1" priority="2080" operator="greaterThan">
      <formula>0</formula>
    </cfRule>
    <cfRule type="cellIs" dxfId="0" priority="2072" operator="lessThan">
      <formula>0</formula>
    </cfRule>
  </conditionalFormatting>
  <conditionalFormatting sqref="JG21">
    <cfRule type="cellIs" dxfId="1" priority="2096" operator="greaterThan">
      <formula>0</formula>
    </cfRule>
    <cfRule type="cellIs" dxfId="0" priority="2088" operator="lessThan">
      <formula>0</formula>
    </cfRule>
  </conditionalFormatting>
  <conditionalFormatting sqref="JH21">
    <cfRule type="cellIs" dxfId="5" priority="2048" operator="greaterThan">
      <formula>1</formula>
    </cfRule>
    <cfRule type="cellIs" dxfId="6" priority="2040" operator="lessThan">
      <formula>0</formula>
    </cfRule>
    <cfRule type="cellIs" dxfId="1" priority="2032" operator="greaterThan">
      <formula>0</formula>
    </cfRule>
    <cfRule type="cellIs" dxfId="0" priority="2024" operator="lessThan">
      <formula>0</formula>
    </cfRule>
    <cfRule type="cellIs" dxfId="1" priority="2016" operator="greaterThan">
      <formula>0</formula>
    </cfRule>
    <cfRule type="cellIs" dxfId="0" priority="2008" operator="lessThan">
      <formula>0</formula>
    </cfRule>
  </conditionalFormatting>
  <conditionalFormatting sqref="JI21">
    <cfRule type="cellIs" dxfId="4" priority="2000" operator="lessThan">
      <formula>0</formula>
    </cfRule>
    <cfRule type="cellIs" dxfId="0" priority="1992" operator="lessThan">
      <formula>0</formula>
    </cfRule>
    <cfRule type="cellIs" dxfId="0" priority="1984" operator="lessThan">
      <formula>-1</formula>
    </cfRule>
  </conditionalFormatting>
  <conditionalFormatting sqref="KF21">
    <cfRule type="cellIs" dxfId="1" priority="1242" operator="greaterThan">
      <formula>0</formula>
    </cfRule>
    <cfRule type="cellIs" dxfId="0" priority="1236" operator="lessThan">
      <formula>0</formula>
    </cfRule>
  </conditionalFormatting>
  <conditionalFormatting sqref="KG21">
    <cfRule type="cellIs" dxfId="1" priority="1206" operator="greaterThan">
      <formula>0</formula>
    </cfRule>
    <cfRule type="cellIs" dxfId="0" priority="1200" operator="lessThan">
      <formula>0</formula>
    </cfRule>
  </conditionalFormatting>
  <conditionalFormatting sqref="KH21">
    <cfRule type="cellIs" dxfId="1" priority="1128" operator="greaterThan">
      <formula>0</formula>
    </cfRule>
    <cfRule type="cellIs" dxfId="0" priority="1122" operator="lessThan">
      <formula>0</formula>
    </cfRule>
  </conditionalFormatting>
  <conditionalFormatting sqref="KM21">
    <cfRule type="cellIs" dxfId="1" priority="1140" operator="greaterThan">
      <formula>0</formula>
    </cfRule>
    <cfRule type="cellIs" dxfId="0" priority="1134" operator="lessThan">
      <formula>0</formula>
    </cfRule>
  </conditionalFormatting>
  <conditionalFormatting sqref="KN21">
    <cfRule type="cellIs" dxfId="1" priority="1218" operator="greaterThan">
      <formula>0</formula>
    </cfRule>
    <cfRule type="cellIs" dxfId="0" priority="1212" operator="lessThan">
      <formula>0</formula>
    </cfRule>
  </conditionalFormatting>
  <conditionalFormatting sqref="KO21">
    <cfRule type="cellIs" dxfId="1" priority="1230" operator="greaterThan">
      <formula>0</formula>
    </cfRule>
    <cfRule type="cellIs" dxfId="0" priority="1224" operator="lessThan">
      <formula>0</formula>
    </cfRule>
  </conditionalFormatting>
  <conditionalFormatting sqref="KP21">
    <cfRule type="cellIs" dxfId="5" priority="1194" operator="greaterThan">
      <formula>1</formula>
    </cfRule>
    <cfRule type="cellIs" dxfId="6" priority="1188" operator="lessThan">
      <formula>0</formula>
    </cfRule>
    <cfRule type="cellIs" dxfId="1" priority="1182" operator="greaterThan">
      <formula>0</formula>
    </cfRule>
    <cfRule type="cellIs" dxfId="0" priority="1176" operator="lessThan">
      <formula>0</formula>
    </cfRule>
    <cfRule type="cellIs" dxfId="1" priority="1170" operator="greaterThan">
      <formula>0</formula>
    </cfRule>
    <cfRule type="cellIs" dxfId="0" priority="1164" operator="lessThan">
      <formula>0</formula>
    </cfRule>
  </conditionalFormatting>
  <conditionalFormatting sqref="KQ21">
    <cfRule type="cellIs" dxfId="4" priority="1158" operator="lessThan">
      <formula>0</formula>
    </cfRule>
    <cfRule type="cellIs" dxfId="0" priority="1152" operator="lessThan">
      <formula>0</formula>
    </cfRule>
    <cfRule type="cellIs" dxfId="0" priority="1146" operator="lessThan">
      <formula>-1</formula>
    </cfRule>
  </conditionalFormatting>
  <conditionalFormatting sqref="LX21">
    <cfRule type="cellIs" dxfId="0" priority="9561" operator="lessThan">
      <formula>0</formula>
    </cfRule>
    <cfRule type="cellIs" dxfId="1" priority="9565" operator="greaterThan">
      <formula>0</formula>
    </cfRule>
    <cfRule type="cellIs" dxfId="0" priority="9569" operator="lessThan">
      <formula>0</formula>
    </cfRule>
    <cfRule type="cellIs" dxfId="1" priority="9573" operator="greaterThan">
      <formula>0</formula>
    </cfRule>
    <cfRule type="cellIs" dxfId="6" priority="9577" operator="lessThan">
      <formula>0</formula>
    </cfRule>
    <cfRule type="cellIs" dxfId="5" priority="9581" operator="greaterThan">
      <formula>1</formula>
    </cfRule>
  </conditionalFormatting>
  <conditionalFormatting sqref="LY21">
    <cfRule type="cellIs" dxfId="0" priority="9585" operator="lessThan">
      <formula>-1</formula>
    </cfRule>
    <cfRule type="cellIs" dxfId="0" priority="9589" operator="lessThan">
      <formula>0</formula>
    </cfRule>
    <cfRule type="cellIs" dxfId="4" priority="9593" operator="lessThan">
      <formula>0</formula>
    </cfRule>
  </conditionalFormatting>
  <conditionalFormatting sqref="NF21">
    <cfRule type="cellIs" dxfId="0" priority="9944" operator="lessThan">
      <formula>0</formula>
    </cfRule>
    <cfRule type="cellIs" dxfId="1" priority="9948" operator="greaterThan">
      <formula>0</formula>
    </cfRule>
    <cfRule type="cellIs" dxfId="0" priority="9952" operator="lessThan">
      <formula>0</formula>
    </cfRule>
    <cfRule type="cellIs" dxfId="1" priority="9956" operator="greaterThan">
      <formula>0</formula>
    </cfRule>
    <cfRule type="cellIs" dxfId="6" priority="9960" operator="lessThan">
      <formula>0</formula>
    </cfRule>
    <cfRule type="cellIs" dxfId="5" priority="9964" operator="greaterThan">
      <formula>1</formula>
    </cfRule>
  </conditionalFormatting>
  <conditionalFormatting sqref="NG21">
    <cfRule type="cellIs" dxfId="0" priority="9968" operator="lessThan">
      <formula>-1</formula>
    </cfRule>
    <cfRule type="cellIs" dxfId="0" priority="9972" operator="lessThan">
      <formula>0</formula>
    </cfRule>
    <cfRule type="cellIs" dxfId="4" priority="9976" operator="lessThan">
      <formula>0</formula>
    </cfRule>
  </conditionalFormatting>
  <conditionalFormatting sqref="AG22">
    <cfRule type="cellIs" dxfId="5" priority="6396" operator="greaterThan">
      <formula>1</formula>
    </cfRule>
    <cfRule type="cellIs" dxfId="6" priority="6392" operator="lessThan">
      <formula>0</formula>
    </cfRule>
    <cfRule type="cellIs" dxfId="1" priority="6388" operator="greaterThan">
      <formula>0</formula>
    </cfRule>
    <cfRule type="cellIs" dxfId="0" priority="6384" operator="lessThan">
      <formula>0</formula>
    </cfRule>
    <cfRule type="cellIs" dxfId="1" priority="6380" operator="greaterThan">
      <formula>0</formula>
    </cfRule>
    <cfRule type="cellIs" dxfId="0" priority="6376" operator="lessThan">
      <formula>0</formula>
    </cfRule>
  </conditionalFormatting>
  <conditionalFormatting sqref="BN22">
    <cfRule type="cellIs" dxfId="5" priority="6003" operator="greaterThan">
      <formula>1</formula>
    </cfRule>
    <cfRule type="cellIs" dxfId="6" priority="5999" operator="lessThan">
      <formula>0</formula>
    </cfRule>
    <cfRule type="cellIs" dxfId="1" priority="5995" operator="greaterThan">
      <formula>0</formula>
    </cfRule>
    <cfRule type="cellIs" dxfId="0" priority="5991" operator="lessThan">
      <formula>0</formula>
    </cfRule>
    <cfRule type="cellIs" dxfId="1" priority="5987" operator="greaterThan">
      <formula>0</formula>
    </cfRule>
    <cfRule type="cellIs" dxfId="0" priority="5983" operator="lessThan">
      <formula>0</formula>
    </cfRule>
  </conditionalFormatting>
  <conditionalFormatting sqref="CU22">
    <cfRule type="cellIs" dxfId="5" priority="5270" operator="greaterThan">
      <formula>1</formula>
    </cfRule>
    <cfRule type="cellIs" dxfId="6" priority="5266" operator="lessThan">
      <formula>0</formula>
    </cfRule>
    <cfRule type="cellIs" dxfId="1" priority="5262" operator="greaterThan">
      <formula>0</formula>
    </cfRule>
    <cfRule type="cellIs" dxfId="0" priority="5258" operator="lessThan">
      <formula>0</formula>
    </cfRule>
    <cfRule type="cellIs" dxfId="1" priority="5254" operator="greaterThan">
      <formula>0</formula>
    </cfRule>
    <cfRule type="cellIs" dxfId="0" priority="5250" operator="lessThan">
      <formula>0</formula>
    </cfRule>
  </conditionalFormatting>
  <conditionalFormatting sqref="EB22">
    <cfRule type="cellIs" dxfId="5" priority="4881" operator="greaterThan">
      <formula>1</formula>
    </cfRule>
    <cfRule type="cellIs" dxfId="6" priority="4877" operator="lessThan">
      <formula>0</formula>
    </cfRule>
    <cfRule type="cellIs" dxfId="1" priority="4873" operator="greaterThan">
      <formula>0</formula>
    </cfRule>
    <cfRule type="cellIs" dxfId="0" priority="4869" operator="lessThan">
      <formula>0</formula>
    </cfRule>
    <cfRule type="cellIs" dxfId="1" priority="4865" operator="greaterThan">
      <formula>0</formula>
    </cfRule>
    <cfRule type="cellIs" dxfId="0" priority="4861" operator="lessThan">
      <formula>0</formula>
    </cfRule>
  </conditionalFormatting>
  <conditionalFormatting sqref="EY22">
    <cfRule type="cellIs" dxfId="1" priority="3680" operator="greaterThan">
      <formula>0</formula>
    </cfRule>
    <cfRule type="cellIs" dxfId="0" priority="3673" operator="lessThan">
      <formula>0</formula>
    </cfRule>
  </conditionalFormatting>
  <conditionalFormatting sqref="EZ22">
    <cfRule type="cellIs" dxfId="1" priority="3638" operator="greaterThan">
      <formula>0</formula>
    </cfRule>
    <cfRule type="cellIs" dxfId="0" priority="3631" operator="lessThan">
      <formula>0</formula>
    </cfRule>
  </conditionalFormatting>
  <conditionalFormatting sqref="FA22">
    <cfRule type="cellIs" dxfId="1" priority="3547" operator="greaterThan">
      <formula>0</formula>
    </cfRule>
    <cfRule type="cellIs" dxfId="0" priority="3540" operator="lessThan">
      <formula>0</formula>
    </cfRule>
  </conditionalFormatting>
  <conditionalFormatting sqref="FF22">
    <cfRule type="cellIs" dxfId="1" priority="3561" operator="greaterThan">
      <formula>0</formula>
    </cfRule>
    <cfRule type="cellIs" dxfId="0" priority="3554" operator="lessThan">
      <formula>0</formula>
    </cfRule>
  </conditionalFormatting>
  <conditionalFormatting sqref="FG22">
    <cfRule type="cellIs" dxfId="1" priority="3652" operator="greaterThan">
      <formula>0</formula>
    </cfRule>
    <cfRule type="cellIs" dxfId="0" priority="3645" operator="lessThan">
      <formula>0</formula>
    </cfRule>
  </conditionalFormatting>
  <conditionalFormatting sqref="FH22">
    <cfRule type="cellIs" dxfId="1" priority="3666" operator="greaterThan">
      <formula>0</formula>
    </cfRule>
    <cfRule type="cellIs" dxfId="0" priority="3659" operator="lessThan">
      <formula>0</formula>
    </cfRule>
  </conditionalFormatting>
  <conditionalFormatting sqref="FI22">
    <cfRule type="cellIs" dxfId="5" priority="3624" operator="greaterThan">
      <formula>1</formula>
    </cfRule>
    <cfRule type="cellIs" dxfId="6" priority="3617" operator="lessThan">
      <formula>0</formula>
    </cfRule>
    <cfRule type="cellIs" dxfId="1" priority="3610" operator="greaterThan">
      <formula>0</formula>
    </cfRule>
    <cfRule type="cellIs" dxfId="0" priority="3603" operator="lessThan">
      <formula>0</formula>
    </cfRule>
    <cfRule type="cellIs" dxfId="1" priority="3596" operator="greaterThan">
      <formula>0</formula>
    </cfRule>
    <cfRule type="cellIs" dxfId="0" priority="3589" operator="lessThan">
      <formula>0</formula>
    </cfRule>
  </conditionalFormatting>
  <conditionalFormatting sqref="FJ22">
    <cfRule type="cellIs" dxfId="4" priority="3582" operator="lessThan">
      <formula>0</formula>
    </cfRule>
    <cfRule type="cellIs" dxfId="0" priority="3575" operator="lessThan">
      <formula>0</formula>
    </cfRule>
    <cfRule type="cellIs" dxfId="0" priority="3568" operator="lessThan">
      <formula>-1</formula>
    </cfRule>
  </conditionalFormatting>
  <conditionalFormatting sqref="GH22">
    <cfRule type="cellIs" dxfId="1" priority="3127" operator="greaterThan">
      <formula>0</formula>
    </cfRule>
    <cfRule type="cellIs" dxfId="0" priority="3120" operator="lessThan">
      <formula>0</formula>
    </cfRule>
  </conditionalFormatting>
  <conditionalFormatting sqref="GI22">
    <cfRule type="cellIs" dxfId="1" priority="3085" operator="greaterThan">
      <formula>0</formula>
    </cfRule>
    <cfRule type="cellIs" dxfId="0" priority="3078" operator="lessThan">
      <formula>0</formula>
    </cfRule>
  </conditionalFormatting>
  <conditionalFormatting sqref="GJ22">
    <cfRule type="cellIs" dxfId="1" priority="2994" operator="greaterThan">
      <formula>0</formula>
    </cfRule>
    <cfRule type="cellIs" dxfId="0" priority="2987" operator="lessThan">
      <formula>0</formula>
    </cfRule>
  </conditionalFormatting>
  <conditionalFormatting sqref="GO22">
    <cfRule type="cellIs" dxfId="1" priority="3008" operator="greaterThan">
      <formula>0</formula>
    </cfRule>
    <cfRule type="cellIs" dxfId="0" priority="3001" operator="lessThan">
      <formula>0</formula>
    </cfRule>
  </conditionalFormatting>
  <conditionalFormatting sqref="GP22">
    <cfRule type="cellIs" dxfId="1" priority="3099" operator="greaterThan">
      <formula>0</formula>
    </cfRule>
    <cfRule type="cellIs" dxfId="0" priority="3092" operator="lessThan">
      <formula>0</formula>
    </cfRule>
  </conditionalFormatting>
  <conditionalFormatting sqref="GQ22">
    <cfRule type="cellIs" dxfId="1" priority="3113" operator="greaterThan">
      <formula>0</formula>
    </cfRule>
    <cfRule type="cellIs" dxfId="0" priority="3106" operator="lessThan">
      <formula>0</formula>
    </cfRule>
  </conditionalFormatting>
  <conditionalFormatting sqref="GR22">
    <cfRule type="cellIs" dxfId="5" priority="3071" operator="greaterThan">
      <formula>1</formula>
    </cfRule>
    <cfRule type="cellIs" dxfId="6" priority="3064" operator="lessThan">
      <formula>0</formula>
    </cfRule>
    <cfRule type="cellIs" dxfId="1" priority="3057" operator="greaterThan">
      <formula>0</formula>
    </cfRule>
    <cfRule type="cellIs" dxfId="0" priority="3050" operator="lessThan">
      <formula>0</formula>
    </cfRule>
    <cfRule type="cellIs" dxfId="1" priority="3043" operator="greaterThan">
      <formula>0</formula>
    </cfRule>
    <cfRule type="cellIs" dxfId="0" priority="3036" operator="lessThan">
      <formula>0</formula>
    </cfRule>
  </conditionalFormatting>
  <conditionalFormatting sqref="GS22">
    <cfRule type="cellIs" dxfId="4" priority="3029" operator="lessThan">
      <formula>0</formula>
    </cfRule>
    <cfRule type="cellIs" dxfId="0" priority="3022" operator="lessThan">
      <formula>0</formula>
    </cfRule>
    <cfRule type="cellIs" dxfId="0" priority="3015" operator="lessThan">
      <formula>-1</formula>
    </cfRule>
  </conditionalFormatting>
  <conditionalFormatting sqref="HP22">
    <cfRule type="cellIs" dxfId="1" priority="2623" operator="greaterThan">
      <formula>0</formula>
    </cfRule>
    <cfRule type="cellIs" dxfId="0" priority="2616" operator="lessThan">
      <formula>0</formula>
    </cfRule>
  </conditionalFormatting>
  <conditionalFormatting sqref="HQ22">
    <cfRule type="cellIs" dxfId="1" priority="2581" operator="greaterThan">
      <formula>0</formula>
    </cfRule>
    <cfRule type="cellIs" dxfId="0" priority="2574" operator="lessThan">
      <formula>0</formula>
    </cfRule>
  </conditionalFormatting>
  <conditionalFormatting sqref="HR22">
    <cfRule type="cellIs" dxfId="1" priority="2490" operator="greaterThan">
      <formula>0</formula>
    </cfRule>
    <cfRule type="cellIs" dxfId="0" priority="2483" operator="lessThan">
      <formula>0</formula>
    </cfRule>
  </conditionalFormatting>
  <conditionalFormatting sqref="HW22">
    <cfRule type="cellIs" dxfId="1" priority="2504" operator="greaterThan">
      <formula>0</formula>
    </cfRule>
    <cfRule type="cellIs" dxfId="0" priority="2497" operator="lessThan">
      <formula>0</formula>
    </cfRule>
  </conditionalFormatting>
  <conditionalFormatting sqref="HX22">
    <cfRule type="cellIs" dxfId="1" priority="2595" operator="greaterThan">
      <formula>0</formula>
    </cfRule>
    <cfRule type="cellIs" dxfId="0" priority="2588" operator="lessThan">
      <formula>0</formula>
    </cfRule>
  </conditionalFormatting>
  <conditionalFormatting sqref="HY22">
    <cfRule type="cellIs" dxfId="1" priority="2609" operator="greaterThan">
      <formula>0</formula>
    </cfRule>
    <cfRule type="cellIs" dxfId="0" priority="2602" operator="lessThan">
      <formula>0</formula>
    </cfRule>
  </conditionalFormatting>
  <conditionalFormatting sqref="HZ22">
    <cfRule type="cellIs" dxfId="5" priority="2567" operator="greaterThan">
      <formula>1</formula>
    </cfRule>
    <cfRule type="cellIs" dxfId="6" priority="2560" operator="lessThan">
      <formula>0</formula>
    </cfRule>
    <cfRule type="cellIs" dxfId="1" priority="2553" operator="greaterThan">
      <formula>0</formula>
    </cfRule>
    <cfRule type="cellIs" dxfId="0" priority="2546" operator="lessThan">
      <formula>0</formula>
    </cfRule>
    <cfRule type="cellIs" dxfId="1" priority="2539" operator="greaterThan">
      <formula>0</formula>
    </cfRule>
    <cfRule type="cellIs" dxfId="0" priority="2532" operator="lessThan">
      <formula>0</formula>
    </cfRule>
  </conditionalFormatting>
  <conditionalFormatting sqref="IA22">
    <cfRule type="cellIs" dxfId="4" priority="2525" operator="lessThan">
      <formula>0</formula>
    </cfRule>
    <cfRule type="cellIs" dxfId="0" priority="2518" operator="lessThan">
      <formula>0</formula>
    </cfRule>
    <cfRule type="cellIs" dxfId="0" priority="2511" operator="lessThan">
      <formula>-1</formula>
    </cfRule>
  </conditionalFormatting>
  <conditionalFormatting sqref="IX22">
    <cfRule type="cellIs" dxfId="1" priority="2111" operator="greaterThan">
      <formula>0</formula>
    </cfRule>
    <cfRule type="cellIs" dxfId="0" priority="2103" operator="lessThan">
      <formula>0</formula>
    </cfRule>
  </conditionalFormatting>
  <conditionalFormatting sqref="IY22">
    <cfRule type="cellIs" dxfId="1" priority="2063" operator="greaterThan">
      <formula>0</formula>
    </cfRule>
    <cfRule type="cellIs" dxfId="0" priority="2055" operator="lessThan">
      <formula>0</formula>
    </cfRule>
  </conditionalFormatting>
  <conditionalFormatting sqref="IZ22">
    <cfRule type="cellIs" dxfId="1" priority="1959" operator="greaterThan">
      <formula>0</formula>
    </cfRule>
    <cfRule type="cellIs" dxfId="0" priority="1951" operator="lessThan">
      <formula>0</formula>
    </cfRule>
  </conditionalFormatting>
  <conditionalFormatting sqref="JE22">
    <cfRule type="cellIs" dxfId="1" priority="1975" operator="greaterThan">
      <formula>0</formula>
    </cfRule>
    <cfRule type="cellIs" dxfId="0" priority="1967" operator="lessThan">
      <formula>0</formula>
    </cfRule>
  </conditionalFormatting>
  <conditionalFormatting sqref="JF22">
    <cfRule type="cellIs" dxfId="1" priority="2079" operator="greaterThan">
      <formula>0</formula>
    </cfRule>
    <cfRule type="cellIs" dxfId="0" priority="2071" operator="lessThan">
      <formula>0</formula>
    </cfRule>
  </conditionalFormatting>
  <conditionalFormatting sqref="JG22">
    <cfRule type="cellIs" dxfId="1" priority="2095" operator="greaterThan">
      <formula>0</formula>
    </cfRule>
    <cfRule type="cellIs" dxfId="0" priority="2087" operator="lessThan">
      <formula>0</formula>
    </cfRule>
  </conditionalFormatting>
  <conditionalFormatting sqref="JH22">
    <cfRule type="cellIs" dxfId="5" priority="2047" operator="greaterThan">
      <formula>1</formula>
    </cfRule>
    <cfRule type="cellIs" dxfId="6" priority="2039" operator="lessThan">
      <formula>0</formula>
    </cfRule>
    <cfRule type="cellIs" dxfId="1" priority="2031" operator="greaterThan">
      <formula>0</formula>
    </cfRule>
    <cfRule type="cellIs" dxfId="0" priority="2023" operator="lessThan">
      <formula>0</formula>
    </cfRule>
    <cfRule type="cellIs" dxfId="1" priority="2015" operator="greaterThan">
      <formula>0</formula>
    </cfRule>
    <cfRule type="cellIs" dxfId="0" priority="2007" operator="lessThan">
      <formula>0</formula>
    </cfRule>
  </conditionalFormatting>
  <conditionalFormatting sqref="JI22">
    <cfRule type="cellIs" dxfId="4" priority="1999" operator="lessThan">
      <formula>0</formula>
    </cfRule>
    <cfRule type="cellIs" dxfId="0" priority="1991" operator="lessThan">
      <formula>0</formula>
    </cfRule>
    <cfRule type="cellIs" dxfId="0" priority="1983" operator="lessThan">
      <formula>-1</formula>
    </cfRule>
  </conditionalFormatting>
  <conditionalFormatting sqref="KF22">
    <cfRule type="cellIs" dxfId="1" priority="1241" operator="greaterThan">
      <formula>0</formula>
    </cfRule>
    <cfRule type="cellIs" dxfId="0" priority="1235" operator="lessThan">
      <formula>0</formula>
    </cfRule>
  </conditionalFormatting>
  <conditionalFormatting sqref="KG22">
    <cfRule type="cellIs" dxfId="1" priority="1205" operator="greaterThan">
      <formula>0</formula>
    </cfRule>
    <cfRule type="cellIs" dxfId="0" priority="1199" operator="lessThan">
      <formula>0</formula>
    </cfRule>
  </conditionalFormatting>
  <conditionalFormatting sqref="KH22">
    <cfRule type="cellIs" dxfId="1" priority="1127" operator="greaterThan">
      <formula>0</formula>
    </cfRule>
    <cfRule type="cellIs" dxfId="0" priority="1121" operator="lessThan">
      <formula>0</formula>
    </cfRule>
  </conditionalFormatting>
  <conditionalFormatting sqref="KM22">
    <cfRule type="cellIs" dxfId="1" priority="1139" operator="greaterThan">
      <formula>0</formula>
    </cfRule>
    <cfRule type="cellIs" dxfId="0" priority="1133" operator="lessThan">
      <formula>0</formula>
    </cfRule>
  </conditionalFormatting>
  <conditionalFormatting sqref="KN22">
    <cfRule type="cellIs" dxfId="1" priority="1217" operator="greaterThan">
      <formula>0</formula>
    </cfRule>
    <cfRule type="cellIs" dxfId="0" priority="1211" operator="lessThan">
      <formula>0</formula>
    </cfRule>
  </conditionalFormatting>
  <conditionalFormatting sqref="KO22">
    <cfRule type="cellIs" dxfId="1" priority="1229" operator="greaterThan">
      <formula>0</formula>
    </cfRule>
    <cfRule type="cellIs" dxfId="0" priority="1223" operator="lessThan">
      <formula>0</formula>
    </cfRule>
  </conditionalFormatting>
  <conditionalFormatting sqref="KP22">
    <cfRule type="cellIs" dxfId="5" priority="1193" operator="greaterThan">
      <formula>1</formula>
    </cfRule>
    <cfRule type="cellIs" dxfId="6" priority="1187" operator="lessThan">
      <formula>0</formula>
    </cfRule>
    <cfRule type="cellIs" dxfId="1" priority="1181" operator="greaterThan">
      <formula>0</formula>
    </cfRule>
    <cfRule type="cellIs" dxfId="0" priority="1175" operator="lessThan">
      <formula>0</formula>
    </cfRule>
    <cfRule type="cellIs" dxfId="1" priority="1169" operator="greaterThan">
      <formula>0</formula>
    </cfRule>
    <cfRule type="cellIs" dxfId="0" priority="1163" operator="lessThan">
      <formula>0</formula>
    </cfRule>
  </conditionalFormatting>
  <conditionalFormatting sqref="KQ22">
    <cfRule type="cellIs" dxfId="4" priority="1157" operator="lessThan">
      <formula>0</formula>
    </cfRule>
    <cfRule type="cellIs" dxfId="0" priority="1151" operator="lessThan">
      <formula>0</formula>
    </cfRule>
    <cfRule type="cellIs" dxfId="0" priority="1145" operator="lessThan">
      <formula>-1</formula>
    </cfRule>
  </conditionalFormatting>
  <conditionalFormatting sqref="LX22">
    <cfRule type="cellIs" dxfId="0" priority="9560" operator="lessThan">
      <formula>0</formula>
    </cfRule>
    <cfRule type="cellIs" dxfId="1" priority="9564" operator="greaterThan">
      <formula>0</formula>
    </cfRule>
    <cfRule type="cellIs" dxfId="0" priority="9568" operator="lessThan">
      <formula>0</formula>
    </cfRule>
    <cfRule type="cellIs" dxfId="1" priority="9572" operator="greaterThan">
      <formula>0</formula>
    </cfRule>
    <cfRule type="cellIs" dxfId="6" priority="9576" operator="lessThan">
      <formula>0</formula>
    </cfRule>
    <cfRule type="cellIs" dxfId="5" priority="9580" operator="greaterThan">
      <formula>1</formula>
    </cfRule>
  </conditionalFormatting>
  <conditionalFormatting sqref="LY22">
    <cfRule type="cellIs" dxfId="0" priority="9584" operator="lessThan">
      <formula>-1</formula>
    </cfRule>
    <cfRule type="cellIs" dxfId="0" priority="9588" operator="lessThan">
      <formula>0</formula>
    </cfRule>
    <cfRule type="cellIs" dxfId="4" priority="9592" operator="lessThan">
      <formula>0</formula>
    </cfRule>
  </conditionalFormatting>
  <conditionalFormatting sqref="NF22">
    <cfRule type="cellIs" dxfId="0" priority="9943" operator="lessThan">
      <formula>0</formula>
    </cfRule>
    <cfRule type="cellIs" dxfId="1" priority="9947" operator="greaterThan">
      <formula>0</formula>
    </cfRule>
    <cfRule type="cellIs" dxfId="0" priority="9951" operator="lessThan">
      <formula>0</formula>
    </cfRule>
    <cfRule type="cellIs" dxfId="1" priority="9955" operator="greaterThan">
      <formula>0</formula>
    </cfRule>
    <cfRule type="cellIs" dxfId="6" priority="9959" operator="lessThan">
      <formula>0</formula>
    </cfRule>
    <cfRule type="cellIs" dxfId="5" priority="9963" operator="greaterThan">
      <formula>1</formula>
    </cfRule>
  </conditionalFormatting>
  <conditionalFormatting sqref="NG22">
    <cfRule type="cellIs" dxfId="0" priority="9967" operator="lessThan">
      <formula>-1</formula>
    </cfRule>
    <cfRule type="cellIs" dxfId="0" priority="9971" operator="lessThan">
      <formula>0</formula>
    </cfRule>
    <cfRule type="cellIs" dxfId="4" priority="9975" operator="lessThan">
      <formula>0</formula>
    </cfRule>
  </conditionalFormatting>
  <conditionalFormatting sqref="X23">
    <cfRule type="cellIs" dxfId="1" priority="6268" operator="greaterThan">
      <formula>0</formula>
    </cfRule>
    <cfRule type="cellIs" dxfId="0" priority="6267" operator="lessThan">
      <formula>0</formula>
    </cfRule>
  </conditionalFormatting>
  <conditionalFormatting sqref="AG23">
    <cfRule type="cellIs" dxfId="5" priority="6395" operator="greaterThan">
      <formula>1</formula>
    </cfRule>
    <cfRule type="cellIs" dxfId="6" priority="6391" operator="lessThan">
      <formula>0</formula>
    </cfRule>
    <cfRule type="cellIs" dxfId="1" priority="6387" operator="greaterThan">
      <formula>0</formula>
    </cfRule>
    <cfRule type="cellIs" dxfId="0" priority="6383" operator="lessThan">
      <formula>0</formula>
    </cfRule>
    <cfRule type="cellIs" dxfId="1" priority="6379" operator="greaterThan">
      <formula>0</formula>
    </cfRule>
    <cfRule type="cellIs" dxfId="0" priority="6375" operator="lessThan">
      <formula>0</formula>
    </cfRule>
  </conditionalFormatting>
  <conditionalFormatting sqref="BE23">
    <cfRule type="cellIs" dxfId="1" priority="5887" operator="greaterThan">
      <formula>0</formula>
    </cfRule>
    <cfRule type="cellIs" dxfId="0" priority="5886" operator="lessThan">
      <formula>0</formula>
    </cfRule>
  </conditionalFormatting>
  <conditionalFormatting sqref="BN23">
    <cfRule type="cellIs" dxfId="5" priority="6002" operator="greaterThan">
      <formula>1</formula>
    </cfRule>
    <cfRule type="cellIs" dxfId="6" priority="5998" operator="lessThan">
      <formula>0</formula>
    </cfRule>
    <cfRule type="cellIs" dxfId="1" priority="5994" operator="greaterThan">
      <formula>0</formula>
    </cfRule>
    <cfRule type="cellIs" dxfId="0" priority="5990" operator="lessThan">
      <formula>0</formula>
    </cfRule>
    <cfRule type="cellIs" dxfId="1" priority="5986" operator="greaterThan">
      <formula>0</formula>
    </cfRule>
    <cfRule type="cellIs" dxfId="0" priority="5982" operator="lessThan">
      <formula>0</formula>
    </cfRule>
  </conditionalFormatting>
  <conditionalFormatting sqref="CL23">
    <cfRule type="cellIs" dxfId="1" priority="5160" operator="greaterThan">
      <formula>0</formula>
    </cfRule>
    <cfRule type="cellIs" dxfId="0" priority="5159" operator="lessThan">
      <formula>0</formula>
    </cfRule>
  </conditionalFormatting>
  <conditionalFormatting sqref="CU23">
    <cfRule type="cellIs" dxfId="5" priority="5269" operator="greaterThan">
      <formula>1</formula>
    </cfRule>
    <cfRule type="cellIs" dxfId="6" priority="5265" operator="lessThan">
      <formula>0</formula>
    </cfRule>
    <cfRule type="cellIs" dxfId="1" priority="5261" operator="greaterThan">
      <formula>0</formula>
    </cfRule>
    <cfRule type="cellIs" dxfId="0" priority="5257" operator="lessThan">
      <formula>0</formula>
    </cfRule>
    <cfRule type="cellIs" dxfId="1" priority="5253" operator="greaterThan">
      <formula>0</formula>
    </cfRule>
    <cfRule type="cellIs" dxfId="0" priority="5249" operator="lessThan">
      <formula>0</formula>
    </cfRule>
  </conditionalFormatting>
  <conditionalFormatting sqref="DS23">
    <cfRule type="cellIs" dxfId="1" priority="4771" operator="greaterThan">
      <formula>0</formula>
    </cfRule>
    <cfRule type="cellIs" dxfId="0" priority="4770" operator="lessThan">
      <formula>0</formula>
    </cfRule>
  </conditionalFormatting>
  <conditionalFormatting sqref="EB23">
    <cfRule type="cellIs" dxfId="5" priority="4880" operator="greaterThan">
      <formula>1</formula>
    </cfRule>
    <cfRule type="cellIs" dxfId="6" priority="4876" operator="lessThan">
      <formula>0</formula>
    </cfRule>
    <cfRule type="cellIs" dxfId="1" priority="4872" operator="greaterThan">
      <formula>0</formula>
    </cfRule>
    <cfRule type="cellIs" dxfId="0" priority="4868" operator="lessThan">
      <formula>0</formula>
    </cfRule>
    <cfRule type="cellIs" dxfId="1" priority="4864" operator="greaterThan">
      <formula>0</formula>
    </cfRule>
    <cfRule type="cellIs" dxfId="0" priority="4860" operator="lessThan">
      <formula>0</formula>
    </cfRule>
  </conditionalFormatting>
  <conditionalFormatting sqref="EY23">
    <cfRule type="cellIs" dxfId="1" priority="3679" operator="greaterThan">
      <formula>0</formula>
    </cfRule>
    <cfRule type="cellIs" dxfId="0" priority="3672" operator="lessThan">
      <formula>0</formula>
    </cfRule>
  </conditionalFormatting>
  <conditionalFormatting sqref="EZ23">
    <cfRule type="cellIs" dxfId="1" priority="3637" operator="greaterThan">
      <formula>0</formula>
    </cfRule>
    <cfRule type="cellIs" dxfId="0" priority="3630" operator="lessThan">
      <formula>0</formula>
    </cfRule>
  </conditionalFormatting>
  <conditionalFormatting sqref="FA23">
    <cfRule type="cellIs" dxfId="1" priority="3546" operator="greaterThan">
      <formula>0</formula>
    </cfRule>
    <cfRule type="cellIs" dxfId="0" priority="3539" operator="lessThan">
      <formula>0</formula>
    </cfRule>
  </conditionalFormatting>
  <conditionalFormatting sqref="FF23">
    <cfRule type="cellIs" dxfId="1" priority="3560" operator="greaterThan">
      <formula>0</formula>
    </cfRule>
    <cfRule type="cellIs" dxfId="0" priority="3553" operator="lessThan">
      <formula>0</formula>
    </cfRule>
  </conditionalFormatting>
  <conditionalFormatting sqref="FG23">
    <cfRule type="cellIs" dxfId="1" priority="3651" operator="greaterThan">
      <formula>0</formula>
    </cfRule>
    <cfRule type="cellIs" dxfId="0" priority="3644" operator="lessThan">
      <formula>0</formula>
    </cfRule>
  </conditionalFormatting>
  <conditionalFormatting sqref="FH23">
    <cfRule type="cellIs" dxfId="1" priority="3665" operator="greaterThan">
      <formula>0</formula>
    </cfRule>
    <cfRule type="cellIs" dxfId="0" priority="3658" operator="lessThan">
      <formula>0</formula>
    </cfRule>
  </conditionalFormatting>
  <conditionalFormatting sqref="FI23">
    <cfRule type="cellIs" dxfId="5" priority="3623" operator="greaterThan">
      <formula>1</formula>
    </cfRule>
    <cfRule type="cellIs" dxfId="6" priority="3616" operator="lessThan">
      <formula>0</formula>
    </cfRule>
    <cfRule type="cellIs" dxfId="1" priority="3609" operator="greaterThan">
      <formula>0</formula>
    </cfRule>
    <cfRule type="cellIs" dxfId="0" priority="3602" operator="lessThan">
      <formula>0</formula>
    </cfRule>
    <cfRule type="cellIs" dxfId="1" priority="3595" operator="greaterThan">
      <formula>0</formula>
    </cfRule>
    <cfRule type="cellIs" dxfId="0" priority="3588" operator="lessThan">
      <formula>0</formula>
    </cfRule>
  </conditionalFormatting>
  <conditionalFormatting sqref="FJ23">
    <cfRule type="cellIs" dxfId="4" priority="3581" operator="lessThan">
      <formula>0</formula>
    </cfRule>
    <cfRule type="cellIs" dxfId="0" priority="3574" operator="lessThan">
      <formula>0</formula>
    </cfRule>
    <cfRule type="cellIs" dxfId="0" priority="3567" operator="lessThan">
      <formula>-1</formula>
    </cfRule>
  </conditionalFormatting>
  <conditionalFormatting sqref="FR23">
    <cfRule type="cellIs" dxfId="2" priority="2929" operator="greaterThan">
      <formula>0</formula>
    </cfRule>
    <cfRule type="cellIs" dxfId="3" priority="2928" operator="lessThan">
      <formula>0</formula>
    </cfRule>
  </conditionalFormatting>
  <conditionalFormatting sqref="GH23">
    <cfRule type="cellIs" dxfId="1" priority="3126" operator="greaterThan">
      <formula>0</formula>
    </cfRule>
    <cfRule type="cellIs" dxfId="0" priority="3119" operator="lessThan">
      <formula>0</formula>
    </cfRule>
  </conditionalFormatting>
  <conditionalFormatting sqref="GI23">
    <cfRule type="cellIs" dxfId="1" priority="3084" operator="greaterThan">
      <formula>0</formula>
    </cfRule>
    <cfRule type="cellIs" dxfId="0" priority="3077" operator="lessThan">
      <formula>0</formula>
    </cfRule>
  </conditionalFormatting>
  <conditionalFormatting sqref="GJ23">
    <cfRule type="cellIs" dxfId="1" priority="2993" operator="greaterThan">
      <formula>0</formula>
    </cfRule>
    <cfRule type="cellIs" dxfId="0" priority="2986" operator="lessThan">
      <formula>0</formula>
    </cfRule>
  </conditionalFormatting>
  <conditionalFormatting sqref="GO23">
    <cfRule type="cellIs" dxfId="1" priority="3007" operator="greaterThan">
      <formula>0</formula>
    </cfRule>
    <cfRule type="cellIs" dxfId="0" priority="3000" operator="lessThan">
      <formula>0</formula>
    </cfRule>
  </conditionalFormatting>
  <conditionalFormatting sqref="GP23">
    <cfRule type="cellIs" dxfId="1" priority="3098" operator="greaterThan">
      <formula>0</formula>
    </cfRule>
    <cfRule type="cellIs" dxfId="0" priority="3091" operator="lessThan">
      <formula>0</formula>
    </cfRule>
  </conditionalFormatting>
  <conditionalFormatting sqref="GQ23">
    <cfRule type="cellIs" dxfId="1" priority="3112" operator="greaterThan">
      <formula>0</formula>
    </cfRule>
    <cfRule type="cellIs" dxfId="0" priority="3105" operator="lessThan">
      <formula>0</formula>
    </cfRule>
  </conditionalFormatting>
  <conditionalFormatting sqref="GR23">
    <cfRule type="cellIs" dxfId="5" priority="3070" operator="greaterThan">
      <formula>1</formula>
    </cfRule>
    <cfRule type="cellIs" dxfId="6" priority="3063" operator="lessThan">
      <formula>0</formula>
    </cfRule>
    <cfRule type="cellIs" dxfId="1" priority="3056" operator="greaterThan">
      <formula>0</formula>
    </cfRule>
    <cfRule type="cellIs" dxfId="0" priority="3049" operator="lessThan">
      <formula>0</formula>
    </cfRule>
    <cfRule type="cellIs" dxfId="1" priority="3042" operator="greaterThan">
      <formula>0</formula>
    </cfRule>
    <cfRule type="cellIs" dxfId="0" priority="3035" operator="lessThan">
      <formula>0</formula>
    </cfRule>
  </conditionalFormatting>
  <conditionalFormatting sqref="GS23">
    <cfRule type="cellIs" dxfId="4" priority="3028" operator="lessThan">
      <formula>0</formula>
    </cfRule>
    <cfRule type="cellIs" dxfId="0" priority="3021" operator="lessThan">
      <formula>0</formula>
    </cfRule>
    <cfRule type="cellIs" dxfId="0" priority="3014" operator="lessThan">
      <formula>-1</formula>
    </cfRule>
  </conditionalFormatting>
  <conditionalFormatting sqref="HP23">
    <cfRule type="cellIs" dxfId="1" priority="2622" operator="greaterThan">
      <formula>0</formula>
    </cfRule>
    <cfRule type="cellIs" dxfId="0" priority="2615" operator="lessThan">
      <formula>0</formula>
    </cfRule>
  </conditionalFormatting>
  <conditionalFormatting sqref="HQ23">
    <cfRule type="cellIs" dxfId="1" priority="2580" operator="greaterThan">
      <formula>0</formula>
    </cfRule>
    <cfRule type="cellIs" dxfId="0" priority="2573" operator="lessThan">
      <formula>0</formula>
    </cfRule>
  </conditionalFormatting>
  <conditionalFormatting sqref="HR23">
    <cfRule type="cellIs" dxfId="1" priority="2489" operator="greaterThan">
      <formula>0</formula>
    </cfRule>
    <cfRule type="cellIs" dxfId="0" priority="2482" operator="lessThan">
      <formula>0</formula>
    </cfRule>
  </conditionalFormatting>
  <conditionalFormatting sqref="HW23">
    <cfRule type="cellIs" dxfId="1" priority="2503" operator="greaterThan">
      <formula>0</formula>
    </cfRule>
    <cfRule type="cellIs" dxfId="0" priority="2496" operator="lessThan">
      <formula>0</formula>
    </cfRule>
  </conditionalFormatting>
  <conditionalFormatting sqref="HX23">
    <cfRule type="cellIs" dxfId="1" priority="2594" operator="greaterThan">
      <formula>0</formula>
    </cfRule>
    <cfRule type="cellIs" dxfId="0" priority="2587" operator="lessThan">
      <formula>0</formula>
    </cfRule>
  </conditionalFormatting>
  <conditionalFormatting sqref="HY23">
    <cfRule type="cellIs" dxfId="1" priority="2608" operator="greaterThan">
      <formula>0</formula>
    </cfRule>
    <cfRule type="cellIs" dxfId="0" priority="2601" operator="lessThan">
      <formula>0</formula>
    </cfRule>
  </conditionalFormatting>
  <conditionalFormatting sqref="HZ23">
    <cfRule type="cellIs" dxfId="5" priority="2566" operator="greaterThan">
      <formula>1</formula>
    </cfRule>
    <cfRule type="cellIs" dxfId="6" priority="2559" operator="lessThan">
      <formula>0</formula>
    </cfRule>
    <cfRule type="cellIs" dxfId="1" priority="2552" operator="greaterThan">
      <formula>0</formula>
    </cfRule>
    <cfRule type="cellIs" dxfId="0" priority="2545" operator="lessThan">
      <formula>0</formula>
    </cfRule>
    <cfRule type="cellIs" dxfId="1" priority="2538" operator="greaterThan">
      <formula>0</formula>
    </cfRule>
    <cfRule type="cellIs" dxfId="0" priority="2531" operator="lessThan">
      <formula>0</formula>
    </cfRule>
  </conditionalFormatting>
  <conditionalFormatting sqref="IA23">
    <cfRule type="cellIs" dxfId="4" priority="2524" operator="lessThan">
      <formula>0</formula>
    </cfRule>
    <cfRule type="cellIs" dxfId="0" priority="2517" operator="lessThan">
      <formula>0</formula>
    </cfRule>
    <cfRule type="cellIs" dxfId="0" priority="2510" operator="lessThan">
      <formula>-1</formula>
    </cfRule>
  </conditionalFormatting>
  <conditionalFormatting sqref="IH23">
    <cfRule type="cellIs" dxfId="2" priority="1736" operator="greaterThan">
      <formula>0</formula>
    </cfRule>
    <cfRule type="cellIs" dxfId="3" priority="1735" operator="lessThan">
      <formula>0</formula>
    </cfRule>
  </conditionalFormatting>
  <conditionalFormatting sqref="IP23">
    <cfRule type="cellIs" dxfId="2" priority="1720" operator="greaterThan">
      <formula>0</formula>
    </cfRule>
    <cfRule type="cellIs" dxfId="3" priority="1719" operator="lessThan">
      <formula>0</formula>
    </cfRule>
  </conditionalFormatting>
  <conditionalFormatting sqref="IX23">
    <cfRule type="cellIs" dxfId="1" priority="2110" operator="greaterThan">
      <formula>0</formula>
    </cfRule>
    <cfRule type="cellIs" dxfId="0" priority="2102" operator="lessThan">
      <formula>0</formula>
    </cfRule>
  </conditionalFormatting>
  <conditionalFormatting sqref="IY23">
    <cfRule type="cellIs" dxfId="1" priority="2062" operator="greaterThan">
      <formula>0</formula>
    </cfRule>
    <cfRule type="cellIs" dxfId="0" priority="2054" operator="lessThan">
      <formula>0</formula>
    </cfRule>
  </conditionalFormatting>
  <conditionalFormatting sqref="IZ23">
    <cfRule type="cellIs" dxfId="1" priority="1958" operator="greaterThan">
      <formula>0</formula>
    </cfRule>
    <cfRule type="cellIs" dxfId="0" priority="1950" operator="lessThan">
      <formula>0</formula>
    </cfRule>
  </conditionalFormatting>
  <conditionalFormatting sqref="JE23">
    <cfRule type="cellIs" dxfId="1" priority="1974" operator="greaterThan">
      <formula>0</formula>
    </cfRule>
    <cfRule type="cellIs" dxfId="0" priority="1966" operator="lessThan">
      <formula>0</formula>
    </cfRule>
  </conditionalFormatting>
  <conditionalFormatting sqref="JF23">
    <cfRule type="cellIs" dxfId="1" priority="2078" operator="greaterThan">
      <formula>0</formula>
    </cfRule>
    <cfRule type="cellIs" dxfId="0" priority="2070" operator="lessThan">
      <formula>0</formula>
    </cfRule>
  </conditionalFormatting>
  <conditionalFormatting sqref="JG23">
    <cfRule type="cellIs" dxfId="1" priority="2094" operator="greaterThan">
      <formula>0</formula>
    </cfRule>
    <cfRule type="cellIs" dxfId="0" priority="2086" operator="lessThan">
      <formula>0</formula>
    </cfRule>
  </conditionalFormatting>
  <conditionalFormatting sqref="JH23">
    <cfRule type="cellIs" dxfId="5" priority="2046" operator="greaterThan">
      <formula>1</formula>
    </cfRule>
    <cfRule type="cellIs" dxfId="6" priority="2038" operator="lessThan">
      <formula>0</formula>
    </cfRule>
    <cfRule type="cellIs" dxfId="1" priority="2030" operator="greaterThan">
      <formula>0</formula>
    </cfRule>
    <cfRule type="cellIs" dxfId="0" priority="2022" operator="lessThan">
      <formula>0</formula>
    </cfRule>
    <cfRule type="cellIs" dxfId="1" priority="2014" operator="greaterThan">
      <formula>0</formula>
    </cfRule>
    <cfRule type="cellIs" dxfId="0" priority="2006" operator="lessThan">
      <formula>0</formula>
    </cfRule>
  </conditionalFormatting>
  <conditionalFormatting sqref="JI23">
    <cfRule type="cellIs" dxfId="4" priority="1998" operator="lessThan">
      <formula>0</formula>
    </cfRule>
    <cfRule type="cellIs" dxfId="0" priority="1990" operator="lessThan">
      <formula>0</formula>
    </cfRule>
    <cfRule type="cellIs" dxfId="0" priority="1982" operator="lessThan">
      <formula>-1</formula>
    </cfRule>
  </conditionalFormatting>
  <conditionalFormatting sqref="KF23">
    <cfRule type="cellIs" dxfId="1" priority="1240" operator="greaterThan">
      <formula>0</formula>
    </cfRule>
    <cfRule type="cellIs" dxfId="0" priority="1234" operator="lessThan">
      <formula>0</formula>
    </cfRule>
  </conditionalFormatting>
  <conditionalFormatting sqref="KG23">
    <cfRule type="cellIs" dxfId="1" priority="1204" operator="greaterThan">
      <formula>0</formula>
    </cfRule>
    <cfRule type="cellIs" dxfId="0" priority="1198" operator="lessThan">
      <formula>0</formula>
    </cfRule>
  </conditionalFormatting>
  <conditionalFormatting sqref="KH23">
    <cfRule type="cellIs" dxfId="1" priority="1126" operator="greaterThan">
      <formula>0</formula>
    </cfRule>
    <cfRule type="cellIs" dxfId="0" priority="1120" operator="lessThan">
      <formula>0</formula>
    </cfRule>
  </conditionalFormatting>
  <conditionalFormatting sqref="KM23">
    <cfRule type="cellIs" dxfId="1" priority="1138" operator="greaterThan">
      <formula>0</formula>
    </cfRule>
    <cfRule type="cellIs" dxfId="0" priority="1132" operator="lessThan">
      <formula>0</formula>
    </cfRule>
  </conditionalFormatting>
  <conditionalFormatting sqref="KN23">
    <cfRule type="cellIs" dxfId="1" priority="1216" operator="greaterThan">
      <formula>0</formula>
    </cfRule>
    <cfRule type="cellIs" dxfId="0" priority="1210" operator="lessThan">
      <formula>0</formula>
    </cfRule>
  </conditionalFormatting>
  <conditionalFormatting sqref="KO23">
    <cfRule type="cellIs" dxfId="1" priority="1228" operator="greaterThan">
      <formula>0</formula>
    </cfRule>
    <cfRule type="cellIs" dxfId="0" priority="1222" operator="lessThan">
      <formula>0</formula>
    </cfRule>
  </conditionalFormatting>
  <conditionalFormatting sqref="KP23">
    <cfRule type="cellIs" dxfId="5" priority="1192" operator="greaterThan">
      <formula>1</formula>
    </cfRule>
    <cfRule type="cellIs" dxfId="6" priority="1186" operator="lessThan">
      <formula>0</formula>
    </cfRule>
    <cfRule type="cellIs" dxfId="1" priority="1180" operator="greaterThan">
      <formula>0</formula>
    </cfRule>
    <cfRule type="cellIs" dxfId="0" priority="1174" operator="lessThan">
      <formula>0</formula>
    </cfRule>
    <cfRule type="cellIs" dxfId="1" priority="1168" operator="greaterThan">
      <formula>0</formula>
    </cfRule>
    <cfRule type="cellIs" dxfId="0" priority="1162" operator="lessThan">
      <formula>0</formula>
    </cfRule>
  </conditionalFormatting>
  <conditionalFormatting sqref="KQ23">
    <cfRule type="cellIs" dxfId="4" priority="1156" operator="lessThan">
      <formula>0</formula>
    </cfRule>
    <cfRule type="cellIs" dxfId="0" priority="1150" operator="lessThan">
      <formula>0</formula>
    </cfRule>
    <cfRule type="cellIs" dxfId="0" priority="1144" operator="lessThan">
      <formula>-1</formula>
    </cfRule>
  </conditionalFormatting>
  <conditionalFormatting sqref="LX23">
    <cfRule type="cellIs" dxfId="0" priority="9559" operator="lessThan">
      <formula>0</formula>
    </cfRule>
    <cfRule type="cellIs" dxfId="1" priority="9563" operator="greaterThan">
      <formula>0</formula>
    </cfRule>
    <cfRule type="cellIs" dxfId="0" priority="9567" operator="lessThan">
      <formula>0</formula>
    </cfRule>
    <cfRule type="cellIs" dxfId="1" priority="9571" operator="greaterThan">
      <formula>0</formula>
    </cfRule>
    <cfRule type="cellIs" dxfId="6" priority="9575" operator="lessThan">
      <formula>0</formula>
    </cfRule>
    <cfRule type="cellIs" dxfId="5" priority="9579" operator="greaterThan">
      <formula>1</formula>
    </cfRule>
  </conditionalFormatting>
  <conditionalFormatting sqref="LY23">
    <cfRule type="cellIs" dxfId="0" priority="9583" operator="lessThan">
      <formula>-1</formula>
    </cfRule>
    <cfRule type="cellIs" dxfId="0" priority="9587" operator="lessThan">
      <formula>0</formula>
    </cfRule>
    <cfRule type="cellIs" dxfId="4" priority="9591" operator="lessThan">
      <formula>0</formula>
    </cfRule>
  </conditionalFormatting>
  <conditionalFormatting sqref="NF23">
    <cfRule type="cellIs" dxfId="0" priority="9942" operator="lessThan">
      <formula>0</formula>
    </cfRule>
    <cfRule type="cellIs" dxfId="1" priority="9946" operator="greaterThan">
      <formula>0</formula>
    </cfRule>
    <cfRule type="cellIs" dxfId="0" priority="9950" operator="lessThan">
      <formula>0</formula>
    </cfRule>
    <cfRule type="cellIs" dxfId="1" priority="9954" operator="greaterThan">
      <formula>0</formula>
    </cfRule>
    <cfRule type="cellIs" dxfId="6" priority="9958" operator="lessThan">
      <formula>0</formula>
    </cfRule>
    <cfRule type="cellIs" dxfId="5" priority="9962" operator="greaterThan">
      <formula>1</formula>
    </cfRule>
  </conditionalFormatting>
  <conditionalFormatting sqref="NG23">
    <cfRule type="cellIs" dxfId="0" priority="9966" operator="lessThan">
      <formula>-1</formula>
    </cfRule>
    <cfRule type="cellIs" dxfId="0" priority="9970" operator="lessThan">
      <formula>0</formula>
    </cfRule>
    <cfRule type="cellIs" dxfId="4" priority="9974" operator="lessThan">
      <formula>0</formula>
    </cfRule>
  </conditionalFormatting>
  <conditionalFormatting sqref="EY24">
    <cfRule type="cellIs" dxfId="1" priority="3678" operator="greaterThan">
      <formula>0</formula>
    </cfRule>
    <cfRule type="cellIs" dxfId="0" priority="3671" operator="lessThan">
      <formula>0</formula>
    </cfRule>
  </conditionalFormatting>
  <conditionalFormatting sqref="EZ24">
    <cfRule type="cellIs" dxfId="1" priority="3636" operator="greaterThan">
      <formula>0</formula>
    </cfRule>
    <cfRule type="cellIs" dxfId="0" priority="3629" operator="lessThan">
      <formula>0</formula>
    </cfRule>
  </conditionalFormatting>
  <conditionalFormatting sqref="FA24">
    <cfRule type="cellIs" dxfId="1" priority="3545" operator="greaterThan">
      <formula>0</formula>
    </cfRule>
    <cfRule type="cellIs" dxfId="0" priority="3538" operator="lessThan">
      <formula>0</formula>
    </cfRule>
  </conditionalFormatting>
  <conditionalFormatting sqref="FF24">
    <cfRule type="cellIs" dxfId="1" priority="3559" operator="greaterThan">
      <formula>0</formula>
    </cfRule>
    <cfRule type="cellIs" dxfId="0" priority="3552" operator="lessThan">
      <formula>0</formula>
    </cfRule>
  </conditionalFormatting>
  <conditionalFormatting sqref="FG24">
    <cfRule type="cellIs" dxfId="1" priority="3650" operator="greaterThan">
      <formula>0</formula>
    </cfRule>
    <cfRule type="cellIs" dxfId="0" priority="3643" operator="lessThan">
      <formula>0</formula>
    </cfRule>
  </conditionalFormatting>
  <conditionalFormatting sqref="FH24">
    <cfRule type="cellIs" dxfId="1" priority="3664" operator="greaterThan">
      <formula>0</formula>
    </cfRule>
    <cfRule type="cellIs" dxfId="0" priority="3657" operator="lessThan">
      <formula>0</formula>
    </cfRule>
  </conditionalFormatting>
  <conditionalFormatting sqref="FI24">
    <cfRule type="cellIs" dxfId="5" priority="3622" operator="greaterThan">
      <formula>1</formula>
    </cfRule>
    <cfRule type="cellIs" dxfId="6" priority="3615" operator="lessThan">
      <formula>0</formula>
    </cfRule>
    <cfRule type="cellIs" dxfId="1" priority="3608" operator="greaterThan">
      <formula>0</formula>
    </cfRule>
    <cfRule type="cellIs" dxfId="0" priority="3601" operator="lessThan">
      <formula>0</formula>
    </cfRule>
    <cfRule type="cellIs" dxfId="1" priority="3594" operator="greaterThan">
      <formula>0</formula>
    </cfRule>
    <cfRule type="cellIs" dxfId="0" priority="3587" operator="lessThan">
      <formula>0</formula>
    </cfRule>
  </conditionalFormatting>
  <conditionalFormatting sqref="FJ24">
    <cfRule type="cellIs" dxfId="4" priority="3580" operator="lessThan">
      <formula>0</formula>
    </cfRule>
    <cfRule type="cellIs" dxfId="0" priority="3573" operator="lessThan">
      <formula>0</formula>
    </cfRule>
    <cfRule type="cellIs" dxfId="0" priority="3566" operator="lessThan">
      <formula>-1</formula>
    </cfRule>
  </conditionalFormatting>
  <conditionalFormatting sqref="GH24">
    <cfRule type="cellIs" dxfId="1" priority="3125" operator="greaterThan">
      <formula>0</formula>
    </cfRule>
    <cfRule type="cellIs" dxfId="0" priority="3118" operator="lessThan">
      <formula>0</formula>
    </cfRule>
  </conditionalFormatting>
  <conditionalFormatting sqref="GI24">
    <cfRule type="cellIs" dxfId="1" priority="3083" operator="greaterThan">
      <formula>0</formula>
    </cfRule>
    <cfRule type="cellIs" dxfId="0" priority="3076" operator="lessThan">
      <formula>0</formula>
    </cfRule>
  </conditionalFormatting>
  <conditionalFormatting sqref="GJ24">
    <cfRule type="cellIs" dxfId="1" priority="2992" operator="greaterThan">
      <formula>0</formula>
    </cfRule>
    <cfRule type="cellIs" dxfId="0" priority="2985" operator="lessThan">
      <formula>0</formula>
    </cfRule>
  </conditionalFormatting>
  <conditionalFormatting sqref="GO24">
    <cfRule type="cellIs" dxfId="1" priority="3006" operator="greaterThan">
      <formula>0</formula>
    </cfRule>
    <cfRule type="cellIs" dxfId="0" priority="2999" operator="lessThan">
      <formula>0</formula>
    </cfRule>
  </conditionalFormatting>
  <conditionalFormatting sqref="GP24">
    <cfRule type="cellIs" dxfId="1" priority="3097" operator="greaterThan">
      <formula>0</formula>
    </cfRule>
    <cfRule type="cellIs" dxfId="0" priority="3090" operator="lessThan">
      <formula>0</formula>
    </cfRule>
  </conditionalFormatting>
  <conditionalFormatting sqref="GQ24">
    <cfRule type="cellIs" dxfId="1" priority="3111" operator="greaterThan">
      <formula>0</formula>
    </cfRule>
    <cfRule type="cellIs" dxfId="0" priority="3104" operator="lessThan">
      <formula>0</formula>
    </cfRule>
  </conditionalFormatting>
  <conditionalFormatting sqref="GR24">
    <cfRule type="cellIs" dxfId="5" priority="3069" operator="greaterThan">
      <formula>1</formula>
    </cfRule>
    <cfRule type="cellIs" dxfId="6" priority="3062" operator="lessThan">
      <formula>0</formula>
    </cfRule>
    <cfRule type="cellIs" dxfId="1" priority="3055" operator="greaterThan">
      <formula>0</formula>
    </cfRule>
    <cfRule type="cellIs" dxfId="0" priority="3048" operator="lessThan">
      <formula>0</formula>
    </cfRule>
    <cfRule type="cellIs" dxfId="1" priority="3041" operator="greaterThan">
      <formula>0</formula>
    </cfRule>
    <cfRule type="cellIs" dxfId="0" priority="3034" operator="lessThan">
      <formula>0</formula>
    </cfRule>
  </conditionalFormatting>
  <conditionalFormatting sqref="GS24">
    <cfRule type="cellIs" dxfId="4" priority="3027" operator="lessThan">
      <formula>0</formula>
    </cfRule>
    <cfRule type="cellIs" dxfId="0" priority="3020" operator="lessThan">
      <formula>0</formula>
    </cfRule>
    <cfRule type="cellIs" dxfId="0" priority="3013" operator="lessThan">
      <formula>-1</formula>
    </cfRule>
  </conditionalFormatting>
  <conditionalFormatting sqref="HP24">
    <cfRule type="cellIs" dxfId="1" priority="2621" operator="greaterThan">
      <formula>0</formula>
    </cfRule>
    <cfRule type="cellIs" dxfId="0" priority="2614" operator="lessThan">
      <formula>0</formula>
    </cfRule>
  </conditionalFormatting>
  <conditionalFormatting sqref="HQ24">
    <cfRule type="cellIs" dxfId="1" priority="2579" operator="greaterThan">
      <formula>0</formula>
    </cfRule>
    <cfRule type="cellIs" dxfId="0" priority="2572" operator="lessThan">
      <formula>0</formula>
    </cfRule>
  </conditionalFormatting>
  <conditionalFormatting sqref="HR24">
    <cfRule type="cellIs" dxfId="1" priority="2488" operator="greaterThan">
      <formula>0</formula>
    </cfRule>
    <cfRule type="cellIs" dxfId="0" priority="2481" operator="lessThan">
      <formula>0</formula>
    </cfRule>
  </conditionalFormatting>
  <conditionalFormatting sqref="HW24">
    <cfRule type="cellIs" dxfId="1" priority="2502" operator="greaterThan">
      <formula>0</formula>
    </cfRule>
    <cfRule type="cellIs" dxfId="0" priority="2495" operator="lessThan">
      <formula>0</formula>
    </cfRule>
  </conditionalFormatting>
  <conditionalFormatting sqref="HX24">
    <cfRule type="cellIs" dxfId="1" priority="2593" operator="greaterThan">
      <formula>0</formula>
    </cfRule>
    <cfRule type="cellIs" dxfId="0" priority="2586" operator="lessThan">
      <formula>0</formula>
    </cfRule>
  </conditionalFormatting>
  <conditionalFormatting sqref="HY24">
    <cfRule type="cellIs" dxfId="1" priority="2607" operator="greaterThan">
      <formula>0</formula>
    </cfRule>
    <cfRule type="cellIs" dxfId="0" priority="2600" operator="lessThan">
      <formula>0</formula>
    </cfRule>
  </conditionalFormatting>
  <conditionalFormatting sqref="HZ24">
    <cfRule type="cellIs" dxfId="5" priority="2565" operator="greaterThan">
      <formula>1</formula>
    </cfRule>
    <cfRule type="cellIs" dxfId="6" priority="2558" operator="lessThan">
      <formula>0</formula>
    </cfRule>
    <cfRule type="cellIs" dxfId="1" priority="2551" operator="greaterThan">
      <formula>0</formula>
    </cfRule>
    <cfRule type="cellIs" dxfId="0" priority="2544" operator="lessThan">
      <formula>0</formula>
    </cfRule>
    <cfRule type="cellIs" dxfId="1" priority="2537" operator="greaterThan">
      <formula>0</formula>
    </cfRule>
    <cfRule type="cellIs" dxfId="0" priority="2530" operator="lessThan">
      <formula>0</formula>
    </cfRule>
  </conditionalFormatting>
  <conditionalFormatting sqref="IA24">
    <cfRule type="cellIs" dxfId="4" priority="2523" operator="lessThan">
      <formula>0</formula>
    </cfRule>
    <cfRule type="cellIs" dxfId="0" priority="2516" operator="lessThan">
      <formula>0</formula>
    </cfRule>
    <cfRule type="cellIs" dxfId="0" priority="2509" operator="lessThan">
      <formula>-1</formula>
    </cfRule>
  </conditionalFormatting>
  <conditionalFormatting sqref="IX24">
    <cfRule type="cellIs" dxfId="1" priority="2109" operator="greaterThan">
      <formula>0</formula>
    </cfRule>
    <cfRule type="cellIs" dxfId="0" priority="2101" operator="lessThan">
      <formula>0</formula>
    </cfRule>
  </conditionalFormatting>
  <conditionalFormatting sqref="IY24">
    <cfRule type="cellIs" dxfId="1" priority="2061" operator="greaterThan">
      <formula>0</formula>
    </cfRule>
    <cfRule type="cellIs" dxfId="0" priority="2053" operator="lessThan">
      <formula>0</formula>
    </cfRule>
  </conditionalFormatting>
  <conditionalFormatting sqref="IZ24">
    <cfRule type="cellIs" dxfId="1" priority="1957" operator="greaterThan">
      <formula>0</formula>
    </cfRule>
    <cfRule type="cellIs" dxfId="0" priority="1949" operator="lessThan">
      <formula>0</formula>
    </cfRule>
  </conditionalFormatting>
  <conditionalFormatting sqref="JE24">
    <cfRule type="cellIs" dxfId="1" priority="1973" operator="greaterThan">
      <formula>0</formula>
    </cfRule>
    <cfRule type="cellIs" dxfId="0" priority="1965" operator="lessThan">
      <formula>0</formula>
    </cfRule>
  </conditionalFormatting>
  <conditionalFormatting sqref="JF24">
    <cfRule type="cellIs" dxfId="1" priority="2077" operator="greaterThan">
      <formula>0</formula>
    </cfRule>
    <cfRule type="cellIs" dxfId="0" priority="2069" operator="lessThan">
      <formula>0</formula>
    </cfRule>
  </conditionalFormatting>
  <conditionalFormatting sqref="JG24">
    <cfRule type="cellIs" dxfId="1" priority="2093" operator="greaterThan">
      <formula>0</formula>
    </cfRule>
    <cfRule type="cellIs" dxfId="0" priority="2085" operator="lessThan">
      <formula>0</formula>
    </cfRule>
  </conditionalFormatting>
  <conditionalFormatting sqref="JH24">
    <cfRule type="cellIs" dxfId="5" priority="2045" operator="greaterThan">
      <formula>1</formula>
    </cfRule>
    <cfRule type="cellIs" dxfId="6" priority="2037" operator="lessThan">
      <formula>0</formula>
    </cfRule>
    <cfRule type="cellIs" dxfId="1" priority="2029" operator="greaterThan">
      <formula>0</formula>
    </cfRule>
    <cfRule type="cellIs" dxfId="0" priority="2021" operator="lessThan">
      <formula>0</formula>
    </cfRule>
    <cfRule type="cellIs" dxfId="1" priority="2013" operator="greaterThan">
      <formula>0</formula>
    </cfRule>
    <cfRule type="cellIs" dxfId="0" priority="2005" operator="lessThan">
      <formula>0</formula>
    </cfRule>
  </conditionalFormatting>
  <conditionalFormatting sqref="JI24">
    <cfRule type="cellIs" dxfId="4" priority="1997" operator="lessThan">
      <formula>0</formula>
    </cfRule>
    <cfRule type="cellIs" dxfId="0" priority="1989" operator="lessThan">
      <formula>0</formula>
    </cfRule>
    <cfRule type="cellIs" dxfId="0" priority="1981" operator="lessThan">
      <formula>-1</formula>
    </cfRule>
  </conditionalFormatting>
  <conditionalFormatting sqref="KF24">
    <cfRule type="cellIs" dxfId="1" priority="1239" operator="greaterThan">
      <formula>0</formula>
    </cfRule>
    <cfRule type="cellIs" dxfId="0" priority="1233" operator="lessThan">
      <formula>0</formula>
    </cfRule>
  </conditionalFormatting>
  <conditionalFormatting sqref="KG24">
    <cfRule type="cellIs" dxfId="1" priority="1203" operator="greaterThan">
      <formula>0</formula>
    </cfRule>
    <cfRule type="cellIs" dxfId="0" priority="1197" operator="lessThan">
      <formula>0</formula>
    </cfRule>
  </conditionalFormatting>
  <conditionalFormatting sqref="KH24">
    <cfRule type="cellIs" dxfId="1" priority="1125" operator="greaterThan">
      <formula>0</formula>
    </cfRule>
    <cfRule type="cellIs" dxfId="0" priority="1119" operator="lessThan">
      <formula>0</formula>
    </cfRule>
  </conditionalFormatting>
  <conditionalFormatting sqref="KM24">
    <cfRule type="cellIs" dxfId="1" priority="1137" operator="greaterThan">
      <formula>0</formula>
    </cfRule>
    <cfRule type="cellIs" dxfId="0" priority="1131" operator="lessThan">
      <formula>0</formula>
    </cfRule>
  </conditionalFormatting>
  <conditionalFormatting sqref="KN24">
    <cfRule type="cellIs" dxfId="1" priority="1215" operator="greaterThan">
      <formula>0</formula>
    </cfRule>
    <cfRule type="cellIs" dxfId="0" priority="1209" operator="lessThan">
      <formula>0</formula>
    </cfRule>
  </conditionalFormatting>
  <conditionalFormatting sqref="KO24">
    <cfRule type="cellIs" dxfId="1" priority="1227" operator="greaterThan">
      <formula>0</formula>
    </cfRule>
    <cfRule type="cellIs" dxfId="0" priority="1221" operator="lessThan">
      <formula>0</formula>
    </cfRule>
  </conditionalFormatting>
  <conditionalFormatting sqref="KP24">
    <cfRule type="cellIs" dxfId="5" priority="1191" operator="greaterThan">
      <formula>1</formula>
    </cfRule>
    <cfRule type="cellIs" dxfId="6" priority="1185" operator="lessThan">
      <formula>0</formula>
    </cfRule>
    <cfRule type="cellIs" dxfId="1" priority="1179" operator="greaterThan">
      <formula>0</formula>
    </cfRule>
    <cfRule type="cellIs" dxfId="0" priority="1173" operator="lessThan">
      <formula>0</formula>
    </cfRule>
    <cfRule type="cellIs" dxfId="1" priority="1167" operator="greaterThan">
      <formula>0</formula>
    </cfRule>
    <cfRule type="cellIs" dxfId="0" priority="1161" operator="lessThan">
      <formula>0</formula>
    </cfRule>
  </conditionalFormatting>
  <conditionalFormatting sqref="KQ24">
    <cfRule type="cellIs" dxfId="4" priority="1155" operator="lessThan">
      <formula>0</formula>
    </cfRule>
    <cfRule type="cellIs" dxfId="0" priority="1149" operator="lessThan">
      <formula>0</formula>
    </cfRule>
    <cfRule type="cellIs" dxfId="0" priority="1143" operator="lessThan">
      <formula>-1</formula>
    </cfRule>
  </conditionalFormatting>
  <conditionalFormatting sqref="SI24">
    <cfRule type="cellIs" dxfId="4" priority="11187" operator="lessThan">
      <formula>0</formula>
    </cfRule>
  </conditionalFormatting>
  <conditionalFormatting sqref="TE24">
    <cfRule type="cellIs" dxfId="4" priority="11185" operator="lessThan">
      <formula>0</formula>
    </cfRule>
  </conditionalFormatting>
  <conditionalFormatting sqref="EY25">
    <cfRule type="cellIs" dxfId="1" priority="3677" operator="greaterThan">
      <formula>0</formula>
    </cfRule>
    <cfRule type="cellIs" dxfId="0" priority="3670" operator="lessThan">
      <formula>0</formula>
    </cfRule>
  </conditionalFormatting>
  <conditionalFormatting sqref="EZ25">
    <cfRule type="cellIs" dxfId="1" priority="3635" operator="greaterThan">
      <formula>0</formula>
    </cfRule>
    <cfRule type="cellIs" dxfId="0" priority="3628" operator="lessThan">
      <formula>0</formula>
    </cfRule>
  </conditionalFormatting>
  <conditionalFormatting sqref="FA25">
    <cfRule type="cellIs" dxfId="1" priority="3544" operator="greaterThan">
      <formula>0</formula>
    </cfRule>
    <cfRule type="cellIs" dxfId="0" priority="3537" operator="lessThan">
      <formula>0</formula>
    </cfRule>
  </conditionalFormatting>
  <conditionalFormatting sqref="FF25">
    <cfRule type="cellIs" dxfId="1" priority="3558" operator="greaterThan">
      <formula>0</formula>
    </cfRule>
    <cfRule type="cellIs" dxfId="0" priority="3551" operator="lessThan">
      <formula>0</formula>
    </cfRule>
  </conditionalFormatting>
  <conditionalFormatting sqref="FG25">
    <cfRule type="cellIs" dxfId="1" priority="3649" operator="greaterThan">
      <formula>0</formula>
    </cfRule>
    <cfRule type="cellIs" dxfId="0" priority="3642" operator="lessThan">
      <formula>0</formula>
    </cfRule>
  </conditionalFormatting>
  <conditionalFormatting sqref="FH25">
    <cfRule type="cellIs" dxfId="1" priority="3663" operator="greaterThan">
      <formula>0</formula>
    </cfRule>
    <cfRule type="cellIs" dxfId="0" priority="3656" operator="lessThan">
      <formula>0</formula>
    </cfRule>
  </conditionalFormatting>
  <conditionalFormatting sqref="FI25">
    <cfRule type="cellIs" dxfId="5" priority="3621" operator="greaterThan">
      <formula>1</formula>
    </cfRule>
    <cfRule type="cellIs" dxfId="6" priority="3614" operator="lessThan">
      <formula>0</formula>
    </cfRule>
    <cfRule type="cellIs" dxfId="1" priority="3607" operator="greaterThan">
      <formula>0</formula>
    </cfRule>
    <cfRule type="cellIs" dxfId="0" priority="3600" operator="lessThan">
      <formula>0</formula>
    </cfRule>
    <cfRule type="cellIs" dxfId="1" priority="3593" operator="greaterThan">
      <formula>0</formula>
    </cfRule>
    <cfRule type="cellIs" dxfId="0" priority="3586" operator="lessThan">
      <formula>0</formula>
    </cfRule>
  </conditionalFormatting>
  <conditionalFormatting sqref="FJ25">
    <cfRule type="cellIs" dxfId="4" priority="3579" operator="lessThan">
      <formula>0</formula>
    </cfRule>
    <cfRule type="cellIs" dxfId="0" priority="3572" operator="lessThan">
      <formula>0</formula>
    </cfRule>
    <cfRule type="cellIs" dxfId="0" priority="3565" operator="lessThan">
      <formula>-1</formula>
    </cfRule>
  </conditionalFormatting>
  <conditionalFormatting sqref="GH25">
    <cfRule type="cellIs" dxfId="1" priority="3124" operator="greaterThan">
      <formula>0</formula>
    </cfRule>
    <cfRule type="cellIs" dxfId="0" priority="3117" operator="lessThan">
      <formula>0</formula>
    </cfRule>
  </conditionalFormatting>
  <conditionalFormatting sqref="GI25">
    <cfRule type="cellIs" dxfId="1" priority="3082" operator="greaterThan">
      <formula>0</formula>
    </cfRule>
    <cfRule type="cellIs" dxfId="0" priority="3075" operator="lessThan">
      <formula>0</formula>
    </cfRule>
  </conditionalFormatting>
  <conditionalFormatting sqref="GJ25">
    <cfRule type="cellIs" dxfId="1" priority="2991" operator="greaterThan">
      <formula>0</formula>
    </cfRule>
    <cfRule type="cellIs" dxfId="0" priority="2984" operator="lessThan">
      <formula>0</formula>
    </cfRule>
  </conditionalFormatting>
  <conditionalFormatting sqref="GO25">
    <cfRule type="cellIs" dxfId="1" priority="3005" operator="greaterThan">
      <formula>0</formula>
    </cfRule>
    <cfRule type="cellIs" dxfId="0" priority="2998" operator="lessThan">
      <formula>0</formula>
    </cfRule>
  </conditionalFormatting>
  <conditionalFormatting sqref="GP25">
    <cfRule type="cellIs" dxfId="1" priority="3096" operator="greaterThan">
      <formula>0</formula>
    </cfRule>
    <cfRule type="cellIs" dxfId="0" priority="3089" operator="lessThan">
      <formula>0</formula>
    </cfRule>
  </conditionalFormatting>
  <conditionalFormatting sqref="GQ25">
    <cfRule type="cellIs" dxfId="1" priority="3110" operator="greaterThan">
      <formula>0</formula>
    </cfRule>
    <cfRule type="cellIs" dxfId="0" priority="3103" operator="lessThan">
      <formula>0</formula>
    </cfRule>
  </conditionalFormatting>
  <conditionalFormatting sqref="GR25">
    <cfRule type="cellIs" dxfId="5" priority="3068" operator="greaterThan">
      <formula>1</formula>
    </cfRule>
    <cfRule type="cellIs" dxfId="6" priority="3061" operator="lessThan">
      <formula>0</formula>
    </cfRule>
    <cfRule type="cellIs" dxfId="1" priority="3054" operator="greaterThan">
      <formula>0</formula>
    </cfRule>
    <cfRule type="cellIs" dxfId="0" priority="3047" operator="lessThan">
      <formula>0</formula>
    </cfRule>
    <cfRule type="cellIs" dxfId="1" priority="3040" operator="greaterThan">
      <formula>0</formula>
    </cfRule>
    <cfRule type="cellIs" dxfId="0" priority="3033" operator="lessThan">
      <formula>0</formula>
    </cfRule>
  </conditionalFormatting>
  <conditionalFormatting sqref="GS25">
    <cfRule type="cellIs" dxfId="4" priority="3026" operator="lessThan">
      <formula>0</formula>
    </cfRule>
    <cfRule type="cellIs" dxfId="0" priority="3019" operator="lessThan">
      <formula>0</formula>
    </cfRule>
    <cfRule type="cellIs" dxfId="0" priority="3012" operator="lessThan">
      <formula>-1</formula>
    </cfRule>
  </conditionalFormatting>
  <conditionalFormatting sqref="HP25">
    <cfRule type="cellIs" dxfId="1" priority="2620" operator="greaterThan">
      <formula>0</formula>
    </cfRule>
    <cfRule type="cellIs" dxfId="0" priority="2613" operator="lessThan">
      <formula>0</formula>
    </cfRule>
  </conditionalFormatting>
  <conditionalFormatting sqref="HQ25">
    <cfRule type="cellIs" dxfId="1" priority="2578" operator="greaterThan">
      <formula>0</formula>
    </cfRule>
    <cfRule type="cellIs" dxfId="0" priority="2571" operator="lessThan">
      <formula>0</formula>
    </cfRule>
  </conditionalFormatting>
  <conditionalFormatting sqref="HR25">
    <cfRule type="cellIs" dxfId="1" priority="2487" operator="greaterThan">
      <formula>0</formula>
    </cfRule>
    <cfRule type="cellIs" dxfId="0" priority="2480" operator="lessThan">
      <formula>0</formula>
    </cfRule>
  </conditionalFormatting>
  <conditionalFormatting sqref="HW25">
    <cfRule type="cellIs" dxfId="1" priority="2501" operator="greaterThan">
      <formula>0</formula>
    </cfRule>
    <cfRule type="cellIs" dxfId="0" priority="2494" operator="lessThan">
      <formula>0</formula>
    </cfRule>
  </conditionalFormatting>
  <conditionalFormatting sqref="HX25">
    <cfRule type="cellIs" dxfId="1" priority="2592" operator="greaterThan">
      <formula>0</formula>
    </cfRule>
    <cfRule type="cellIs" dxfId="0" priority="2585" operator="lessThan">
      <formula>0</formula>
    </cfRule>
  </conditionalFormatting>
  <conditionalFormatting sqref="HY25">
    <cfRule type="cellIs" dxfId="1" priority="2606" operator="greaterThan">
      <formula>0</formula>
    </cfRule>
    <cfRule type="cellIs" dxfId="0" priority="2599" operator="lessThan">
      <formula>0</formula>
    </cfRule>
  </conditionalFormatting>
  <conditionalFormatting sqref="HZ25">
    <cfRule type="cellIs" dxfId="5" priority="2564" operator="greaterThan">
      <formula>1</formula>
    </cfRule>
    <cfRule type="cellIs" dxfId="6" priority="2557" operator="lessThan">
      <formula>0</formula>
    </cfRule>
    <cfRule type="cellIs" dxfId="1" priority="2550" operator="greaterThan">
      <formula>0</formula>
    </cfRule>
    <cfRule type="cellIs" dxfId="0" priority="2543" operator="lessThan">
      <formula>0</formula>
    </cfRule>
    <cfRule type="cellIs" dxfId="1" priority="2536" operator="greaterThan">
      <formula>0</formula>
    </cfRule>
    <cfRule type="cellIs" dxfId="0" priority="2529" operator="lessThan">
      <formula>0</formula>
    </cfRule>
  </conditionalFormatting>
  <conditionalFormatting sqref="IA25">
    <cfRule type="cellIs" dxfId="4" priority="2522" operator="lessThan">
      <formula>0</formula>
    </cfRule>
    <cfRule type="cellIs" dxfId="0" priority="2515" operator="lessThan">
      <formula>0</formula>
    </cfRule>
    <cfRule type="cellIs" dxfId="0" priority="2508" operator="lessThan">
      <formula>-1</formula>
    </cfRule>
  </conditionalFormatting>
  <conditionalFormatting sqref="IX25">
    <cfRule type="cellIs" dxfId="1" priority="2108" operator="greaterThan">
      <formula>0</formula>
    </cfRule>
    <cfRule type="cellIs" dxfId="0" priority="2100" operator="lessThan">
      <formula>0</formula>
    </cfRule>
  </conditionalFormatting>
  <conditionalFormatting sqref="IY25">
    <cfRule type="cellIs" dxfId="1" priority="2060" operator="greaterThan">
      <formula>0</formula>
    </cfRule>
    <cfRule type="cellIs" dxfId="0" priority="2052" operator="lessThan">
      <formula>0</formula>
    </cfRule>
  </conditionalFormatting>
  <conditionalFormatting sqref="IZ25">
    <cfRule type="cellIs" dxfId="1" priority="1956" operator="greaterThan">
      <formula>0</formula>
    </cfRule>
    <cfRule type="cellIs" dxfId="0" priority="1948" operator="lessThan">
      <formula>0</formula>
    </cfRule>
  </conditionalFormatting>
  <conditionalFormatting sqref="JE25">
    <cfRule type="cellIs" dxfId="1" priority="1972" operator="greaterThan">
      <formula>0</formula>
    </cfRule>
    <cfRule type="cellIs" dxfId="0" priority="1964" operator="lessThan">
      <formula>0</formula>
    </cfRule>
  </conditionalFormatting>
  <conditionalFormatting sqref="JF25">
    <cfRule type="cellIs" dxfId="1" priority="2076" operator="greaterThan">
      <formula>0</formula>
    </cfRule>
    <cfRule type="cellIs" dxfId="0" priority="2068" operator="lessThan">
      <formula>0</formula>
    </cfRule>
  </conditionalFormatting>
  <conditionalFormatting sqref="JG25">
    <cfRule type="cellIs" dxfId="1" priority="2092" operator="greaterThan">
      <formula>0</formula>
    </cfRule>
    <cfRule type="cellIs" dxfId="0" priority="2084" operator="lessThan">
      <formula>0</formula>
    </cfRule>
  </conditionalFormatting>
  <conditionalFormatting sqref="JH25">
    <cfRule type="cellIs" dxfId="5" priority="2044" operator="greaterThan">
      <formula>1</formula>
    </cfRule>
    <cfRule type="cellIs" dxfId="6" priority="2036" operator="lessThan">
      <formula>0</formula>
    </cfRule>
    <cfRule type="cellIs" dxfId="1" priority="2028" operator="greaterThan">
      <formula>0</formula>
    </cfRule>
    <cfRule type="cellIs" dxfId="0" priority="2020" operator="lessThan">
      <formula>0</formula>
    </cfRule>
    <cfRule type="cellIs" dxfId="1" priority="2012" operator="greaterThan">
      <formula>0</formula>
    </cfRule>
    <cfRule type="cellIs" dxfId="0" priority="2004" operator="lessThan">
      <formula>0</formula>
    </cfRule>
  </conditionalFormatting>
  <conditionalFormatting sqref="JI25">
    <cfRule type="cellIs" dxfId="4" priority="1996" operator="lessThan">
      <formula>0</formula>
    </cfRule>
    <cfRule type="cellIs" dxfId="0" priority="1988" operator="lessThan">
      <formula>0</formula>
    </cfRule>
    <cfRule type="cellIs" dxfId="0" priority="1980" operator="lessThan">
      <formula>-1</formula>
    </cfRule>
  </conditionalFormatting>
  <conditionalFormatting sqref="KP25">
    <cfRule type="cellIs" dxfId="0" priority="9522" operator="lessThan">
      <formula>0</formula>
    </cfRule>
    <cfRule type="cellIs" dxfId="1" priority="9523" operator="greaterThan">
      <formula>0</formula>
    </cfRule>
    <cfRule type="cellIs" dxfId="6" priority="9524" operator="lessThan">
      <formula>0</formula>
    </cfRule>
    <cfRule type="cellIs" dxfId="5" priority="9525" operator="greaterThan">
      <formula>1</formula>
    </cfRule>
  </conditionalFormatting>
  <conditionalFormatting sqref="KQ25">
    <cfRule type="cellIs" dxfId="4" priority="9500" operator="lessThan">
      <formula>0</formula>
    </cfRule>
  </conditionalFormatting>
  <conditionalFormatting sqref="SI25">
    <cfRule type="cellIs" dxfId="4" priority="11186" operator="lessThan">
      <formula>0</formula>
    </cfRule>
  </conditionalFormatting>
  <conditionalFormatting sqref="AD26">
    <cfRule type="cellIs" dxfId="1" priority="6309" operator="greaterThan">
      <formula>0</formula>
    </cfRule>
    <cfRule type="cellIs" dxfId="0" priority="6308" operator="lessThan">
      <formula>0</formula>
    </cfRule>
  </conditionalFormatting>
  <conditionalFormatting sqref="AG26">
    <cfRule type="cellIs" dxfId="5" priority="6416" operator="greaterThan">
      <formula>1</formula>
    </cfRule>
    <cfRule type="cellIs" dxfId="6" priority="6415" operator="lessThan">
      <formula>0</formula>
    </cfRule>
    <cfRule type="cellIs" dxfId="1" priority="6414" operator="greaterThan">
      <formula>0</formula>
    </cfRule>
    <cfRule type="cellIs" dxfId="0" priority="6413" operator="lessThan">
      <formula>0</formula>
    </cfRule>
    <cfRule type="cellIs" dxfId="1" priority="6412" operator="greaterThan">
      <formula>0</formula>
    </cfRule>
    <cfRule type="cellIs" dxfId="0" priority="6411" operator="lessThan">
      <formula>0</formula>
    </cfRule>
  </conditionalFormatting>
  <conditionalFormatting sqref="AH26">
    <cfRule type="cellIs" dxfId="4" priority="6281" operator="lessThan">
      <formula>0</formula>
    </cfRule>
    <cfRule type="cellIs" dxfId="0" priority="6280" operator="lessThan">
      <formula>0</formula>
    </cfRule>
    <cfRule type="cellIs" dxfId="0" priority="6279" operator="lessThan">
      <formula>-1</formula>
    </cfRule>
  </conditionalFormatting>
  <conditionalFormatting sqref="BK26">
    <cfRule type="cellIs" dxfId="1" priority="5922" operator="greaterThan">
      <formula>0</formula>
    </cfRule>
    <cfRule type="cellIs" dxfId="0" priority="5921" operator="lessThan">
      <formula>0</formula>
    </cfRule>
  </conditionalFormatting>
  <conditionalFormatting sqref="BN26">
    <cfRule type="cellIs" dxfId="5" priority="6017" operator="greaterThan">
      <formula>1</formula>
    </cfRule>
    <cfRule type="cellIs" dxfId="6" priority="6016" operator="lessThan">
      <formula>0</formula>
    </cfRule>
    <cfRule type="cellIs" dxfId="1" priority="6015" operator="greaterThan">
      <formula>0</formula>
    </cfRule>
    <cfRule type="cellIs" dxfId="0" priority="6014" operator="lessThan">
      <formula>0</formula>
    </cfRule>
    <cfRule type="cellIs" dxfId="1" priority="6013" operator="greaterThan">
      <formula>0</formula>
    </cfRule>
    <cfRule type="cellIs" dxfId="0" priority="6012" operator="lessThan">
      <formula>0</formula>
    </cfRule>
  </conditionalFormatting>
  <conditionalFormatting sqref="BO26">
    <cfRule type="cellIs" dxfId="4" priority="5900" operator="lessThan">
      <formula>0</formula>
    </cfRule>
    <cfRule type="cellIs" dxfId="0" priority="5899" operator="lessThan">
      <formula>0</formula>
    </cfRule>
    <cfRule type="cellIs" dxfId="0" priority="5898" operator="lessThan">
      <formula>-1</formula>
    </cfRule>
  </conditionalFormatting>
  <conditionalFormatting sqref="CR26">
    <cfRule type="cellIs" dxfId="1" priority="5189" operator="greaterThan">
      <formula>0</formula>
    </cfRule>
    <cfRule type="cellIs" dxfId="0" priority="5188" operator="lessThan">
      <formula>0</formula>
    </cfRule>
  </conditionalFormatting>
  <conditionalFormatting sqref="CU26">
    <cfRule type="cellIs" dxfId="5" priority="5284" operator="greaterThan">
      <formula>1</formula>
    </cfRule>
    <cfRule type="cellIs" dxfId="6" priority="5283" operator="lessThan">
      <formula>0</formula>
    </cfRule>
    <cfRule type="cellIs" dxfId="1" priority="5282" operator="greaterThan">
      <formula>0</formula>
    </cfRule>
    <cfRule type="cellIs" dxfId="0" priority="5281" operator="lessThan">
      <formula>0</formula>
    </cfRule>
    <cfRule type="cellIs" dxfId="1" priority="5280" operator="greaterThan">
      <formula>0</formula>
    </cfRule>
    <cfRule type="cellIs" dxfId="0" priority="5279" operator="lessThan">
      <formula>0</formula>
    </cfRule>
  </conditionalFormatting>
  <conditionalFormatting sqref="CV26">
    <cfRule type="cellIs" dxfId="4" priority="5167" operator="lessThan">
      <formula>0</formula>
    </cfRule>
    <cfRule type="cellIs" dxfId="0" priority="5166" operator="lessThan">
      <formula>0</formula>
    </cfRule>
    <cfRule type="cellIs" dxfId="0" priority="5165" operator="lessThan">
      <formula>-1</formula>
    </cfRule>
  </conditionalFormatting>
  <conditionalFormatting sqref="DY26">
    <cfRule type="cellIs" dxfId="1" priority="4800" operator="greaterThan">
      <formula>0</formula>
    </cfRule>
    <cfRule type="cellIs" dxfId="0" priority="4799" operator="lessThan">
      <formula>0</formula>
    </cfRule>
  </conditionalFormatting>
  <conditionalFormatting sqref="EB26">
    <cfRule type="cellIs" dxfId="5" priority="4895" operator="greaterThan">
      <formula>1</formula>
    </cfRule>
    <cfRule type="cellIs" dxfId="6" priority="4894" operator="lessThan">
      <formula>0</formula>
    </cfRule>
    <cfRule type="cellIs" dxfId="1" priority="4893" operator="greaterThan">
      <formula>0</formula>
    </cfRule>
    <cfRule type="cellIs" dxfId="0" priority="4892" operator="lessThan">
      <formula>0</formula>
    </cfRule>
    <cfRule type="cellIs" dxfId="1" priority="4891" operator="greaterThan">
      <formula>0</formula>
    </cfRule>
    <cfRule type="cellIs" dxfId="0" priority="4890" operator="lessThan">
      <formula>0</formula>
    </cfRule>
  </conditionalFormatting>
  <conditionalFormatting sqref="EC26">
    <cfRule type="cellIs" dxfId="4" priority="4778" operator="lessThan">
      <formula>0</formula>
    </cfRule>
    <cfRule type="cellIs" dxfId="0" priority="4777" operator="lessThan">
      <formula>0</formula>
    </cfRule>
    <cfRule type="cellIs" dxfId="0" priority="4776" operator="lessThan">
      <formula>-1</formula>
    </cfRule>
  </conditionalFormatting>
  <conditionalFormatting sqref="EE26:FJ26">
    <cfRule type="cellIs" dxfId="2" priority="3717" operator="greaterThan">
      <formula>0</formula>
    </cfRule>
    <cfRule type="cellIs" dxfId="3" priority="3716" operator="lessThan">
      <formula>0</formula>
    </cfRule>
  </conditionalFormatting>
  <conditionalFormatting sqref="FF26">
    <cfRule type="cellIs" dxfId="1" priority="3722" operator="greaterThan">
      <formula>0</formula>
    </cfRule>
    <cfRule type="cellIs" dxfId="0" priority="3721" operator="lessThan">
      <formula>0</formula>
    </cfRule>
  </conditionalFormatting>
  <conditionalFormatting sqref="FG26:FH26">
    <cfRule type="cellIs" dxfId="1" priority="3730" operator="greaterThan">
      <formula>0</formula>
    </cfRule>
    <cfRule type="cellIs" dxfId="0" priority="3729" operator="lessThan">
      <formula>0</formula>
    </cfRule>
  </conditionalFormatting>
  <conditionalFormatting sqref="FI26">
    <cfRule type="cellIs" dxfId="5" priority="3728" operator="greaterThan">
      <formula>1</formula>
    </cfRule>
    <cfRule type="cellIs" dxfId="6" priority="3727" operator="lessThan">
      <formula>0</formula>
    </cfRule>
    <cfRule type="cellIs" dxfId="1" priority="3726" operator="greaterThan">
      <formula>0</formula>
    </cfRule>
    <cfRule type="cellIs" dxfId="0" priority="3725" operator="lessThan">
      <formula>0</formula>
    </cfRule>
    <cfRule type="cellIs" dxfId="1" priority="3724" operator="greaterThan">
      <formula>0</formula>
    </cfRule>
    <cfRule type="cellIs" dxfId="0" priority="3723" operator="lessThan">
      <formula>0</formula>
    </cfRule>
  </conditionalFormatting>
  <conditionalFormatting sqref="FJ26">
    <cfRule type="cellIs" dxfId="0" priority="3720" operator="lessThan">
      <formula>0</formula>
    </cfRule>
    <cfRule type="cellIs" dxfId="0" priority="3719" operator="lessThan">
      <formula>-1</formula>
    </cfRule>
    <cfRule type="cellIs" dxfId="4" priority="3718" operator="lessThan">
      <formula>0</formula>
    </cfRule>
  </conditionalFormatting>
  <conditionalFormatting sqref="FN26:GS26">
    <cfRule type="cellIs" dxfId="2" priority="3202" operator="greaterThan">
      <formula>0</formula>
    </cfRule>
    <cfRule type="cellIs" dxfId="3" priority="3201" operator="lessThan">
      <formula>0</formula>
    </cfRule>
  </conditionalFormatting>
  <conditionalFormatting sqref="GO26">
    <cfRule type="cellIs" dxfId="1" priority="3207" operator="greaterThan">
      <formula>0</formula>
    </cfRule>
    <cfRule type="cellIs" dxfId="0" priority="3206" operator="lessThan">
      <formula>0</formula>
    </cfRule>
  </conditionalFormatting>
  <conditionalFormatting sqref="GP26:GQ26">
    <cfRule type="cellIs" dxfId="1" priority="3215" operator="greaterThan">
      <formula>0</formula>
    </cfRule>
    <cfRule type="cellIs" dxfId="0" priority="3214" operator="lessThan">
      <formula>0</formula>
    </cfRule>
  </conditionalFormatting>
  <conditionalFormatting sqref="GR26">
    <cfRule type="cellIs" dxfId="5" priority="3213" operator="greaterThan">
      <formula>1</formula>
    </cfRule>
    <cfRule type="cellIs" dxfId="6" priority="3212" operator="lessThan">
      <formula>0</formula>
    </cfRule>
    <cfRule type="cellIs" dxfId="1" priority="3211" operator="greaterThan">
      <formula>0</formula>
    </cfRule>
    <cfRule type="cellIs" dxfId="0" priority="3210" operator="lessThan">
      <formula>0</formula>
    </cfRule>
    <cfRule type="cellIs" dxfId="1" priority="3209" operator="greaterThan">
      <formula>0</formula>
    </cfRule>
    <cfRule type="cellIs" dxfId="0" priority="3208" operator="lessThan">
      <formula>0</formula>
    </cfRule>
  </conditionalFormatting>
  <conditionalFormatting sqref="GS26">
    <cfRule type="cellIs" dxfId="0" priority="3205" operator="lessThan">
      <formula>0</formula>
    </cfRule>
    <cfRule type="cellIs" dxfId="0" priority="3204" operator="lessThan">
      <formula>-1</formula>
    </cfRule>
    <cfRule type="cellIs" dxfId="4" priority="3203" operator="lessThan">
      <formula>0</formula>
    </cfRule>
  </conditionalFormatting>
  <conditionalFormatting sqref="GV26:IA26">
    <cfRule type="cellIs" dxfId="2" priority="2658" operator="greaterThan">
      <formula>0</formula>
    </cfRule>
    <cfRule type="cellIs" dxfId="3" priority="2657" operator="lessThan">
      <formula>0</formula>
    </cfRule>
  </conditionalFormatting>
  <conditionalFormatting sqref="HW26">
    <cfRule type="cellIs" dxfId="1" priority="2663" operator="greaterThan">
      <formula>0</formula>
    </cfRule>
    <cfRule type="cellIs" dxfId="0" priority="2662" operator="lessThan">
      <formula>0</formula>
    </cfRule>
  </conditionalFormatting>
  <conditionalFormatting sqref="HX26:HY26">
    <cfRule type="cellIs" dxfId="1" priority="2671" operator="greaterThan">
      <formula>0</formula>
    </cfRule>
    <cfRule type="cellIs" dxfId="0" priority="2670" operator="lessThan">
      <formula>0</formula>
    </cfRule>
  </conditionalFormatting>
  <conditionalFormatting sqref="HZ26">
    <cfRule type="cellIs" dxfId="5" priority="2669" operator="greaterThan">
      <formula>1</formula>
    </cfRule>
    <cfRule type="cellIs" dxfId="6" priority="2668" operator="lessThan">
      <formula>0</formula>
    </cfRule>
    <cfRule type="cellIs" dxfId="1" priority="2667" operator="greaterThan">
      <formula>0</formula>
    </cfRule>
    <cfRule type="cellIs" dxfId="0" priority="2666" operator="lessThan">
      <formula>0</formula>
    </cfRule>
    <cfRule type="cellIs" dxfId="1" priority="2665" operator="greaterThan">
      <formula>0</formula>
    </cfRule>
    <cfRule type="cellIs" dxfId="0" priority="2664" operator="lessThan">
      <formula>0</formula>
    </cfRule>
  </conditionalFormatting>
  <conditionalFormatting sqref="IA26">
    <cfRule type="cellIs" dxfId="0" priority="2661" operator="lessThan">
      <formula>0</formula>
    </cfRule>
    <cfRule type="cellIs" dxfId="0" priority="2660" operator="lessThan">
      <formula>-1</formula>
    </cfRule>
    <cfRule type="cellIs" dxfId="4" priority="2659" operator="lessThan">
      <formula>0</formula>
    </cfRule>
  </conditionalFormatting>
  <conditionalFormatting sqref="IH26">
    <cfRule type="cellIs" dxfId="2" priority="1726" operator="greaterThan">
      <formula>0</formula>
    </cfRule>
    <cfRule type="cellIs" dxfId="3" priority="1725" operator="lessThan">
      <formula>0</formula>
    </cfRule>
  </conditionalFormatting>
  <conditionalFormatting sqref="IP26">
    <cfRule type="cellIs" dxfId="2" priority="1710" operator="greaterThan">
      <formula>0</formula>
    </cfRule>
    <cfRule type="cellIs" dxfId="3" priority="1709" operator="lessThan">
      <formula>0</formula>
    </cfRule>
  </conditionalFormatting>
  <conditionalFormatting sqref="JE26">
    <cfRule type="cellIs" dxfId="1" priority="1801" operator="greaterThan">
      <formula>0</formula>
    </cfRule>
    <cfRule type="cellIs" dxfId="0" priority="1800" operator="lessThan">
      <formula>0</formula>
    </cfRule>
  </conditionalFormatting>
  <conditionalFormatting sqref="JF26:JG26">
    <cfRule type="cellIs" dxfId="1" priority="1809" operator="greaterThan">
      <formula>0</formula>
    </cfRule>
    <cfRule type="cellIs" dxfId="0" priority="1808" operator="lessThan">
      <formula>0</formula>
    </cfRule>
  </conditionalFormatting>
  <conditionalFormatting sqref="JH26">
    <cfRule type="cellIs" dxfId="5" priority="1807" operator="greaterThan">
      <formula>1</formula>
    </cfRule>
    <cfRule type="cellIs" dxfId="6" priority="1806" operator="lessThan">
      <formula>0</formula>
    </cfRule>
    <cfRule type="cellIs" dxfId="1" priority="1805" operator="greaterThan">
      <formula>0</formula>
    </cfRule>
    <cfRule type="cellIs" dxfId="0" priority="1804" operator="lessThan">
      <formula>0</formula>
    </cfRule>
    <cfRule type="cellIs" dxfId="1" priority="1803" operator="greaterThan">
      <formula>0</formula>
    </cfRule>
    <cfRule type="cellIs" dxfId="0" priority="1802" operator="lessThan">
      <formula>0</formula>
    </cfRule>
  </conditionalFormatting>
  <conditionalFormatting sqref="JI26">
    <cfRule type="cellIs" dxfId="0" priority="1799" operator="lessThan">
      <formula>0</formula>
    </cfRule>
    <cfRule type="cellIs" dxfId="0" priority="1798" operator="lessThan">
      <formula>-1</formula>
    </cfRule>
    <cfRule type="cellIs" dxfId="4" priority="1797" operator="lessThan">
      <formula>0</formula>
    </cfRule>
  </conditionalFormatting>
  <conditionalFormatting sqref="JP26">
    <cfRule type="cellIs" dxfId="2" priority="1286" operator="greaterThan">
      <formula>0</formula>
    </cfRule>
    <cfRule type="cellIs" dxfId="3" priority="1285" operator="lessThan">
      <formula>0</formula>
    </cfRule>
  </conditionalFormatting>
  <conditionalFormatting sqref="JX26">
    <cfRule type="cellIs" dxfId="2" priority="1284" operator="greaterThan">
      <formula>0</formula>
    </cfRule>
    <cfRule type="cellIs" dxfId="3" priority="1283" operator="lessThan">
      <formula>0</formula>
    </cfRule>
  </conditionalFormatting>
  <conditionalFormatting sqref="KM26">
    <cfRule type="cellIs" dxfId="1" priority="1293" operator="greaterThan">
      <formula>0</formula>
    </cfRule>
    <cfRule type="cellIs" dxfId="0" priority="1292" operator="lessThan">
      <formula>0</formula>
    </cfRule>
  </conditionalFormatting>
  <conditionalFormatting sqref="KN26:KO26">
    <cfRule type="cellIs" dxfId="1" priority="1301" operator="greaterThan">
      <formula>0</formula>
    </cfRule>
    <cfRule type="cellIs" dxfId="0" priority="1300" operator="lessThan">
      <formula>0</formula>
    </cfRule>
  </conditionalFormatting>
  <conditionalFormatting sqref="KP26">
    <cfRule type="cellIs" dxfId="5" priority="1299" operator="greaterThan">
      <formula>1</formula>
    </cfRule>
    <cfRule type="cellIs" dxfId="6" priority="1298" operator="lessThan">
      <formula>0</formula>
    </cfRule>
    <cfRule type="cellIs" dxfId="1" priority="1297" operator="greaterThan">
      <formula>0</formula>
    </cfRule>
    <cfRule type="cellIs" dxfId="0" priority="1296" operator="lessThan">
      <formula>0</formula>
    </cfRule>
    <cfRule type="cellIs" dxfId="1" priority="1295" operator="greaterThan">
      <formula>0</formula>
    </cfRule>
    <cfRule type="cellIs" dxfId="0" priority="1294" operator="lessThan">
      <formula>0</formula>
    </cfRule>
  </conditionalFormatting>
  <conditionalFormatting sqref="KQ26">
    <cfRule type="cellIs" dxfId="0" priority="1291" operator="lessThan">
      <formula>0</formula>
    </cfRule>
    <cfRule type="cellIs" dxfId="0" priority="1290" operator="lessThan">
      <formula>-1</formula>
    </cfRule>
    <cfRule type="cellIs" dxfId="4" priority="1289" operator="lessThan">
      <formula>0</formula>
    </cfRule>
  </conditionalFormatting>
  <conditionalFormatting sqref="LU26">
    <cfRule type="cellIs" dxfId="0" priority="9533" operator="lessThan">
      <formula>0</formula>
    </cfRule>
    <cfRule type="cellIs" dxfId="1" priority="9534" operator="greaterThan">
      <formula>0</formula>
    </cfRule>
  </conditionalFormatting>
  <conditionalFormatting sqref="LX26">
    <cfRule type="cellIs" dxfId="0" priority="9700" operator="lessThan">
      <formula>0</formula>
    </cfRule>
    <cfRule type="cellIs" dxfId="1" priority="9701" operator="greaterThan">
      <formula>0</formula>
    </cfRule>
    <cfRule type="cellIs" dxfId="0" priority="9702" operator="lessThan">
      <formula>0</formula>
    </cfRule>
    <cfRule type="cellIs" dxfId="1" priority="9703" operator="greaterThan">
      <formula>0</formula>
    </cfRule>
    <cfRule type="cellIs" dxfId="6" priority="9704" operator="lessThan">
      <formula>0</formula>
    </cfRule>
    <cfRule type="cellIs" dxfId="5" priority="9705" operator="greaterThan">
      <formula>1</formula>
    </cfRule>
  </conditionalFormatting>
  <conditionalFormatting sqref="LY26">
    <cfRule type="cellIs" dxfId="4" priority="9849" operator="lessThan">
      <formula>0</formula>
    </cfRule>
    <cfRule type="cellIs" dxfId="0" priority="9850" operator="lessThan">
      <formula>-1</formula>
    </cfRule>
    <cfRule type="cellIs" dxfId="0" priority="9851" operator="lessThan">
      <formula>0</formula>
    </cfRule>
  </conditionalFormatting>
  <conditionalFormatting sqref="NB26:NC26">
    <cfRule type="cellIs" dxfId="0" priority="9916" operator="lessThan">
      <formula>0</formula>
    </cfRule>
    <cfRule type="cellIs" dxfId="1" priority="9917" operator="greaterThan">
      <formula>0</formula>
    </cfRule>
  </conditionalFormatting>
  <conditionalFormatting sqref="NF26">
    <cfRule type="cellIs" dxfId="0" priority="10107" operator="lessThan">
      <formula>0</formula>
    </cfRule>
    <cfRule type="cellIs" dxfId="1" priority="10108" operator="greaterThan">
      <formula>0</formula>
    </cfRule>
    <cfRule type="cellIs" dxfId="0" priority="10109" operator="lessThan">
      <formula>0</formula>
    </cfRule>
    <cfRule type="cellIs" dxfId="1" priority="10110" operator="greaterThan">
      <formula>0</formula>
    </cfRule>
    <cfRule type="cellIs" dxfId="6" priority="10111" operator="lessThan">
      <formula>0</formula>
    </cfRule>
    <cfRule type="cellIs" dxfId="5" priority="10112" operator="greaterThan">
      <formula>1</formula>
    </cfRule>
  </conditionalFormatting>
  <conditionalFormatting sqref="NG26">
    <cfRule type="cellIs" dxfId="4" priority="10256" operator="lessThan">
      <formula>0</formula>
    </cfRule>
    <cfRule type="cellIs" dxfId="0" priority="10257" operator="lessThan">
      <formula>-1</formula>
    </cfRule>
    <cfRule type="cellIs" dxfId="0" priority="10258" operator="lessThan">
      <formula>0</formula>
    </cfRule>
  </conditionalFormatting>
  <conditionalFormatting sqref="ON26">
    <cfRule type="cellIs" dxfId="0" priority="10095" operator="lessThan">
      <formula>0</formula>
    </cfRule>
    <cfRule type="cellIs" dxfId="1" priority="10096" operator="greaterThan">
      <formula>0</formula>
    </cfRule>
    <cfRule type="cellIs" dxfId="0" priority="10097" operator="lessThan">
      <formula>0</formula>
    </cfRule>
    <cfRule type="cellIs" dxfId="1" priority="10098" operator="greaterThan">
      <formula>0</formula>
    </cfRule>
    <cfRule type="cellIs" dxfId="6" priority="10099" operator="lessThan">
      <formula>0</formula>
    </cfRule>
    <cfRule type="cellIs" dxfId="5" priority="10100" operator="greaterThan">
      <formula>1</formula>
    </cfRule>
  </conditionalFormatting>
  <conditionalFormatting sqref="OO26">
    <cfRule type="cellIs" dxfId="4" priority="10082" operator="lessThan">
      <formula>0</formula>
    </cfRule>
    <cfRule type="cellIs" dxfId="0" priority="10083" operator="lessThan">
      <formula>-1</formula>
    </cfRule>
    <cfRule type="cellIs" dxfId="0" priority="10084" operator="lessThan">
      <formula>0</formula>
    </cfRule>
  </conditionalFormatting>
  <conditionalFormatting sqref="PP26">
    <cfRule type="cellIs" dxfId="0" priority="10640" operator="lessThan">
      <formula>0</formula>
    </cfRule>
    <cfRule type="cellIs" dxfId="1" priority="10641" operator="greaterThan">
      <formula>0</formula>
    </cfRule>
    <cfRule type="cellIs" dxfId="0" priority="10642" operator="lessThan">
      <formula>0</formula>
    </cfRule>
    <cfRule type="cellIs" dxfId="1" priority="10643" operator="greaterThan">
      <formula>0</formula>
    </cfRule>
    <cfRule type="cellIs" dxfId="6" priority="10644" operator="lessThan">
      <formula>0</formula>
    </cfRule>
    <cfRule type="cellIs" dxfId="5" priority="10645" operator="greaterThan">
      <formula>1</formula>
    </cfRule>
  </conditionalFormatting>
  <conditionalFormatting sqref="QP26">
    <cfRule type="cellIs" dxfId="0" priority="10652" operator="lessThan">
      <formula>0</formula>
    </cfRule>
    <cfRule type="cellIs" dxfId="1" priority="10653" operator="greaterThan">
      <formula>0</formula>
    </cfRule>
    <cfRule type="cellIs" dxfId="0" priority="10654" operator="lessThan">
      <formula>0</formula>
    </cfRule>
    <cfRule type="cellIs" dxfId="1" priority="10655" operator="greaterThan">
      <formula>0</formula>
    </cfRule>
    <cfRule type="cellIs" dxfId="6" priority="10656" operator="lessThan">
      <formula>0</formula>
    </cfRule>
    <cfRule type="cellIs" dxfId="5" priority="10657" operator="greaterThan">
      <formula>1</formula>
    </cfRule>
  </conditionalFormatting>
  <conditionalFormatting sqref="RD26">
    <cfRule type="cellIs" dxfId="0" priority="11040" operator="lessThan">
      <formula>0</formula>
    </cfRule>
    <cfRule type="cellIs" dxfId="1" priority="11041" operator="greaterThan">
      <formula>0</formula>
    </cfRule>
  </conditionalFormatting>
  <conditionalFormatting sqref="RK26">
    <cfRule type="cellIs" dxfId="0" priority="8706" operator="lessThan">
      <formula>0</formula>
    </cfRule>
    <cfRule type="cellIs" dxfId="1" priority="8707" operator="greaterThan">
      <formula>0</formula>
    </cfRule>
  </conditionalFormatting>
  <conditionalFormatting sqref="RL26">
    <cfRule type="cellIs" dxfId="0" priority="10670" operator="lessThan">
      <formula>0</formula>
    </cfRule>
    <cfRule type="cellIs" dxfId="1" priority="10671" operator="greaterThan">
      <formula>0</formula>
    </cfRule>
    <cfRule type="cellIs" dxfId="0" priority="10672" operator="lessThan">
      <formula>0</formula>
    </cfRule>
    <cfRule type="cellIs" dxfId="1" priority="10673" operator="greaterThan">
      <formula>0</formula>
    </cfRule>
    <cfRule type="cellIs" dxfId="6" priority="10674" operator="lessThan">
      <formula>0</formula>
    </cfRule>
    <cfRule type="cellIs" dxfId="5" priority="10675" operator="greaterThan">
      <formula>1</formula>
    </cfRule>
  </conditionalFormatting>
  <conditionalFormatting sqref="SG26">
    <cfRule type="cellIs" dxfId="0" priority="10849" operator="lessThan">
      <formula>0</formula>
    </cfRule>
    <cfRule type="cellIs" dxfId="1" priority="10850" operator="greaterThan">
      <formula>0</formula>
    </cfRule>
  </conditionalFormatting>
  <conditionalFormatting sqref="SH26">
    <cfRule type="cellIs" dxfId="0" priority="10676" operator="lessThan">
      <formula>0</formula>
    </cfRule>
    <cfRule type="cellIs" dxfId="1" priority="10677" operator="greaterThan">
      <formula>0</formula>
    </cfRule>
    <cfRule type="cellIs" dxfId="0" priority="10678" operator="lessThan">
      <formula>0</formula>
    </cfRule>
    <cfRule type="cellIs" dxfId="1" priority="10679" operator="greaterThan">
      <formula>0</formula>
    </cfRule>
    <cfRule type="cellIs" dxfId="6" priority="10680" operator="lessThan">
      <formula>0</formula>
    </cfRule>
    <cfRule type="cellIs" dxfId="5" priority="10681" operator="greaterThan">
      <formula>1</formula>
    </cfRule>
  </conditionalFormatting>
  <conditionalFormatting sqref="SI26">
    <cfRule type="cellIs" dxfId="0" priority="11035" operator="lessThan">
      <formula>-1</formula>
    </cfRule>
    <cfRule type="cellIs" dxfId="0" priority="11036" operator="lessThan">
      <formula>0</formula>
    </cfRule>
    <cfRule type="cellIs" dxfId="4" priority="11039" operator="lessThan">
      <formula>0</formula>
    </cfRule>
  </conditionalFormatting>
  <conditionalFormatting sqref="TC26">
    <cfRule type="cellIs" dxfId="0" priority="10839" operator="lessThan">
      <formula>0</formula>
    </cfRule>
    <cfRule type="cellIs" dxfId="1" priority="10840" operator="greaterThan">
      <formula>0</formula>
    </cfRule>
  </conditionalFormatting>
  <conditionalFormatting sqref="TD26">
    <cfRule type="cellIs" dxfId="0" priority="10694" operator="lessThan">
      <formula>0</formula>
    </cfRule>
    <cfRule type="cellIs" dxfId="1" priority="10695" operator="greaterThan">
      <formula>0</formula>
    </cfRule>
    <cfRule type="cellIs" dxfId="0" priority="10696" operator="lessThan">
      <formula>0</formula>
    </cfRule>
    <cfRule type="cellIs" dxfId="1" priority="10697" operator="greaterThan">
      <formula>0</formula>
    </cfRule>
    <cfRule type="cellIs" dxfId="6" priority="10698" operator="lessThan">
      <formula>0</formula>
    </cfRule>
    <cfRule type="cellIs" dxfId="5" priority="10699" operator="greaterThan">
      <formula>1</formula>
    </cfRule>
  </conditionalFormatting>
  <conditionalFormatting sqref="TE26">
    <cfRule type="cellIs" dxfId="0" priority="11030" operator="lessThan">
      <formula>-1</formula>
    </cfRule>
    <cfRule type="cellIs" dxfId="0" priority="11031" operator="lessThan">
      <formula>0</formula>
    </cfRule>
    <cfRule type="cellIs" dxfId="4" priority="11034" operator="lessThan">
      <formula>0</formula>
    </cfRule>
  </conditionalFormatting>
  <conditionalFormatting sqref="TX26">
    <cfRule type="cellIs" dxfId="0" priority="10829" operator="lessThan">
      <formula>0</formula>
    </cfRule>
    <cfRule type="cellIs" dxfId="1" priority="10830" operator="greaterThan">
      <formula>0</formula>
    </cfRule>
  </conditionalFormatting>
  <conditionalFormatting sqref="TY26">
    <cfRule type="cellIs" dxfId="0" priority="10700" operator="lessThan">
      <formula>0</formula>
    </cfRule>
    <cfRule type="cellIs" dxfId="1" priority="10701" operator="greaterThan">
      <formula>0</formula>
    </cfRule>
    <cfRule type="cellIs" dxfId="0" priority="10702" operator="lessThan">
      <formula>0</formula>
    </cfRule>
    <cfRule type="cellIs" dxfId="1" priority="10703" operator="greaterThan">
      <formula>0</formula>
    </cfRule>
    <cfRule type="cellIs" dxfId="6" priority="10704" operator="lessThan">
      <formula>0</formula>
    </cfRule>
    <cfRule type="cellIs" dxfId="5" priority="10705" operator="greaterThan">
      <formula>1</formula>
    </cfRule>
  </conditionalFormatting>
  <conditionalFormatting sqref="TZ26">
    <cfRule type="cellIs" dxfId="0" priority="11025" operator="lessThan">
      <formula>-1</formula>
    </cfRule>
    <cfRule type="cellIs" dxfId="0" priority="11026" operator="lessThan">
      <formula>0</formula>
    </cfRule>
    <cfRule type="cellIs" dxfId="4" priority="11029" operator="lessThan">
      <formula>0</formula>
    </cfRule>
  </conditionalFormatting>
  <conditionalFormatting sqref="UT26">
    <cfRule type="cellIs" dxfId="0" priority="10819" operator="lessThan">
      <formula>0</formula>
    </cfRule>
    <cfRule type="cellIs" dxfId="1" priority="10820" operator="greaterThan">
      <formula>0</formula>
    </cfRule>
  </conditionalFormatting>
  <conditionalFormatting sqref="UU26">
    <cfRule type="cellIs" dxfId="0" priority="11014" operator="lessThan">
      <formula>0</formula>
    </cfRule>
    <cfRule type="cellIs" dxfId="1" priority="11015" operator="greaterThan">
      <formula>0</formula>
    </cfRule>
    <cfRule type="cellIs" dxfId="0" priority="11016" operator="lessThan">
      <formula>0</formula>
    </cfRule>
    <cfRule type="cellIs" dxfId="1" priority="11017" operator="greaterThan">
      <formula>0</formula>
    </cfRule>
    <cfRule type="cellIs" dxfId="6" priority="11018" operator="lessThan">
      <formula>0</formula>
    </cfRule>
    <cfRule type="cellIs" dxfId="5" priority="11019" operator="greaterThan">
      <formula>1</formula>
    </cfRule>
  </conditionalFormatting>
  <conditionalFormatting sqref="UV26">
    <cfRule type="cellIs" dxfId="0" priority="11020" operator="lessThan">
      <formula>-1</formula>
    </cfRule>
    <cfRule type="cellIs" dxfId="0" priority="11021" operator="lessThan">
      <formula>0</formula>
    </cfRule>
    <cfRule type="cellIs" dxfId="4" priority="11024" operator="lessThan">
      <formula>0</formula>
    </cfRule>
  </conditionalFormatting>
  <conditionalFormatting sqref="VP26">
    <cfRule type="cellIs" dxfId="0" priority="10809" operator="lessThan">
      <formula>0</formula>
    </cfRule>
    <cfRule type="cellIs" dxfId="1" priority="10810" operator="greaterThan">
      <formula>0</formula>
    </cfRule>
  </conditionalFormatting>
  <conditionalFormatting sqref="VQ26">
    <cfRule type="cellIs" dxfId="0" priority="11003" operator="lessThan">
      <formula>0</formula>
    </cfRule>
    <cfRule type="cellIs" dxfId="1" priority="11004" operator="greaterThan">
      <formula>0</formula>
    </cfRule>
    <cfRule type="cellIs" dxfId="0" priority="11005" operator="lessThan">
      <formula>0</formula>
    </cfRule>
    <cfRule type="cellIs" dxfId="1" priority="11006" operator="greaterThan">
      <formula>0</formula>
    </cfRule>
    <cfRule type="cellIs" dxfId="6" priority="11007" operator="lessThan">
      <formula>0</formula>
    </cfRule>
    <cfRule type="cellIs" dxfId="5" priority="11008" operator="greaterThan">
      <formula>1</formula>
    </cfRule>
  </conditionalFormatting>
  <conditionalFormatting sqref="VR26">
    <cfRule type="cellIs" dxfId="0" priority="11009" operator="lessThan">
      <formula>-1</formula>
    </cfRule>
    <cfRule type="cellIs" dxfId="0" priority="11010" operator="lessThan">
      <formula>0</formula>
    </cfRule>
    <cfRule type="cellIs" dxfId="4" priority="11013" operator="lessThan">
      <formula>0</formula>
    </cfRule>
  </conditionalFormatting>
  <conditionalFormatting sqref="C28">
    <cfRule type="cellIs" dxfId="2" priority="5717" operator="greaterThan">
      <formula>0</formula>
    </cfRule>
    <cfRule type="cellIs" dxfId="3" priority="5716" operator="lessThan">
      <formula>0</formula>
    </cfRule>
  </conditionalFormatting>
  <conditionalFormatting sqref="D28:AA28">
    <cfRule type="cellIs" dxfId="2" priority="5709" operator="greaterThan">
      <formula>0</formula>
    </cfRule>
    <cfRule type="cellIs" dxfId="3" priority="5708" operator="lessThan">
      <formula>0</formula>
    </cfRule>
  </conditionalFormatting>
  <conditionalFormatting sqref="K28:R28">
    <cfRule type="cellIs" dxfId="1" priority="5713" operator="greaterThan">
      <formula>0</formula>
    </cfRule>
    <cfRule type="cellIs" dxfId="0" priority="5712" operator="lessThan">
      <formula>0</formula>
    </cfRule>
  </conditionalFormatting>
  <conditionalFormatting sqref="X28">
    <cfRule type="cellIs" dxfId="1" priority="5711" operator="greaterThan">
      <formula>0</formula>
    </cfRule>
    <cfRule type="cellIs" dxfId="0" priority="5710" operator="lessThan">
      <formula>0</formula>
    </cfRule>
  </conditionalFormatting>
  <conditionalFormatting sqref="AB28:AH28">
    <cfRule type="cellIs" dxfId="2" priority="5699" operator="greaterThan">
      <formula>0</formula>
    </cfRule>
    <cfRule type="cellIs" dxfId="3" priority="5698" operator="lessThan">
      <formula>0</formula>
    </cfRule>
  </conditionalFormatting>
  <conditionalFormatting sqref="AD28:AF28">
    <cfRule type="cellIs" dxfId="1" priority="5707" operator="greaterThan">
      <formula>0</formula>
    </cfRule>
    <cfRule type="cellIs" dxfId="0" priority="5706" operator="lessThan">
      <formula>0</formula>
    </cfRule>
  </conditionalFormatting>
  <conditionalFormatting sqref="AG28">
    <cfRule type="cellIs" dxfId="4" priority="5702" operator="lessThan">
      <formula>0</formula>
    </cfRule>
    <cfRule type="cellIs" dxfId="0" priority="5701" operator="lessThan">
      <formula>0</formula>
    </cfRule>
    <cfRule type="cellIs" dxfId="0" priority="5700" operator="lessThan">
      <formula>-1</formula>
    </cfRule>
  </conditionalFormatting>
  <conditionalFormatting sqref="AH28">
    <cfRule type="cellIs" dxfId="4" priority="5705" operator="lessThan">
      <formula>0</formula>
    </cfRule>
    <cfRule type="cellIs" dxfId="0" priority="5704" operator="lessThan">
      <formula>0</formula>
    </cfRule>
    <cfRule type="cellIs" dxfId="0" priority="5703" operator="lessThan">
      <formula>-1</formula>
    </cfRule>
  </conditionalFormatting>
  <conditionalFormatting sqref="AJ28">
    <cfRule type="cellIs" dxfId="2" priority="5657" operator="greaterThan">
      <formula>0</formula>
    </cfRule>
    <cfRule type="cellIs" dxfId="3" priority="5656" operator="lessThan">
      <formula>0</formula>
    </cfRule>
  </conditionalFormatting>
  <conditionalFormatting sqref="AK28:BH28">
    <cfRule type="cellIs" dxfId="2" priority="5649" operator="greaterThan">
      <formula>0</formula>
    </cfRule>
    <cfRule type="cellIs" dxfId="3" priority="5648" operator="lessThan">
      <formula>0</formula>
    </cfRule>
  </conditionalFormatting>
  <conditionalFormatting sqref="AR28:AY28">
    <cfRule type="cellIs" dxfId="1" priority="5653" operator="greaterThan">
      <formula>0</formula>
    </cfRule>
    <cfRule type="cellIs" dxfId="0" priority="5652" operator="lessThan">
      <formula>0</formula>
    </cfRule>
  </conditionalFormatting>
  <conditionalFormatting sqref="BE28">
    <cfRule type="cellIs" dxfId="1" priority="5651" operator="greaterThan">
      <formula>0</formula>
    </cfRule>
    <cfRule type="cellIs" dxfId="0" priority="5650" operator="lessThan">
      <formula>0</formula>
    </cfRule>
  </conditionalFormatting>
  <conditionalFormatting sqref="BI28:BO28">
    <cfRule type="cellIs" dxfId="2" priority="5639" operator="greaterThan">
      <formula>0</formula>
    </cfRule>
    <cfRule type="cellIs" dxfId="3" priority="5638" operator="lessThan">
      <formula>0</formula>
    </cfRule>
  </conditionalFormatting>
  <conditionalFormatting sqref="BK28:BM28">
    <cfRule type="cellIs" dxfId="1" priority="5647" operator="greaterThan">
      <formula>0</formula>
    </cfRule>
    <cfRule type="cellIs" dxfId="0" priority="5646" operator="lessThan">
      <formula>0</formula>
    </cfRule>
  </conditionalFormatting>
  <conditionalFormatting sqref="BN28">
    <cfRule type="cellIs" dxfId="4" priority="5642" operator="lessThan">
      <formula>0</formula>
    </cfRule>
    <cfRule type="cellIs" dxfId="0" priority="5641" operator="lessThan">
      <formula>0</formula>
    </cfRule>
    <cfRule type="cellIs" dxfId="0" priority="5640" operator="lessThan">
      <formula>-1</formula>
    </cfRule>
  </conditionalFormatting>
  <conditionalFormatting sqref="BO28">
    <cfRule type="cellIs" dxfId="4" priority="5645" operator="lessThan">
      <formula>0</formula>
    </cfRule>
    <cfRule type="cellIs" dxfId="0" priority="5644" operator="lessThan">
      <formula>0</formula>
    </cfRule>
    <cfRule type="cellIs" dxfId="0" priority="5643" operator="lessThan">
      <formula>-1</formula>
    </cfRule>
  </conditionalFormatting>
  <conditionalFormatting sqref="BQ28">
    <cfRule type="cellIs" dxfId="2" priority="5106" operator="greaterThan">
      <formula>0</formula>
    </cfRule>
    <cfRule type="cellIs" dxfId="3" priority="5105" operator="lessThan">
      <formula>0</formula>
    </cfRule>
  </conditionalFormatting>
  <conditionalFormatting sqref="BR28:CO28">
    <cfRule type="cellIs" dxfId="2" priority="5098" operator="greaterThan">
      <formula>0</formula>
    </cfRule>
    <cfRule type="cellIs" dxfId="3" priority="5097" operator="lessThan">
      <formula>0</formula>
    </cfRule>
  </conditionalFormatting>
  <conditionalFormatting sqref="BY28:CF28">
    <cfRule type="cellIs" dxfId="1" priority="5102" operator="greaterThan">
      <formula>0</formula>
    </cfRule>
    <cfRule type="cellIs" dxfId="0" priority="5101" operator="lessThan">
      <formula>0</formula>
    </cfRule>
  </conditionalFormatting>
  <conditionalFormatting sqref="CL28">
    <cfRule type="cellIs" dxfId="1" priority="5100" operator="greaterThan">
      <formula>0</formula>
    </cfRule>
    <cfRule type="cellIs" dxfId="0" priority="5099" operator="lessThan">
      <formula>0</formula>
    </cfRule>
  </conditionalFormatting>
  <conditionalFormatting sqref="CP28:CV28">
    <cfRule type="cellIs" dxfId="2" priority="5088" operator="greaterThan">
      <formula>0</formula>
    </cfRule>
    <cfRule type="cellIs" dxfId="3" priority="5087" operator="lessThan">
      <formula>0</formula>
    </cfRule>
  </conditionalFormatting>
  <conditionalFormatting sqref="CR28:CT28">
    <cfRule type="cellIs" dxfId="1" priority="5096" operator="greaterThan">
      <formula>0</formula>
    </cfRule>
    <cfRule type="cellIs" dxfId="0" priority="5095" operator="lessThan">
      <formula>0</formula>
    </cfRule>
  </conditionalFormatting>
  <conditionalFormatting sqref="CU28">
    <cfRule type="cellIs" dxfId="4" priority="5091" operator="lessThan">
      <formula>0</formula>
    </cfRule>
    <cfRule type="cellIs" dxfId="0" priority="5090" operator="lessThan">
      <formula>0</formula>
    </cfRule>
    <cfRule type="cellIs" dxfId="0" priority="5089" operator="lessThan">
      <formula>-1</formula>
    </cfRule>
  </conditionalFormatting>
  <conditionalFormatting sqref="CV28">
    <cfRule type="cellIs" dxfId="4" priority="5094" operator="lessThan">
      <formula>0</formula>
    </cfRule>
    <cfRule type="cellIs" dxfId="0" priority="5093" operator="lessThan">
      <formula>0</formula>
    </cfRule>
    <cfRule type="cellIs" dxfId="0" priority="5092" operator="lessThan">
      <formula>-1</formula>
    </cfRule>
  </conditionalFormatting>
  <conditionalFormatting sqref="CX28">
    <cfRule type="cellIs" dxfId="2" priority="4717" operator="greaterThan">
      <formula>0</formula>
    </cfRule>
    <cfRule type="cellIs" dxfId="3" priority="4716" operator="lessThan">
      <formula>0</formula>
    </cfRule>
  </conditionalFormatting>
  <conditionalFormatting sqref="CY28:DV28">
    <cfRule type="cellIs" dxfId="2" priority="4709" operator="greaterThan">
      <formula>0</formula>
    </cfRule>
    <cfRule type="cellIs" dxfId="3" priority="4708" operator="lessThan">
      <formula>0</formula>
    </cfRule>
  </conditionalFormatting>
  <conditionalFormatting sqref="DF28:DM28">
    <cfRule type="cellIs" dxfId="1" priority="4713" operator="greaterThan">
      <formula>0</formula>
    </cfRule>
    <cfRule type="cellIs" dxfId="0" priority="4712" operator="lessThan">
      <formula>0</formula>
    </cfRule>
  </conditionalFormatting>
  <conditionalFormatting sqref="DS28">
    <cfRule type="cellIs" dxfId="1" priority="4711" operator="greaterThan">
      <formula>0</formula>
    </cfRule>
    <cfRule type="cellIs" dxfId="0" priority="4710" operator="lessThan">
      <formula>0</formula>
    </cfRule>
  </conditionalFormatting>
  <conditionalFormatting sqref="DW28:EC28">
    <cfRule type="cellIs" dxfId="2" priority="4699" operator="greaterThan">
      <formula>0</formula>
    </cfRule>
    <cfRule type="cellIs" dxfId="3" priority="4698" operator="lessThan">
      <formula>0</formula>
    </cfRule>
  </conditionalFormatting>
  <conditionalFormatting sqref="DY28:EA28">
    <cfRule type="cellIs" dxfId="1" priority="4707" operator="greaterThan">
      <formula>0</formula>
    </cfRule>
    <cfRule type="cellIs" dxfId="0" priority="4706" operator="lessThan">
      <formula>0</formula>
    </cfRule>
  </conditionalFormatting>
  <conditionalFormatting sqref="EB28">
    <cfRule type="cellIs" dxfId="4" priority="4702" operator="lessThan">
      <formula>0</formula>
    </cfRule>
    <cfRule type="cellIs" dxfId="0" priority="4701" operator="lessThan">
      <formula>0</formula>
    </cfRule>
    <cfRule type="cellIs" dxfId="0" priority="4700" operator="lessThan">
      <formula>-1</formula>
    </cfRule>
  </conditionalFormatting>
  <conditionalFormatting sqref="EC28">
    <cfRule type="cellIs" dxfId="4" priority="4705" operator="lessThan">
      <formula>0</formula>
    </cfRule>
    <cfRule type="cellIs" dxfId="0" priority="4704" operator="lessThan">
      <formula>0</formula>
    </cfRule>
    <cfRule type="cellIs" dxfId="0" priority="4703" operator="lessThan">
      <formula>-1</formula>
    </cfRule>
  </conditionalFormatting>
  <conditionalFormatting sqref="EE28">
    <cfRule type="cellIs" dxfId="2" priority="4040" operator="greaterThan">
      <formula>0</formula>
    </cfRule>
    <cfRule type="cellIs" dxfId="3" priority="4039" operator="lessThan">
      <formula>0</formula>
    </cfRule>
  </conditionalFormatting>
  <conditionalFormatting sqref="EF28:FC28">
    <cfRule type="cellIs" dxfId="2" priority="4032" operator="greaterThan">
      <formula>0</formula>
    </cfRule>
    <cfRule type="cellIs" dxfId="3" priority="4031" operator="lessThan">
      <formula>0</formula>
    </cfRule>
  </conditionalFormatting>
  <conditionalFormatting sqref="EM28:ET28">
    <cfRule type="cellIs" dxfId="1" priority="4036" operator="greaterThan">
      <formula>0</formula>
    </cfRule>
    <cfRule type="cellIs" dxfId="0" priority="4035" operator="lessThan">
      <formula>0</formula>
    </cfRule>
  </conditionalFormatting>
  <conditionalFormatting sqref="EZ28">
    <cfRule type="cellIs" dxfId="1" priority="4034" operator="greaterThan">
      <formula>0</formula>
    </cfRule>
    <cfRule type="cellIs" dxfId="0" priority="4033" operator="lessThan">
      <formula>0</formula>
    </cfRule>
  </conditionalFormatting>
  <conditionalFormatting sqref="FD28:FJ28">
    <cfRule type="cellIs" dxfId="2" priority="4022" operator="greaterThan">
      <formula>0</formula>
    </cfRule>
    <cfRule type="cellIs" dxfId="3" priority="4021" operator="lessThan">
      <formula>0</formula>
    </cfRule>
  </conditionalFormatting>
  <conditionalFormatting sqref="FF28:FH28">
    <cfRule type="cellIs" dxfId="1" priority="4030" operator="greaterThan">
      <formula>0</formula>
    </cfRule>
    <cfRule type="cellIs" dxfId="0" priority="4029" operator="lessThan">
      <formula>0</formula>
    </cfRule>
  </conditionalFormatting>
  <conditionalFormatting sqref="FI28">
    <cfRule type="cellIs" dxfId="4" priority="4025" operator="lessThan">
      <formula>0</formula>
    </cfRule>
    <cfRule type="cellIs" dxfId="0" priority="4024" operator="lessThan">
      <formula>0</formula>
    </cfRule>
    <cfRule type="cellIs" dxfId="0" priority="4023" operator="lessThan">
      <formula>-1</formula>
    </cfRule>
  </conditionalFormatting>
  <conditionalFormatting sqref="FJ28">
    <cfRule type="cellIs" dxfId="4" priority="4028" operator="lessThan">
      <formula>0</formula>
    </cfRule>
    <cfRule type="cellIs" dxfId="0" priority="4027" operator="lessThan">
      <formula>0</formula>
    </cfRule>
    <cfRule type="cellIs" dxfId="0" priority="4026" operator="lessThan">
      <formula>-1</formula>
    </cfRule>
  </conditionalFormatting>
  <conditionalFormatting sqref="FN28">
    <cfRule type="cellIs" dxfId="2" priority="3170" operator="greaterThan">
      <formula>0</formula>
    </cfRule>
    <cfRule type="cellIs" dxfId="3" priority="3169" operator="lessThan">
      <formula>0</formula>
    </cfRule>
  </conditionalFormatting>
  <conditionalFormatting sqref="FO28:GL28">
    <cfRule type="cellIs" dxfId="2" priority="3162" operator="greaterThan">
      <formula>0</formula>
    </cfRule>
    <cfRule type="cellIs" dxfId="3" priority="3161" operator="lessThan">
      <formula>0</formula>
    </cfRule>
  </conditionalFormatting>
  <conditionalFormatting sqref="FV28:GC28">
    <cfRule type="cellIs" dxfId="1" priority="3166" operator="greaterThan">
      <formula>0</formula>
    </cfRule>
    <cfRule type="cellIs" dxfId="0" priority="3165" operator="lessThan">
      <formula>0</formula>
    </cfRule>
  </conditionalFormatting>
  <conditionalFormatting sqref="GI28">
    <cfRule type="cellIs" dxfId="1" priority="3164" operator="greaterThan">
      <formula>0</formula>
    </cfRule>
    <cfRule type="cellIs" dxfId="0" priority="3163" operator="lessThan">
      <formula>0</formula>
    </cfRule>
  </conditionalFormatting>
  <conditionalFormatting sqref="GM28:GS28">
    <cfRule type="cellIs" dxfId="2" priority="3152" operator="greaterThan">
      <formula>0</formula>
    </cfRule>
    <cfRule type="cellIs" dxfId="3" priority="3151" operator="lessThan">
      <formula>0</formula>
    </cfRule>
  </conditionalFormatting>
  <conditionalFormatting sqref="GO28:GQ28">
    <cfRule type="cellIs" dxfId="1" priority="3160" operator="greaterThan">
      <formula>0</formula>
    </cfRule>
    <cfRule type="cellIs" dxfId="0" priority="3159" operator="lessThan">
      <formula>0</formula>
    </cfRule>
  </conditionalFormatting>
  <conditionalFormatting sqref="GR28">
    <cfRule type="cellIs" dxfId="4" priority="3155" operator="lessThan">
      <formula>0</formula>
    </cfRule>
    <cfRule type="cellIs" dxfId="0" priority="3154" operator="lessThan">
      <formula>0</formula>
    </cfRule>
    <cfRule type="cellIs" dxfId="0" priority="3153" operator="lessThan">
      <formula>-1</formula>
    </cfRule>
  </conditionalFormatting>
  <conditionalFormatting sqref="GS28">
    <cfRule type="cellIs" dxfId="4" priority="3158" operator="lessThan">
      <formula>0</formula>
    </cfRule>
    <cfRule type="cellIs" dxfId="0" priority="3157" operator="lessThan">
      <formula>0</formula>
    </cfRule>
    <cfRule type="cellIs" dxfId="0" priority="3156" operator="lessThan">
      <formula>-1</formula>
    </cfRule>
  </conditionalFormatting>
  <conditionalFormatting sqref="GV28">
    <cfRule type="cellIs" dxfId="2" priority="4220" operator="greaterThan">
      <formula>0</formula>
    </cfRule>
    <cfRule type="cellIs" dxfId="3" priority="4219" operator="lessThan">
      <formula>0</formula>
    </cfRule>
  </conditionalFormatting>
  <conditionalFormatting sqref="GW28:HT28">
    <cfRule type="cellIs" dxfId="2" priority="4212" operator="greaterThan">
      <formula>0</formula>
    </cfRule>
    <cfRule type="cellIs" dxfId="3" priority="4211" operator="lessThan">
      <formula>0</formula>
    </cfRule>
  </conditionalFormatting>
  <conditionalFormatting sqref="HD28:HK28">
    <cfRule type="cellIs" dxfId="1" priority="4216" operator="greaterThan">
      <formula>0</formula>
    </cfRule>
    <cfRule type="cellIs" dxfId="0" priority="4215" operator="lessThan">
      <formula>0</formula>
    </cfRule>
  </conditionalFormatting>
  <conditionalFormatting sqref="HQ28">
    <cfRule type="cellIs" dxfId="1" priority="4214" operator="greaterThan">
      <formula>0</formula>
    </cfRule>
    <cfRule type="cellIs" dxfId="0" priority="4213" operator="lessThan">
      <formula>0</formula>
    </cfRule>
  </conditionalFormatting>
  <conditionalFormatting sqref="HU28:IA28">
    <cfRule type="cellIs" dxfId="2" priority="4202" operator="greaterThan">
      <formula>0</formula>
    </cfRule>
    <cfRule type="cellIs" dxfId="3" priority="4201" operator="lessThan">
      <formula>0</formula>
    </cfRule>
  </conditionalFormatting>
  <conditionalFormatting sqref="HW28:HY28">
    <cfRule type="cellIs" dxfId="1" priority="4210" operator="greaterThan">
      <formula>0</formula>
    </cfRule>
    <cfRule type="cellIs" dxfId="0" priority="4209" operator="lessThan">
      <formula>0</formula>
    </cfRule>
  </conditionalFormatting>
  <conditionalFormatting sqref="HZ28">
    <cfRule type="cellIs" dxfId="4" priority="4205" operator="lessThan">
      <formula>0</formula>
    </cfRule>
    <cfRule type="cellIs" dxfId="0" priority="4204" operator="lessThan">
      <formula>0</formula>
    </cfRule>
    <cfRule type="cellIs" dxfId="0" priority="4203" operator="lessThan">
      <formula>-1</formula>
    </cfRule>
  </conditionalFormatting>
  <conditionalFormatting sqref="IA28">
    <cfRule type="cellIs" dxfId="4" priority="4208" operator="lessThan">
      <formula>0</formula>
    </cfRule>
    <cfRule type="cellIs" dxfId="0" priority="4207" operator="lessThan">
      <formula>0</formula>
    </cfRule>
    <cfRule type="cellIs" dxfId="0" priority="4206" operator="lessThan">
      <formula>-1</formula>
    </cfRule>
  </conditionalFormatting>
  <conditionalFormatting sqref="ID28">
    <cfRule type="cellIs" dxfId="2" priority="1925" operator="greaterThan">
      <formula>0</formula>
    </cfRule>
    <cfRule type="cellIs" dxfId="3" priority="1924" operator="lessThan">
      <formula>0</formula>
    </cfRule>
  </conditionalFormatting>
  <conditionalFormatting sqref="IE28:JB28">
    <cfRule type="cellIs" dxfId="2" priority="1917" operator="greaterThan">
      <formula>0</formula>
    </cfRule>
    <cfRule type="cellIs" dxfId="3" priority="1916" operator="lessThan">
      <formula>0</formula>
    </cfRule>
  </conditionalFormatting>
  <conditionalFormatting sqref="IL28:IS28">
    <cfRule type="cellIs" dxfId="1" priority="1921" operator="greaterThan">
      <formula>0</formula>
    </cfRule>
    <cfRule type="cellIs" dxfId="0" priority="1920" operator="lessThan">
      <formula>0</formula>
    </cfRule>
  </conditionalFormatting>
  <conditionalFormatting sqref="IY28">
    <cfRule type="cellIs" dxfId="1" priority="1919" operator="greaterThan">
      <formula>0</formula>
    </cfRule>
    <cfRule type="cellIs" dxfId="0" priority="1918" operator="lessThan">
      <formula>0</formula>
    </cfRule>
  </conditionalFormatting>
  <conditionalFormatting sqref="JC28:JI28">
    <cfRule type="cellIs" dxfId="2" priority="1907" operator="greaterThan">
      <formula>0</formula>
    </cfRule>
    <cfRule type="cellIs" dxfId="3" priority="1906" operator="lessThan">
      <formula>0</formula>
    </cfRule>
  </conditionalFormatting>
  <conditionalFormatting sqref="JE28:JG28">
    <cfRule type="cellIs" dxfId="1" priority="1915" operator="greaterThan">
      <formula>0</formula>
    </cfRule>
    <cfRule type="cellIs" dxfId="0" priority="1914" operator="lessThan">
      <formula>0</formula>
    </cfRule>
  </conditionalFormatting>
  <conditionalFormatting sqref="JH28">
    <cfRule type="cellIs" dxfId="4" priority="1910" operator="lessThan">
      <formula>0</formula>
    </cfRule>
    <cfRule type="cellIs" dxfId="0" priority="1909" operator="lessThan">
      <formula>0</formula>
    </cfRule>
    <cfRule type="cellIs" dxfId="0" priority="1908" operator="lessThan">
      <formula>-1</formula>
    </cfRule>
  </conditionalFormatting>
  <conditionalFormatting sqref="JI28">
    <cfRule type="cellIs" dxfId="4" priority="1913" operator="lessThan">
      <formula>0</formula>
    </cfRule>
    <cfRule type="cellIs" dxfId="0" priority="1912" operator="lessThan">
      <formula>0</formula>
    </cfRule>
    <cfRule type="cellIs" dxfId="0" priority="1911" operator="lessThan">
      <formula>-1</formula>
    </cfRule>
  </conditionalFormatting>
  <conditionalFormatting sqref="JL28">
    <cfRule type="cellIs" dxfId="2" priority="1360" operator="greaterThan">
      <formula>0</formula>
    </cfRule>
    <cfRule type="cellIs" dxfId="3" priority="1359" operator="lessThan">
      <formula>0</formula>
    </cfRule>
  </conditionalFormatting>
  <conditionalFormatting sqref="JM28:KJ28">
    <cfRule type="cellIs" dxfId="2" priority="1352" operator="greaterThan">
      <formula>0</formula>
    </cfRule>
    <cfRule type="cellIs" dxfId="3" priority="1351" operator="lessThan">
      <formula>0</formula>
    </cfRule>
  </conditionalFormatting>
  <conditionalFormatting sqref="JT28:KA28">
    <cfRule type="cellIs" dxfId="1" priority="1356" operator="greaterThan">
      <formula>0</formula>
    </cfRule>
    <cfRule type="cellIs" dxfId="0" priority="1355" operator="lessThan">
      <formula>0</formula>
    </cfRule>
  </conditionalFormatting>
  <conditionalFormatting sqref="KG28">
    <cfRule type="cellIs" dxfId="1" priority="1354" operator="greaterThan">
      <formula>0</formula>
    </cfRule>
    <cfRule type="cellIs" dxfId="0" priority="1353" operator="lessThan">
      <formula>0</formula>
    </cfRule>
  </conditionalFormatting>
  <conditionalFormatting sqref="KK28:KQ28">
    <cfRule type="cellIs" dxfId="2" priority="1342" operator="greaterThan">
      <formula>0</formula>
    </cfRule>
    <cfRule type="cellIs" dxfId="3" priority="1341" operator="lessThan">
      <formula>0</formula>
    </cfRule>
  </conditionalFormatting>
  <conditionalFormatting sqref="KM28:KO28">
    <cfRule type="cellIs" dxfId="1" priority="1350" operator="greaterThan">
      <formula>0</formula>
    </cfRule>
    <cfRule type="cellIs" dxfId="0" priority="1349" operator="lessThan">
      <formula>0</formula>
    </cfRule>
  </conditionalFormatting>
  <conditionalFormatting sqref="KP28">
    <cfRule type="cellIs" dxfId="4" priority="1345" operator="lessThan">
      <formula>0</formula>
    </cfRule>
    <cfRule type="cellIs" dxfId="0" priority="1344" operator="lessThan">
      <formula>0</formula>
    </cfRule>
    <cfRule type="cellIs" dxfId="0" priority="1343" operator="lessThan">
      <formula>-1</formula>
    </cfRule>
  </conditionalFormatting>
  <conditionalFormatting sqref="KQ28">
    <cfRule type="cellIs" dxfId="4" priority="1348" operator="lessThan">
      <formula>0</formula>
    </cfRule>
    <cfRule type="cellIs" dxfId="0" priority="1347" operator="lessThan">
      <formula>0</formula>
    </cfRule>
    <cfRule type="cellIs" dxfId="0" priority="1346" operator="lessThan">
      <formula>-1</formula>
    </cfRule>
  </conditionalFormatting>
  <conditionalFormatting sqref="LD28:LF28">
    <cfRule type="cellIs" dxfId="0" priority="9830" operator="lessThan">
      <formula>0</formula>
    </cfRule>
    <cfRule type="cellIs" dxfId="1" priority="9831" operator="greaterThan">
      <formula>0</formula>
    </cfRule>
  </conditionalFormatting>
  <conditionalFormatting sqref="LG28:LI28">
    <cfRule type="cellIs" dxfId="0" priority="9688" operator="lessThan">
      <formula>0</formula>
    </cfRule>
    <cfRule type="cellIs" dxfId="1" priority="9689" operator="greaterThan">
      <formula>0</formula>
    </cfRule>
  </conditionalFormatting>
  <conditionalFormatting sqref="LX28">
    <cfRule type="cellIs" dxfId="0" priority="9872" operator="lessThan">
      <formula>-1</formula>
    </cfRule>
    <cfRule type="cellIs" dxfId="0" priority="9873" operator="lessThan">
      <formula>0</formula>
    </cfRule>
    <cfRule type="cellIs" dxfId="4" priority="9874" operator="lessThan">
      <formula>0</formula>
    </cfRule>
  </conditionalFormatting>
  <conditionalFormatting sqref="LY28">
    <cfRule type="cellIs" dxfId="0" priority="9875" operator="lessThan">
      <formula>-1</formula>
    </cfRule>
    <cfRule type="cellIs" dxfId="0" priority="9876" operator="lessThan">
      <formula>0</formula>
    </cfRule>
    <cfRule type="cellIs" dxfId="4" priority="9879" operator="lessThan">
      <formula>0</formula>
    </cfRule>
  </conditionalFormatting>
  <conditionalFormatting sqref="ML28:MN28">
    <cfRule type="cellIs" dxfId="0" priority="10237" operator="lessThan">
      <formula>0</formula>
    </cfRule>
    <cfRule type="cellIs" dxfId="1" priority="10238" operator="greaterThan">
      <formula>0</formula>
    </cfRule>
  </conditionalFormatting>
  <conditionalFormatting sqref="MO28:MQ28">
    <cfRule type="cellIs" dxfId="0" priority="10071" operator="lessThan">
      <formula>0</formula>
    </cfRule>
    <cfRule type="cellIs" dxfId="1" priority="10072" operator="greaterThan">
      <formula>0</formula>
    </cfRule>
  </conditionalFormatting>
  <conditionalFormatting sqref="NF28">
    <cfRule type="cellIs" dxfId="0" priority="10282" operator="lessThan">
      <formula>-1</formula>
    </cfRule>
    <cfRule type="cellIs" dxfId="0" priority="10283" operator="lessThan">
      <formula>0</formula>
    </cfRule>
    <cfRule type="cellIs" dxfId="4" priority="10284" operator="lessThan">
      <formula>0</formula>
    </cfRule>
  </conditionalFormatting>
  <conditionalFormatting sqref="NG28">
    <cfRule type="cellIs" dxfId="0" priority="10285" operator="lessThan">
      <formula>-1</formula>
    </cfRule>
    <cfRule type="cellIs" dxfId="0" priority="10286" operator="lessThan">
      <formula>0</formula>
    </cfRule>
    <cfRule type="cellIs" dxfId="4" priority="10289" operator="lessThan">
      <formula>0</formula>
    </cfRule>
  </conditionalFormatting>
  <conditionalFormatting sqref="NT28:NV28">
    <cfRule type="cellIs" dxfId="0" priority="10325" operator="lessThan">
      <formula>0</formula>
    </cfRule>
    <cfRule type="cellIs" dxfId="1" priority="10326" operator="greaterThan">
      <formula>0</formula>
    </cfRule>
  </conditionalFormatting>
  <conditionalFormatting sqref="NW28:NY28">
    <cfRule type="cellIs" dxfId="0" priority="9908" operator="lessThan">
      <formula>0</formula>
    </cfRule>
    <cfRule type="cellIs" dxfId="1" priority="9909" operator="greaterThan">
      <formula>0</formula>
    </cfRule>
  </conditionalFormatting>
  <conditionalFormatting sqref="ON28">
    <cfRule type="cellIs" dxfId="0" priority="10451" operator="lessThan">
      <formula>-1</formula>
    </cfRule>
    <cfRule type="cellIs" dxfId="0" priority="10452" operator="lessThan">
      <formula>0</formula>
    </cfRule>
    <cfRule type="cellIs" dxfId="4" priority="10453" operator="lessThan">
      <formula>0</formula>
    </cfRule>
  </conditionalFormatting>
  <conditionalFormatting sqref="OO28">
    <cfRule type="cellIs" dxfId="0" priority="10454" operator="lessThan">
      <formula>-1</formula>
    </cfRule>
    <cfRule type="cellIs" dxfId="0" priority="10455" operator="lessThan">
      <formula>0</formula>
    </cfRule>
    <cfRule type="cellIs" dxfId="4" priority="10458" operator="lessThan">
      <formula>0</formula>
    </cfRule>
  </conditionalFormatting>
  <conditionalFormatting sqref="W29">
    <cfRule type="cellIs" dxfId="1" priority="6543" operator="greaterThan">
      <formula>0</formula>
    </cfRule>
    <cfRule type="cellIs" dxfId="0" priority="6542" operator="lessThan">
      <formula>0</formula>
    </cfRule>
  </conditionalFormatting>
  <conditionalFormatting sqref="X29">
    <cfRule type="cellIs" dxfId="1" priority="6266" operator="greaterThan">
      <formula>0</formula>
    </cfRule>
    <cfRule type="cellIs" dxfId="0" priority="6265" operator="lessThan">
      <formula>0</formula>
    </cfRule>
  </conditionalFormatting>
  <conditionalFormatting sqref="Y29">
    <cfRule type="cellIs" dxfId="1" priority="6293" operator="greaterThan">
      <formula>0</formula>
    </cfRule>
    <cfRule type="cellIs" dxfId="0" priority="6292" operator="lessThan">
      <formula>0</formula>
    </cfRule>
  </conditionalFormatting>
  <conditionalFormatting sqref="AD29">
    <cfRule type="cellIs" dxfId="1" priority="6301" operator="greaterThan">
      <formula>0</formula>
    </cfRule>
    <cfRule type="cellIs" dxfId="0" priority="6300" operator="lessThan">
      <formula>0</formula>
    </cfRule>
  </conditionalFormatting>
  <conditionalFormatting sqref="AE29">
    <cfRule type="cellIs" dxfId="1" priority="6553" operator="greaterThan">
      <formula>0</formula>
    </cfRule>
    <cfRule type="cellIs" dxfId="0" priority="6552" operator="lessThan">
      <formula>0</formula>
    </cfRule>
  </conditionalFormatting>
  <conditionalFormatting sqref="AF29">
    <cfRule type="cellIs" dxfId="1" priority="6559" operator="greaterThan">
      <formula>0</formula>
    </cfRule>
    <cfRule type="cellIs" dxfId="0" priority="6558" operator="lessThan">
      <formula>0</formula>
    </cfRule>
  </conditionalFormatting>
  <conditionalFormatting sqref="AG29">
    <cfRule type="cellIs" dxfId="5" priority="6374" operator="greaterThan">
      <formula>1</formula>
    </cfRule>
    <cfRule type="cellIs" dxfId="6" priority="6373" operator="lessThan">
      <formula>0</formula>
    </cfRule>
    <cfRule type="cellIs" dxfId="1" priority="6372" operator="greaterThan">
      <formula>0</formula>
    </cfRule>
    <cfRule type="cellIs" dxfId="0" priority="6371" operator="lessThan">
      <formula>0</formula>
    </cfRule>
    <cfRule type="cellIs" dxfId="1" priority="6370" operator="greaterThan">
      <formula>0</formula>
    </cfRule>
    <cfRule type="cellIs" dxfId="0" priority="6369" operator="lessThan">
      <formula>0</formula>
    </cfRule>
  </conditionalFormatting>
  <conditionalFormatting sqref="AH29">
    <cfRule type="cellIs" dxfId="4" priority="6323" operator="lessThan">
      <formula>0</formula>
    </cfRule>
    <cfRule type="cellIs" dxfId="0" priority="6322" operator="lessThan">
      <formula>0</formula>
    </cfRule>
    <cfRule type="cellIs" dxfId="0" priority="6321" operator="lessThan">
      <formula>-1</formula>
    </cfRule>
  </conditionalFormatting>
  <conditionalFormatting sqref="BD29">
    <cfRule type="cellIs" dxfId="1" priority="6130" operator="greaterThan">
      <formula>0</formula>
    </cfRule>
    <cfRule type="cellIs" dxfId="0" priority="6129" operator="lessThan">
      <formula>0</formula>
    </cfRule>
  </conditionalFormatting>
  <conditionalFormatting sqref="BE29">
    <cfRule type="cellIs" dxfId="1" priority="5885" operator="greaterThan">
      <formula>0</formula>
    </cfRule>
    <cfRule type="cellIs" dxfId="0" priority="5884" operator="lessThan">
      <formula>0</formula>
    </cfRule>
  </conditionalFormatting>
  <conditionalFormatting sqref="BF29">
    <cfRule type="cellIs" dxfId="1" priority="5906" operator="greaterThan">
      <formula>0</formula>
    </cfRule>
    <cfRule type="cellIs" dxfId="0" priority="5905" operator="lessThan">
      <formula>0</formula>
    </cfRule>
  </conditionalFormatting>
  <conditionalFormatting sqref="BK29">
    <cfRule type="cellIs" dxfId="1" priority="5914" operator="greaterThan">
      <formula>0</formula>
    </cfRule>
    <cfRule type="cellIs" dxfId="0" priority="5913" operator="lessThan">
      <formula>0</formula>
    </cfRule>
  </conditionalFormatting>
  <conditionalFormatting sqref="BL29">
    <cfRule type="cellIs" dxfId="1" priority="6140" operator="greaterThan">
      <formula>0</formula>
    </cfRule>
    <cfRule type="cellIs" dxfId="0" priority="6139" operator="lessThan">
      <formula>0</formula>
    </cfRule>
  </conditionalFormatting>
  <conditionalFormatting sqref="BM29">
    <cfRule type="cellIs" dxfId="1" priority="6146" operator="greaterThan">
      <formula>0</formula>
    </cfRule>
    <cfRule type="cellIs" dxfId="0" priority="6145" operator="lessThan">
      <formula>0</formula>
    </cfRule>
  </conditionalFormatting>
  <conditionalFormatting sqref="BN29">
    <cfRule type="cellIs" dxfId="5" priority="5981" operator="greaterThan">
      <formula>1</formula>
    </cfRule>
    <cfRule type="cellIs" dxfId="6" priority="5980" operator="lessThan">
      <formula>0</formula>
    </cfRule>
    <cfRule type="cellIs" dxfId="1" priority="5979" operator="greaterThan">
      <formula>0</formula>
    </cfRule>
    <cfRule type="cellIs" dxfId="0" priority="5978" operator="lessThan">
      <formula>0</formula>
    </cfRule>
    <cfRule type="cellIs" dxfId="1" priority="5977" operator="greaterThan">
      <formula>0</formula>
    </cfRule>
    <cfRule type="cellIs" dxfId="0" priority="5976" operator="lessThan">
      <formula>0</formula>
    </cfRule>
  </conditionalFormatting>
  <conditionalFormatting sqref="BO29">
    <cfRule type="cellIs" dxfId="4" priority="5936" operator="lessThan">
      <formula>0</formula>
    </cfRule>
    <cfRule type="cellIs" dxfId="0" priority="5935" operator="lessThan">
      <formula>0</formula>
    </cfRule>
    <cfRule type="cellIs" dxfId="0" priority="5934" operator="lessThan">
      <formula>-1</formula>
    </cfRule>
  </conditionalFormatting>
  <conditionalFormatting sqref="CK29">
    <cfRule type="cellIs" dxfId="1" priority="5397" operator="greaterThan">
      <formula>0</formula>
    </cfRule>
    <cfRule type="cellIs" dxfId="0" priority="5396" operator="lessThan">
      <formula>0</formula>
    </cfRule>
  </conditionalFormatting>
  <conditionalFormatting sqref="CL29">
    <cfRule type="cellIs" dxfId="1" priority="5158" operator="greaterThan">
      <formula>0</formula>
    </cfRule>
    <cfRule type="cellIs" dxfId="0" priority="5157" operator="lessThan">
      <formula>0</formula>
    </cfRule>
  </conditionalFormatting>
  <conditionalFormatting sqref="CM29">
    <cfRule type="cellIs" dxfId="1" priority="5173" operator="greaterThan">
      <formula>0</formula>
    </cfRule>
    <cfRule type="cellIs" dxfId="0" priority="5172" operator="lessThan">
      <formula>0</formula>
    </cfRule>
  </conditionalFormatting>
  <conditionalFormatting sqref="CR29">
    <cfRule type="cellIs" dxfId="1" priority="5181" operator="greaterThan">
      <formula>0</formula>
    </cfRule>
    <cfRule type="cellIs" dxfId="0" priority="5180" operator="lessThan">
      <formula>0</formula>
    </cfRule>
  </conditionalFormatting>
  <conditionalFormatting sqref="CS29">
    <cfRule type="cellIs" dxfId="1" priority="5405" operator="greaterThan">
      <formula>0</formula>
    </cfRule>
    <cfRule type="cellIs" dxfId="0" priority="5404" operator="lessThan">
      <formula>0</formula>
    </cfRule>
  </conditionalFormatting>
  <conditionalFormatting sqref="CT29">
    <cfRule type="cellIs" dxfId="1" priority="5411" operator="greaterThan">
      <formula>0</formula>
    </cfRule>
    <cfRule type="cellIs" dxfId="0" priority="5410" operator="lessThan">
      <formula>0</formula>
    </cfRule>
  </conditionalFormatting>
  <conditionalFormatting sqref="CU29">
    <cfRule type="cellIs" dxfId="5" priority="5248" operator="greaterThan">
      <formula>1</formula>
    </cfRule>
    <cfRule type="cellIs" dxfId="6" priority="5247" operator="lessThan">
      <formula>0</formula>
    </cfRule>
    <cfRule type="cellIs" dxfId="1" priority="5246" operator="greaterThan">
      <formula>0</formula>
    </cfRule>
    <cfRule type="cellIs" dxfId="0" priority="5245" operator="lessThan">
      <formula>0</formula>
    </cfRule>
    <cfRule type="cellIs" dxfId="1" priority="5244" operator="greaterThan">
      <formula>0</formula>
    </cfRule>
    <cfRule type="cellIs" dxfId="0" priority="5243" operator="lessThan">
      <formula>0</formula>
    </cfRule>
  </conditionalFormatting>
  <conditionalFormatting sqref="CV29">
    <cfRule type="cellIs" dxfId="4" priority="5203" operator="lessThan">
      <formula>0</formula>
    </cfRule>
    <cfRule type="cellIs" dxfId="0" priority="5202" operator="lessThan">
      <formula>0</formula>
    </cfRule>
    <cfRule type="cellIs" dxfId="0" priority="5201" operator="lessThan">
      <formula>-1</formula>
    </cfRule>
  </conditionalFormatting>
  <conditionalFormatting sqref="DR29">
    <cfRule type="cellIs" dxfId="1" priority="5008" operator="greaterThan">
      <formula>0</formula>
    </cfRule>
    <cfRule type="cellIs" dxfId="0" priority="5007" operator="lessThan">
      <formula>0</formula>
    </cfRule>
  </conditionalFormatting>
  <conditionalFormatting sqref="DS29">
    <cfRule type="cellIs" dxfId="1" priority="4769" operator="greaterThan">
      <formula>0</formula>
    </cfRule>
    <cfRule type="cellIs" dxfId="0" priority="4768" operator="lessThan">
      <formula>0</formula>
    </cfRule>
  </conditionalFormatting>
  <conditionalFormatting sqref="DT29">
    <cfRule type="cellIs" dxfId="1" priority="4784" operator="greaterThan">
      <formula>0</formula>
    </cfRule>
    <cfRule type="cellIs" dxfId="0" priority="4783" operator="lessThan">
      <formula>0</formula>
    </cfRule>
  </conditionalFormatting>
  <conditionalFormatting sqref="DY29">
    <cfRule type="cellIs" dxfId="1" priority="4792" operator="greaterThan">
      <formula>0</formula>
    </cfRule>
    <cfRule type="cellIs" dxfId="0" priority="4791" operator="lessThan">
      <formula>0</formula>
    </cfRule>
  </conditionalFormatting>
  <conditionalFormatting sqref="DZ29">
    <cfRule type="cellIs" dxfId="1" priority="5016" operator="greaterThan">
      <formula>0</formula>
    </cfRule>
    <cfRule type="cellIs" dxfId="0" priority="5015" operator="lessThan">
      <formula>0</formula>
    </cfRule>
  </conditionalFormatting>
  <conditionalFormatting sqref="EA29">
    <cfRule type="cellIs" dxfId="1" priority="5022" operator="greaterThan">
      <formula>0</formula>
    </cfRule>
    <cfRule type="cellIs" dxfId="0" priority="5021" operator="lessThan">
      <formula>0</formula>
    </cfRule>
  </conditionalFormatting>
  <conditionalFormatting sqref="EB29">
    <cfRule type="cellIs" dxfId="5" priority="4859" operator="greaterThan">
      <formula>1</formula>
    </cfRule>
    <cfRule type="cellIs" dxfId="6" priority="4858" operator="lessThan">
      <formula>0</formula>
    </cfRule>
    <cfRule type="cellIs" dxfId="1" priority="4857" operator="greaterThan">
      <formula>0</formula>
    </cfRule>
    <cfRule type="cellIs" dxfId="0" priority="4856" operator="lessThan">
      <formula>0</formula>
    </cfRule>
    <cfRule type="cellIs" dxfId="1" priority="4855" operator="greaterThan">
      <formula>0</formula>
    </cfRule>
    <cfRule type="cellIs" dxfId="0" priority="4854" operator="lessThan">
      <formula>0</formula>
    </cfRule>
  </conditionalFormatting>
  <conditionalFormatting sqref="EC29">
    <cfRule type="cellIs" dxfId="4" priority="4814" operator="lessThan">
      <formula>0</formula>
    </cfRule>
    <cfRule type="cellIs" dxfId="0" priority="4813" operator="lessThan">
      <formula>0</formula>
    </cfRule>
    <cfRule type="cellIs" dxfId="0" priority="4812" operator="lessThan">
      <formula>-1</formula>
    </cfRule>
  </conditionalFormatting>
  <conditionalFormatting sqref="EE29:FJ29">
    <cfRule type="cellIs" dxfId="2" priority="3513" operator="greaterThan">
      <formula>0</formula>
    </cfRule>
    <cfRule type="cellIs" dxfId="3" priority="3512" operator="lessThan">
      <formula>0</formula>
    </cfRule>
  </conditionalFormatting>
  <conditionalFormatting sqref="EY29">
    <cfRule type="cellIs" dxfId="1" priority="3534" operator="greaterThan">
      <formula>0</formula>
    </cfRule>
    <cfRule type="cellIs" dxfId="0" priority="3533" operator="lessThan">
      <formula>0</formula>
    </cfRule>
  </conditionalFormatting>
  <conditionalFormatting sqref="EZ29">
    <cfRule type="cellIs" dxfId="1" priority="3528" operator="greaterThan">
      <formula>0</formula>
    </cfRule>
    <cfRule type="cellIs" dxfId="0" priority="3527" operator="lessThan">
      <formula>0</formula>
    </cfRule>
  </conditionalFormatting>
  <conditionalFormatting sqref="FA29">
    <cfRule type="cellIs" dxfId="1" priority="3515" operator="greaterThan">
      <formula>0</formula>
    </cfRule>
    <cfRule type="cellIs" dxfId="0" priority="3514" operator="lessThan">
      <formula>0</formula>
    </cfRule>
  </conditionalFormatting>
  <conditionalFormatting sqref="FF29">
    <cfRule type="cellIs" dxfId="1" priority="3517" operator="greaterThan">
      <formula>0</formula>
    </cfRule>
    <cfRule type="cellIs" dxfId="0" priority="3516" operator="lessThan">
      <formula>0</formula>
    </cfRule>
  </conditionalFormatting>
  <conditionalFormatting sqref="FG29">
    <cfRule type="cellIs" dxfId="1" priority="3530" operator="greaterThan">
      <formula>0</formula>
    </cfRule>
    <cfRule type="cellIs" dxfId="0" priority="3529" operator="lessThan">
      <formula>0</formula>
    </cfRule>
  </conditionalFormatting>
  <conditionalFormatting sqref="FH29">
    <cfRule type="cellIs" dxfId="1" priority="3532" operator="greaterThan">
      <formula>0</formula>
    </cfRule>
    <cfRule type="cellIs" dxfId="0" priority="3531" operator="lessThan">
      <formula>0</formula>
    </cfRule>
  </conditionalFormatting>
  <conditionalFormatting sqref="FI29">
    <cfRule type="cellIs" dxfId="5" priority="3526" operator="greaterThan">
      <formula>1</formula>
    </cfRule>
    <cfRule type="cellIs" dxfId="6" priority="3525" operator="lessThan">
      <formula>0</formula>
    </cfRule>
    <cfRule type="cellIs" dxfId="1" priority="3524" operator="greaterThan">
      <formula>0</formula>
    </cfRule>
    <cfRule type="cellIs" dxfId="0" priority="3523" operator="lessThan">
      <formula>0</formula>
    </cfRule>
    <cfRule type="cellIs" dxfId="1" priority="3522" operator="greaterThan">
      <formula>0</formula>
    </cfRule>
    <cfRule type="cellIs" dxfId="0" priority="3521" operator="lessThan">
      <formula>0</formula>
    </cfRule>
  </conditionalFormatting>
  <conditionalFormatting sqref="FJ29">
    <cfRule type="cellIs" dxfId="4" priority="3520" operator="lessThan">
      <formula>0</formula>
    </cfRule>
    <cfRule type="cellIs" dxfId="0" priority="3519" operator="lessThan">
      <formula>0</formula>
    </cfRule>
    <cfRule type="cellIs" dxfId="0" priority="3518" operator="lessThan">
      <formula>-1</formula>
    </cfRule>
  </conditionalFormatting>
  <conditionalFormatting sqref="FR29">
    <cfRule type="cellIs" dxfId="2" priority="2927" operator="greaterThan">
      <formula>0</formula>
    </cfRule>
    <cfRule type="cellIs" dxfId="3" priority="2926" operator="lessThan">
      <formula>0</formula>
    </cfRule>
  </conditionalFormatting>
  <conditionalFormatting sqref="FZ29">
    <cfRule type="cellIs" dxfId="2" priority="2935" operator="greaterThan">
      <formula>0</formula>
    </cfRule>
    <cfRule type="cellIs" dxfId="3" priority="2934" operator="lessThan">
      <formula>0</formula>
    </cfRule>
  </conditionalFormatting>
  <conditionalFormatting sqref="GH29">
    <cfRule type="cellIs" dxfId="1" priority="2981" operator="greaterThan">
      <formula>0</formula>
    </cfRule>
    <cfRule type="cellIs" dxfId="0" priority="2980" operator="lessThan">
      <formula>0</formula>
    </cfRule>
  </conditionalFormatting>
  <conditionalFormatting sqref="GI29">
    <cfRule type="cellIs" dxfId="1" priority="2975" operator="greaterThan">
      <formula>0</formula>
    </cfRule>
    <cfRule type="cellIs" dxfId="0" priority="2974" operator="lessThan">
      <formula>0</formula>
    </cfRule>
  </conditionalFormatting>
  <conditionalFormatting sqref="GJ29">
    <cfRule type="cellIs" dxfId="1" priority="2962" operator="greaterThan">
      <formula>0</formula>
    </cfRule>
    <cfRule type="cellIs" dxfId="0" priority="2961" operator="lessThan">
      <formula>0</formula>
    </cfRule>
  </conditionalFormatting>
  <conditionalFormatting sqref="GO29">
    <cfRule type="cellIs" dxfId="1" priority="2964" operator="greaterThan">
      <formula>0</formula>
    </cfRule>
    <cfRule type="cellIs" dxfId="0" priority="2963" operator="lessThan">
      <formula>0</formula>
    </cfRule>
  </conditionalFormatting>
  <conditionalFormatting sqref="GP29">
    <cfRule type="cellIs" dxfId="1" priority="2977" operator="greaterThan">
      <formula>0</formula>
    </cfRule>
    <cfRule type="cellIs" dxfId="0" priority="2976" operator="lessThan">
      <formula>0</formula>
    </cfRule>
  </conditionalFormatting>
  <conditionalFormatting sqref="GQ29">
    <cfRule type="cellIs" dxfId="1" priority="2979" operator="greaterThan">
      <formula>0</formula>
    </cfRule>
    <cfRule type="cellIs" dxfId="0" priority="2978" operator="lessThan">
      <formula>0</formula>
    </cfRule>
  </conditionalFormatting>
  <conditionalFormatting sqref="GR29">
    <cfRule type="cellIs" dxfId="5" priority="2973" operator="greaterThan">
      <formula>1</formula>
    </cfRule>
    <cfRule type="cellIs" dxfId="6" priority="2972" operator="lessThan">
      <formula>0</formula>
    </cfRule>
    <cfRule type="cellIs" dxfId="1" priority="2971" operator="greaterThan">
      <formula>0</formula>
    </cfRule>
    <cfRule type="cellIs" dxfId="0" priority="2970" operator="lessThan">
      <formula>0</formula>
    </cfRule>
    <cfRule type="cellIs" dxfId="1" priority="2969" operator="greaterThan">
      <formula>0</formula>
    </cfRule>
    <cfRule type="cellIs" dxfId="0" priority="2968" operator="lessThan">
      <formula>0</formula>
    </cfRule>
  </conditionalFormatting>
  <conditionalFormatting sqref="GS29">
    <cfRule type="cellIs" dxfId="4" priority="2967" operator="lessThan">
      <formula>0</formula>
    </cfRule>
    <cfRule type="cellIs" dxfId="0" priority="2966" operator="lessThan">
      <formula>0</formula>
    </cfRule>
    <cfRule type="cellIs" dxfId="0" priority="2965" operator="lessThan">
      <formula>-1</formula>
    </cfRule>
  </conditionalFormatting>
  <conditionalFormatting sqref="GV29:IA29">
    <cfRule type="cellIs" dxfId="2" priority="2456" operator="greaterThan">
      <formula>0</formula>
    </cfRule>
    <cfRule type="cellIs" dxfId="3" priority="2455" operator="lessThan">
      <formula>0</formula>
    </cfRule>
  </conditionalFormatting>
  <conditionalFormatting sqref="HP29">
    <cfRule type="cellIs" dxfId="1" priority="2477" operator="greaterThan">
      <formula>0</formula>
    </cfRule>
    <cfRule type="cellIs" dxfId="0" priority="2476" operator="lessThan">
      <formula>0</formula>
    </cfRule>
  </conditionalFormatting>
  <conditionalFormatting sqref="HQ29">
    <cfRule type="cellIs" dxfId="1" priority="2471" operator="greaterThan">
      <formula>0</formula>
    </cfRule>
    <cfRule type="cellIs" dxfId="0" priority="2470" operator="lessThan">
      <formula>0</formula>
    </cfRule>
  </conditionalFormatting>
  <conditionalFormatting sqref="HR29">
    <cfRule type="cellIs" dxfId="1" priority="2458" operator="greaterThan">
      <formula>0</formula>
    </cfRule>
    <cfRule type="cellIs" dxfId="0" priority="2457" operator="lessThan">
      <formula>0</formula>
    </cfRule>
  </conditionalFormatting>
  <conditionalFormatting sqref="HW29">
    <cfRule type="cellIs" dxfId="1" priority="2460" operator="greaterThan">
      <formula>0</formula>
    </cfRule>
    <cfRule type="cellIs" dxfId="0" priority="2459" operator="lessThan">
      <formula>0</formula>
    </cfRule>
  </conditionalFormatting>
  <conditionalFormatting sqref="HX29">
    <cfRule type="cellIs" dxfId="1" priority="2473" operator="greaterThan">
      <formula>0</formula>
    </cfRule>
    <cfRule type="cellIs" dxfId="0" priority="2472" operator="lessThan">
      <formula>0</formula>
    </cfRule>
  </conditionalFormatting>
  <conditionalFormatting sqref="HY29">
    <cfRule type="cellIs" dxfId="1" priority="2475" operator="greaterThan">
      <formula>0</formula>
    </cfRule>
    <cfRule type="cellIs" dxfId="0" priority="2474" operator="lessThan">
      <formula>0</formula>
    </cfRule>
  </conditionalFormatting>
  <conditionalFormatting sqref="HZ29">
    <cfRule type="cellIs" dxfId="5" priority="2469" operator="greaterThan">
      <formula>1</formula>
    </cfRule>
    <cfRule type="cellIs" dxfId="6" priority="2468" operator="lessThan">
      <formula>0</formula>
    </cfRule>
    <cfRule type="cellIs" dxfId="1" priority="2467" operator="greaterThan">
      <formula>0</formula>
    </cfRule>
    <cfRule type="cellIs" dxfId="0" priority="2466" operator="lessThan">
      <formula>0</formula>
    </cfRule>
    <cfRule type="cellIs" dxfId="1" priority="2465" operator="greaterThan">
      <formula>0</formula>
    </cfRule>
    <cfRule type="cellIs" dxfId="0" priority="2464" operator="lessThan">
      <formula>0</formula>
    </cfRule>
  </conditionalFormatting>
  <conditionalFormatting sqref="IA29">
    <cfRule type="cellIs" dxfId="4" priority="2463" operator="lessThan">
      <formula>0</formula>
    </cfRule>
    <cfRule type="cellIs" dxfId="0" priority="2462" operator="lessThan">
      <formula>0</formula>
    </cfRule>
    <cfRule type="cellIs" dxfId="0" priority="2461" operator="lessThan">
      <formula>-1</formula>
    </cfRule>
  </conditionalFormatting>
  <conditionalFormatting sqref="IH29">
    <cfRule type="cellIs" dxfId="2" priority="1734" operator="greaterThan">
      <formula>0</formula>
    </cfRule>
    <cfRule type="cellIs" dxfId="3" priority="1733" operator="lessThan">
      <formula>0</formula>
    </cfRule>
  </conditionalFormatting>
  <conditionalFormatting sqref="IP29">
    <cfRule type="cellIs" dxfId="2" priority="1718" operator="greaterThan">
      <formula>0</formula>
    </cfRule>
    <cfRule type="cellIs" dxfId="3" priority="1717" operator="lessThan">
      <formula>0</formula>
    </cfRule>
  </conditionalFormatting>
  <conditionalFormatting sqref="IX29">
    <cfRule type="cellIs" dxfId="1" priority="1885" operator="greaterThan">
      <formula>0</formula>
    </cfRule>
    <cfRule type="cellIs" dxfId="0" priority="1884" operator="lessThan">
      <formula>0</formula>
    </cfRule>
  </conditionalFormatting>
  <conditionalFormatting sqref="IY29">
    <cfRule type="cellIs" dxfId="1" priority="1879" operator="greaterThan">
      <formula>0</formula>
    </cfRule>
    <cfRule type="cellIs" dxfId="0" priority="1878" operator="lessThan">
      <formula>0</formula>
    </cfRule>
  </conditionalFormatting>
  <conditionalFormatting sqref="IZ29">
    <cfRule type="cellIs" dxfId="1" priority="1866" operator="greaterThan">
      <formula>0</formula>
    </cfRule>
    <cfRule type="cellIs" dxfId="0" priority="1865" operator="lessThan">
      <formula>0</formula>
    </cfRule>
  </conditionalFormatting>
  <conditionalFormatting sqref="JE29">
    <cfRule type="cellIs" dxfId="1" priority="1868" operator="greaterThan">
      <formula>0</formula>
    </cfRule>
    <cfRule type="cellIs" dxfId="0" priority="1867" operator="lessThan">
      <formula>0</formula>
    </cfRule>
  </conditionalFormatting>
  <conditionalFormatting sqref="JF29">
    <cfRule type="cellIs" dxfId="1" priority="1881" operator="greaterThan">
      <formula>0</formula>
    </cfRule>
    <cfRule type="cellIs" dxfId="0" priority="1880" operator="lessThan">
      <formula>0</formula>
    </cfRule>
  </conditionalFormatting>
  <conditionalFormatting sqref="JG29">
    <cfRule type="cellIs" dxfId="1" priority="1883" operator="greaterThan">
      <formula>0</formula>
    </cfRule>
    <cfRule type="cellIs" dxfId="0" priority="1882" operator="lessThan">
      <formula>0</formula>
    </cfRule>
  </conditionalFormatting>
  <conditionalFormatting sqref="JH29">
    <cfRule type="cellIs" dxfId="5" priority="1877" operator="greaterThan">
      <formula>1</formula>
    </cfRule>
    <cfRule type="cellIs" dxfId="6" priority="1876" operator="lessThan">
      <formula>0</formula>
    </cfRule>
    <cfRule type="cellIs" dxfId="1" priority="1875" operator="greaterThan">
      <formula>0</formula>
    </cfRule>
    <cfRule type="cellIs" dxfId="0" priority="1874" operator="lessThan">
      <formula>0</formula>
    </cfRule>
    <cfRule type="cellIs" dxfId="1" priority="1873" operator="greaterThan">
      <formula>0</formula>
    </cfRule>
    <cfRule type="cellIs" dxfId="0" priority="1872" operator="lessThan">
      <formula>0</formula>
    </cfRule>
  </conditionalFormatting>
  <conditionalFormatting sqref="JI29">
    <cfRule type="cellIs" dxfId="4" priority="1871" operator="lessThan">
      <formula>0</formula>
    </cfRule>
    <cfRule type="cellIs" dxfId="0" priority="1870" operator="lessThan">
      <formula>0</formula>
    </cfRule>
    <cfRule type="cellIs" dxfId="0" priority="1869" operator="lessThan">
      <formula>-1</formula>
    </cfRule>
  </conditionalFormatting>
  <conditionalFormatting sqref="JL29:KQ29">
    <cfRule type="cellIs" dxfId="2" priority="1095" operator="greaterThan">
      <formula>0</formula>
    </cfRule>
    <cfRule type="cellIs" dxfId="3" priority="1094" operator="lessThan">
      <formula>0</formula>
    </cfRule>
  </conditionalFormatting>
  <conditionalFormatting sqref="KF29">
    <cfRule type="cellIs" dxfId="1" priority="1116" operator="greaterThan">
      <formula>0</formula>
    </cfRule>
    <cfRule type="cellIs" dxfId="0" priority="1115" operator="lessThan">
      <formula>0</formula>
    </cfRule>
  </conditionalFormatting>
  <conditionalFormatting sqref="KG29">
    <cfRule type="cellIs" dxfId="1" priority="1110" operator="greaterThan">
      <formula>0</formula>
    </cfRule>
    <cfRule type="cellIs" dxfId="0" priority="1109" operator="lessThan">
      <formula>0</formula>
    </cfRule>
  </conditionalFormatting>
  <conditionalFormatting sqref="KH29">
    <cfRule type="cellIs" dxfId="1" priority="1097" operator="greaterThan">
      <formula>0</formula>
    </cfRule>
    <cfRule type="cellIs" dxfId="0" priority="1096" operator="lessThan">
      <formula>0</formula>
    </cfRule>
  </conditionalFormatting>
  <conditionalFormatting sqref="KM29">
    <cfRule type="cellIs" dxfId="1" priority="1099" operator="greaterThan">
      <formula>0</formula>
    </cfRule>
    <cfRule type="cellIs" dxfId="0" priority="1098" operator="lessThan">
      <formula>0</formula>
    </cfRule>
  </conditionalFormatting>
  <conditionalFormatting sqref="KN29">
    <cfRule type="cellIs" dxfId="1" priority="1112" operator="greaterThan">
      <formula>0</formula>
    </cfRule>
    <cfRule type="cellIs" dxfId="0" priority="1111" operator="lessThan">
      <formula>0</formula>
    </cfRule>
  </conditionalFormatting>
  <conditionalFormatting sqref="KO29">
    <cfRule type="cellIs" dxfId="1" priority="1114" operator="greaterThan">
      <formula>0</formula>
    </cfRule>
    <cfRule type="cellIs" dxfId="0" priority="1113" operator="lessThan">
      <formula>0</formula>
    </cfRule>
  </conditionalFormatting>
  <conditionalFormatting sqref="KP29">
    <cfRule type="cellIs" dxfId="5" priority="1108" operator="greaterThan">
      <formula>1</formula>
    </cfRule>
    <cfRule type="cellIs" dxfId="6" priority="1107" operator="lessThan">
      <formula>0</formula>
    </cfRule>
    <cfRule type="cellIs" dxfId="1" priority="1106" operator="greaterThan">
      <formula>0</formula>
    </cfRule>
    <cfRule type="cellIs" dxfId="0" priority="1105" operator="lessThan">
      <formula>0</formula>
    </cfRule>
    <cfRule type="cellIs" dxfId="1" priority="1104" operator="greaterThan">
      <formula>0</formula>
    </cfRule>
    <cfRule type="cellIs" dxfId="0" priority="1103" operator="lessThan">
      <formula>0</formula>
    </cfRule>
  </conditionalFormatting>
  <conditionalFormatting sqref="KQ29">
    <cfRule type="cellIs" dxfId="4" priority="1102" operator="lessThan">
      <formula>0</formula>
    </cfRule>
    <cfRule type="cellIs" dxfId="0" priority="1101" operator="lessThan">
      <formula>0</formula>
    </cfRule>
    <cfRule type="cellIs" dxfId="0" priority="1100" operator="lessThan">
      <formula>-1</formula>
    </cfRule>
  </conditionalFormatting>
  <conditionalFormatting sqref="LN29">
    <cfRule type="cellIs" dxfId="0" priority="9841" operator="lessThan">
      <formula>0</formula>
    </cfRule>
    <cfRule type="cellIs" dxfId="1" priority="9842" operator="greaterThan">
      <formula>0</formula>
    </cfRule>
  </conditionalFormatting>
  <conditionalFormatting sqref="LP29">
    <cfRule type="cellIs" dxfId="0" priority="9856" operator="lessThan">
      <formula>0</formula>
    </cfRule>
    <cfRule type="cellIs" dxfId="1" priority="9857" operator="greaterThan">
      <formula>0</formula>
    </cfRule>
  </conditionalFormatting>
  <conditionalFormatting sqref="LU29">
    <cfRule type="cellIs" dxfId="0" priority="9539" operator="lessThan">
      <formula>0</formula>
    </cfRule>
    <cfRule type="cellIs" dxfId="1" priority="9540" operator="greaterThan">
      <formula>0</formula>
    </cfRule>
  </conditionalFormatting>
  <conditionalFormatting sqref="LV29">
    <cfRule type="cellIs" dxfId="0" priority="9854" operator="lessThan">
      <formula>0</formula>
    </cfRule>
    <cfRule type="cellIs" dxfId="1" priority="9855" operator="greaterThan">
      <formula>0</formula>
    </cfRule>
  </conditionalFormatting>
  <conditionalFormatting sqref="LW29">
    <cfRule type="cellIs" dxfId="0" priority="9870" operator="lessThan">
      <formula>0</formula>
    </cfRule>
    <cfRule type="cellIs" dxfId="1" priority="9871" operator="greaterThan">
      <formula>0</formula>
    </cfRule>
  </conditionalFormatting>
  <conditionalFormatting sqref="LX29">
    <cfRule type="cellIs" dxfId="0" priority="9550" operator="lessThan">
      <formula>0</formula>
    </cfRule>
    <cfRule type="cellIs" dxfId="1" priority="9551" operator="greaterThan">
      <formula>0</formula>
    </cfRule>
    <cfRule type="cellIs" dxfId="0" priority="9552" operator="lessThan">
      <formula>0</formula>
    </cfRule>
    <cfRule type="cellIs" dxfId="1" priority="9553" operator="greaterThan">
      <formula>0</formula>
    </cfRule>
    <cfRule type="cellIs" dxfId="6" priority="9554" operator="lessThan">
      <formula>0</formula>
    </cfRule>
    <cfRule type="cellIs" dxfId="5" priority="9555" operator="greaterThan">
      <formula>1</formula>
    </cfRule>
  </conditionalFormatting>
  <conditionalFormatting sqref="LY29">
    <cfRule type="cellIs" dxfId="0" priority="9556" operator="lessThan">
      <formula>-1</formula>
    </cfRule>
    <cfRule type="cellIs" dxfId="0" priority="9557" operator="lessThan">
      <formula>0</formula>
    </cfRule>
    <cfRule type="cellIs" dxfId="4" priority="9558" operator="lessThan">
      <formula>0</formula>
    </cfRule>
  </conditionalFormatting>
  <conditionalFormatting sqref="MV29">
    <cfRule type="cellIs" dxfId="0" priority="10248" operator="lessThan">
      <formula>0</formula>
    </cfRule>
    <cfRule type="cellIs" dxfId="1" priority="10249" operator="greaterThan">
      <formula>0</formula>
    </cfRule>
  </conditionalFormatting>
  <conditionalFormatting sqref="MX29">
    <cfRule type="cellIs" dxfId="0" priority="10263" operator="lessThan">
      <formula>0</formula>
    </cfRule>
    <cfRule type="cellIs" dxfId="1" priority="10264" operator="greaterThan">
      <formula>0</formula>
    </cfRule>
  </conditionalFormatting>
  <conditionalFormatting sqref="NB29:NC29">
    <cfRule type="cellIs" dxfId="0" priority="9922" operator="lessThan">
      <formula>0</formula>
    </cfRule>
    <cfRule type="cellIs" dxfId="1" priority="9923" operator="greaterThan">
      <formula>0</formula>
    </cfRule>
  </conditionalFormatting>
  <conditionalFormatting sqref="ND29">
    <cfRule type="cellIs" dxfId="0" priority="10261" operator="lessThan">
      <formula>0</formula>
    </cfRule>
    <cfRule type="cellIs" dxfId="1" priority="10262" operator="greaterThan">
      <formula>0</formula>
    </cfRule>
  </conditionalFormatting>
  <conditionalFormatting sqref="NE29">
    <cfRule type="cellIs" dxfId="0" priority="10280" operator="lessThan">
      <formula>0</formula>
    </cfRule>
    <cfRule type="cellIs" dxfId="1" priority="10281" operator="greaterThan">
      <formula>0</formula>
    </cfRule>
  </conditionalFormatting>
  <conditionalFormatting sqref="NF29">
    <cfRule type="cellIs" dxfId="0" priority="9933" operator="lessThan">
      <formula>0</formula>
    </cfRule>
    <cfRule type="cellIs" dxfId="1" priority="9934" operator="greaterThan">
      <formula>0</formula>
    </cfRule>
    <cfRule type="cellIs" dxfId="0" priority="9935" operator="lessThan">
      <formula>0</formula>
    </cfRule>
    <cfRule type="cellIs" dxfId="1" priority="9936" operator="greaterThan">
      <formula>0</formula>
    </cfRule>
    <cfRule type="cellIs" dxfId="6" priority="9937" operator="lessThan">
      <formula>0</formula>
    </cfRule>
    <cfRule type="cellIs" dxfId="5" priority="9938" operator="greaterThan">
      <formula>1</formula>
    </cfRule>
  </conditionalFormatting>
  <conditionalFormatting sqref="NG29">
    <cfRule type="cellIs" dxfId="0" priority="9939" operator="lessThan">
      <formula>-1</formula>
    </cfRule>
    <cfRule type="cellIs" dxfId="0" priority="9940" operator="lessThan">
      <formula>0</formula>
    </cfRule>
    <cfRule type="cellIs" dxfId="4" priority="9941" operator="lessThan">
      <formula>0</formula>
    </cfRule>
  </conditionalFormatting>
  <conditionalFormatting sqref="OD29">
    <cfRule type="cellIs" dxfId="0" priority="10341" operator="lessThan">
      <formula>0</formula>
    </cfRule>
    <cfRule type="cellIs" dxfId="1" priority="10342" operator="greaterThan">
      <formula>0</formula>
    </cfRule>
  </conditionalFormatting>
  <conditionalFormatting sqref="OF29">
    <cfRule type="cellIs" dxfId="0" priority="10426" operator="lessThan">
      <formula>0</formula>
    </cfRule>
    <cfRule type="cellIs" dxfId="1" priority="10427" operator="greaterThan">
      <formula>0</formula>
    </cfRule>
  </conditionalFormatting>
  <conditionalFormatting sqref="OK29">
    <cfRule type="cellIs" dxfId="0" priority="10077" operator="lessThan">
      <formula>0</formula>
    </cfRule>
    <cfRule type="cellIs" dxfId="1" priority="10078" operator="greaterThan">
      <formula>0</formula>
    </cfRule>
  </conditionalFormatting>
  <conditionalFormatting sqref="OL29">
    <cfRule type="cellIs" dxfId="0" priority="10424" operator="lessThan">
      <formula>0</formula>
    </cfRule>
    <cfRule type="cellIs" dxfId="1" priority="10425" operator="greaterThan">
      <formula>0</formula>
    </cfRule>
  </conditionalFormatting>
  <conditionalFormatting sqref="OM29">
    <cfRule type="cellIs" dxfId="0" priority="10449" operator="lessThan">
      <formula>0</formula>
    </cfRule>
    <cfRule type="cellIs" dxfId="1" priority="10450" operator="greaterThan">
      <formula>0</formula>
    </cfRule>
  </conditionalFormatting>
  <conditionalFormatting sqref="ON29">
    <cfRule type="cellIs" dxfId="0" priority="10329" operator="lessThan">
      <formula>0</formula>
    </cfRule>
    <cfRule type="cellIs" dxfId="1" priority="10330" operator="greaterThan">
      <formula>0</formula>
    </cfRule>
    <cfRule type="cellIs" dxfId="0" priority="10331" operator="lessThan">
      <formula>0</formula>
    </cfRule>
    <cfRule type="cellIs" dxfId="1" priority="10332" operator="greaterThan">
      <formula>0</formula>
    </cfRule>
    <cfRule type="cellIs" dxfId="6" priority="10333" operator="lessThan">
      <formula>0</formula>
    </cfRule>
    <cfRule type="cellIs" dxfId="5" priority="10334" operator="greaterThan">
      <formula>1</formula>
    </cfRule>
  </conditionalFormatting>
  <conditionalFormatting sqref="OO29">
    <cfRule type="cellIs" dxfId="0" priority="10085" operator="lessThan">
      <formula>-1</formula>
    </cfRule>
    <cfRule type="cellIs" dxfId="0" priority="10086" operator="lessThan">
      <formula>0</formula>
    </cfRule>
    <cfRule type="cellIs" dxfId="4" priority="10087" operator="lessThan">
      <formula>0</formula>
    </cfRule>
  </conditionalFormatting>
  <conditionalFormatting sqref="EE30:FJ30">
    <cfRule type="cellIs" dxfId="2" priority="3490" operator="greaterThan">
      <formula>0</formula>
    </cfRule>
    <cfRule type="cellIs" dxfId="3" priority="3489" operator="lessThan">
      <formula>0</formula>
    </cfRule>
  </conditionalFormatting>
  <conditionalFormatting sqref="EY30">
    <cfRule type="cellIs" dxfId="1" priority="3511" operator="greaterThan">
      <formula>0</formula>
    </cfRule>
    <cfRule type="cellIs" dxfId="0" priority="3510" operator="lessThan">
      <formula>0</formula>
    </cfRule>
  </conditionalFormatting>
  <conditionalFormatting sqref="EZ30">
    <cfRule type="cellIs" dxfId="1" priority="3505" operator="greaterThan">
      <formula>0</formula>
    </cfRule>
    <cfRule type="cellIs" dxfId="0" priority="3504" operator="lessThan">
      <formula>0</formula>
    </cfRule>
  </conditionalFormatting>
  <conditionalFormatting sqref="FA30">
    <cfRule type="cellIs" dxfId="1" priority="3492" operator="greaterThan">
      <formula>0</formula>
    </cfRule>
    <cfRule type="cellIs" dxfId="0" priority="3491" operator="lessThan">
      <formula>0</formula>
    </cfRule>
  </conditionalFormatting>
  <conditionalFormatting sqref="FF30">
    <cfRule type="cellIs" dxfId="1" priority="3494" operator="greaterThan">
      <formula>0</formula>
    </cfRule>
    <cfRule type="cellIs" dxfId="0" priority="3493" operator="lessThan">
      <formula>0</formula>
    </cfRule>
  </conditionalFormatting>
  <conditionalFormatting sqref="FG30">
    <cfRule type="cellIs" dxfId="1" priority="3507" operator="greaterThan">
      <formula>0</formula>
    </cfRule>
    <cfRule type="cellIs" dxfId="0" priority="3506" operator="lessThan">
      <formula>0</formula>
    </cfRule>
  </conditionalFormatting>
  <conditionalFormatting sqref="FH30">
    <cfRule type="cellIs" dxfId="1" priority="3509" operator="greaterThan">
      <formula>0</formula>
    </cfRule>
    <cfRule type="cellIs" dxfId="0" priority="3508" operator="lessThan">
      <formula>0</formula>
    </cfRule>
  </conditionalFormatting>
  <conditionalFormatting sqref="FI30">
    <cfRule type="cellIs" dxfId="5" priority="3503" operator="greaterThan">
      <formula>1</formula>
    </cfRule>
    <cfRule type="cellIs" dxfId="6" priority="3502" operator="lessThan">
      <formula>0</formula>
    </cfRule>
    <cfRule type="cellIs" dxfId="1" priority="3501" operator="greaterThan">
      <formula>0</formula>
    </cfRule>
    <cfRule type="cellIs" dxfId="0" priority="3500" operator="lessThan">
      <formula>0</formula>
    </cfRule>
    <cfRule type="cellIs" dxfId="1" priority="3499" operator="greaterThan">
      <formula>0</formula>
    </cfRule>
    <cfRule type="cellIs" dxfId="0" priority="3498" operator="lessThan">
      <formula>0</formula>
    </cfRule>
  </conditionalFormatting>
  <conditionalFormatting sqref="FJ30">
    <cfRule type="cellIs" dxfId="4" priority="3497" operator="lessThan">
      <formula>0</formula>
    </cfRule>
    <cfRule type="cellIs" dxfId="0" priority="3496" operator="lessThan">
      <formula>0</formula>
    </cfRule>
    <cfRule type="cellIs" dxfId="0" priority="3495" operator="lessThan">
      <formula>-1</formula>
    </cfRule>
  </conditionalFormatting>
  <conditionalFormatting sqref="AD31">
    <cfRule type="cellIs" dxfId="1" priority="6307" operator="greaterThan">
      <formula>0</formula>
    </cfRule>
    <cfRule type="cellIs" dxfId="0" priority="6306" operator="lessThan">
      <formula>0</formula>
    </cfRule>
  </conditionalFormatting>
  <conditionalFormatting sqref="AE31:AF31">
    <cfRule type="cellIs" dxfId="1" priority="6557" operator="greaterThan">
      <formula>0</formula>
    </cfRule>
    <cfRule type="cellIs" dxfId="0" priority="6556" operator="lessThan">
      <formula>0</formula>
    </cfRule>
  </conditionalFormatting>
  <conditionalFormatting sqref="AG31">
    <cfRule type="cellIs" dxfId="5" priority="6549" operator="greaterThan">
      <formula>1</formula>
    </cfRule>
    <cfRule type="cellIs" dxfId="6" priority="6548" operator="lessThan">
      <formula>0</formula>
    </cfRule>
    <cfRule type="cellIs" dxfId="1" priority="6547" operator="greaterThan">
      <formula>0</formula>
    </cfRule>
    <cfRule type="cellIs" dxfId="0" priority="6546" operator="lessThan">
      <formula>0</formula>
    </cfRule>
    <cfRule type="cellIs" dxfId="1" priority="6545" operator="greaterThan">
      <formula>0</formula>
    </cfRule>
    <cfRule type="cellIs" dxfId="0" priority="6544" operator="lessThan">
      <formula>0</formula>
    </cfRule>
  </conditionalFormatting>
  <conditionalFormatting sqref="AH31">
    <cfRule type="cellIs" dxfId="0" priority="6317" operator="lessThan">
      <formula>0</formula>
    </cfRule>
    <cfRule type="cellIs" dxfId="0" priority="6316" operator="lessThan">
      <formula>-1</formula>
    </cfRule>
    <cfRule type="cellIs" dxfId="4" priority="6315" operator="lessThan">
      <formula>0</formula>
    </cfRule>
  </conditionalFormatting>
  <conditionalFormatting sqref="BK31">
    <cfRule type="cellIs" dxfId="1" priority="5920" operator="greaterThan">
      <formula>0</formula>
    </cfRule>
    <cfRule type="cellIs" dxfId="0" priority="5919" operator="lessThan">
      <formula>0</formula>
    </cfRule>
  </conditionalFormatting>
  <conditionalFormatting sqref="BL31:BM31">
    <cfRule type="cellIs" dxfId="1" priority="6144" operator="greaterThan">
      <formula>0</formula>
    </cfRule>
    <cfRule type="cellIs" dxfId="0" priority="6143" operator="lessThan">
      <formula>0</formula>
    </cfRule>
  </conditionalFormatting>
  <conditionalFormatting sqref="BN31">
    <cfRule type="cellIs" dxfId="5" priority="6136" operator="greaterThan">
      <formula>1</formula>
    </cfRule>
    <cfRule type="cellIs" dxfId="6" priority="6135" operator="lessThan">
      <formula>0</formula>
    </cfRule>
    <cfRule type="cellIs" dxfId="1" priority="6134" operator="greaterThan">
      <formula>0</formula>
    </cfRule>
    <cfRule type="cellIs" dxfId="0" priority="6133" operator="lessThan">
      <formula>0</formula>
    </cfRule>
    <cfRule type="cellIs" dxfId="1" priority="6132" operator="greaterThan">
      <formula>0</formula>
    </cfRule>
    <cfRule type="cellIs" dxfId="0" priority="6131" operator="lessThan">
      <formula>0</formula>
    </cfRule>
  </conditionalFormatting>
  <conditionalFormatting sqref="BO31">
    <cfRule type="cellIs" dxfId="0" priority="5930" operator="lessThan">
      <formula>0</formula>
    </cfRule>
    <cfRule type="cellIs" dxfId="0" priority="5929" operator="lessThan">
      <formula>-1</formula>
    </cfRule>
    <cfRule type="cellIs" dxfId="4" priority="5928" operator="lessThan">
      <formula>0</formula>
    </cfRule>
  </conditionalFormatting>
  <conditionalFormatting sqref="CR31">
    <cfRule type="cellIs" dxfId="1" priority="5187" operator="greaterThan">
      <formula>0</formula>
    </cfRule>
    <cfRule type="cellIs" dxfId="0" priority="5186" operator="lessThan">
      <formula>0</formula>
    </cfRule>
  </conditionalFormatting>
  <conditionalFormatting sqref="CS31:CT31">
    <cfRule type="cellIs" dxfId="1" priority="5409" operator="greaterThan">
      <formula>0</formula>
    </cfRule>
    <cfRule type="cellIs" dxfId="0" priority="5408" operator="lessThan">
      <formula>0</formula>
    </cfRule>
  </conditionalFormatting>
  <conditionalFormatting sqref="CU31">
    <cfRule type="cellIs" dxfId="5" priority="5403" operator="greaterThan">
      <formula>1</formula>
    </cfRule>
    <cfRule type="cellIs" dxfId="6" priority="5402" operator="lessThan">
      <formula>0</formula>
    </cfRule>
    <cfRule type="cellIs" dxfId="1" priority="5401" operator="greaterThan">
      <formula>0</formula>
    </cfRule>
    <cfRule type="cellIs" dxfId="0" priority="5400" operator="lessThan">
      <formula>0</formula>
    </cfRule>
    <cfRule type="cellIs" dxfId="1" priority="5399" operator="greaterThan">
      <formula>0</formula>
    </cfRule>
    <cfRule type="cellIs" dxfId="0" priority="5398" operator="lessThan">
      <formula>0</formula>
    </cfRule>
  </conditionalFormatting>
  <conditionalFormatting sqref="CV31">
    <cfRule type="cellIs" dxfId="0" priority="5197" operator="lessThan">
      <formula>0</formula>
    </cfRule>
    <cfRule type="cellIs" dxfId="0" priority="5196" operator="lessThan">
      <formula>-1</formula>
    </cfRule>
    <cfRule type="cellIs" dxfId="4" priority="5195" operator="lessThan">
      <formula>0</formula>
    </cfRule>
  </conditionalFormatting>
  <conditionalFormatting sqref="DY31">
    <cfRule type="cellIs" dxfId="1" priority="4798" operator="greaterThan">
      <formula>0</formula>
    </cfRule>
    <cfRule type="cellIs" dxfId="0" priority="4797" operator="lessThan">
      <formula>0</formula>
    </cfRule>
  </conditionalFormatting>
  <conditionalFormatting sqref="DZ31:EA31">
    <cfRule type="cellIs" dxfId="1" priority="5020" operator="greaterThan">
      <formula>0</formula>
    </cfRule>
    <cfRule type="cellIs" dxfId="0" priority="5019" operator="lessThan">
      <formula>0</formula>
    </cfRule>
  </conditionalFormatting>
  <conditionalFormatting sqref="EB31">
    <cfRule type="cellIs" dxfId="5" priority="5014" operator="greaterThan">
      <formula>1</formula>
    </cfRule>
    <cfRule type="cellIs" dxfId="6" priority="5013" operator="lessThan">
      <formula>0</formula>
    </cfRule>
    <cfRule type="cellIs" dxfId="1" priority="5012" operator="greaterThan">
      <formula>0</formula>
    </cfRule>
    <cfRule type="cellIs" dxfId="0" priority="5011" operator="lessThan">
      <formula>0</formula>
    </cfRule>
    <cfRule type="cellIs" dxfId="1" priority="5010" operator="greaterThan">
      <formula>0</formula>
    </cfRule>
    <cfRule type="cellIs" dxfId="0" priority="5009" operator="lessThan">
      <formula>0</formula>
    </cfRule>
  </conditionalFormatting>
  <conditionalFormatting sqref="EC31">
    <cfRule type="cellIs" dxfId="0" priority="4808" operator="lessThan">
      <formula>0</formula>
    </cfRule>
    <cfRule type="cellIs" dxfId="0" priority="4807" operator="lessThan">
      <formula>-1</formula>
    </cfRule>
    <cfRule type="cellIs" dxfId="4" priority="4806" operator="lessThan">
      <formula>0</formula>
    </cfRule>
  </conditionalFormatting>
  <conditionalFormatting sqref="EE31:FJ31">
    <cfRule type="cellIs" dxfId="2" priority="3702" operator="greaterThan">
      <formula>0</formula>
    </cfRule>
    <cfRule type="cellIs" dxfId="3" priority="3701" operator="lessThan">
      <formula>0</formula>
    </cfRule>
  </conditionalFormatting>
  <conditionalFormatting sqref="FF31">
    <cfRule type="cellIs" dxfId="1" priority="3707" operator="greaterThan">
      <formula>0</formula>
    </cfRule>
    <cfRule type="cellIs" dxfId="0" priority="3706" operator="lessThan">
      <formula>0</formula>
    </cfRule>
  </conditionalFormatting>
  <conditionalFormatting sqref="FG31:FH31">
    <cfRule type="cellIs" dxfId="1" priority="3715" operator="greaterThan">
      <formula>0</formula>
    </cfRule>
    <cfRule type="cellIs" dxfId="0" priority="3714" operator="lessThan">
      <formula>0</formula>
    </cfRule>
  </conditionalFormatting>
  <conditionalFormatting sqref="FI31">
    <cfRule type="cellIs" dxfId="5" priority="3713" operator="greaterThan">
      <formula>1</formula>
    </cfRule>
    <cfRule type="cellIs" dxfId="6" priority="3712" operator="lessThan">
      <formula>0</formula>
    </cfRule>
    <cfRule type="cellIs" dxfId="1" priority="3711" operator="greaterThan">
      <formula>0</formula>
    </cfRule>
    <cfRule type="cellIs" dxfId="0" priority="3710" operator="lessThan">
      <formula>0</formula>
    </cfRule>
    <cfRule type="cellIs" dxfId="1" priority="3709" operator="greaterThan">
      <formula>0</formula>
    </cfRule>
    <cfRule type="cellIs" dxfId="0" priority="3708" operator="lessThan">
      <formula>0</formula>
    </cfRule>
  </conditionalFormatting>
  <conditionalFormatting sqref="FJ31">
    <cfRule type="cellIs" dxfId="0" priority="3705" operator="lessThan">
      <formula>0</formula>
    </cfRule>
    <cfRule type="cellIs" dxfId="0" priority="3704" operator="lessThan">
      <formula>-1</formula>
    </cfRule>
    <cfRule type="cellIs" dxfId="4" priority="3703" operator="lessThan">
      <formula>0</formula>
    </cfRule>
  </conditionalFormatting>
  <conditionalFormatting sqref="FN31:GS31">
    <cfRule type="cellIs" dxfId="2" priority="3187" operator="greaterThan">
      <formula>0</formula>
    </cfRule>
    <cfRule type="cellIs" dxfId="3" priority="3186" operator="lessThan">
      <formula>0</formula>
    </cfRule>
  </conditionalFormatting>
  <conditionalFormatting sqref="GO31">
    <cfRule type="cellIs" dxfId="1" priority="3192" operator="greaterThan">
      <formula>0</formula>
    </cfRule>
    <cfRule type="cellIs" dxfId="0" priority="3191" operator="lessThan">
      <formula>0</formula>
    </cfRule>
  </conditionalFormatting>
  <conditionalFormatting sqref="GP31:GQ31">
    <cfRule type="cellIs" dxfId="1" priority="3200" operator="greaterThan">
      <formula>0</formula>
    </cfRule>
    <cfRule type="cellIs" dxfId="0" priority="3199" operator="lessThan">
      <formula>0</formula>
    </cfRule>
  </conditionalFormatting>
  <conditionalFormatting sqref="GR31">
    <cfRule type="cellIs" dxfId="5" priority="3198" operator="greaterThan">
      <formula>1</formula>
    </cfRule>
    <cfRule type="cellIs" dxfId="6" priority="3197" operator="lessThan">
      <formula>0</formula>
    </cfRule>
    <cfRule type="cellIs" dxfId="1" priority="3196" operator="greaterThan">
      <formula>0</formula>
    </cfRule>
    <cfRule type="cellIs" dxfId="0" priority="3195" operator="lessThan">
      <formula>0</formula>
    </cfRule>
    <cfRule type="cellIs" dxfId="1" priority="3194" operator="greaterThan">
      <formula>0</formula>
    </cfRule>
    <cfRule type="cellIs" dxfId="0" priority="3193" operator="lessThan">
      <formula>0</formula>
    </cfRule>
  </conditionalFormatting>
  <conditionalFormatting sqref="GS31">
    <cfRule type="cellIs" dxfId="0" priority="3190" operator="lessThan">
      <formula>0</formula>
    </cfRule>
    <cfRule type="cellIs" dxfId="0" priority="3189" operator="lessThan">
      <formula>-1</formula>
    </cfRule>
    <cfRule type="cellIs" dxfId="4" priority="3188" operator="lessThan">
      <formula>0</formula>
    </cfRule>
  </conditionalFormatting>
  <conditionalFormatting sqref="GV31:IA31">
    <cfRule type="cellIs" dxfId="2" priority="2643" operator="greaterThan">
      <formula>0</formula>
    </cfRule>
    <cfRule type="cellIs" dxfId="3" priority="2642" operator="lessThan">
      <formula>0</formula>
    </cfRule>
  </conditionalFormatting>
  <conditionalFormatting sqref="HW31">
    <cfRule type="cellIs" dxfId="1" priority="2648" operator="greaterThan">
      <formula>0</formula>
    </cfRule>
    <cfRule type="cellIs" dxfId="0" priority="2647" operator="lessThan">
      <formula>0</formula>
    </cfRule>
  </conditionalFormatting>
  <conditionalFormatting sqref="HX31:HY31">
    <cfRule type="cellIs" dxfId="1" priority="2656" operator="greaterThan">
      <formula>0</formula>
    </cfRule>
    <cfRule type="cellIs" dxfId="0" priority="2655" operator="lessThan">
      <formula>0</formula>
    </cfRule>
  </conditionalFormatting>
  <conditionalFormatting sqref="HZ31">
    <cfRule type="cellIs" dxfId="5" priority="2654" operator="greaterThan">
      <formula>1</formula>
    </cfRule>
    <cfRule type="cellIs" dxfId="6" priority="2653" operator="lessThan">
      <formula>0</formula>
    </cfRule>
    <cfRule type="cellIs" dxfId="1" priority="2652" operator="greaterThan">
      <formula>0</formula>
    </cfRule>
    <cfRule type="cellIs" dxfId="0" priority="2651" operator="lessThan">
      <formula>0</formula>
    </cfRule>
    <cfRule type="cellIs" dxfId="1" priority="2650" operator="greaterThan">
      <formula>0</formula>
    </cfRule>
    <cfRule type="cellIs" dxfId="0" priority="2649" operator="lessThan">
      <formula>0</formula>
    </cfRule>
  </conditionalFormatting>
  <conditionalFormatting sqref="IA31">
    <cfRule type="cellIs" dxfId="0" priority="2646" operator="lessThan">
      <formula>0</formula>
    </cfRule>
    <cfRule type="cellIs" dxfId="0" priority="2645" operator="lessThan">
      <formula>-1</formula>
    </cfRule>
    <cfRule type="cellIs" dxfId="4" priority="2644" operator="lessThan">
      <formula>0</formula>
    </cfRule>
  </conditionalFormatting>
  <conditionalFormatting sqref="IH31">
    <cfRule type="cellIs" dxfId="2" priority="1732" operator="greaterThan">
      <formula>0</formula>
    </cfRule>
    <cfRule type="cellIs" dxfId="3" priority="1731" operator="lessThan">
      <formula>0</formula>
    </cfRule>
  </conditionalFormatting>
  <conditionalFormatting sqref="IP31">
    <cfRule type="cellIs" dxfId="2" priority="1712" operator="greaterThan">
      <formula>0</formula>
    </cfRule>
    <cfRule type="cellIs" dxfId="3" priority="1711" operator="lessThan">
      <formula>0</formula>
    </cfRule>
  </conditionalFormatting>
  <conditionalFormatting sqref="JE31">
    <cfRule type="cellIs" dxfId="1" priority="1816" operator="greaterThan">
      <formula>0</formula>
    </cfRule>
    <cfRule type="cellIs" dxfId="0" priority="1815" operator="lessThan">
      <formula>0</formula>
    </cfRule>
  </conditionalFormatting>
  <conditionalFormatting sqref="JF31:JG31">
    <cfRule type="cellIs" dxfId="1" priority="1824" operator="greaterThan">
      <formula>0</formula>
    </cfRule>
    <cfRule type="cellIs" dxfId="0" priority="1823" operator="lessThan">
      <formula>0</formula>
    </cfRule>
  </conditionalFormatting>
  <conditionalFormatting sqref="JH31">
    <cfRule type="cellIs" dxfId="5" priority="1822" operator="greaterThan">
      <formula>1</formula>
    </cfRule>
    <cfRule type="cellIs" dxfId="6" priority="1821" operator="lessThan">
      <formula>0</formula>
    </cfRule>
    <cfRule type="cellIs" dxfId="1" priority="1820" operator="greaterThan">
      <formula>0</formula>
    </cfRule>
    <cfRule type="cellIs" dxfId="0" priority="1819" operator="lessThan">
      <formula>0</formula>
    </cfRule>
    <cfRule type="cellIs" dxfId="1" priority="1818" operator="greaterThan">
      <formula>0</formula>
    </cfRule>
    <cfRule type="cellIs" dxfId="0" priority="1817" operator="lessThan">
      <formula>0</formula>
    </cfRule>
  </conditionalFormatting>
  <conditionalFormatting sqref="JI31">
    <cfRule type="cellIs" dxfId="0" priority="1814" operator="lessThan">
      <formula>0</formula>
    </cfRule>
    <cfRule type="cellIs" dxfId="0" priority="1813" operator="lessThan">
      <formula>-1</formula>
    </cfRule>
    <cfRule type="cellIs" dxfId="4" priority="1812" operator="lessThan">
      <formula>0</formula>
    </cfRule>
  </conditionalFormatting>
  <conditionalFormatting sqref="JP31">
    <cfRule type="cellIs" dxfId="2" priority="1267" operator="greaterThan">
      <formula>0</formula>
    </cfRule>
    <cfRule type="cellIs" dxfId="3" priority="1266" operator="lessThan">
      <formula>0</formula>
    </cfRule>
  </conditionalFormatting>
  <conditionalFormatting sqref="JX31">
    <cfRule type="cellIs" dxfId="2" priority="1265" operator="greaterThan">
      <formula>0</formula>
    </cfRule>
    <cfRule type="cellIs" dxfId="3" priority="1264" operator="lessThan">
      <formula>0</formula>
    </cfRule>
  </conditionalFormatting>
  <conditionalFormatting sqref="KM31">
    <cfRule type="cellIs" dxfId="1" priority="1274" operator="greaterThan">
      <formula>0</formula>
    </cfRule>
    <cfRule type="cellIs" dxfId="0" priority="1273" operator="lessThan">
      <formula>0</formula>
    </cfRule>
  </conditionalFormatting>
  <conditionalFormatting sqref="KN31:KO31">
    <cfRule type="cellIs" dxfId="1" priority="1282" operator="greaterThan">
      <formula>0</formula>
    </cfRule>
    <cfRule type="cellIs" dxfId="0" priority="1281" operator="lessThan">
      <formula>0</formula>
    </cfRule>
  </conditionalFormatting>
  <conditionalFormatting sqref="KP31">
    <cfRule type="cellIs" dxfId="5" priority="1280" operator="greaterThan">
      <formula>1</formula>
    </cfRule>
    <cfRule type="cellIs" dxfId="6" priority="1279" operator="lessThan">
      <formula>0</formula>
    </cfRule>
    <cfRule type="cellIs" dxfId="1" priority="1278" operator="greaterThan">
      <formula>0</formula>
    </cfRule>
    <cfRule type="cellIs" dxfId="0" priority="1277" operator="lessThan">
      <formula>0</formula>
    </cfRule>
    <cfRule type="cellIs" dxfId="1" priority="1276" operator="greaterThan">
      <formula>0</formula>
    </cfRule>
    <cfRule type="cellIs" dxfId="0" priority="1275" operator="lessThan">
      <formula>0</formula>
    </cfRule>
  </conditionalFormatting>
  <conditionalFormatting sqref="KQ31">
    <cfRule type="cellIs" dxfId="0" priority="1272" operator="lessThan">
      <formula>0</formula>
    </cfRule>
    <cfRule type="cellIs" dxfId="0" priority="1271" operator="lessThan">
      <formula>-1</formula>
    </cfRule>
    <cfRule type="cellIs" dxfId="4" priority="1270" operator="lessThan">
      <formula>0</formula>
    </cfRule>
  </conditionalFormatting>
  <conditionalFormatting sqref="LU31">
    <cfRule type="cellIs" dxfId="0" priority="9535" operator="lessThan">
      <formula>0</formula>
    </cfRule>
    <cfRule type="cellIs" dxfId="1" priority="9536" operator="greaterThan">
      <formula>0</formula>
    </cfRule>
  </conditionalFormatting>
  <conditionalFormatting sqref="LV31:LW31">
    <cfRule type="cellIs" dxfId="0" priority="9868" operator="lessThan">
      <formula>0</formula>
    </cfRule>
    <cfRule type="cellIs" dxfId="1" priority="9869" operator="greaterThan">
      <formula>0</formula>
    </cfRule>
  </conditionalFormatting>
  <conditionalFormatting sqref="LX31">
    <cfRule type="cellIs" dxfId="0" priority="9843" operator="lessThan">
      <formula>0</formula>
    </cfRule>
    <cfRule type="cellIs" dxfId="1" priority="9844" operator="greaterThan">
      <formula>0</formula>
    </cfRule>
    <cfRule type="cellIs" dxfId="0" priority="9845" operator="lessThan">
      <formula>0</formula>
    </cfRule>
    <cfRule type="cellIs" dxfId="1" priority="9846" operator="greaterThan">
      <formula>0</formula>
    </cfRule>
    <cfRule type="cellIs" dxfId="6" priority="9847" operator="lessThan">
      <formula>0</formula>
    </cfRule>
    <cfRule type="cellIs" dxfId="5" priority="9848" operator="greaterThan">
      <formula>1</formula>
    </cfRule>
  </conditionalFormatting>
  <conditionalFormatting sqref="LY31">
    <cfRule type="cellIs" dxfId="4" priority="9715" operator="lessThan">
      <formula>0</formula>
    </cfRule>
    <cfRule type="cellIs" dxfId="0" priority="9716" operator="lessThan">
      <formula>-1</formula>
    </cfRule>
    <cfRule type="cellIs" dxfId="0" priority="9717" operator="lessThan">
      <formula>0</formula>
    </cfRule>
  </conditionalFormatting>
  <conditionalFormatting sqref="NB31:NC31">
    <cfRule type="cellIs" dxfId="0" priority="9918" operator="lessThan">
      <formula>0</formula>
    </cfRule>
    <cfRule type="cellIs" dxfId="1" priority="9919" operator="greaterThan">
      <formula>0</formula>
    </cfRule>
  </conditionalFormatting>
  <conditionalFormatting sqref="ND31:NE31">
    <cfRule type="cellIs" dxfId="0" priority="10278" operator="lessThan">
      <formula>0</formula>
    </cfRule>
    <cfRule type="cellIs" dxfId="1" priority="10279" operator="greaterThan">
      <formula>0</formula>
    </cfRule>
  </conditionalFormatting>
  <conditionalFormatting sqref="NF31">
    <cfRule type="cellIs" dxfId="0" priority="10250" operator="lessThan">
      <formula>0</formula>
    </cfRule>
    <cfRule type="cellIs" dxfId="1" priority="10251" operator="greaterThan">
      <formula>0</formula>
    </cfRule>
    <cfRule type="cellIs" dxfId="0" priority="10252" operator="lessThan">
      <formula>0</formula>
    </cfRule>
    <cfRule type="cellIs" dxfId="1" priority="10253" operator="greaterThan">
      <formula>0</formula>
    </cfRule>
    <cfRule type="cellIs" dxfId="6" priority="10254" operator="lessThan">
      <formula>0</formula>
    </cfRule>
    <cfRule type="cellIs" dxfId="5" priority="10255" operator="greaterThan">
      <formula>1</formula>
    </cfRule>
  </conditionalFormatting>
  <conditionalFormatting sqref="NG31">
    <cfRule type="cellIs" dxfId="4" priority="10122" operator="lessThan">
      <formula>0</formula>
    </cfRule>
    <cfRule type="cellIs" dxfId="0" priority="10123" operator="lessThan">
      <formula>-1</formula>
    </cfRule>
    <cfRule type="cellIs" dxfId="0" priority="10124" operator="lessThan">
      <formula>0</formula>
    </cfRule>
  </conditionalFormatting>
  <conditionalFormatting sqref="OL31:OM31">
    <cfRule type="cellIs" dxfId="0" priority="10447" operator="lessThan">
      <formula>0</formula>
    </cfRule>
    <cfRule type="cellIs" dxfId="1" priority="10448" operator="greaterThan">
      <formula>0</formula>
    </cfRule>
  </conditionalFormatting>
  <conditionalFormatting sqref="ON31">
    <cfRule type="cellIs" dxfId="0" priority="10344" operator="lessThan">
      <formula>0</formula>
    </cfRule>
    <cfRule type="cellIs" dxfId="1" priority="10345" operator="greaterThan">
      <formula>0</formula>
    </cfRule>
    <cfRule type="cellIs" dxfId="0" priority="10346" operator="lessThan">
      <formula>0</formula>
    </cfRule>
    <cfRule type="cellIs" dxfId="1" priority="10347" operator="greaterThan">
      <formula>0</formula>
    </cfRule>
    <cfRule type="cellIs" dxfId="6" priority="10348" operator="lessThan">
      <formula>0</formula>
    </cfRule>
    <cfRule type="cellIs" dxfId="5" priority="10349" operator="greaterThan">
      <formula>1</formula>
    </cfRule>
  </conditionalFormatting>
  <conditionalFormatting sqref="OO31">
    <cfRule type="cellIs" dxfId="4" priority="10343" operator="lessThan">
      <formula>0</formula>
    </cfRule>
    <cfRule type="cellIs" dxfId="0" priority="10350" operator="lessThan">
      <formula>-1</formula>
    </cfRule>
    <cfRule type="cellIs" dxfId="0" priority="10351" operator="lessThan">
      <formula>0</formula>
    </cfRule>
  </conditionalFormatting>
  <conditionalFormatting sqref="D33:AA33">
    <cfRule type="cellIs" dxfId="2" priority="5729" operator="greaterThan">
      <formula>0</formula>
    </cfRule>
    <cfRule type="cellIs" dxfId="3" priority="5728" operator="lessThan">
      <formula>0</formula>
    </cfRule>
  </conditionalFormatting>
  <conditionalFormatting sqref="K33:R33">
    <cfRule type="cellIs" dxfId="1" priority="5733" operator="greaterThan">
      <formula>0</formula>
    </cfRule>
    <cfRule type="cellIs" dxfId="0" priority="5732" operator="lessThan">
      <formula>0</formula>
    </cfRule>
  </conditionalFormatting>
  <conditionalFormatting sqref="X33">
    <cfRule type="cellIs" dxfId="1" priority="5731" operator="greaterThan">
      <formula>0</formula>
    </cfRule>
    <cfRule type="cellIs" dxfId="0" priority="5730" operator="lessThan">
      <formula>0</formula>
    </cfRule>
  </conditionalFormatting>
  <conditionalFormatting sqref="AB33:AH33">
    <cfRule type="cellIs" dxfId="2" priority="5719" operator="greaterThan">
      <formula>0</formula>
    </cfRule>
    <cfRule type="cellIs" dxfId="3" priority="5718" operator="lessThan">
      <formula>0</formula>
    </cfRule>
  </conditionalFormatting>
  <conditionalFormatting sqref="AD33:AF33">
    <cfRule type="cellIs" dxfId="1" priority="5727" operator="greaterThan">
      <formula>0</formula>
    </cfRule>
    <cfRule type="cellIs" dxfId="0" priority="5726" operator="lessThan">
      <formula>0</formula>
    </cfRule>
  </conditionalFormatting>
  <conditionalFormatting sqref="AG33">
    <cfRule type="cellIs" dxfId="4" priority="5722" operator="lessThan">
      <formula>0</formula>
    </cfRule>
    <cfRule type="cellIs" dxfId="0" priority="5721" operator="lessThan">
      <formula>0</formula>
    </cfRule>
    <cfRule type="cellIs" dxfId="0" priority="5720" operator="lessThan">
      <formula>-1</formula>
    </cfRule>
  </conditionalFormatting>
  <conditionalFormatting sqref="AH33">
    <cfRule type="cellIs" dxfId="4" priority="5725" operator="lessThan">
      <formula>0</formula>
    </cfRule>
    <cfRule type="cellIs" dxfId="0" priority="5724" operator="lessThan">
      <formula>0</formula>
    </cfRule>
    <cfRule type="cellIs" dxfId="0" priority="5723" operator="lessThan">
      <formula>-1</formula>
    </cfRule>
  </conditionalFormatting>
  <conditionalFormatting sqref="AJ33">
    <cfRule type="cellIs" dxfId="2" priority="5637" operator="greaterThan">
      <formula>0</formula>
    </cfRule>
    <cfRule type="cellIs" dxfId="3" priority="5636" operator="lessThan">
      <formula>0</formula>
    </cfRule>
  </conditionalFormatting>
  <conditionalFormatting sqref="AK33:BH33">
    <cfRule type="cellIs" dxfId="2" priority="5629" operator="greaterThan">
      <formula>0</formula>
    </cfRule>
    <cfRule type="cellIs" dxfId="3" priority="5628" operator="lessThan">
      <formula>0</formula>
    </cfRule>
  </conditionalFormatting>
  <conditionalFormatting sqref="AR33:AY33">
    <cfRule type="cellIs" dxfId="1" priority="5633" operator="greaterThan">
      <formula>0</formula>
    </cfRule>
    <cfRule type="cellIs" dxfId="0" priority="5632" operator="lessThan">
      <formula>0</formula>
    </cfRule>
  </conditionalFormatting>
  <conditionalFormatting sqref="BE33">
    <cfRule type="cellIs" dxfId="1" priority="5631" operator="greaterThan">
      <formula>0</formula>
    </cfRule>
    <cfRule type="cellIs" dxfId="0" priority="5630" operator="lessThan">
      <formula>0</formula>
    </cfRule>
  </conditionalFormatting>
  <conditionalFormatting sqref="BI33:BO33">
    <cfRule type="cellIs" dxfId="2" priority="5619" operator="greaterThan">
      <formula>0</formula>
    </cfRule>
    <cfRule type="cellIs" dxfId="3" priority="5618" operator="lessThan">
      <formula>0</formula>
    </cfRule>
  </conditionalFormatting>
  <conditionalFormatting sqref="BK33:BM33">
    <cfRule type="cellIs" dxfId="1" priority="5627" operator="greaterThan">
      <formula>0</formula>
    </cfRule>
    <cfRule type="cellIs" dxfId="0" priority="5626" operator="lessThan">
      <formula>0</formula>
    </cfRule>
  </conditionalFormatting>
  <conditionalFormatting sqref="BN33">
    <cfRule type="cellIs" dxfId="4" priority="5622" operator="lessThan">
      <formula>0</formula>
    </cfRule>
    <cfRule type="cellIs" dxfId="0" priority="5621" operator="lessThan">
      <formula>0</formula>
    </cfRule>
    <cfRule type="cellIs" dxfId="0" priority="5620" operator="lessThan">
      <formula>-1</formula>
    </cfRule>
  </conditionalFormatting>
  <conditionalFormatting sqref="BO33">
    <cfRule type="cellIs" dxfId="4" priority="5625" operator="lessThan">
      <formula>0</formula>
    </cfRule>
    <cfRule type="cellIs" dxfId="0" priority="5624" operator="lessThan">
      <formula>0</formula>
    </cfRule>
    <cfRule type="cellIs" dxfId="0" priority="5623" operator="lessThan">
      <formula>-1</formula>
    </cfRule>
  </conditionalFormatting>
  <conditionalFormatting sqref="BR33:CO33">
    <cfRule type="cellIs" dxfId="2" priority="5118" operator="greaterThan">
      <formula>0</formula>
    </cfRule>
    <cfRule type="cellIs" dxfId="3" priority="5117" operator="lessThan">
      <formula>0</formula>
    </cfRule>
  </conditionalFormatting>
  <conditionalFormatting sqref="BY33:CF33">
    <cfRule type="cellIs" dxfId="1" priority="5122" operator="greaterThan">
      <formula>0</formula>
    </cfRule>
    <cfRule type="cellIs" dxfId="0" priority="5121" operator="lessThan">
      <formula>0</formula>
    </cfRule>
  </conditionalFormatting>
  <conditionalFormatting sqref="CL33">
    <cfRule type="cellIs" dxfId="1" priority="5120" operator="greaterThan">
      <formula>0</formula>
    </cfRule>
    <cfRule type="cellIs" dxfId="0" priority="5119" operator="lessThan">
      <formula>0</formula>
    </cfRule>
  </conditionalFormatting>
  <conditionalFormatting sqref="CP33:CV33">
    <cfRule type="cellIs" dxfId="2" priority="5108" operator="greaterThan">
      <formula>0</formula>
    </cfRule>
    <cfRule type="cellIs" dxfId="3" priority="5107" operator="lessThan">
      <formula>0</formula>
    </cfRule>
  </conditionalFormatting>
  <conditionalFormatting sqref="CR33:CT33">
    <cfRule type="cellIs" dxfId="1" priority="5116" operator="greaterThan">
      <formula>0</formula>
    </cfRule>
    <cfRule type="cellIs" dxfId="0" priority="5115" operator="lessThan">
      <formula>0</formula>
    </cfRule>
  </conditionalFormatting>
  <conditionalFormatting sqref="CU33">
    <cfRule type="cellIs" dxfId="4" priority="5111" operator="lessThan">
      <formula>0</formula>
    </cfRule>
    <cfRule type="cellIs" dxfId="0" priority="5110" operator="lessThan">
      <formula>0</formula>
    </cfRule>
    <cfRule type="cellIs" dxfId="0" priority="5109" operator="lessThan">
      <formula>-1</formula>
    </cfRule>
  </conditionalFormatting>
  <conditionalFormatting sqref="CV33">
    <cfRule type="cellIs" dxfId="4" priority="5114" operator="lessThan">
      <formula>0</formula>
    </cfRule>
    <cfRule type="cellIs" dxfId="0" priority="5113" operator="lessThan">
      <formula>0</formula>
    </cfRule>
    <cfRule type="cellIs" dxfId="0" priority="5112" operator="lessThan">
      <formula>-1</formula>
    </cfRule>
  </conditionalFormatting>
  <conditionalFormatting sqref="CY33:DV33">
    <cfRule type="cellIs" dxfId="2" priority="4729" operator="greaterThan">
      <formula>0</formula>
    </cfRule>
    <cfRule type="cellIs" dxfId="3" priority="4728" operator="lessThan">
      <formula>0</formula>
    </cfRule>
  </conditionalFormatting>
  <conditionalFormatting sqref="DF33:DM33">
    <cfRule type="cellIs" dxfId="1" priority="4733" operator="greaterThan">
      <formula>0</formula>
    </cfRule>
    <cfRule type="cellIs" dxfId="0" priority="4732" operator="lessThan">
      <formula>0</formula>
    </cfRule>
  </conditionalFormatting>
  <conditionalFormatting sqref="DS33">
    <cfRule type="cellIs" dxfId="1" priority="4731" operator="greaterThan">
      <formula>0</formula>
    </cfRule>
    <cfRule type="cellIs" dxfId="0" priority="4730" operator="lessThan">
      <formula>0</formula>
    </cfRule>
  </conditionalFormatting>
  <conditionalFormatting sqref="DW33:EC33">
    <cfRule type="cellIs" dxfId="2" priority="4719" operator="greaterThan">
      <formula>0</formula>
    </cfRule>
    <cfRule type="cellIs" dxfId="3" priority="4718" operator="lessThan">
      <formula>0</formula>
    </cfRule>
  </conditionalFormatting>
  <conditionalFormatting sqref="DY33:EA33">
    <cfRule type="cellIs" dxfId="1" priority="4727" operator="greaterThan">
      <formula>0</formula>
    </cfRule>
    <cfRule type="cellIs" dxfId="0" priority="4726" operator="lessThan">
      <formula>0</formula>
    </cfRule>
  </conditionalFormatting>
  <conditionalFormatting sqref="EB33">
    <cfRule type="cellIs" dxfId="4" priority="4722" operator="lessThan">
      <formula>0</formula>
    </cfRule>
    <cfRule type="cellIs" dxfId="0" priority="4721" operator="lessThan">
      <formula>0</formula>
    </cfRule>
    <cfRule type="cellIs" dxfId="0" priority="4720" operator="lessThan">
      <formula>-1</formula>
    </cfRule>
  </conditionalFormatting>
  <conditionalFormatting sqref="EC33">
    <cfRule type="cellIs" dxfId="4" priority="4725" operator="lessThan">
      <formula>0</formula>
    </cfRule>
    <cfRule type="cellIs" dxfId="0" priority="4724" operator="lessThan">
      <formula>0</formula>
    </cfRule>
    <cfRule type="cellIs" dxfId="0" priority="4723" operator="lessThan">
      <formula>-1</formula>
    </cfRule>
  </conditionalFormatting>
  <conditionalFormatting sqref="EE33">
    <cfRule type="cellIs" dxfId="2" priority="4060" operator="greaterThan">
      <formula>0</formula>
    </cfRule>
    <cfRule type="cellIs" dxfId="3" priority="4059" operator="lessThan">
      <formula>0</formula>
    </cfRule>
  </conditionalFormatting>
  <conditionalFormatting sqref="EF33:FC33">
    <cfRule type="cellIs" dxfId="2" priority="4052" operator="greaterThan">
      <formula>0</formula>
    </cfRule>
    <cfRule type="cellIs" dxfId="3" priority="4051" operator="lessThan">
      <formula>0</formula>
    </cfRule>
  </conditionalFormatting>
  <conditionalFormatting sqref="EM33:ET33">
    <cfRule type="cellIs" dxfId="1" priority="4056" operator="greaterThan">
      <formula>0</formula>
    </cfRule>
    <cfRule type="cellIs" dxfId="0" priority="4055" operator="lessThan">
      <formula>0</formula>
    </cfRule>
  </conditionalFormatting>
  <conditionalFormatting sqref="EZ33">
    <cfRule type="cellIs" dxfId="1" priority="4054" operator="greaterThan">
      <formula>0</formula>
    </cfRule>
    <cfRule type="cellIs" dxfId="0" priority="4053" operator="lessThan">
      <formula>0</formula>
    </cfRule>
  </conditionalFormatting>
  <conditionalFormatting sqref="FD33:FJ33">
    <cfRule type="cellIs" dxfId="2" priority="4042" operator="greaterThan">
      <formula>0</formula>
    </cfRule>
    <cfRule type="cellIs" dxfId="3" priority="4041" operator="lessThan">
      <formula>0</formula>
    </cfRule>
  </conditionalFormatting>
  <conditionalFormatting sqref="FF33:FH33">
    <cfRule type="cellIs" dxfId="1" priority="4050" operator="greaterThan">
      <formula>0</formula>
    </cfRule>
    <cfRule type="cellIs" dxfId="0" priority="4049" operator="lessThan">
      <formula>0</formula>
    </cfRule>
  </conditionalFormatting>
  <conditionalFormatting sqref="FI33">
    <cfRule type="cellIs" dxfId="4" priority="4045" operator="lessThan">
      <formula>0</formula>
    </cfRule>
    <cfRule type="cellIs" dxfId="0" priority="4044" operator="lessThan">
      <formula>0</formula>
    </cfRule>
    <cfRule type="cellIs" dxfId="0" priority="4043" operator="lessThan">
      <formula>-1</formula>
    </cfRule>
  </conditionalFormatting>
  <conditionalFormatting sqref="FJ33">
    <cfRule type="cellIs" dxfId="4" priority="4048" operator="lessThan">
      <formula>0</formula>
    </cfRule>
    <cfRule type="cellIs" dxfId="0" priority="4047" operator="lessThan">
      <formula>0</formula>
    </cfRule>
    <cfRule type="cellIs" dxfId="0" priority="4046" operator="lessThan">
      <formula>-1</formula>
    </cfRule>
  </conditionalFormatting>
  <conditionalFormatting sqref="FN33">
    <cfRule type="cellIs" dxfId="2" priority="3150" operator="greaterThan">
      <formula>0</formula>
    </cfRule>
    <cfRule type="cellIs" dxfId="3" priority="3149" operator="lessThan">
      <formula>0</formula>
    </cfRule>
  </conditionalFormatting>
  <conditionalFormatting sqref="FO33:GL33">
    <cfRule type="cellIs" dxfId="2" priority="3142" operator="greaterThan">
      <formula>0</formula>
    </cfRule>
    <cfRule type="cellIs" dxfId="3" priority="3141" operator="lessThan">
      <formula>0</formula>
    </cfRule>
  </conditionalFormatting>
  <conditionalFormatting sqref="FV33:GC33">
    <cfRule type="cellIs" dxfId="1" priority="3146" operator="greaterThan">
      <formula>0</formula>
    </cfRule>
    <cfRule type="cellIs" dxfId="0" priority="3145" operator="lessThan">
      <formula>0</formula>
    </cfRule>
  </conditionalFormatting>
  <conditionalFormatting sqref="GI33">
    <cfRule type="cellIs" dxfId="1" priority="3144" operator="greaterThan">
      <formula>0</formula>
    </cfRule>
    <cfRule type="cellIs" dxfId="0" priority="3143" operator="lessThan">
      <formula>0</formula>
    </cfRule>
  </conditionalFormatting>
  <conditionalFormatting sqref="GM33:GS33">
    <cfRule type="cellIs" dxfId="2" priority="3132" operator="greaterThan">
      <formula>0</formula>
    </cfRule>
    <cfRule type="cellIs" dxfId="3" priority="3131" operator="lessThan">
      <formula>0</formula>
    </cfRule>
  </conditionalFormatting>
  <conditionalFormatting sqref="GO33:GQ33">
    <cfRule type="cellIs" dxfId="1" priority="3140" operator="greaterThan">
      <formula>0</formula>
    </cfRule>
    <cfRule type="cellIs" dxfId="0" priority="3139" operator="lessThan">
      <formula>0</formula>
    </cfRule>
  </conditionalFormatting>
  <conditionalFormatting sqref="GR33">
    <cfRule type="cellIs" dxfId="4" priority="3135" operator="lessThan">
      <formula>0</formula>
    </cfRule>
    <cfRule type="cellIs" dxfId="0" priority="3134" operator="lessThan">
      <formula>0</formula>
    </cfRule>
    <cfRule type="cellIs" dxfId="0" priority="3133" operator="lessThan">
      <formula>-1</formula>
    </cfRule>
  </conditionalFormatting>
  <conditionalFormatting sqref="GS33">
    <cfRule type="cellIs" dxfId="4" priority="3138" operator="lessThan">
      <formula>0</formula>
    </cfRule>
    <cfRule type="cellIs" dxfId="0" priority="3137" operator="lessThan">
      <formula>0</formula>
    </cfRule>
    <cfRule type="cellIs" dxfId="0" priority="3136" operator="lessThan">
      <formula>-1</formula>
    </cfRule>
  </conditionalFormatting>
  <conditionalFormatting sqref="GV33">
    <cfRule type="cellIs" dxfId="2" priority="4200" operator="greaterThan">
      <formula>0</formula>
    </cfRule>
    <cfRule type="cellIs" dxfId="3" priority="4199" operator="lessThan">
      <formula>0</formula>
    </cfRule>
  </conditionalFormatting>
  <conditionalFormatting sqref="GW33:HT33">
    <cfRule type="cellIs" dxfId="2" priority="4192" operator="greaterThan">
      <formula>0</formula>
    </cfRule>
    <cfRule type="cellIs" dxfId="3" priority="4191" operator="lessThan">
      <formula>0</formula>
    </cfRule>
  </conditionalFormatting>
  <conditionalFormatting sqref="HD33:HK33">
    <cfRule type="cellIs" dxfId="1" priority="4196" operator="greaterThan">
      <formula>0</formula>
    </cfRule>
    <cfRule type="cellIs" dxfId="0" priority="4195" operator="lessThan">
      <formula>0</formula>
    </cfRule>
  </conditionalFormatting>
  <conditionalFormatting sqref="HQ33">
    <cfRule type="cellIs" dxfId="1" priority="4194" operator="greaterThan">
      <formula>0</formula>
    </cfRule>
    <cfRule type="cellIs" dxfId="0" priority="4193" operator="lessThan">
      <formula>0</formula>
    </cfRule>
  </conditionalFormatting>
  <conditionalFormatting sqref="HU33:IA33">
    <cfRule type="cellIs" dxfId="2" priority="4182" operator="greaterThan">
      <formula>0</formula>
    </cfRule>
    <cfRule type="cellIs" dxfId="3" priority="4181" operator="lessThan">
      <formula>0</formula>
    </cfRule>
  </conditionalFormatting>
  <conditionalFormatting sqref="HW33:HY33">
    <cfRule type="cellIs" dxfId="1" priority="4190" operator="greaterThan">
      <formula>0</formula>
    </cfRule>
    <cfRule type="cellIs" dxfId="0" priority="4189" operator="lessThan">
      <formula>0</formula>
    </cfRule>
  </conditionalFormatting>
  <conditionalFormatting sqref="HZ33">
    <cfRule type="cellIs" dxfId="4" priority="4185" operator="lessThan">
      <formula>0</formula>
    </cfRule>
    <cfRule type="cellIs" dxfId="0" priority="4184" operator="lessThan">
      <formula>0</formula>
    </cfRule>
    <cfRule type="cellIs" dxfId="0" priority="4183" operator="lessThan">
      <formula>-1</formula>
    </cfRule>
  </conditionalFormatting>
  <conditionalFormatting sqref="IA33">
    <cfRule type="cellIs" dxfId="4" priority="4188" operator="lessThan">
      <formula>0</formula>
    </cfRule>
    <cfRule type="cellIs" dxfId="0" priority="4187" operator="lessThan">
      <formula>0</formula>
    </cfRule>
    <cfRule type="cellIs" dxfId="0" priority="4186" operator="lessThan">
      <formula>-1</formula>
    </cfRule>
  </conditionalFormatting>
  <conditionalFormatting sqref="ID33">
    <cfRule type="cellIs" dxfId="2" priority="1905" operator="greaterThan">
      <formula>0</formula>
    </cfRule>
    <cfRule type="cellIs" dxfId="3" priority="1904" operator="lessThan">
      <formula>0</formula>
    </cfRule>
  </conditionalFormatting>
  <conditionalFormatting sqref="IE33:JB33">
    <cfRule type="cellIs" dxfId="2" priority="1897" operator="greaterThan">
      <formula>0</formula>
    </cfRule>
    <cfRule type="cellIs" dxfId="3" priority="1896" operator="lessThan">
      <formula>0</formula>
    </cfRule>
  </conditionalFormatting>
  <conditionalFormatting sqref="IL33:IS33">
    <cfRule type="cellIs" dxfId="1" priority="1901" operator="greaterThan">
      <formula>0</formula>
    </cfRule>
    <cfRule type="cellIs" dxfId="0" priority="1900" operator="lessThan">
      <formula>0</formula>
    </cfRule>
  </conditionalFormatting>
  <conditionalFormatting sqref="IY33">
    <cfRule type="cellIs" dxfId="1" priority="1899" operator="greaterThan">
      <formula>0</formula>
    </cfRule>
    <cfRule type="cellIs" dxfId="0" priority="1898" operator="lessThan">
      <formula>0</formula>
    </cfRule>
  </conditionalFormatting>
  <conditionalFormatting sqref="JC33:JI33">
    <cfRule type="cellIs" dxfId="2" priority="1887" operator="greaterThan">
      <formula>0</formula>
    </cfRule>
    <cfRule type="cellIs" dxfId="3" priority="1886" operator="lessThan">
      <formula>0</formula>
    </cfRule>
  </conditionalFormatting>
  <conditionalFormatting sqref="JE33:JG33">
    <cfRule type="cellIs" dxfId="1" priority="1895" operator="greaterThan">
      <formula>0</formula>
    </cfRule>
    <cfRule type="cellIs" dxfId="0" priority="1894" operator="lessThan">
      <formula>0</formula>
    </cfRule>
  </conditionalFormatting>
  <conditionalFormatting sqref="JH33">
    <cfRule type="cellIs" dxfId="4" priority="1890" operator="lessThan">
      <formula>0</formula>
    </cfRule>
    <cfRule type="cellIs" dxfId="0" priority="1889" operator="lessThan">
      <formula>0</formula>
    </cfRule>
    <cfRule type="cellIs" dxfId="0" priority="1888" operator="lessThan">
      <formula>-1</formula>
    </cfRule>
  </conditionalFormatting>
  <conditionalFormatting sqref="JI33">
    <cfRule type="cellIs" dxfId="4" priority="1893" operator="lessThan">
      <formula>0</formula>
    </cfRule>
    <cfRule type="cellIs" dxfId="0" priority="1892" operator="lessThan">
      <formula>0</formula>
    </cfRule>
    <cfRule type="cellIs" dxfId="0" priority="1891" operator="lessThan">
      <formula>-1</formula>
    </cfRule>
  </conditionalFormatting>
  <conditionalFormatting sqref="JL33">
    <cfRule type="cellIs" dxfId="2" priority="1340" operator="greaterThan">
      <formula>0</formula>
    </cfRule>
    <cfRule type="cellIs" dxfId="3" priority="1339" operator="lessThan">
      <formula>0</formula>
    </cfRule>
  </conditionalFormatting>
  <conditionalFormatting sqref="JM33:KJ33">
    <cfRule type="cellIs" dxfId="2" priority="1332" operator="greaterThan">
      <formula>0</formula>
    </cfRule>
    <cfRule type="cellIs" dxfId="3" priority="1331" operator="lessThan">
      <formula>0</formula>
    </cfRule>
  </conditionalFormatting>
  <conditionalFormatting sqref="JT33:KA33">
    <cfRule type="cellIs" dxfId="1" priority="1336" operator="greaterThan">
      <formula>0</formula>
    </cfRule>
    <cfRule type="cellIs" dxfId="0" priority="1335" operator="lessThan">
      <formula>0</formula>
    </cfRule>
  </conditionalFormatting>
  <conditionalFormatting sqref="KG33">
    <cfRule type="cellIs" dxfId="1" priority="1334" operator="greaterThan">
      <formula>0</formula>
    </cfRule>
    <cfRule type="cellIs" dxfId="0" priority="1333" operator="lessThan">
      <formula>0</formula>
    </cfRule>
  </conditionalFormatting>
  <conditionalFormatting sqref="KK33:KQ33">
    <cfRule type="cellIs" dxfId="2" priority="1322" operator="greaterThan">
      <formula>0</formula>
    </cfRule>
    <cfRule type="cellIs" dxfId="3" priority="1321" operator="lessThan">
      <formula>0</formula>
    </cfRule>
  </conditionalFormatting>
  <conditionalFormatting sqref="KM33:KO33">
    <cfRule type="cellIs" dxfId="1" priority="1330" operator="greaterThan">
      <formula>0</formula>
    </cfRule>
    <cfRule type="cellIs" dxfId="0" priority="1329" operator="lessThan">
      <formula>0</formula>
    </cfRule>
  </conditionalFormatting>
  <conditionalFormatting sqref="KP33">
    <cfRule type="cellIs" dxfId="4" priority="1325" operator="lessThan">
      <formula>0</formula>
    </cfRule>
    <cfRule type="cellIs" dxfId="0" priority="1324" operator="lessThan">
      <formula>0</formula>
    </cfRule>
    <cfRule type="cellIs" dxfId="0" priority="1323" operator="lessThan">
      <formula>-1</formula>
    </cfRule>
  </conditionalFormatting>
  <conditionalFormatting sqref="KQ33">
    <cfRule type="cellIs" dxfId="4" priority="1328" operator="lessThan">
      <formula>0</formula>
    </cfRule>
    <cfRule type="cellIs" dxfId="0" priority="1327" operator="lessThan">
      <formula>0</formula>
    </cfRule>
    <cfRule type="cellIs" dxfId="0" priority="1326" operator="lessThan">
      <formula>-1</formula>
    </cfRule>
  </conditionalFormatting>
  <conditionalFormatting sqref="LD33:LF33">
    <cfRule type="cellIs" dxfId="0" priority="9808" operator="lessThan">
      <formula>0</formula>
    </cfRule>
    <cfRule type="cellIs" dxfId="1" priority="9809" operator="greaterThan">
      <formula>0</formula>
    </cfRule>
  </conditionalFormatting>
  <conditionalFormatting sqref="LG33:LI33">
    <cfRule type="cellIs" dxfId="0" priority="9690" operator="lessThan">
      <formula>0</formula>
    </cfRule>
    <cfRule type="cellIs" dxfId="1" priority="9691" operator="greaterThan">
      <formula>0</formula>
    </cfRule>
  </conditionalFormatting>
  <conditionalFormatting sqref="LX33">
    <cfRule type="cellIs" dxfId="0" priority="9820" operator="lessThan">
      <formula>-1</formula>
    </cfRule>
    <cfRule type="cellIs" dxfId="0" priority="9821" operator="lessThan">
      <formula>0</formula>
    </cfRule>
    <cfRule type="cellIs" dxfId="4" priority="9822" operator="lessThan">
      <formula>0</formula>
    </cfRule>
  </conditionalFormatting>
  <conditionalFormatting sqref="LY33">
    <cfRule type="cellIs" dxfId="0" priority="9823" operator="lessThan">
      <formula>-1</formula>
    </cfRule>
    <cfRule type="cellIs" dxfId="0" priority="9824" operator="lessThan">
      <formula>0</formula>
    </cfRule>
    <cfRule type="cellIs" dxfId="4" priority="9827" operator="lessThan">
      <formula>0</formula>
    </cfRule>
  </conditionalFormatting>
  <conditionalFormatting sqref="ML33:MN33">
    <cfRule type="cellIs" dxfId="0" priority="10215" operator="lessThan">
      <formula>0</formula>
    </cfRule>
    <cfRule type="cellIs" dxfId="1" priority="10216" operator="greaterThan">
      <formula>0</formula>
    </cfRule>
  </conditionalFormatting>
  <conditionalFormatting sqref="MO33:MQ33">
    <cfRule type="cellIs" dxfId="0" priority="10073" operator="lessThan">
      <formula>0</formula>
    </cfRule>
    <cfRule type="cellIs" dxfId="1" priority="10074" operator="greaterThan">
      <formula>0</formula>
    </cfRule>
  </conditionalFormatting>
  <conditionalFormatting sqref="NF33">
    <cfRule type="cellIs" dxfId="0" priority="10227" operator="lessThan">
      <formula>-1</formula>
    </cfRule>
    <cfRule type="cellIs" dxfId="0" priority="10228" operator="lessThan">
      <formula>0</formula>
    </cfRule>
    <cfRule type="cellIs" dxfId="4" priority="10229" operator="lessThan">
      <formula>0</formula>
    </cfRule>
  </conditionalFormatting>
  <conditionalFormatting sqref="NG33">
    <cfRule type="cellIs" dxfId="0" priority="10230" operator="lessThan">
      <formula>-1</formula>
    </cfRule>
    <cfRule type="cellIs" dxfId="0" priority="10231" operator="lessThan">
      <formula>0</formula>
    </cfRule>
    <cfRule type="cellIs" dxfId="4" priority="10234" operator="lessThan">
      <formula>0</formula>
    </cfRule>
  </conditionalFormatting>
  <conditionalFormatting sqref="W34">
    <cfRule type="cellIs" dxfId="1" priority="6514" operator="greaterThan">
      <formula>0</formula>
    </cfRule>
    <cfRule type="cellIs" dxfId="0" priority="6513" operator="lessThan">
      <formula>0</formula>
    </cfRule>
  </conditionalFormatting>
  <conditionalFormatting sqref="X34">
    <cfRule type="cellIs" dxfId="1" priority="6337" operator="greaterThan">
      <formula>0</formula>
    </cfRule>
    <cfRule type="cellIs" dxfId="0" priority="6336" operator="lessThan">
      <formula>0</formula>
    </cfRule>
  </conditionalFormatting>
  <conditionalFormatting sqref="Y34">
    <cfRule type="cellIs" dxfId="1" priority="6291" operator="greaterThan">
      <formula>0</formula>
    </cfRule>
    <cfRule type="cellIs" dxfId="0" priority="6290" operator="lessThan">
      <formula>0</formula>
    </cfRule>
  </conditionalFormatting>
  <conditionalFormatting sqref="AD34">
    <cfRule type="cellIs" dxfId="1" priority="6297" operator="greaterThan">
      <formula>0</formula>
    </cfRule>
    <cfRule type="cellIs" dxfId="0" priority="6296" operator="lessThan">
      <formula>0</formula>
    </cfRule>
  </conditionalFormatting>
  <conditionalFormatting sqref="AE34">
    <cfRule type="cellIs" dxfId="1" priority="6516" operator="greaterThan">
      <formula>0</formula>
    </cfRule>
    <cfRule type="cellIs" dxfId="0" priority="6515" operator="lessThan">
      <formula>0</formula>
    </cfRule>
  </conditionalFormatting>
  <conditionalFormatting sqref="AF34">
    <cfRule type="cellIs" dxfId="1" priority="6520" operator="greaterThan">
      <formula>0</formula>
    </cfRule>
    <cfRule type="cellIs" dxfId="0" priority="6519" operator="lessThan">
      <formula>0</formula>
    </cfRule>
  </conditionalFormatting>
  <conditionalFormatting sqref="AG34">
    <cfRule type="cellIs" dxfId="5" priority="6368" operator="greaterThan">
      <formula>1</formula>
    </cfRule>
    <cfRule type="cellIs" dxfId="6" priority="6367" operator="lessThan">
      <formula>0</formula>
    </cfRule>
    <cfRule type="cellIs" dxfId="1" priority="6366" operator="greaterThan">
      <formula>0</formula>
    </cfRule>
    <cfRule type="cellIs" dxfId="0" priority="6365" operator="lessThan">
      <formula>0</formula>
    </cfRule>
    <cfRule type="cellIs" dxfId="1" priority="6364" operator="greaterThan">
      <formula>0</formula>
    </cfRule>
    <cfRule type="cellIs" dxfId="0" priority="6363" operator="lessThan">
      <formula>0</formula>
    </cfRule>
  </conditionalFormatting>
  <conditionalFormatting sqref="AH34">
    <cfRule type="cellIs" dxfId="4" priority="6320" operator="lessThan">
      <formula>0</formula>
    </cfRule>
    <cfRule type="cellIs" dxfId="0" priority="6319" operator="lessThan">
      <formula>0</formula>
    </cfRule>
    <cfRule type="cellIs" dxfId="0" priority="6318" operator="lessThan">
      <formula>-1</formula>
    </cfRule>
  </conditionalFormatting>
  <conditionalFormatting sqref="BD34">
    <cfRule type="cellIs" dxfId="1" priority="6113" operator="greaterThan">
      <formula>0</formula>
    </cfRule>
    <cfRule type="cellIs" dxfId="0" priority="6112" operator="lessThan">
      <formula>0</formula>
    </cfRule>
  </conditionalFormatting>
  <conditionalFormatting sqref="BE34">
    <cfRule type="cellIs" dxfId="1" priority="5950" operator="greaterThan">
      <formula>0</formula>
    </cfRule>
    <cfRule type="cellIs" dxfId="0" priority="5949" operator="lessThan">
      <formula>0</formula>
    </cfRule>
  </conditionalFormatting>
  <conditionalFormatting sqref="BF34">
    <cfRule type="cellIs" dxfId="1" priority="5904" operator="greaterThan">
      <formula>0</formula>
    </cfRule>
    <cfRule type="cellIs" dxfId="0" priority="5903" operator="lessThan">
      <formula>0</formula>
    </cfRule>
  </conditionalFormatting>
  <conditionalFormatting sqref="BK34">
    <cfRule type="cellIs" dxfId="1" priority="5910" operator="greaterThan">
      <formula>0</formula>
    </cfRule>
    <cfRule type="cellIs" dxfId="0" priority="5909" operator="lessThan">
      <formula>0</formula>
    </cfRule>
  </conditionalFormatting>
  <conditionalFormatting sqref="BL34">
    <cfRule type="cellIs" dxfId="1" priority="6115" operator="greaterThan">
      <formula>0</formula>
    </cfRule>
    <cfRule type="cellIs" dxfId="0" priority="6114" operator="lessThan">
      <formula>0</formula>
    </cfRule>
  </conditionalFormatting>
  <conditionalFormatting sqref="BM34">
    <cfRule type="cellIs" dxfId="1" priority="6119" operator="greaterThan">
      <formula>0</formula>
    </cfRule>
    <cfRule type="cellIs" dxfId="0" priority="6118" operator="lessThan">
      <formula>0</formula>
    </cfRule>
  </conditionalFormatting>
  <conditionalFormatting sqref="BN34">
    <cfRule type="cellIs" dxfId="5" priority="5975" operator="greaterThan">
      <formula>1</formula>
    </cfRule>
    <cfRule type="cellIs" dxfId="6" priority="5974" operator="lessThan">
      <formula>0</formula>
    </cfRule>
    <cfRule type="cellIs" dxfId="1" priority="5973" operator="greaterThan">
      <formula>0</formula>
    </cfRule>
    <cfRule type="cellIs" dxfId="0" priority="5972" operator="lessThan">
      <formula>0</formula>
    </cfRule>
    <cfRule type="cellIs" dxfId="1" priority="5971" operator="greaterThan">
      <formula>0</formula>
    </cfRule>
    <cfRule type="cellIs" dxfId="0" priority="5970" operator="lessThan">
      <formula>0</formula>
    </cfRule>
  </conditionalFormatting>
  <conditionalFormatting sqref="BO34">
    <cfRule type="cellIs" dxfId="4" priority="5933" operator="lessThan">
      <formula>0</formula>
    </cfRule>
    <cfRule type="cellIs" dxfId="0" priority="5932" operator="lessThan">
      <formula>0</formula>
    </cfRule>
    <cfRule type="cellIs" dxfId="0" priority="5931" operator="lessThan">
      <formula>-1</formula>
    </cfRule>
  </conditionalFormatting>
  <conditionalFormatting sqref="CK34">
    <cfRule type="cellIs" dxfId="1" priority="5380" operator="greaterThan">
      <formula>0</formula>
    </cfRule>
    <cfRule type="cellIs" dxfId="0" priority="5379" operator="lessThan">
      <formula>0</formula>
    </cfRule>
  </conditionalFormatting>
  <conditionalFormatting sqref="CL34">
    <cfRule type="cellIs" dxfId="1" priority="5217" operator="greaterThan">
      <formula>0</formula>
    </cfRule>
    <cfRule type="cellIs" dxfId="0" priority="5216" operator="lessThan">
      <formula>0</formula>
    </cfRule>
  </conditionalFormatting>
  <conditionalFormatting sqref="CM34">
    <cfRule type="cellIs" dxfId="1" priority="5171" operator="greaterThan">
      <formula>0</formula>
    </cfRule>
    <cfRule type="cellIs" dxfId="0" priority="5170" operator="lessThan">
      <formula>0</formula>
    </cfRule>
  </conditionalFormatting>
  <conditionalFormatting sqref="CR34">
    <cfRule type="cellIs" dxfId="1" priority="5177" operator="greaterThan">
      <formula>0</formula>
    </cfRule>
    <cfRule type="cellIs" dxfId="0" priority="5176" operator="lessThan">
      <formula>0</formula>
    </cfRule>
  </conditionalFormatting>
  <conditionalFormatting sqref="CS34">
    <cfRule type="cellIs" dxfId="1" priority="5382" operator="greaterThan">
      <formula>0</formula>
    </cfRule>
    <cfRule type="cellIs" dxfId="0" priority="5381" operator="lessThan">
      <formula>0</formula>
    </cfRule>
  </conditionalFormatting>
  <conditionalFormatting sqref="CT34">
    <cfRule type="cellIs" dxfId="1" priority="5386" operator="greaterThan">
      <formula>0</formula>
    </cfRule>
    <cfRule type="cellIs" dxfId="0" priority="5385" operator="lessThan">
      <formula>0</formula>
    </cfRule>
  </conditionalFormatting>
  <conditionalFormatting sqref="CU34">
    <cfRule type="cellIs" dxfId="5" priority="5242" operator="greaterThan">
      <formula>1</formula>
    </cfRule>
    <cfRule type="cellIs" dxfId="6" priority="5241" operator="lessThan">
      <formula>0</formula>
    </cfRule>
    <cfRule type="cellIs" dxfId="1" priority="5240" operator="greaterThan">
      <formula>0</formula>
    </cfRule>
    <cfRule type="cellIs" dxfId="0" priority="5239" operator="lessThan">
      <formula>0</formula>
    </cfRule>
    <cfRule type="cellIs" dxfId="1" priority="5238" operator="greaterThan">
      <formula>0</formula>
    </cfRule>
    <cfRule type="cellIs" dxfId="0" priority="5237" operator="lessThan">
      <formula>0</formula>
    </cfRule>
  </conditionalFormatting>
  <conditionalFormatting sqref="CV34">
    <cfRule type="cellIs" dxfId="4" priority="5200" operator="lessThan">
      <formula>0</formula>
    </cfRule>
    <cfRule type="cellIs" dxfId="0" priority="5199" operator="lessThan">
      <formula>0</formula>
    </cfRule>
    <cfRule type="cellIs" dxfId="0" priority="5198" operator="lessThan">
      <formula>-1</formula>
    </cfRule>
  </conditionalFormatting>
  <conditionalFormatting sqref="DR34">
    <cfRule type="cellIs" dxfId="1" priority="4991" operator="greaterThan">
      <formula>0</formula>
    </cfRule>
    <cfRule type="cellIs" dxfId="0" priority="4990" operator="lessThan">
      <formula>0</formula>
    </cfRule>
  </conditionalFormatting>
  <conditionalFormatting sqref="DS34">
    <cfRule type="cellIs" dxfId="1" priority="4828" operator="greaterThan">
      <formula>0</formula>
    </cfRule>
    <cfRule type="cellIs" dxfId="0" priority="4827" operator="lessThan">
      <formula>0</formula>
    </cfRule>
  </conditionalFormatting>
  <conditionalFormatting sqref="DT34">
    <cfRule type="cellIs" dxfId="1" priority="4782" operator="greaterThan">
      <formula>0</formula>
    </cfRule>
    <cfRule type="cellIs" dxfId="0" priority="4781" operator="lessThan">
      <formula>0</formula>
    </cfRule>
  </conditionalFormatting>
  <conditionalFormatting sqref="DY34">
    <cfRule type="cellIs" dxfId="1" priority="4788" operator="greaterThan">
      <formula>0</formula>
    </cfRule>
    <cfRule type="cellIs" dxfId="0" priority="4787" operator="lessThan">
      <formula>0</formula>
    </cfRule>
  </conditionalFormatting>
  <conditionalFormatting sqref="DZ34">
    <cfRule type="cellIs" dxfId="1" priority="4993" operator="greaterThan">
      <formula>0</formula>
    </cfRule>
    <cfRule type="cellIs" dxfId="0" priority="4992" operator="lessThan">
      <formula>0</formula>
    </cfRule>
  </conditionalFormatting>
  <conditionalFormatting sqref="EA34">
    <cfRule type="cellIs" dxfId="1" priority="4997" operator="greaterThan">
      <formula>0</formula>
    </cfRule>
    <cfRule type="cellIs" dxfId="0" priority="4996" operator="lessThan">
      <formula>0</formula>
    </cfRule>
  </conditionalFormatting>
  <conditionalFormatting sqref="EB34">
    <cfRule type="cellIs" dxfId="5" priority="4853" operator="greaterThan">
      <formula>1</formula>
    </cfRule>
    <cfRule type="cellIs" dxfId="6" priority="4852" operator="lessThan">
      <formula>0</formula>
    </cfRule>
    <cfRule type="cellIs" dxfId="1" priority="4851" operator="greaterThan">
      <formula>0</formula>
    </cfRule>
    <cfRule type="cellIs" dxfId="0" priority="4850" operator="lessThan">
      <formula>0</formula>
    </cfRule>
    <cfRule type="cellIs" dxfId="1" priority="4849" operator="greaterThan">
      <formula>0</formula>
    </cfRule>
    <cfRule type="cellIs" dxfId="0" priority="4848" operator="lessThan">
      <formula>0</formula>
    </cfRule>
  </conditionalFormatting>
  <conditionalFormatting sqref="EC34">
    <cfRule type="cellIs" dxfId="4" priority="4811" operator="lessThan">
      <formula>0</formula>
    </cfRule>
    <cfRule type="cellIs" dxfId="0" priority="4810" operator="lessThan">
      <formula>0</formula>
    </cfRule>
    <cfRule type="cellIs" dxfId="0" priority="4809" operator="lessThan">
      <formula>-1</formula>
    </cfRule>
  </conditionalFormatting>
  <conditionalFormatting sqref="EE34:FJ34">
    <cfRule type="cellIs" dxfId="2" priority="3467" operator="greaterThan">
      <formula>0</formula>
    </cfRule>
    <cfRule type="cellIs" dxfId="3" priority="3466" operator="lessThan">
      <formula>0</formula>
    </cfRule>
  </conditionalFormatting>
  <conditionalFormatting sqref="EY34">
    <cfRule type="cellIs" dxfId="1" priority="3488" operator="greaterThan">
      <formula>0</formula>
    </cfRule>
    <cfRule type="cellIs" dxfId="0" priority="3487" operator="lessThan">
      <formula>0</formula>
    </cfRule>
  </conditionalFormatting>
  <conditionalFormatting sqref="EZ34">
    <cfRule type="cellIs" dxfId="1" priority="3482" operator="greaterThan">
      <formula>0</formula>
    </cfRule>
    <cfRule type="cellIs" dxfId="0" priority="3481" operator="lessThan">
      <formula>0</formula>
    </cfRule>
  </conditionalFormatting>
  <conditionalFormatting sqref="FA34">
    <cfRule type="cellIs" dxfId="1" priority="3469" operator="greaterThan">
      <formula>0</formula>
    </cfRule>
    <cfRule type="cellIs" dxfId="0" priority="3468" operator="lessThan">
      <formula>0</formula>
    </cfRule>
  </conditionalFormatting>
  <conditionalFormatting sqref="FF34">
    <cfRule type="cellIs" dxfId="1" priority="3471" operator="greaterThan">
      <formula>0</formula>
    </cfRule>
    <cfRule type="cellIs" dxfId="0" priority="3470" operator="lessThan">
      <formula>0</formula>
    </cfRule>
  </conditionalFormatting>
  <conditionalFormatting sqref="FG34">
    <cfRule type="cellIs" dxfId="1" priority="3484" operator="greaterThan">
      <formula>0</formula>
    </cfRule>
    <cfRule type="cellIs" dxfId="0" priority="3483" operator="lessThan">
      <formula>0</formula>
    </cfRule>
  </conditionalFormatting>
  <conditionalFormatting sqref="FH34">
    <cfRule type="cellIs" dxfId="1" priority="3486" operator="greaterThan">
      <formula>0</formula>
    </cfRule>
    <cfRule type="cellIs" dxfId="0" priority="3485" operator="lessThan">
      <formula>0</formula>
    </cfRule>
  </conditionalFormatting>
  <conditionalFormatting sqref="FI34">
    <cfRule type="cellIs" dxfId="5" priority="3480" operator="greaterThan">
      <formula>1</formula>
    </cfRule>
    <cfRule type="cellIs" dxfId="6" priority="3479" operator="lessThan">
      <formula>0</formula>
    </cfRule>
    <cfRule type="cellIs" dxfId="1" priority="3478" operator="greaterThan">
      <formula>0</formula>
    </cfRule>
    <cfRule type="cellIs" dxfId="0" priority="3477" operator="lessThan">
      <formula>0</formula>
    </cfRule>
    <cfRule type="cellIs" dxfId="1" priority="3476" operator="greaterThan">
      <formula>0</formula>
    </cfRule>
    <cfRule type="cellIs" dxfId="0" priority="3475" operator="lessThan">
      <formula>0</formula>
    </cfRule>
  </conditionalFormatting>
  <conditionalFormatting sqref="FJ34">
    <cfRule type="cellIs" dxfId="4" priority="3474" operator="lessThan">
      <formula>0</formula>
    </cfRule>
    <cfRule type="cellIs" dxfId="0" priority="3473" operator="lessThan">
      <formula>0</formula>
    </cfRule>
    <cfRule type="cellIs" dxfId="0" priority="3472" operator="lessThan">
      <formula>-1</formula>
    </cfRule>
  </conditionalFormatting>
  <conditionalFormatting sqref="FR34">
    <cfRule type="cellIs" dxfId="2" priority="2925" operator="greaterThan">
      <formula>0</formula>
    </cfRule>
    <cfRule type="cellIs" dxfId="3" priority="2924" operator="lessThan">
      <formula>0</formula>
    </cfRule>
  </conditionalFormatting>
  <conditionalFormatting sqref="FZ34">
    <cfRule type="cellIs" dxfId="2" priority="2933" operator="greaterThan">
      <formula>0</formula>
    </cfRule>
    <cfRule type="cellIs" dxfId="3" priority="2932" operator="lessThan">
      <formula>0</formula>
    </cfRule>
  </conditionalFormatting>
  <conditionalFormatting sqref="GH34">
    <cfRule type="cellIs" dxfId="1" priority="2958" operator="greaterThan">
      <formula>0</formula>
    </cfRule>
    <cfRule type="cellIs" dxfId="0" priority="2957" operator="lessThan">
      <formula>0</formula>
    </cfRule>
  </conditionalFormatting>
  <conditionalFormatting sqref="GI34">
    <cfRule type="cellIs" dxfId="1" priority="2952" operator="greaterThan">
      <formula>0</formula>
    </cfRule>
    <cfRule type="cellIs" dxfId="0" priority="2951" operator="lessThan">
      <formula>0</formula>
    </cfRule>
  </conditionalFormatting>
  <conditionalFormatting sqref="GJ34">
    <cfRule type="cellIs" dxfId="1" priority="2939" operator="greaterThan">
      <formula>0</formula>
    </cfRule>
    <cfRule type="cellIs" dxfId="0" priority="2938" operator="lessThan">
      <formula>0</formula>
    </cfRule>
  </conditionalFormatting>
  <conditionalFormatting sqref="GO34">
    <cfRule type="cellIs" dxfId="1" priority="2941" operator="greaterThan">
      <formula>0</formula>
    </cfRule>
    <cfRule type="cellIs" dxfId="0" priority="2940" operator="lessThan">
      <formula>0</formula>
    </cfRule>
  </conditionalFormatting>
  <conditionalFormatting sqref="GP34">
    <cfRule type="cellIs" dxfId="1" priority="2954" operator="greaterThan">
      <formula>0</formula>
    </cfRule>
    <cfRule type="cellIs" dxfId="0" priority="2953" operator="lessThan">
      <formula>0</formula>
    </cfRule>
  </conditionalFormatting>
  <conditionalFormatting sqref="GQ34">
    <cfRule type="cellIs" dxfId="1" priority="2956" operator="greaterThan">
      <formula>0</formula>
    </cfRule>
    <cfRule type="cellIs" dxfId="0" priority="2955" operator="lessThan">
      <formula>0</formula>
    </cfRule>
  </conditionalFormatting>
  <conditionalFormatting sqref="GR34">
    <cfRule type="cellIs" dxfId="5" priority="2950" operator="greaterThan">
      <formula>1</formula>
    </cfRule>
    <cfRule type="cellIs" dxfId="6" priority="2949" operator="lessThan">
      <formula>0</formula>
    </cfRule>
    <cfRule type="cellIs" dxfId="1" priority="2948" operator="greaterThan">
      <formula>0</formula>
    </cfRule>
    <cfRule type="cellIs" dxfId="0" priority="2947" operator="lessThan">
      <formula>0</formula>
    </cfRule>
    <cfRule type="cellIs" dxfId="1" priority="2946" operator="greaterThan">
      <formula>0</formula>
    </cfRule>
    <cfRule type="cellIs" dxfId="0" priority="2945" operator="lessThan">
      <formula>0</formula>
    </cfRule>
  </conditionalFormatting>
  <conditionalFormatting sqref="GS34">
    <cfRule type="cellIs" dxfId="4" priority="2944" operator="lessThan">
      <formula>0</formula>
    </cfRule>
    <cfRule type="cellIs" dxfId="0" priority="2943" operator="lessThan">
      <formula>0</formula>
    </cfRule>
    <cfRule type="cellIs" dxfId="0" priority="2942" operator="lessThan">
      <formula>-1</formula>
    </cfRule>
  </conditionalFormatting>
  <conditionalFormatting sqref="GV34:IA34">
    <cfRule type="cellIs" dxfId="2" priority="2433" operator="greaterThan">
      <formula>0</formula>
    </cfRule>
    <cfRule type="cellIs" dxfId="3" priority="2432" operator="lessThan">
      <formula>0</formula>
    </cfRule>
  </conditionalFormatting>
  <conditionalFormatting sqref="HP34">
    <cfRule type="cellIs" dxfId="1" priority="2454" operator="greaterThan">
      <formula>0</formula>
    </cfRule>
    <cfRule type="cellIs" dxfId="0" priority="2453" operator="lessThan">
      <formula>0</formula>
    </cfRule>
  </conditionalFormatting>
  <conditionalFormatting sqref="HQ34">
    <cfRule type="cellIs" dxfId="1" priority="2448" operator="greaterThan">
      <formula>0</formula>
    </cfRule>
    <cfRule type="cellIs" dxfId="0" priority="2447" operator="lessThan">
      <formula>0</formula>
    </cfRule>
  </conditionalFormatting>
  <conditionalFormatting sqref="HR34">
    <cfRule type="cellIs" dxfId="1" priority="2435" operator="greaterThan">
      <formula>0</formula>
    </cfRule>
    <cfRule type="cellIs" dxfId="0" priority="2434" operator="lessThan">
      <formula>0</formula>
    </cfRule>
  </conditionalFormatting>
  <conditionalFormatting sqref="HW34">
    <cfRule type="cellIs" dxfId="1" priority="2437" operator="greaterThan">
      <formula>0</formula>
    </cfRule>
    <cfRule type="cellIs" dxfId="0" priority="2436" operator="lessThan">
      <formula>0</formula>
    </cfRule>
  </conditionalFormatting>
  <conditionalFormatting sqref="HX34">
    <cfRule type="cellIs" dxfId="1" priority="2450" operator="greaterThan">
      <formula>0</formula>
    </cfRule>
    <cfRule type="cellIs" dxfId="0" priority="2449" operator="lessThan">
      <formula>0</formula>
    </cfRule>
  </conditionalFormatting>
  <conditionalFormatting sqref="HY34">
    <cfRule type="cellIs" dxfId="1" priority="2452" operator="greaterThan">
      <formula>0</formula>
    </cfRule>
    <cfRule type="cellIs" dxfId="0" priority="2451" operator="lessThan">
      <formula>0</formula>
    </cfRule>
  </conditionalFormatting>
  <conditionalFormatting sqref="HZ34">
    <cfRule type="cellIs" dxfId="5" priority="2446" operator="greaterThan">
      <formula>1</formula>
    </cfRule>
    <cfRule type="cellIs" dxfId="6" priority="2445" operator="lessThan">
      <formula>0</formula>
    </cfRule>
    <cfRule type="cellIs" dxfId="1" priority="2444" operator="greaterThan">
      <formula>0</formula>
    </cfRule>
    <cfRule type="cellIs" dxfId="0" priority="2443" operator="lessThan">
      <formula>0</formula>
    </cfRule>
    <cfRule type="cellIs" dxfId="1" priority="2442" operator="greaterThan">
      <formula>0</formula>
    </cfRule>
    <cfRule type="cellIs" dxfId="0" priority="2441" operator="lessThan">
      <formula>0</formula>
    </cfRule>
  </conditionalFormatting>
  <conditionalFormatting sqref="IA34">
    <cfRule type="cellIs" dxfId="4" priority="2440" operator="lessThan">
      <formula>0</formula>
    </cfRule>
    <cfRule type="cellIs" dxfId="0" priority="2439" operator="lessThan">
      <formula>0</formula>
    </cfRule>
    <cfRule type="cellIs" dxfId="0" priority="2438" operator="lessThan">
      <formula>-1</formula>
    </cfRule>
  </conditionalFormatting>
  <conditionalFormatting sqref="IH34">
    <cfRule type="cellIs" dxfId="2" priority="1730" operator="greaterThan">
      <formula>0</formula>
    </cfRule>
    <cfRule type="cellIs" dxfId="3" priority="1729" operator="lessThan">
      <formula>0</formula>
    </cfRule>
  </conditionalFormatting>
  <conditionalFormatting sqref="IP34">
    <cfRule type="cellIs" dxfId="2" priority="1716" operator="greaterThan">
      <formula>0</formula>
    </cfRule>
    <cfRule type="cellIs" dxfId="3" priority="1715" operator="lessThan">
      <formula>0</formula>
    </cfRule>
  </conditionalFormatting>
  <conditionalFormatting sqref="IX34">
    <cfRule type="cellIs" dxfId="1" priority="1862" operator="greaterThan">
      <formula>0</formula>
    </cfRule>
    <cfRule type="cellIs" dxfId="0" priority="1861" operator="lessThan">
      <formula>0</formula>
    </cfRule>
  </conditionalFormatting>
  <conditionalFormatting sqref="IY34">
    <cfRule type="cellIs" dxfId="1" priority="1856" operator="greaterThan">
      <formula>0</formula>
    </cfRule>
    <cfRule type="cellIs" dxfId="0" priority="1855" operator="lessThan">
      <formula>0</formula>
    </cfRule>
  </conditionalFormatting>
  <conditionalFormatting sqref="IZ34">
    <cfRule type="cellIs" dxfId="1" priority="1843" operator="greaterThan">
      <formula>0</formula>
    </cfRule>
    <cfRule type="cellIs" dxfId="0" priority="1842" operator="lessThan">
      <formula>0</formula>
    </cfRule>
  </conditionalFormatting>
  <conditionalFormatting sqref="JE34">
    <cfRule type="cellIs" dxfId="1" priority="1845" operator="greaterThan">
      <formula>0</formula>
    </cfRule>
    <cfRule type="cellIs" dxfId="0" priority="1844" operator="lessThan">
      <formula>0</formula>
    </cfRule>
  </conditionalFormatting>
  <conditionalFormatting sqref="JF34">
    <cfRule type="cellIs" dxfId="1" priority="1858" operator="greaterThan">
      <formula>0</formula>
    </cfRule>
    <cfRule type="cellIs" dxfId="0" priority="1857" operator="lessThan">
      <formula>0</formula>
    </cfRule>
  </conditionalFormatting>
  <conditionalFormatting sqref="JG34">
    <cfRule type="cellIs" dxfId="1" priority="1860" operator="greaterThan">
      <formula>0</formula>
    </cfRule>
    <cfRule type="cellIs" dxfId="0" priority="1859" operator="lessThan">
      <formula>0</formula>
    </cfRule>
  </conditionalFormatting>
  <conditionalFormatting sqref="JH34">
    <cfRule type="cellIs" dxfId="5" priority="1854" operator="greaterThan">
      <formula>1</formula>
    </cfRule>
    <cfRule type="cellIs" dxfId="6" priority="1853" operator="lessThan">
      <formula>0</formula>
    </cfRule>
    <cfRule type="cellIs" dxfId="1" priority="1852" operator="greaterThan">
      <formula>0</formula>
    </cfRule>
    <cfRule type="cellIs" dxfId="0" priority="1851" operator="lessThan">
      <formula>0</formula>
    </cfRule>
    <cfRule type="cellIs" dxfId="1" priority="1850" operator="greaterThan">
      <formula>0</formula>
    </cfRule>
    <cfRule type="cellIs" dxfId="0" priority="1849" operator="lessThan">
      <formula>0</formula>
    </cfRule>
  </conditionalFormatting>
  <conditionalFormatting sqref="JI34">
    <cfRule type="cellIs" dxfId="4" priority="1848" operator="lessThan">
      <formula>0</formula>
    </cfRule>
    <cfRule type="cellIs" dxfId="0" priority="1847" operator="lessThan">
      <formula>0</formula>
    </cfRule>
    <cfRule type="cellIs" dxfId="0" priority="1846" operator="lessThan">
      <formula>-1</formula>
    </cfRule>
  </conditionalFormatting>
  <conditionalFormatting sqref="JL34:KQ34">
    <cfRule type="cellIs" dxfId="2" priority="1072" operator="greaterThan">
      <formula>0</formula>
    </cfRule>
    <cfRule type="cellIs" dxfId="3" priority="1071" operator="lessThan">
      <formula>0</formula>
    </cfRule>
  </conditionalFormatting>
  <conditionalFormatting sqref="KF34">
    <cfRule type="cellIs" dxfId="1" priority="1093" operator="greaterThan">
      <formula>0</formula>
    </cfRule>
    <cfRule type="cellIs" dxfId="0" priority="1092" operator="lessThan">
      <formula>0</formula>
    </cfRule>
  </conditionalFormatting>
  <conditionalFormatting sqref="KG34">
    <cfRule type="cellIs" dxfId="1" priority="1087" operator="greaterThan">
      <formula>0</formula>
    </cfRule>
    <cfRule type="cellIs" dxfId="0" priority="1086" operator="lessThan">
      <formula>0</formula>
    </cfRule>
  </conditionalFormatting>
  <conditionalFormatting sqref="KH34">
    <cfRule type="cellIs" dxfId="1" priority="1074" operator="greaterThan">
      <formula>0</formula>
    </cfRule>
    <cfRule type="cellIs" dxfId="0" priority="1073" operator="lessThan">
      <formula>0</formula>
    </cfRule>
  </conditionalFormatting>
  <conditionalFormatting sqref="KM34">
    <cfRule type="cellIs" dxfId="1" priority="1076" operator="greaterThan">
      <formula>0</formula>
    </cfRule>
    <cfRule type="cellIs" dxfId="0" priority="1075" operator="lessThan">
      <formula>0</formula>
    </cfRule>
  </conditionalFormatting>
  <conditionalFormatting sqref="KN34">
    <cfRule type="cellIs" dxfId="1" priority="1089" operator="greaterThan">
      <formula>0</formula>
    </cfRule>
    <cfRule type="cellIs" dxfId="0" priority="1088" operator="lessThan">
      <formula>0</formula>
    </cfRule>
  </conditionalFormatting>
  <conditionalFormatting sqref="KO34">
    <cfRule type="cellIs" dxfId="1" priority="1091" operator="greaterThan">
      <formula>0</formula>
    </cfRule>
    <cfRule type="cellIs" dxfId="0" priority="1090" operator="lessThan">
      <formula>0</formula>
    </cfRule>
  </conditionalFormatting>
  <conditionalFormatting sqref="KP34">
    <cfRule type="cellIs" dxfId="5" priority="1085" operator="greaterThan">
      <formula>1</formula>
    </cfRule>
    <cfRule type="cellIs" dxfId="6" priority="1084" operator="lessThan">
      <formula>0</formula>
    </cfRule>
    <cfRule type="cellIs" dxfId="1" priority="1083" operator="greaterThan">
      <formula>0</formula>
    </cfRule>
    <cfRule type="cellIs" dxfId="0" priority="1082" operator="lessThan">
      <formula>0</formula>
    </cfRule>
    <cfRule type="cellIs" dxfId="1" priority="1081" operator="greaterThan">
      <formula>0</formula>
    </cfRule>
    <cfRule type="cellIs" dxfId="0" priority="1080" operator="lessThan">
      <formula>0</formula>
    </cfRule>
  </conditionalFormatting>
  <conditionalFormatting sqref="KQ34">
    <cfRule type="cellIs" dxfId="4" priority="1079" operator="lessThan">
      <formula>0</formula>
    </cfRule>
    <cfRule type="cellIs" dxfId="0" priority="1078" operator="lessThan">
      <formula>0</formula>
    </cfRule>
    <cfRule type="cellIs" dxfId="0" priority="1077" operator="lessThan">
      <formula>-1</formula>
    </cfRule>
  </conditionalFormatting>
  <conditionalFormatting sqref="LN34">
    <cfRule type="cellIs" dxfId="0" priority="9810" operator="lessThan">
      <formula>0</formula>
    </cfRule>
    <cfRule type="cellIs" dxfId="1" priority="9811" operator="greaterThan">
      <formula>0</formula>
    </cfRule>
  </conditionalFormatting>
  <conditionalFormatting sqref="LP34">
    <cfRule type="cellIs" dxfId="0" priority="9814" operator="lessThan">
      <formula>0</formula>
    </cfRule>
    <cfRule type="cellIs" dxfId="1" priority="9815" operator="greaterThan">
      <formula>0</formula>
    </cfRule>
  </conditionalFormatting>
  <conditionalFormatting sqref="LU34">
    <cfRule type="cellIs" dxfId="0" priority="9537" operator="lessThan">
      <formula>0</formula>
    </cfRule>
    <cfRule type="cellIs" dxfId="1" priority="9538" operator="greaterThan">
      <formula>0</formula>
    </cfRule>
  </conditionalFormatting>
  <conditionalFormatting sqref="LV34">
    <cfRule type="cellIs" dxfId="0" priority="9812" operator="lessThan">
      <formula>0</formula>
    </cfRule>
    <cfRule type="cellIs" dxfId="1" priority="9813" operator="greaterThan">
      <formula>0</formula>
    </cfRule>
  </conditionalFormatting>
  <conditionalFormatting sqref="LW34">
    <cfRule type="cellIs" dxfId="0" priority="9818" operator="lessThan">
      <formula>0</formula>
    </cfRule>
    <cfRule type="cellIs" dxfId="1" priority="9819" operator="greaterThan">
      <formula>0</formula>
    </cfRule>
  </conditionalFormatting>
  <conditionalFormatting sqref="LX34">
    <cfRule type="cellIs" dxfId="0" priority="9541" operator="lessThan">
      <formula>0</formula>
    </cfRule>
    <cfRule type="cellIs" dxfId="1" priority="9542" operator="greaterThan">
      <formula>0</formula>
    </cfRule>
    <cfRule type="cellIs" dxfId="0" priority="9543" operator="lessThan">
      <formula>0</formula>
    </cfRule>
    <cfRule type="cellIs" dxfId="1" priority="9544" operator="greaterThan">
      <formula>0</formula>
    </cfRule>
    <cfRule type="cellIs" dxfId="6" priority="9545" operator="lessThan">
      <formula>0</formula>
    </cfRule>
    <cfRule type="cellIs" dxfId="5" priority="9546" operator="greaterThan">
      <formula>1</formula>
    </cfRule>
  </conditionalFormatting>
  <conditionalFormatting sqref="LY34">
    <cfRule type="cellIs" dxfId="0" priority="9547" operator="lessThan">
      <formula>-1</formula>
    </cfRule>
    <cfRule type="cellIs" dxfId="0" priority="9548" operator="lessThan">
      <formula>0</formula>
    </cfRule>
    <cfRule type="cellIs" dxfId="4" priority="9549" operator="lessThan">
      <formula>0</formula>
    </cfRule>
  </conditionalFormatting>
  <conditionalFormatting sqref="MV34">
    <cfRule type="cellIs" dxfId="0" priority="10217" operator="lessThan">
      <formula>0</formula>
    </cfRule>
    <cfRule type="cellIs" dxfId="1" priority="10218" operator="greaterThan">
      <formula>0</formula>
    </cfRule>
  </conditionalFormatting>
  <conditionalFormatting sqref="MX34">
    <cfRule type="cellIs" dxfId="0" priority="10221" operator="lessThan">
      <formula>0</formula>
    </cfRule>
    <cfRule type="cellIs" dxfId="1" priority="10222" operator="greaterThan">
      <formula>0</formula>
    </cfRule>
  </conditionalFormatting>
  <conditionalFormatting sqref="NB34:NC34">
    <cfRule type="cellIs" dxfId="0" priority="9920" operator="lessThan">
      <formula>0</formula>
    </cfRule>
    <cfRule type="cellIs" dxfId="1" priority="9921" operator="greaterThan">
      <formula>0</formula>
    </cfRule>
  </conditionalFormatting>
  <conditionalFormatting sqref="ND34">
    <cfRule type="cellIs" dxfId="0" priority="10219" operator="lessThan">
      <formula>0</formula>
    </cfRule>
    <cfRule type="cellIs" dxfId="1" priority="10220" operator="greaterThan">
      <formula>0</formula>
    </cfRule>
  </conditionalFormatting>
  <conditionalFormatting sqref="NE34">
    <cfRule type="cellIs" dxfId="0" priority="10225" operator="lessThan">
      <formula>0</formula>
    </cfRule>
    <cfRule type="cellIs" dxfId="1" priority="10226" operator="greaterThan">
      <formula>0</formula>
    </cfRule>
  </conditionalFormatting>
  <conditionalFormatting sqref="NF34">
    <cfRule type="cellIs" dxfId="0" priority="9924" operator="lessThan">
      <formula>0</formula>
    </cfRule>
    <cfRule type="cellIs" dxfId="1" priority="9925" operator="greaterThan">
      <formula>0</formula>
    </cfRule>
    <cfRule type="cellIs" dxfId="0" priority="9926" operator="lessThan">
      <formula>0</formula>
    </cfRule>
    <cfRule type="cellIs" dxfId="1" priority="9927" operator="greaterThan">
      <formula>0</formula>
    </cfRule>
    <cfRule type="cellIs" dxfId="6" priority="9928" operator="lessThan">
      <formula>0</formula>
    </cfRule>
    <cfRule type="cellIs" dxfId="5" priority="9929" operator="greaterThan">
      <formula>1</formula>
    </cfRule>
  </conditionalFormatting>
  <conditionalFormatting sqref="NG34">
    <cfRule type="cellIs" dxfId="0" priority="9930" operator="lessThan">
      <formula>-1</formula>
    </cfRule>
    <cfRule type="cellIs" dxfId="0" priority="9931" operator="lessThan">
      <formula>0</formula>
    </cfRule>
    <cfRule type="cellIs" dxfId="4" priority="9932" operator="lessThan">
      <formula>0</formula>
    </cfRule>
  </conditionalFormatting>
  <conditionalFormatting sqref="AD36">
    <cfRule type="cellIs" dxfId="1" priority="6305" operator="greaterThan">
      <formula>0</formula>
    </cfRule>
    <cfRule type="cellIs" dxfId="0" priority="6304" operator="lessThan">
      <formula>0</formula>
    </cfRule>
  </conditionalFormatting>
  <conditionalFormatting sqref="AE36:AF36">
    <cfRule type="cellIs" dxfId="1" priority="6518" operator="greaterThan">
      <formula>0</formula>
    </cfRule>
    <cfRule type="cellIs" dxfId="0" priority="6517" operator="lessThan">
      <formula>0</formula>
    </cfRule>
  </conditionalFormatting>
  <conditionalFormatting sqref="AG36">
    <cfRule type="cellIs" dxfId="5" priority="6422" operator="greaterThan">
      <formula>1</formula>
    </cfRule>
    <cfRule type="cellIs" dxfId="6" priority="6421" operator="lessThan">
      <formula>0</formula>
    </cfRule>
    <cfRule type="cellIs" dxfId="1" priority="6420" operator="greaterThan">
      <formula>0</formula>
    </cfRule>
    <cfRule type="cellIs" dxfId="0" priority="6419" operator="lessThan">
      <formula>0</formula>
    </cfRule>
    <cfRule type="cellIs" dxfId="1" priority="6418" operator="greaterThan">
      <formula>0</formula>
    </cfRule>
    <cfRule type="cellIs" dxfId="0" priority="6417" operator="lessThan">
      <formula>0</formula>
    </cfRule>
  </conditionalFormatting>
  <conditionalFormatting sqref="AH36">
    <cfRule type="cellIs" dxfId="0" priority="6314" operator="lessThan">
      <formula>0</formula>
    </cfRule>
    <cfRule type="cellIs" dxfId="0" priority="6313" operator="lessThan">
      <formula>-1</formula>
    </cfRule>
    <cfRule type="cellIs" dxfId="4" priority="6312" operator="lessThan">
      <formula>0</formula>
    </cfRule>
  </conditionalFormatting>
  <conditionalFormatting sqref="BK36">
    <cfRule type="cellIs" dxfId="1" priority="5918" operator="greaterThan">
      <formula>0</formula>
    </cfRule>
    <cfRule type="cellIs" dxfId="0" priority="5917" operator="lessThan">
      <formula>0</formula>
    </cfRule>
  </conditionalFormatting>
  <conditionalFormatting sqref="BL36:BM36">
    <cfRule type="cellIs" dxfId="1" priority="6117" operator="greaterThan">
      <formula>0</formula>
    </cfRule>
    <cfRule type="cellIs" dxfId="0" priority="6116" operator="lessThan">
      <formula>0</formula>
    </cfRule>
  </conditionalFormatting>
  <conditionalFormatting sqref="BN36">
    <cfRule type="cellIs" dxfId="5" priority="6023" operator="greaterThan">
      <formula>1</formula>
    </cfRule>
    <cfRule type="cellIs" dxfId="6" priority="6022" operator="lessThan">
      <formula>0</formula>
    </cfRule>
    <cfRule type="cellIs" dxfId="1" priority="6021" operator="greaterThan">
      <formula>0</formula>
    </cfRule>
    <cfRule type="cellIs" dxfId="0" priority="6020" operator="lessThan">
      <formula>0</formula>
    </cfRule>
    <cfRule type="cellIs" dxfId="1" priority="6019" operator="greaterThan">
      <formula>0</formula>
    </cfRule>
    <cfRule type="cellIs" dxfId="0" priority="6018" operator="lessThan">
      <formula>0</formula>
    </cfRule>
  </conditionalFormatting>
  <conditionalFormatting sqref="BO36">
    <cfRule type="cellIs" dxfId="0" priority="5927" operator="lessThan">
      <formula>0</formula>
    </cfRule>
    <cfRule type="cellIs" dxfId="0" priority="5926" operator="lessThan">
      <formula>-1</formula>
    </cfRule>
    <cfRule type="cellIs" dxfId="4" priority="5925" operator="lessThan">
      <formula>0</formula>
    </cfRule>
  </conditionalFormatting>
  <conditionalFormatting sqref="CR36">
    <cfRule type="cellIs" dxfId="1" priority="5185" operator="greaterThan">
      <formula>0</formula>
    </cfRule>
    <cfRule type="cellIs" dxfId="0" priority="5184" operator="lessThan">
      <formula>0</formula>
    </cfRule>
  </conditionalFormatting>
  <conditionalFormatting sqref="CS36:CT36">
    <cfRule type="cellIs" dxfId="1" priority="5384" operator="greaterThan">
      <formula>0</formula>
    </cfRule>
    <cfRule type="cellIs" dxfId="0" priority="5383" operator="lessThan">
      <formula>0</formula>
    </cfRule>
  </conditionalFormatting>
  <conditionalFormatting sqref="CU36">
    <cfRule type="cellIs" dxfId="5" priority="5290" operator="greaterThan">
      <formula>1</formula>
    </cfRule>
    <cfRule type="cellIs" dxfId="6" priority="5289" operator="lessThan">
      <formula>0</formula>
    </cfRule>
    <cfRule type="cellIs" dxfId="1" priority="5288" operator="greaterThan">
      <formula>0</formula>
    </cfRule>
    <cfRule type="cellIs" dxfId="0" priority="5287" operator="lessThan">
      <formula>0</formula>
    </cfRule>
    <cfRule type="cellIs" dxfId="1" priority="5286" operator="greaterThan">
      <formula>0</formula>
    </cfRule>
    <cfRule type="cellIs" dxfId="0" priority="5285" operator="lessThan">
      <formula>0</formula>
    </cfRule>
  </conditionalFormatting>
  <conditionalFormatting sqref="CV36">
    <cfRule type="cellIs" dxfId="0" priority="5194" operator="lessThan">
      <formula>0</formula>
    </cfRule>
    <cfRule type="cellIs" dxfId="0" priority="5193" operator="lessThan">
      <formula>-1</formula>
    </cfRule>
    <cfRule type="cellIs" dxfId="4" priority="5192" operator="lessThan">
      <formula>0</formula>
    </cfRule>
  </conditionalFormatting>
  <conditionalFormatting sqref="DY36">
    <cfRule type="cellIs" dxfId="1" priority="4796" operator="greaterThan">
      <formula>0</formula>
    </cfRule>
    <cfRule type="cellIs" dxfId="0" priority="4795" operator="lessThan">
      <formula>0</formula>
    </cfRule>
  </conditionalFormatting>
  <conditionalFormatting sqref="DZ36:EA36">
    <cfRule type="cellIs" dxfId="1" priority="4995" operator="greaterThan">
      <formula>0</formula>
    </cfRule>
    <cfRule type="cellIs" dxfId="0" priority="4994" operator="lessThan">
      <formula>0</formula>
    </cfRule>
  </conditionalFormatting>
  <conditionalFormatting sqref="EB36">
    <cfRule type="cellIs" dxfId="5" priority="4901" operator="greaterThan">
      <formula>1</formula>
    </cfRule>
    <cfRule type="cellIs" dxfId="6" priority="4900" operator="lessThan">
      <formula>0</formula>
    </cfRule>
    <cfRule type="cellIs" dxfId="1" priority="4899" operator="greaterThan">
      <formula>0</formula>
    </cfRule>
    <cfRule type="cellIs" dxfId="0" priority="4898" operator="lessThan">
      <formula>0</formula>
    </cfRule>
    <cfRule type="cellIs" dxfId="1" priority="4897" operator="greaterThan">
      <formula>0</formula>
    </cfRule>
    <cfRule type="cellIs" dxfId="0" priority="4896" operator="lessThan">
      <formula>0</formula>
    </cfRule>
  </conditionalFormatting>
  <conditionalFormatting sqref="EC36">
    <cfRule type="cellIs" dxfId="0" priority="4805" operator="lessThan">
      <formula>0</formula>
    </cfRule>
    <cfRule type="cellIs" dxfId="0" priority="4804" operator="lessThan">
      <formula>-1</formula>
    </cfRule>
    <cfRule type="cellIs" dxfId="4" priority="4803" operator="lessThan">
      <formula>0</formula>
    </cfRule>
  </conditionalFormatting>
  <conditionalFormatting sqref="EE36:FJ36">
    <cfRule type="cellIs" dxfId="2" priority="3687" operator="greaterThan">
      <formula>0</formula>
    </cfRule>
    <cfRule type="cellIs" dxfId="3" priority="3686" operator="lessThan">
      <formula>0</formula>
    </cfRule>
  </conditionalFormatting>
  <conditionalFormatting sqref="FF36">
    <cfRule type="cellIs" dxfId="1" priority="3692" operator="greaterThan">
      <formula>0</formula>
    </cfRule>
    <cfRule type="cellIs" dxfId="0" priority="3691" operator="lessThan">
      <formula>0</formula>
    </cfRule>
  </conditionalFormatting>
  <conditionalFormatting sqref="FG36:FH36">
    <cfRule type="cellIs" dxfId="1" priority="3700" operator="greaterThan">
      <formula>0</formula>
    </cfRule>
    <cfRule type="cellIs" dxfId="0" priority="3699" operator="lessThan">
      <formula>0</formula>
    </cfRule>
  </conditionalFormatting>
  <conditionalFormatting sqref="FI36">
    <cfRule type="cellIs" dxfId="5" priority="3698" operator="greaterThan">
      <formula>1</formula>
    </cfRule>
    <cfRule type="cellIs" dxfId="6" priority="3697" operator="lessThan">
      <formula>0</formula>
    </cfRule>
    <cfRule type="cellIs" dxfId="1" priority="3696" operator="greaterThan">
      <formula>0</formula>
    </cfRule>
    <cfRule type="cellIs" dxfId="0" priority="3695" operator="lessThan">
      <formula>0</formula>
    </cfRule>
    <cfRule type="cellIs" dxfId="1" priority="3694" operator="greaterThan">
      <formula>0</formula>
    </cfRule>
    <cfRule type="cellIs" dxfId="0" priority="3693" operator="lessThan">
      <formula>0</formula>
    </cfRule>
  </conditionalFormatting>
  <conditionalFormatting sqref="FJ36">
    <cfRule type="cellIs" dxfId="0" priority="3690" operator="lessThan">
      <formula>0</formula>
    </cfRule>
    <cfRule type="cellIs" dxfId="0" priority="3689" operator="lessThan">
      <formula>-1</formula>
    </cfRule>
    <cfRule type="cellIs" dxfId="4" priority="3688" operator="lessThan">
      <formula>0</formula>
    </cfRule>
  </conditionalFormatting>
  <conditionalFormatting sqref="FZ36">
    <cfRule type="cellIs" dxfId="2" priority="2923" operator="greaterThan">
      <formula>0</formula>
    </cfRule>
    <cfRule type="cellIs" dxfId="3" priority="2922" operator="lessThan">
      <formula>0</formula>
    </cfRule>
  </conditionalFormatting>
  <conditionalFormatting sqref="GO36">
    <cfRule type="cellIs" dxfId="1" priority="3177" operator="greaterThan">
      <formula>0</formula>
    </cfRule>
    <cfRule type="cellIs" dxfId="0" priority="3176" operator="lessThan">
      <formula>0</formula>
    </cfRule>
  </conditionalFormatting>
  <conditionalFormatting sqref="GP36:GQ36">
    <cfRule type="cellIs" dxfId="1" priority="3185" operator="greaterThan">
      <formula>0</formula>
    </cfRule>
    <cfRule type="cellIs" dxfId="0" priority="3184" operator="lessThan">
      <formula>0</formula>
    </cfRule>
  </conditionalFormatting>
  <conditionalFormatting sqref="GR36">
    <cfRule type="cellIs" dxfId="5" priority="3183" operator="greaterThan">
      <formula>1</formula>
    </cfRule>
    <cfRule type="cellIs" dxfId="6" priority="3182" operator="lessThan">
      <formula>0</formula>
    </cfRule>
    <cfRule type="cellIs" dxfId="1" priority="3181" operator="greaterThan">
      <formula>0</formula>
    </cfRule>
    <cfRule type="cellIs" dxfId="0" priority="3180" operator="lessThan">
      <formula>0</formula>
    </cfRule>
    <cfRule type="cellIs" dxfId="1" priority="3179" operator="greaterThan">
      <formula>0</formula>
    </cfRule>
    <cfRule type="cellIs" dxfId="0" priority="3178" operator="lessThan">
      <formula>0</formula>
    </cfRule>
  </conditionalFormatting>
  <conditionalFormatting sqref="GS36">
    <cfRule type="cellIs" dxfId="0" priority="3175" operator="lessThan">
      <formula>0</formula>
    </cfRule>
    <cfRule type="cellIs" dxfId="0" priority="3174" operator="lessThan">
      <formula>-1</formula>
    </cfRule>
    <cfRule type="cellIs" dxfId="4" priority="3173" operator="lessThan">
      <formula>0</formula>
    </cfRule>
  </conditionalFormatting>
  <conditionalFormatting sqref="GV36:IA36">
    <cfRule type="cellIs" dxfId="2" priority="2628" operator="greaterThan">
      <formula>0</formula>
    </cfRule>
    <cfRule type="cellIs" dxfId="3" priority="2627" operator="lessThan">
      <formula>0</formula>
    </cfRule>
  </conditionalFormatting>
  <conditionalFormatting sqref="HW36">
    <cfRule type="cellIs" dxfId="1" priority="2633" operator="greaterThan">
      <formula>0</formula>
    </cfRule>
    <cfRule type="cellIs" dxfId="0" priority="2632" operator="lessThan">
      <formula>0</formula>
    </cfRule>
  </conditionalFormatting>
  <conditionalFormatting sqref="HX36:HY36">
    <cfRule type="cellIs" dxfId="1" priority="2641" operator="greaterThan">
      <formula>0</formula>
    </cfRule>
    <cfRule type="cellIs" dxfId="0" priority="2640" operator="lessThan">
      <formula>0</formula>
    </cfRule>
  </conditionalFormatting>
  <conditionalFormatting sqref="HZ36">
    <cfRule type="cellIs" dxfId="5" priority="2639" operator="greaterThan">
      <formula>1</formula>
    </cfRule>
    <cfRule type="cellIs" dxfId="6" priority="2638" operator="lessThan">
      <formula>0</formula>
    </cfRule>
    <cfRule type="cellIs" dxfId="1" priority="2637" operator="greaterThan">
      <formula>0</formula>
    </cfRule>
    <cfRule type="cellIs" dxfId="0" priority="2636" operator="lessThan">
      <formula>0</formula>
    </cfRule>
    <cfRule type="cellIs" dxfId="1" priority="2635" operator="greaterThan">
      <formula>0</formula>
    </cfRule>
    <cfRule type="cellIs" dxfId="0" priority="2634" operator="lessThan">
      <formula>0</formula>
    </cfRule>
  </conditionalFormatting>
  <conditionalFormatting sqref="IA36">
    <cfRule type="cellIs" dxfId="0" priority="2631" operator="lessThan">
      <formula>0</formula>
    </cfRule>
    <cfRule type="cellIs" dxfId="0" priority="2630" operator="lessThan">
      <formula>-1</formula>
    </cfRule>
    <cfRule type="cellIs" dxfId="4" priority="2629" operator="lessThan">
      <formula>0</formula>
    </cfRule>
  </conditionalFormatting>
  <conditionalFormatting sqref="IH36">
    <cfRule type="cellIs" dxfId="2" priority="1728" operator="greaterThan">
      <formula>0</formula>
    </cfRule>
    <cfRule type="cellIs" dxfId="3" priority="1727" operator="lessThan">
      <formula>0</formula>
    </cfRule>
  </conditionalFormatting>
  <conditionalFormatting sqref="IP36">
    <cfRule type="cellIs" dxfId="2" priority="1714" operator="greaterThan">
      <formula>0</formula>
    </cfRule>
    <cfRule type="cellIs" dxfId="3" priority="1713" operator="lessThan">
      <formula>0</formula>
    </cfRule>
  </conditionalFormatting>
  <conditionalFormatting sqref="JE36">
    <cfRule type="cellIs" dxfId="1" priority="1831" operator="greaterThan">
      <formula>0</formula>
    </cfRule>
    <cfRule type="cellIs" dxfId="0" priority="1830" operator="lessThan">
      <formula>0</formula>
    </cfRule>
  </conditionalFormatting>
  <conditionalFormatting sqref="JF36:JG36">
    <cfRule type="cellIs" dxfId="1" priority="1839" operator="greaterThan">
      <formula>0</formula>
    </cfRule>
    <cfRule type="cellIs" dxfId="0" priority="1838" operator="lessThan">
      <formula>0</formula>
    </cfRule>
  </conditionalFormatting>
  <conditionalFormatting sqref="JH36">
    <cfRule type="cellIs" dxfId="5" priority="1837" operator="greaterThan">
      <formula>1</formula>
    </cfRule>
    <cfRule type="cellIs" dxfId="6" priority="1836" operator="lessThan">
      <formula>0</formula>
    </cfRule>
    <cfRule type="cellIs" dxfId="1" priority="1835" operator="greaterThan">
      <formula>0</formula>
    </cfRule>
    <cfRule type="cellIs" dxfId="0" priority="1834" operator="lessThan">
      <formula>0</formula>
    </cfRule>
    <cfRule type="cellIs" dxfId="1" priority="1833" operator="greaterThan">
      <formula>0</formula>
    </cfRule>
    <cfRule type="cellIs" dxfId="0" priority="1832" operator="lessThan">
      <formula>0</formula>
    </cfRule>
  </conditionalFormatting>
  <conditionalFormatting sqref="JI36">
    <cfRule type="cellIs" dxfId="0" priority="1829" operator="lessThan">
      <formula>0</formula>
    </cfRule>
    <cfRule type="cellIs" dxfId="0" priority="1828" operator="lessThan">
      <formula>-1</formula>
    </cfRule>
    <cfRule type="cellIs" dxfId="4" priority="1827" operator="lessThan">
      <formula>0</formula>
    </cfRule>
  </conditionalFormatting>
  <conditionalFormatting sqref="JP36">
    <cfRule type="cellIs" dxfId="2" priority="1248" operator="greaterThan">
      <formula>0</formula>
    </cfRule>
    <cfRule type="cellIs" dxfId="3" priority="1247" operator="lessThan">
      <formula>0</formula>
    </cfRule>
  </conditionalFormatting>
  <conditionalFormatting sqref="JX36">
    <cfRule type="cellIs" dxfId="2" priority="1246" operator="greaterThan">
      <formula>0</formula>
    </cfRule>
    <cfRule type="cellIs" dxfId="3" priority="1245" operator="lessThan">
      <formula>0</formula>
    </cfRule>
  </conditionalFormatting>
  <conditionalFormatting sqref="KM36">
    <cfRule type="cellIs" dxfId="1" priority="1255" operator="greaterThan">
      <formula>0</formula>
    </cfRule>
    <cfRule type="cellIs" dxfId="0" priority="1254" operator="lessThan">
      <formula>0</formula>
    </cfRule>
  </conditionalFormatting>
  <conditionalFormatting sqref="KN36:KO36">
    <cfRule type="cellIs" dxfId="1" priority="1263" operator="greaterThan">
      <formula>0</formula>
    </cfRule>
    <cfRule type="cellIs" dxfId="0" priority="1262" operator="lessThan">
      <formula>0</formula>
    </cfRule>
  </conditionalFormatting>
  <conditionalFormatting sqref="KP36">
    <cfRule type="cellIs" dxfId="5" priority="1261" operator="greaterThan">
      <formula>1</formula>
    </cfRule>
    <cfRule type="cellIs" dxfId="6" priority="1260" operator="lessThan">
      <formula>0</formula>
    </cfRule>
    <cfRule type="cellIs" dxfId="1" priority="1259" operator="greaterThan">
      <formula>0</formula>
    </cfRule>
    <cfRule type="cellIs" dxfId="0" priority="1258" operator="lessThan">
      <formula>0</formula>
    </cfRule>
    <cfRule type="cellIs" dxfId="1" priority="1257" operator="greaterThan">
      <formula>0</formula>
    </cfRule>
    <cfRule type="cellIs" dxfId="0" priority="1256" operator="lessThan">
      <formula>0</formula>
    </cfRule>
  </conditionalFormatting>
  <conditionalFormatting sqref="KQ36">
    <cfRule type="cellIs" dxfId="0" priority="1253" operator="lessThan">
      <formula>0</formula>
    </cfRule>
    <cfRule type="cellIs" dxfId="0" priority="1252" operator="lessThan">
      <formula>-1</formula>
    </cfRule>
    <cfRule type="cellIs" dxfId="4" priority="1251" operator="lessThan">
      <formula>0</formula>
    </cfRule>
  </conditionalFormatting>
  <conditionalFormatting sqref="LU36:LW36">
    <cfRule type="cellIs" dxfId="0" priority="9816" operator="lessThan">
      <formula>0</formula>
    </cfRule>
    <cfRule type="cellIs" dxfId="1" priority="9817" operator="greaterThan">
      <formula>0</formula>
    </cfRule>
  </conditionalFormatting>
  <conditionalFormatting sqref="LX36">
    <cfRule type="cellIs" dxfId="0" priority="9706" operator="lessThan">
      <formula>0</formula>
    </cfRule>
    <cfRule type="cellIs" dxfId="1" priority="9707" operator="greaterThan">
      <formula>0</formula>
    </cfRule>
    <cfRule type="cellIs" dxfId="0" priority="9708" operator="lessThan">
      <formula>0</formula>
    </cfRule>
    <cfRule type="cellIs" dxfId="1" priority="9709" operator="greaterThan">
      <formula>0</formula>
    </cfRule>
    <cfRule type="cellIs" dxfId="6" priority="9710" operator="lessThan">
      <formula>0</formula>
    </cfRule>
    <cfRule type="cellIs" dxfId="5" priority="9711" operator="greaterThan">
      <formula>1</formula>
    </cfRule>
  </conditionalFormatting>
  <conditionalFormatting sqref="LY36">
    <cfRule type="cellIs" dxfId="4" priority="9712" operator="lessThan">
      <formula>0</formula>
    </cfRule>
    <cfRule type="cellIs" dxfId="0" priority="9713" operator="lessThan">
      <formula>-1</formula>
    </cfRule>
    <cfRule type="cellIs" dxfId="0" priority="9714" operator="lessThan">
      <formula>0</formula>
    </cfRule>
  </conditionalFormatting>
  <conditionalFormatting sqref="NB36:NE36">
    <cfRule type="cellIs" dxfId="0" priority="10223" operator="lessThan">
      <formula>0</formula>
    </cfRule>
    <cfRule type="cellIs" dxfId="1" priority="10224" operator="greaterThan">
      <formula>0</formula>
    </cfRule>
  </conditionalFormatting>
  <conditionalFormatting sqref="NF36">
    <cfRule type="cellIs" dxfId="0" priority="10113" operator="lessThan">
      <formula>0</formula>
    </cfRule>
    <cfRule type="cellIs" dxfId="1" priority="10114" operator="greaterThan">
      <formula>0</formula>
    </cfRule>
    <cfRule type="cellIs" dxfId="0" priority="10115" operator="lessThan">
      <formula>0</formula>
    </cfRule>
    <cfRule type="cellIs" dxfId="1" priority="10116" operator="greaterThan">
      <formula>0</formula>
    </cfRule>
    <cfRule type="cellIs" dxfId="6" priority="10117" operator="lessThan">
      <formula>0</formula>
    </cfRule>
    <cfRule type="cellIs" dxfId="5" priority="10118" operator="greaterThan">
      <formula>1</formula>
    </cfRule>
  </conditionalFormatting>
  <conditionalFormatting sqref="NG36">
    <cfRule type="cellIs" dxfId="4" priority="10119" operator="lessThan">
      <formula>0</formula>
    </cfRule>
    <cfRule type="cellIs" dxfId="0" priority="10120" operator="lessThan">
      <formula>-1</formula>
    </cfRule>
    <cfRule type="cellIs" dxfId="0" priority="10121" operator="lessThan">
      <formula>0</formula>
    </cfRule>
  </conditionalFormatting>
  <conditionalFormatting sqref="QQ38">
    <cfRule type="cellIs" dxfId="4" priority="11148" operator="lessThan">
      <formula>0</formula>
    </cfRule>
  </conditionalFormatting>
  <conditionalFormatting sqref="RM38">
    <cfRule type="cellIs" dxfId="4" priority="11159" operator="lessThan">
      <formula>0</formula>
    </cfRule>
  </conditionalFormatting>
  <conditionalFormatting sqref="SI39">
    <cfRule type="cellIs" dxfId="4" priority="11181" operator="lessThan">
      <formula>0</formula>
    </cfRule>
  </conditionalFormatting>
  <conditionalFormatting sqref="TE39">
    <cfRule type="cellIs" dxfId="4" priority="11180" operator="lessThan">
      <formula>0</formula>
    </cfRule>
  </conditionalFormatting>
  <conditionalFormatting sqref="TZ39">
    <cfRule type="cellIs" dxfId="4" priority="11179" operator="lessThan">
      <formula>0</formula>
    </cfRule>
  </conditionalFormatting>
  <conditionalFormatting sqref="UV39">
    <cfRule type="cellIs" dxfId="4" priority="11178" operator="lessThan">
      <formula>0</formula>
    </cfRule>
  </conditionalFormatting>
  <conditionalFormatting sqref="VR39">
    <cfRule type="cellIs" dxfId="4" priority="11177" operator="lessThan">
      <formula>0</formula>
    </cfRule>
  </conditionalFormatting>
  <conditionalFormatting sqref="QP42">
    <cfRule type="cellIs" dxfId="0" priority="11126" operator="lessThan">
      <formula>-1</formula>
    </cfRule>
    <cfRule type="cellIs" dxfId="0" priority="11127" operator="lessThan">
      <formula>0</formula>
    </cfRule>
    <cfRule type="cellIs" dxfId="4" priority="11128" operator="lessThan">
      <formula>0</formula>
    </cfRule>
  </conditionalFormatting>
  <conditionalFormatting sqref="RL42">
    <cfRule type="cellIs" dxfId="0" priority="11138" operator="lessThan">
      <formula>-1</formula>
    </cfRule>
    <cfRule type="cellIs" dxfId="0" priority="11139" operator="lessThan">
      <formula>0</formula>
    </cfRule>
    <cfRule type="cellIs" dxfId="4" priority="11140" operator="lessThan">
      <formula>0</formula>
    </cfRule>
  </conditionalFormatting>
  <conditionalFormatting sqref="SH42">
    <cfRule type="cellIs" dxfId="0" priority="11117" operator="lessThan">
      <formula>-1</formula>
    </cfRule>
    <cfRule type="cellIs" dxfId="0" priority="11118" operator="lessThan">
      <formula>0</formula>
    </cfRule>
    <cfRule type="cellIs" dxfId="4" priority="11119" operator="lessThan">
      <formula>0</formula>
    </cfRule>
  </conditionalFormatting>
  <conditionalFormatting sqref="TD42">
    <cfRule type="cellIs" dxfId="0" priority="11111" operator="lessThan">
      <formula>-1</formula>
    </cfRule>
    <cfRule type="cellIs" dxfId="0" priority="11112" operator="lessThan">
      <formula>0</formula>
    </cfRule>
    <cfRule type="cellIs" dxfId="4" priority="11113" operator="lessThan">
      <formula>0</formula>
    </cfRule>
  </conditionalFormatting>
  <conditionalFormatting sqref="TY42">
    <cfRule type="cellIs" dxfId="0" priority="11105" operator="lessThan">
      <formula>-1</formula>
    </cfRule>
    <cfRule type="cellIs" dxfId="0" priority="11106" operator="lessThan">
      <formula>0</formula>
    </cfRule>
    <cfRule type="cellIs" dxfId="4" priority="11107" operator="lessThan">
      <formula>0</formula>
    </cfRule>
  </conditionalFormatting>
  <conditionalFormatting sqref="UU42">
    <cfRule type="cellIs" dxfId="0" priority="11099" operator="lessThan">
      <formula>-1</formula>
    </cfRule>
    <cfRule type="cellIs" dxfId="0" priority="11100" operator="lessThan">
      <formula>0</formula>
    </cfRule>
    <cfRule type="cellIs" dxfId="4" priority="11101" operator="lessThan">
      <formula>0</formula>
    </cfRule>
  </conditionalFormatting>
  <conditionalFormatting sqref="VQ42">
    <cfRule type="cellIs" dxfId="0" priority="11093" operator="lessThan">
      <formula>-1</formula>
    </cfRule>
    <cfRule type="cellIs" dxfId="0" priority="11094" operator="lessThan">
      <formula>0</formula>
    </cfRule>
    <cfRule type="cellIs" dxfId="4" priority="11095" operator="lessThan">
      <formula>0</formula>
    </cfRule>
  </conditionalFormatting>
  <conditionalFormatting sqref="QP45">
    <cfRule type="cellIs" dxfId="0" priority="10931" operator="lessThan">
      <formula>0</formula>
    </cfRule>
    <cfRule type="cellIs" dxfId="1" priority="10932" operator="greaterThan">
      <formula>0</formula>
    </cfRule>
    <cfRule type="cellIs" dxfId="0" priority="10933" operator="lessThan">
      <formula>0</formula>
    </cfRule>
    <cfRule type="cellIs" dxfId="1" priority="10934" operator="greaterThan">
      <formula>0</formula>
    </cfRule>
    <cfRule type="cellIs" dxfId="6" priority="10935" operator="lessThan">
      <formula>0</formula>
    </cfRule>
    <cfRule type="cellIs" dxfId="5" priority="10936" operator="greaterThan">
      <formula>1</formula>
    </cfRule>
  </conditionalFormatting>
  <conditionalFormatting sqref="RL45">
    <cfRule type="cellIs" dxfId="0" priority="10925" operator="lessThan">
      <formula>0</formula>
    </cfRule>
    <cfRule type="cellIs" dxfId="1" priority="10926" operator="greaterThan">
      <formula>0</formula>
    </cfRule>
    <cfRule type="cellIs" dxfId="0" priority="10927" operator="lessThan">
      <formula>0</formula>
    </cfRule>
    <cfRule type="cellIs" dxfId="1" priority="10928" operator="greaterThan">
      <formula>0</formula>
    </cfRule>
    <cfRule type="cellIs" dxfId="6" priority="10929" operator="lessThan">
      <formula>0</formula>
    </cfRule>
    <cfRule type="cellIs" dxfId="5" priority="10930" operator="greaterThan">
      <formula>1</formula>
    </cfRule>
  </conditionalFormatting>
  <conditionalFormatting sqref="SH45">
    <cfRule type="cellIs" dxfId="0" priority="10859" operator="lessThan">
      <formula>0</formula>
    </cfRule>
    <cfRule type="cellIs" dxfId="1" priority="10860" operator="greaterThan">
      <formula>0</formula>
    </cfRule>
    <cfRule type="cellIs" dxfId="0" priority="10861" operator="lessThan">
      <formula>0</formula>
    </cfRule>
    <cfRule type="cellIs" dxfId="1" priority="10862" operator="greaterThan">
      <formula>0</formula>
    </cfRule>
    <cfRule type="cellIs" dxfId="6" priority="10863" operator="lessThan">
      <formula>0</formula>
    </cfRule>
    <cfRule type="cellIs" dxfId="5" priority="10864" operator="greaterThan">
      <formula>1</formula>
    </cfRule>
  </conditionalFormatting>
  <conditionalFormatting sqref="TD45">
    <cfRule type="cellIs" dxfId="0" priority="10919" operator="lessThan">
      <formula>0</formula>
    </cfRule>
    <cfRule type="cellIs" dxfId="1" priority="10920" operator="greaterThan">
      <formula>0</formula>
    </cfRule>
    <cfRule type="cellIs" dxfId="0" priority="10921" operator="lessThan">
      <formula>0</formula>
    </cfRule>
    <cfRule type="cellIs" dxfId="1" priority="10922" operator="greaterThan">
      <formula>0</formula>
    </cfRule>
    <cfRule type="cellIs" dxfId="6" priority="10923" operator="lessThan">
      <formula>0</formula>
    </cfRule>
    <cfRule type="cellIs" dxfId="5" priority="10924" operator="greaterThan">
      <formula>1</formula>
    </cfRule>
  </conditionalFormatting>
  <conditionalFormatting sqref="TY45">
    <cfRule type="cellIs" dxfId="0" priority="10901" operator="lessThan">
      <formula>0</formula>
    </cfRule>
    <cfRule type="cellIs" dxfId="1" priority="10902" operator="greaterThan">
      <formula>0</formula>
    </cfRule>
    <cfRule type="cellIs" dxfId="0" priority="10903" operator="lessThan">
      <formula>0</formula>
    </cfRule>
    <cfRule type="cellIs" dxfId="1" priority="10904" operator="greaterThan">
      <formula>0</formula>
    </cfRule>
    <cfRule type="cellIs" dxfId="6" priority="10905" operator="lessThan">
      <formula>0</formula>
    </cfRule>
    <cfRule type="cellIs" dxfId="5" priority="10906" operator="greaterThan">
      <formula>1</formula>
    </cfRule>
  </conditionalFormatting>
  <conditionalFormatting sqref="UU45">
    <cfRule type="cellIs" dxfId="0" priority="10913" operator="lessThan">
      <formula>0</formula>
    </cfRule>
    <cfRule type="cellIs" dxfId="1" priority="10914" operator="greaterThan">
      <formula>0</formula>
    </cfRule>
    <cfRule type="cellIs" dxfId="0" priority="10915" operator="lessThan">
      <formula>0</formula>
    </cfRule>
    <cfRule type="cellIs" dxfId="1" priority="10916" operator="greaterThan">
      <formula>0</formula>
    </cfRule>
    <cfRule type="cellIs" dxfId="6" priority="10917" operator="lessThan">
      <formula>0</formula>
    </cfRule>
    <cfRule type="cellIs" dxfId="5" priority="10918" operator="greaterThan">
      <formula>1</formula>
    </cfRule>
  </conditionalFormatting>
  <conditionalFormatting sqref="VQ45">
    <cfRule type="cellIs" dxfId="0" priority="10907" operator="lessThan">
      <formula>0</formula>
    </cfRule>
    <cfRule type="cellIs" dxfId="1" priority="10908" operator="greaterThan">
      <formula>0</formula>
    </cfRule>
    <cfRule type="cellIs" dxfId="0" priority="10909" operator="lessThan">
      <formula>0</formula>
    </cfRule>
    <cfRule type="cellIs" dxfId="1" priority="10910" operator="greaterThan">
      <formula>0</formula>
    </cfRule>
    <cfRule type="cellIs" dxfId="6" priority="10911" operator="lessThan">
      <formula>0</formula>
    </cfRule>
    <cfRule type="cellIs" dxfId="5" priority="10912" operator="greaterThan">
      <formula>1</formula>
    </cfRule>
  </conditionalFormatting>
  <conditionalFormatting sqref="QP47">
    <cfRule type="cellIs" dxfId="0" priority="11087" operator="lessThan">
      <formula>0</formula>
    </cfRule>
    <cfRule type="cellIs" dxfId="1" priority="11088" operator="greaterThan">
      <formula>0</formula>
    </cfRule>
    <cfRule type="cellIs" dxfId="0" priority="11089" operator="lessThan">
      <formula>0</formula>
    </cfRule>
    <cfRule type="cellIs" dxfId="1" priority="11090" operator="greaterThan">
      <formula>0</formula>
    </cfRule>
    <cfRule type="cellIs" dxfId="6" priority="11091" operator="lessThan">
      <formula>0</formula>
    </cfRule>
    <cfRule type="cellIs" dxfId="5" priority="11092" operator="greaterThan">
      <formula>1</formula>
    </cfRule>
  </conditionalFormatting>
  <conditionalFormatting sqref="RL47">
    <cfRule type="cellIs" dxfId="0" priority="10992" operator="lessThan">
      <formula>0</formula>
    </cfRule>
    <cfRule type="cellIs" dxfId="1" priority="10993" operator="greaterThan">
      <formula>0</formula>
    </cfRule>
    <cfRule type="cellIs" dxfId="0" priority="10994" operator="lessThan">
      <formula>0</formula>
    </cfRule>
    <cfRule type="cellIs" dxfId="1" priority="10995" operator="greaterThan">
      <formula>0</formula>
    </cfRule>
    <cfRule type="cellIs" dxfId="6" priority="10996" operator="lessThan">
      <formula>0</formula>
    </cfRule>
    <cfRule type="cellIs" dxfId="5" priority="10997" operator="greaterThan">
      <formula>1</formula>
    </cfRule>
  </conditionalFormatting>
  <conditionalFormatting sqref="RM47">
    <cfRule type="cellIs" dxfId="0" priority="10998" operator="lessThan">
      <formula>-1</formula>
    </cfRule>
    <cfRule type="cellIs" dxfId="0" priority="10999" operator="lessThan">
      <formula>0</formula>
    </cfRule>
    <cfRule type="cellIs" dxfId="4" priority="11002" operator="lessThan">
      <formula>0</formula>
    </cfRule>
  </conditionalFormatting>
  <conditionalFormatting sqref="SH47">
    <cfRule type="cellIs" dxfId="0" priority="10981" operator="lessThan">
      <formula>0</formula>
    </cfRule>
    <cfRule type="cellIs" dxfId="1" priority="10982" operator="greaterThan">
      <formula>0</formula>
    </cfRule>
    <cfRule type="cellIs" dxfId="0" priority="10983" operator="lessThan">
      <formula>0</formula>
    </cfRule>
    <cfRule type="cellIs" dxfId="1" priority="10984" operator="greaterThan">
      <formula>0</formula>
    </cfRule>
    <cfRule type="cellIs" dxfId="6" priority="10985" operator="lessThan">
      <formula>0</formula>
    </cfRule>
    <cfRule type="cellIs" dxfId="5" priority="10986" operator="greaterThan">
      <formula>1</formula>
    </cfRule>
  </conditionalFormatting>
  <conditionalFormatting sqref="SI47">
    <cfRule type="cellIs" dxfId="0" priority="10987" operator="lessThan">
      <formula>-1</formula>
    </cfRule>
    <cfRule type="cellIs" dxfId="0" priority="10988" operator="lessThan">
      <formula>0</formula>
    </cfRule>
    <cfRule type="cellIs" dxfId="4" priority="10991" operator="lessThan">
      <formula>0</formula>
    </cfRule>
  </conditionalFormatting>
  <conditionalFormatting sqref="TD47">
    <cfRule type="cellIs" dxfId="0" priority="10970" operator="lessThan">
      <formula>0</formula>
    </cfRule>
    <cfRule type="cellIs" dxfId="1" priority="10971" operator="greaterThan">
      <formula>0</formula>
    </cfRule>
    <cfRule type="cellIs" dxfId="0" priority="10972" operator="lessThan">
      <formula>0</formula>
    </cfRule>
    <cfRule type="cellIs" dxfId="1" priority="10973" operator="greaterThan">
      <formula>0</formula>
    </cfRule>
    <cfRule type="cellIs" dxfId="6" priority="10974" operator="lessThan">
      <formula>0</formula>
    </cfRule>
    <cfRule type="cellIs" dxfId="5" priority="10975" operator="greaterThan">
      <formula>1</formula>
    </cfRule>
  </conditionalFormatting>
  <conditionalFormatting sqref="TE47">
    <cfRule type="cellIs" dxfId="0" priority="10976" operator="lessThan">
      <formula>-1</formula>
    </cfRule>
    <cfRule type="cellIs" dxfId="0" priority="10977" operator="lessThan">
      <formula>0</formula>
    </cfRule>
    <cfRule type="cellIs" dxfId="4" priority="10980" operator="lessThan">
      <formula>0</formula>
    </cfRule>
  </conditionalFormatting>
  <conditionalFormatting sqref="TY47">
    <cfRule type="cellIs" dxfId="0" priority="10959" operator="lessThan">
      <formula>0</formula>
    </cfRule>
    <cfRule type="cellIs" dxfId="1" priority="10960" operator="greaterThan">
      <formula>0</formula>
    </cfRule>
    <cfRule type="cellIs" dxfId="0" priority="10961" operator="lessThan">
      <formula>0</formula>
    </cfRule>
    <cfRule type="cellIs" dxfId="1" priority="10962" operator="greaterThan">
      <formula>0</formula>
    </cfRule>
    <cfRule type="cellIs" dxfId="6" priority="10963" operator="lessThan">
      <formula>0</formula>
    </cfRule>
    <cfRule type="cellIs" dxfId="5" priority="10964" operator="greaterThan">
      <formula>1</formula>
    </cfRule>
  </conditionalFormatting>
  <conditionalFormatting sqref="TZ47">
    <cfRule type="cellIs" dxfId="0" priority="10965" operator="lessThan">
      <formula>-1</formula>
    </cfRule>
    <cfRule type="cellIs" dxfId="0" priority="10966" operator="lessThan">
      <formula>0</formula>
    </cfRule>
    <cfRule type="cellIs" dxfId="4" priority="10969" operator="lessThan">
      <formula>0</formula>
    </cfRule>
  </conditionalFormatting>
  <conditionalFormatting sqref="UU47">
    <cfRule type="cellIs" dxfId="0" priority="10948" operator="lessThan">
      <formula>0</formula>
    </cfRule>
    <cfRule type="cellIs" dxfId="1" priority="10949" operator="greaterThan">
      <formula>0</formula>
    </cfRule>
    <cfRule type="cellIs" dxfId="0" priority="10950" operator="lessThan">
      <formula>0</formula>
    </cfRule>
    <cfRule type="cellIs" dxfId="1" priority="10951" operator="greaterThan">
      <formula>0</formula>
    </cfRule>
    <cfRule type="cellIs" dxfId="6" priority="10952" operator="lessThan">
      <formula>0</formula>
    </cfRule>
    <cfRule type="cellIs" dxfId="5" priority="10953" operator="greaterThan">
      <formula>1</formula>
    </cfRule>
  </conditionalFormatting>
  <conditionalFormatting sqref="UV47">
    <cfRule type="cellIs" dxfId="0" priority="10954" operator="lessThan">
      <formula>-1</formula>
    </cfRule>
    <cfRule type="cellIs" dxfId="0" priority="10955" operator="lessThan">
      <formula>0</formula>
    </cfRule>
    <cfRule type="cellIs" dxfId="4" priority="10958" operator="lessThan">
      <formula>0</formula>
    </cfRule>
  </conditionalFormatting>
  <conditionalFormatting sqref="VQ47">
    <cfRule type="cellIs" dxfId="0" priority="10937" operator="lessThan">
      <formula>0</formula>
    </cfRule>
    <cfRule type="cellIs" dxfId="1" priority="10938" operator="greaterThan">
      <formula>0</formula>
    </cfRule>
    <cfRule type="cellIs" dxfId="0" priority="10939" operator="lessThan">
      <formula>0</formula>
    </cfRule>
    <cfRule type="cellIs" dxfId="1" priority="10940" operator="greaterThan">
      <formula>0</formula>
    </cfRule>
    <cfRule type="cellIs" dxfId="6" priority="10941" operator="lessThan">
      <formula>0</formula>
    </cfRule>
    <cfRule type="cellIs" dxfId="5" priority="10942" operator="greaterThan">
      <formula>1</formula>
    </cfRule>
  </conditionalFormatting>
  <conditionalFormatting sqref="VR47">
    <cfRule type="cellIs" dxfId="0" priority="10943" operator="lessThan">
      <formula>-1</formula>
    </cfRule>
    <cfRule type="cellIs" dxfId="0" priority="10944" operator="lessThan">
      <formula>0</formula>
    </cfRule>
    <cfRule type="cellIs" dxfId="4" priority="10947" operator="lessThan">
      <formula>0</formula>
    </cfRule>
  </conditionalFormatting>
  <conditionalFormatting sqref="C49">
    <cfRule type="cellIs" dxfId="1" priority="6484" operator="greaterThan">
      <formula>0</formula>
    </cfRule>
    <cfRule type="cellIs" dxfId="0" priority="6483" operator="lessThan">
      <formula>0</formula>
    </cfRule>
  </conditionalFormatting>
  <conditionalFormatting sqref="AJ49">
    <cfRule type="cellIs" dxfId="1" priority="6085" operator="greaterThan">
      <formula>0</formula>
    </cfRule>
    <cfRule type="cellIs" dxfId="0" priority="6084" operator="lessThan">
      <formula>0</formula>
    </cfRule>
  </conditionalFormatting>
  <conditionalFormatting sqref="BQ49">
    <cfRule type="cellIs" dxfId="1" priority="5352" operator="greaterThan">
      <formula>0</formula>
    </cfRule>
    <cfRule type="cellIs" dxfId="0" priority="5351" operator="lessThan">
      <formula>0</formula>
    </cfRule>
  </conditionalFormatting>
  <conditionalFormatting sqref="CX49">
    <cfRule type="cellIs" dxfId="1" priority="4963" operator="greaterThan">
      <formula>0</formula>
    </cfRule>
    <cfRule type="cellIs" dxfId="0" priority="4962" operator="lessThan">
      <formula>0</formula>
    </cfRule>
  </conditionalFormatting>
  <conditionalFormatting sqref="EE49">
    <cfRule type="cellIs" dxfId="1" priority="4569" operator="greaterThan">
      <formula>0</formula>
    </cfRule>
    <cfRule type="cellIs" dxfId="0" priority="4568" operator="lessThan">
      <formula>0</formula>
    </cfRule>
  </conditionalFormatting>
  <conditionalFormatting sqref="FN49">
    <cfRule type="cellIs" dxfId="1" priority="4547" operator="greaterThan">
      <formula>0</formula>
    </cfRule>
    <cfRule type="cellIs" dxfId="0" priority="4546" operator="lessThan">
      <formula>0</formula>
    </cfRule>
  </conditionalFormatting>
  <conditionalFormatting sqref="GV49">
    <cfRule type="cellIs" dxfId="0" priority="4447" operator="lessThan">
      <formula>0</formula>
    </cfRule>
    <cfRule type="cellIs" dxfId="1" priority="4448" operator="greaterThan">
      <formula>0</formula>
    </cfRule>
  </conditionalFormatting>
  <conditionalFormatting sqref="ID49">
    <cfRule type="cellIs" dxfId="1" priority="1650" operator="greaterThan">
      <formula>0</formula>
    </cfRule>
    <cfRule type="cellIs" dxfId="0" priority="1649" operator="lessThan">
      <formula>0</formula>
    </cfRule>
  </conditionalFormatting>
  <conditionalFormatting sqref="JL49">
    <cfRule type="cellIs" dxfId="1" priority="1070" operator="greaterThan">
      <formula>0</formula>
    </cfRule>
    <cfRule type="cellIs" dxfId="0" priority="1069" operator="lessThan">
      <formula>0</formula>
    </cfRule>
  </conditionalFormatting>
  <conditionalFormatting sqref="KT49">
    <cfRule type="cellIs" dxfId="1" priority="455" operator="greaterThan">
      <formula>0</formula>
    </cfRule>
    <cfRule type="cellIs" dxfId="0" priority="454" operator="lessThan">
      <formula>0</formula>
    </cfRule>
  </conditionalFormatting>
  <conditionalFormatting sqref="MB49">
    <cfRule type="cellIs" dxfId="1" priority="453" operator="greaterThan">
      <formula>0</formula>
    </cfRule>
    <cfRule type="cellIs" dxfId="0" priority="451" operator="lessThan">
      <formula>0</formula>
    </cfRule>
  </conditionalFormatting>
  <conditionalFormatting sqref="NJ49">
    <cfRule type="cellIs" dxfId="1" priority="335" operator="greaterThan">
      <formula>0</formula>
    </cfRule>
    <cfRule type="cellIs" dxfId="0" priority="333" operator="lessThan">
      <formula>0</formula>
    </cfRule>
  </conditionalFormatting>
  <conditionalFormatting sqref="OS49">
    <cfRule type="cellIs" dxfId="0" priority="10558" operator="lessThan">
      <formula>0</formula>
    </cfRule>
    <cfRule type="cellIs" dxfId="1" priority="10559" operator="greaterThan">
      <formula>0</formula>
    </cfRule>
  </conditionalFormatting>
  <conditionalFormatting sqref="PU49">
    <cfRule type="cellIs" dxfId="0" priority="10371" operator="lessThan">
      <formula>0</formula>
    </cfRule>
    <cfRule type="cellIs" dxfId="1" priority="10372" operator="greaterThan">
      <formula>0</formula>
    </cfRule>
  </conditionalFormatting>
  <conditionalFormatting sqref="RL49">
    <cfRule type="cellIs" dxfId="0" priority="10574" operator="lessThan">
      <formula>0</formula>
    </cfRule>
    <cfRule type="cellIs" dxfId="1" priority="10575" operator="greaterThan">
      <formula>0</formula>
    </cfRule>
    <cfRule type="cellIs" dxfId="6" priority="10576" operator="lessThan">
      <formula>0</formula>
    </cfRule>
    <cfRule type="cellIs" dxfId="5" priority="10577" operator="greaterThan">
      <formula>1</formula>
    </cfRule>
  </conditionalFormatting>
  <conditionalFormatting sqref="RM49">
    <cfRule type="cellIs" dxfId="0" priority="10560" operator="lessThan">
      <formula>-1</formula>
    </cfRule>
    <cfRule type="cellIs" dxfId="0" priority="10561" operator="lessThan">
      <formula>0</formula>
    </cfRule>
  </conditionalFormatting>
  <conditionalFormatting sqref="SI49">
    <cfRule type="cellIs" dxfId="0" priority="10562" operator="lessThan">
      <formula>0</formula>
    </cfRule>
  </conditionalFormatting>
  <conditionalFormatting sqref="TE49">
    <cfRule type="cellIs" dxfId="0" priority="10563" operator="lessThan">
      <formula>0</formula>
    </cfRule>
    <cfRule type="cellIs" dxfId="4" priority="10578" operator="lessThan">
      <formula>0</formula>
    </cfRule>
  </conditionalFormatting>
  <conditionalFormatting sqref="TZ49">
    <cfRule type="cellIs" dxfId="0" priority="10564" operator="lessThan">
      <formula>0</formula>
    </cfRule>
  </conditionalFormatting>
  <conditionalFormatting sqref="UV49">
    <cfRule type="cellIs" dxfId="0" priority="10565" operator="lessThan">
      <formula>0</formula>
    </cfRule>
  </conditionalFormatting>
  <conditionalFormatting sqref="VR49">
    <cfRule type="cellIs" dxfId="0" priority="10566" operator="lessThan">
      <formula>0</formula>
    </cfRule>
    <cfRule type="cellIs" dxfId="0" priority="10567" operator="lessThan">
      <formula>-100</formula>
    </cfRule>
  </conditionalFormatting>
  <conditionalFormatting sqref="L50:M50">
    <cfRule type="cellIs" dxfId="1" priority="6504" operator="greaterThan">
      <formula>0</formula>
    </cfRule>
    <cfRule type="cellIs" dxfId="0" priority="6503" operator="lessThan">
      <formula>0</formula>
    </cfRule>
  </conditionalFormatting>
  <conditionalFormatting sqref="AS50:AT50">
    <cfRule type="cellIs" dxfId="1" priority="6105" operator="greaterThan">
      <formula>0</formula>
    </cfRule>
    <cfRule type="cellIs" dxfId="0" priority="6104" operator="lessThan">
      <formula>0</formula>
    </cfRule>
  </conditionalFormatting>
  <conditionalFormatting sqref="BZ50:CA50">
    <cfRule type="cellIs" dxfId="1" priority="5372" operator="greaterThan">
      <formula>0</formula>
    </cfRule>
    <cfRule type="cellIs" dxfId="0" priority="5371" operator="lessThan">
      <formula>0</formula>
    </cfRule>
  </conditionalFormatting>
  <conditionalFormatting sqref="DG50:DH50">
    <cfRule type="cellIs" dxfId="1" priority="4983" operator="greaterThan">
      <formula>0</formula>
    </cfRule>
    <cfRule type="cellIs" dxfId="0" priority="4982" operator="lessThan">
      <formula>0</formula>
    </cfRule>
  </conditionalFormatting>
  <conditionalFormatting sqref="EN50:EO50">
    <cfRule type="cellIs" dxfId="1" priority="4551" operator="greaterThan">
      <formula>0</formula>
    </cfRule>
    <cfRule type="cellIs" dxfId="0" priority="4549" operator="lessThan">
      <formula>0</formula>
    </cfRule>
  </conditionalFormatting>
  <conditionalFormatting sqref="ER50:ET50">
    <cfRule type="cellIs" dxfId="0" priority="7623" operator="lessThan">
      <formula>0</formula>
    </cfRule>
    <cfRule type="cellIs" dxfId="1" priority="7624" operator="greaterThan">
      <formula>0</formula>
    </cfRule>
  </conditionalFormatting>
  <conditionalFormatting sqref="FN50:FX50">
    <cfRule type="cellIs" dxfId="1" priority="4543" operator="greaterThan">
      <formula>0</formula>
    </cfRule>
    <cfRule type="cellIs" dxfId="0" priority="4542" operator="lessThan">
      <formula>0</formula>
    </cfRule>
  </conditionalFormatting>
  <conditionalFormatting sqref="GA50:GC50">
    <cfRule type="cellIs" dxfId="0" priority="8273" operator="lessThan">
      <formula>0</formula>
    </cfRule>
    <cfRule type="cellIs" dxfId="1" priority="8274" operator="greaterThan">
      <formula>0</formula>
    </cfRule>
  </conditionalFormatting>
  <conditionalFormatting sqref="GV50:HF50">
    <cfRule type="cellIs" dxfId="0" priority="4449" operator="lessThan">
      <formula>0</formula>
    </cfRule>
    <cfRule type="cellIs" dxfId="1" priority="4450" operator="greaterThan">
      <formula>0</formula>
    </cfRule>
  </conditionalFormatting>
  <conditionalFormatting sqref="HI50:HK50">
    <cfRule type="cellIs" dxfId="0" priority="8603" operator="lessThan">
      <formula>0</formula>
    </cfRule>
    <cfRule type="cellIs" dxfId="1" priority="8604" operator="greaterThan">
      <formula>0</formula>
    </cfRule>
  </conditionalFormatting>
  <conditionalFormatting sqref="ID50:IN50">
    <cfRule type="cellIs" dxfId="1" priority="1706" operator="greaterThan">
      <formula>0</formula>
    </cfRule>
    <cfRule type="cellIs" dxfId="0" priority="1705" operator="lessThan">
      <formula>0</formula>
    </cfRule>
  </conditionalFormatting>
  <conditionalFormatting sqref="IQ50:IS50">
    <cfRule type="cellIs" dxfId="0" priority="9020" operator="lessThan">
      <formula>0</formula>
    </cfRule>
    <cfRule type="cellIs" dxfId="1" priority="9021" operator="greaterThan">
      <formula>0</formula>
    </cfRule>
  </conditionalFormatting>
  <conditionalFormatting sqref="JL50:JU50">
    <cfRule type="cellIs" dxfId="1" priority="1048" operator="greaterThan">
      <formula>0</formula>
    </cfRule>
    <cfRule type="cellIs" dxfId="0" priority="1047" operator="lessThan">
      <formula>0</formula>
    </cfRule>
  </conditionalFormatting>
  <conditionalFormatting sqref="JX50:KA50">
    <cfRule type="cellIs" dxfId="0" priority="9422" operator="lessThan">
      <formula>0</formula>
    </cfRule>
    <cfRule type="cellIs" dxfId="1" priority="9423" operator="greaterThan">
      <formula>0</formula>
    </cfRule>
  </conditionalFormatting>
  <conditionalFormatting sqref="KT50:LC50">
    <cfRule type="cellIs" dxfId="1" priority="476" operator="greaterThan">
      <formula>0</formula>
    </cfRule>
    <cfRule type="cellIs" dxfId="0" priority="475" operator="lessThan">
      <formula>0</formula>
    </cfRule>
  </conditionalFormatting>
  <conditionalFormatting sqref="LG50:LI50">
    <cfRule type="cellIs" dxfId="0" priority="9800" operator="lessThan">
      <formula>0</formula>
    </cfRule>
    <cfRule type="cellIs" dxfId="1" priority="9801" operator="greaterThan">
      <formula>0</formula>
    </cfRule>
  </conditionalFormatting>
  <conditionalFormatting sqref="MB50:MK50">
    <cfRule type="cellIs" dxfId="1" priority="445" operator="greaterThan">
      <formula>0</formula>
    </cfRule>
    <cfRule type="cellIs" dxfId="0" priority="444" operator="lessThan">
      <formula>0</formula>
    </cfRule>
  </conditionalFormatting>
  <conditionalFormatting sqref="MO50:MQ50">
    <cfRule type="cellIs" dxfId="0" priority="10207" operator="lessThan">
      <formula>0</formula>
    </cfRule>
    <cfRule type="cellIs" dxfId="1" priority="10208" operator="greaterThan">
      <formula>0</formula>
    </cfRule>
  </conditionalFormatting>
  <conditionalFormatting sqref="NJ50:NS50">
    <cfRule type="cellIs" dxfId="0" priority="383" operator="lessThan">
      <formula>0</formula>
    </cfRule>
    <cfRule type="cellIs" dxfId="1" priority="384" operator="greaterThan">
      <formula>0</formula>
    </cfRule>
  </conditionalFormatting>
  <conditionalFormatting sqref="NW50:NY50">
    <cfRule type="cellIs" dxfId="0" priority="10500" operator="lessThan">
      <formula>0</formula>
    </cfRule>
    <cfRule type="cellIs" dxfId="1" priority="10501" operator="greaterThan">
      <formula>0</formula>
    </cfRule>
  </conditionalFormatting>
  <conditionalFormatting sqref="PA50:PB50">
    <cfRule type="cellIs" dxfId="0" priority="10599" operator="lessThan">
      <formula>0</formula>
    </cfRule>
    <cfRule type="cellIs" dxfId="1" priority="10600" operator="greaterThan">
      <formula>0</formula>
    </cfRule>
  </conditionalFormatting>
  <conditionalFormatting sqref="QC50:QD50">
    <cfRule type="cellIs" dxfId="0" priority="10393" operator="lessThan">
      <formula>0</formula>
    </cfRule>
    <cfRule type="cellIs" dxfId="1" priority="10394" operator="greaterThan">
      <formula>0</formula>
    </cfRule>
  </conditionalFormatting>
  <conditionalFormatting sqref="RL50">
    <cfRule type="cellIs" dxfId="0" priority="10617" operator="lessThan">
      <formula>0</formula>
    </cfRule>
    <cfRule type="cellIs" dxfId="1" priority="10618" operator="greaterThan">
      <formula>0</formula>
    </cfRule>
    <cfRule type="cellIs" dxfId="6" priority="10619" operator="lessThan">
      <formula>0</formula>
    </cfRule>
    <cfRule type="cellIs" dxfId="5" priority="10620" operator="greaterThan">
      <formula>1</formula>
    </cfRule>
  </conditionalFormatting>
  <conditionalFormatting sqref="RM50">
    <cfRule type="cellIs" dxfId="0" priority="10603" operator="lessThan">
      <formula>-1</formula>
    </cfRule>
    <cfRule type="cellIs" dxfId="0" priority="10604" operator="lessThan">
      <formula>0</formula>
    </cfRule>
  </conditionalFormatting>
  <conditionalFormatting sqref="SI50">
    <cfRule type="cellIs" dxfId="0" priority="10605" operator="lessThan">
      <formula>0</formula>
    </cfRule>
  </conditionalFormatting>
  <conditionalFormatting sqref="TE50">
    <cfRule type="cellIs" dxfId="0" priority="10606" operator="lessThan">
      <formula>0</formula>
    </cfRule>
    <cfRule type="cellIs" dxfId="4" priority="10621" operator="lessThan">
      <formula>0</formula>
    </cfRule>
  </conditionalFormatting>
  <conditionalFormatting sqref="TZ50">
    <cfRule type="cellIs" dxfId="0" priority="10607" operator="lessThan">
      <formula>0</formula>
    </cfRule>
  </conditionalFormatting>
  <conditionalFormatting sqref="UV50">
    <cfRule type="cellIs" dxfId="0" priority="10608" operator="lessThan">
      <formula>0</formula>
    </cfRule>
  </conditionalFormatting>
  <conditionalFormatting sqref="VR50">
    <cfRule type="cellIs" dxfId="0" priority="10609" operator="lessThan">
      <formula>0</formula>
    </cfRule>
    <cfRule type="cellIs" dxfId="0" priority="10610" operator="lessThan">
      <formula>-100</formula>
    </cfRule>
  </conditionalFormatting>
  <conditionalFormatting sqref="EN51">
    <cfRule type="cellIs" dxfId="6" priority="83" operator="lessThan">
      <formula>0</formula>
    </cfRule>
  </conditionalFormatting>
  <conditionalFormatting sqref="HE51">
    <cfRule type="cellIs" dxfId="6" priority="4443" operator="lessThan">
      <formula>0</formula>
    </cfRule>
  </conditionalFormatting>
  <conditionalFormatting sqref="IM51">
    <cfRule type="cellIs" dxfId="6" priority="1704" operator="lessThan">
      <formula>0</formula>
    </cfRule>
  </conditionalFormatting>
  <conditionalFormatting sqref="JU51">
    <cfRule type="cellIs" dxfId="6" priority="1066" operator="lessThan">
      <formula>0</formula>
    </cfRule>
  </conditionalFormatting>
  <conditionalFormatting sqref="LC51">
    <cfRule type="cellIs" dxfId="6" priority="467" operator="lessThan">
      <formula>0</formula>
    </cfRule>
  </conditionalFormatting>
  <conditionalFormatting sqref="MK51">
    <cfRule type="cellIs" dxfId="6" priority="428" operator="lessThan">
      <formula>0</formula>
    </cfRule>
  </conditionalFormatting>
  <conditionalFormatting sqref="NS51">
    <cfRule type="cellIs" dxfId="6" priority="377" operator="lessThan">
      <formula>0</formula>
    </cfRule>
  </conditionalFormatting>
  <conditionalFormatting sqref="HE52">
    <cfRule type="cellIs" dxfId="6" priority="4442" operator="lessThan">
      <formula>0</formula>
    </cfRule>
  </conditionalFormatting>
  <conditionalFormatting sqref="IM52">
    <cfRule type="cellIs" dxfId="6" priority="1703" operator="lessThan">
      <formula>0</formula>
    </cfRule>
  </conditionalFormatting>
  <conditionalFormatting sqref="JU52">
    <cfRule type="cellIs" dxfId="6" priority="1065" operator="lessThan">
      <formula>0</formula>
    </cfRule>
  </conditionalFormatting>
  <conditionalFormatting sqref="LC52">
    <cfRule type="cellIs" dxfId="6" priority="466" operator="lessThan">
      <formula>0</formula>
    </cfRule>
  </conditionalFormatting>
  <conditionalFormatting sqref="MK52">
    <cfRule type="cellIs" dxfId="6" priority="427" operator="lessThan">
      <formula>0</formula>
    </cfRule>
  </conditionalFormatting>
  <conditionalFormatting sqref="NS52">
    <cfRule type="cellIs" dxfId="6" priority="376" operator="lessThan">
      <formula>0</formula>
    </cfRule>
  </conditionalFormatting>
  <conditionalFormatting sqref="HE53">
    <cfRule type="cellIs" dxfId="6" priority="4441" operator="lessThan">
      <formula>0</formula>
    </cfRule>
  </conditionalFormatting>
  <conditionalFormatting sqref="IM53">
    <cfRule type="cellIs" dxfId="6" priority="1702" operator="lessThan">
      <formula>0</formula>
    </cfRule>
  </conditionalFormatting>
  <conditionalFormatting sqref="JU53">
    <cfRule type="cellIs" dxfId="6" priority="1064" operator="lessThan">
      <formula>0</formula>
    </cfRule>
  </conditionalFormatting>
  <conditionalFormatting sqref="LC53">
    <cfRule type="cellIs" dxfId="6" priority="465" operator="lessThan">
      <formula>0</formula>
    </cfRule>
  </conditionalFormatting>
  <conditionalFormatting sqref="MK53">
    <cfRule type="cellIs" dxfId="6" priority="426" operator="lessThan">
      <formula>0</formula>
    </cfRule>
  </conditionalFormatting>
  <conditionalFormatting sqref="NS53">
    <cfRule type="cellIs" dxfId="6" priority="375" operator="lessThan">
      <formula>0</formula>
    </cfRule>
  </conditionalFormatting>
  <conditionalFormatting sqref="HE54">
    <cfRule type="cellIs" dxfId="6" priority="4440" operator="lessThan">
      <formula>0</formula>
    </cfRule>
  </conditionalFormatting>
  <conditionalFormatting sqref="IM54">
    <cfRule type="cellIs" dxfId="6" priority="1701" operator="lessThan">
      <formula>0</formula>
    </cfRule>
  </conditionalFormatting>
  <conditionalFormatting sqref="JU54">
    <cfRule type="cellIs" dxfId="6" priority="1063" operator="lessThan">
      <formula>0</formula>
    </cfRule>
  </conditionalFormatting>
  <conditionalFormatting sqref="LC54">
    <cfRule type="cellIs" dxfId="6" priority="464" operator="lessThan">
      <formula>0</formula>
    </cfRule>
  </conditionalFormatting>
  <conditionalFormatting sqref="MK54">
    <cfRule type="cellIs" dxfId="6" priority="425" operator="lessThan">
      <formula>0</formula>
    </cfRule>
  </conditionalFormatting>
  <conditionalFormatting sqref="NS54">
    <cfRule type="cellIs" dxfId="6" priority="374" operator="lessThan">
      <formula>0</formula>
    </cfRule>
  </conditionalFormatting>
  <conditionalFormatting sqref="HE55">
    <cfRule type="cellIs" dxfId="6" priority="4439" operator="lessThan">
      <formula>0</formula>
    </cfRule>
  </conditionalFormatting>
  <conditionalFormatting sqref="IM55">
    <cfRule type="cellIs" dxfId="6" priority="1700" operator="lessThan">
      <formula>0</formula>
    </cfRule>
  </conditionalFormatting>
  <conditionalFormatting sqref="JU55">
    <cfRule type="cellIs" dxfId="6" priority="1062" operator="lessThan">
      <formula>0</formula>
    </cfRule>
  </conditionalFormatting>
  <conditionalFormatting sqref="LC55">
    <cfRule type="cellIs" dxfId="6" priority="463" operator="lessThan">
      <formula>0</formula>
    </cfRule>
  </conditionalFormatting>
  <conditionalFormatting sqref="MK55">
    <cfRule type="cellIs" dxfId="6" priority="424" operator="lessThan">
      <formula>0</formula>
    </cfRule>
  </conditionalFormatting>
  <conditionalFormatting sqref="NS55">
    <cfRule type="cellIs" dxfId="6" priority="373" operator="lessThan">
      <formula>0</formula>
    </cfRule>
  </conditionalFormatting>
  <conditionalFormatting sqref="HE56">
    <cfRule type="cellIs" dxfId="6" priority="4438" operator="lessThan">
      <formula>0</formula>
    </cfRule>
  </conditionalFormatting>
  <conditionalFormatting sqref="IM56">
    <cfRule type="cellIs" dxfId="6" priority="1699" operator="lessThan">
      <formula>0</formula>
    </cfRule>
  </conditionalFormatting>
  <conditionalFormatting sqref="JU56">
    <cfRule type="cellIs" dxfId="6" priority="1061" operator="lessThan">
      <formula>0</formula>
    </cfRule>
  </conditionalFormatting>
  <conditionalFormatting sqref="LC56">
    <cfRule type="cellIs" dxfId="6" priority="462" operator="lessThan">
      <formula>0</formula>
    </cfRule>
  </conditionalFormatting>
  <conditionalFormatting sqref="MK56">
    <cfRule type="cellIs" dxfId="6" priority="423" operator="lessThan">
      <formula>0</formula>
    </cfRule>
  </conditionalFormatting>
  <conditionalFormatting sqref="NS56">
    <cfRule type="cellIs" dxfId="6" priority="372" operator="lessThan">
      <formula>0</formula>
    </cfRule>
  </conditionalFormatting>
  <conditionalFormatting sqref="HE57">
    <cfRule type="cellIs" dxfId="6" priority="4437" operator="lessThan">
      <formula>0</formula>
    </cfRule>
  </conditionalFormatting>
  <conditionalFormatting sqref="IM57">
    <cfRule type="cellIs" dxfId="6" priority="1698" operator="lessThan">
      <formula>0</formula>
    </cfRule>
  </conditionalFormatting>
  <conditionalFormatting sqref="JU57">
    <cfRule type="cellIs" dxfId="6" priority="1060" operator="lessThan">
      <formula>0</formula>
    </cfRule>
  </conditionalFormatting>
  <conditionalFormatting sqref="LC57">
    <cfRule type="cellIs" dxfId="6" priority="461" operator="lessThan">
      <formula>0</formula>
    </cfRule>
  </conditionalFormatting>
  <conditionalFormatting sqref="MK57">
    <cfRule type="cellIs" dxfId="6" priority="422" operator="lessThan">
      <formula>0</formula>
    </cfRule>
  </conditionalFormatting>
  <conditionalFormatting sqref="NS57">
    <cfRule type="cellIs" dxfId="6" priority="371" operator="lessThan">
      <formula>0</formula>
    </cfRule>
  </conditionalFormatting>
  <conditionalFormatting sqref="HE58">
    <cfRule type="cellIs" dxfId="6" priority="4436" operator="lessThan">
      <formula>0</formula>
    </cfRule>
  </conditionalFormatting>
  <conditionalFormatting sqref="IM58">
    <cfRule type="cellIs" dxfId="6" priority="1697" operator="lessThan">
      <formula>0</formula>
    </cfRule>
  </conditionalFormatting>
  <conditionalFormatting sqref="JU58">
    <cfRule type="cellIs" dxfId="6" priority="1059" operator="lessThan">
      <formula>0</formula>
    </cfRule>
  </conditionalFormatting>
  <conditionalFormatting sqref="LC58">
    <cfRule type="cellIs" dxfId="6" priority="460" operator="lessThan">
      <formula>0</formula>
    </cfRule>
  </conditionalFormatting>
  <conditionalFormatting sqref="MK58">
    <cfRule type="cellIs" dxfId="6" priority="421" operator="lessThan">
      <formula>0</formula>
    </cfRule>
  </conditionalFormatting>
  <conditionalFormatting sqref="NS58">
    <cfRule type="cellIs" dxfId="6" priority="370" operator="lessThan">
      <formula>0</formula>
    </cfRule>
  </conditionalFormatting>
  <conditionalFormatting sqref="HE59">
    <cfRule type="cellIs" dxfId="6" priority="4435" operator="lessThan">
      <formula>0</formula>
    </cfRule>
  </conditionalFormatting>
  <conditionalFormatting sqref="IM59">
    <cfRule type="cellIs" dxfId="6" priority="1696" operator="lessThan">
      <formula>0</formula>
    </cfRule>
  </conditionalFormatting>
  <conditionalFormatting sqref="JU59">
    <cfRule type="cellIs" dxfId="6" priority="1058" operator="lessThan">
      <formula>0</formula>
    </cfRule>
  </conditionalFormatting>
  <conditionalFormatting sqref="LC59">
    <cfRule type="cellIs" dxfId="6" priority="459" operator="lessThan">
      <formula>0</formula>
    </cfRule>
  </conditionalFormatting>
  <conditionalFormatting sqref="MK59">
    <cfRule type="cellIs" dxfId="6" priority="420" operator="lessThan">
      <formula>0</formula>
    </cfRule>
  </conditionalFormatting>
  <conditionalFormatting sqref="NS59">
    <cfRule type="cellIs" dxfId="6" priority="369" operator="lessThan">
      <formula>0</formula>
    </cfRule>
  </conditionalFormatting>
  <conditionalFormatting sqref="L60">
    <cfRule type="cellIs" dxfId="6" priority="6470" operator="lessThan">
      <formula>0</formula>
    </cfRule>
  </conditionalFormatting>
  <conditionalFormatting sqref="AS60">
    <cfRule type="cellIs" dxfId="6" priority="6071" operator="lessThan">
      <formula>0</formula>
    </cfRule>
  </conditionalFormatting>
  <conditionalFormatting sqref="BZ60">
    <cfRule type="cellIs" dxfId="6" priority="5338" operator="lessThan">
      <formula>0</formula>
    </cfRule>
  </conditionalFormatting>
  <conditionalFormatting sqref="DG60">
    <cfRule type="cellIs" dxfId="6" priority="4949" operator="lessThan">
      <formula>0</formula>
    </cfRule>
  </conditionalFormatting>
  <conditionalFormatting sqref="EN60">
    <cfRule type="cellIs" dxfId="6" priority="7588" operator="lessThan">
      <formula>0</formula>
    </cfRule>
  </conditionalFormatting>
  <conditionalFormatting sqref="FW60">
    <cfRule type="cellIs" dxfId="6" priority="8238" operator="lessThan">
      <formula>0</formula>
    </cfRule>
  </conditionalFormatting>
  <conditionalFormatting sqref="HE60">
    <cfRule type="cellIs" dxfId="6" priority="4434" operator="lessThan">
      <formula>0</formula>
    </cfRule>
  </conditionalFormatting>
  <conditionalFormatting sqref="IM60">
    <cfRule type="cellIs" dxfId="6" priority="1695" operator="lessThan">
      <formula>0</formula>
    </cfRule>
  </conditionalFormatting>
  <conditionalFormatting sqref="JU60">
    <cfRule type="cellIs" dxfId="6" priority="1057" operator="lessThan">
      <formula>0</formula>
    </cfRule>
  </conditionalFormatting>
  <conditionalFormatting sqref="LC60">
    <cfRule type="cellIs" dxfId="6" priority="458" operator="lessThan">
      <formula>0</formula>
    </cfRule>
  </conditionalFormatting>
  <conditionalFormatting sqref="MK60">
    <cfRule type="cellIs" dxfId="6" priority="419" operator="lessThan">
      <formula>0</formula>
    </cfRule>
  </conditionalFormatting>
  <conditionalFormatting sqref="NS60">
    <cfRule type="cellIs" dxfId="6" priority="368" operator="lessThan">
      <formula>0</formula>
    </cfRule>
  </conditionalFormatting>
  <conditionalFormatting sqref="L61">
    <cfRule type="cellIs" dxfId="6" priority="6469" operator="lessThan">
      <formula>0</formula>
    </cfRule>
  </conditionalFormatting>
  <conditionalFormatting sqref="AS61">
    <cfRule type="cellIs" dxfId="6" priority="6070" operator="lessThan">
      <formula>0</formula>
    </cfRule>
  </conditionalFormatting>
  <conditionalFormatting sqref="BZ61">
    <cfRule type="cellIs" dxfId="6" priority="5337" operator="lessThan">
      <formula>0</formula>
    </cfRule>
  </conditionalFormatting>
  <conditionalFormatting sqref="DG61">
    <cfRule type="cellIs" dxfId="6" priority="4948" operator="lessThan">
      <formula>0</formula>
    </cfRule>
  </conditionalFormatting>
  <conditionalFormatting sqref="EN61">
    <cfRule type="cellIs" dxfId="6" priority="7587" operator="lessThan">
      <formula>0</formula>
    </cfRule>
  </conditionalFormatting>
  <conditionalFormatting sqref="FW61">
    <cfRule type="cellIs" dxfId="6" priority="8237" operator="lessThan">
      <formula>0</formula>
    </cfRule>
  </conditionalFormatting>
  <conditionalFormatting sqref="HE61">
    <cfRule type="cellIs" dxfId="6" priority="4433" operator="lessThan">
      <formula>0</formula>
    </cfRule>
  </conditionalFormatting>
  <conditionalFormatting sqref="IM61">
    <cfRule type="cellIs" dxfId="6" priority="1694" operator="lessThan">
      <formula>0</formula>
    </cfRule>
  </conditionalFormatting>
  <conditionalFormatting sqref="JU61">
    <cfRule type="cellIs" dxfId="6" priority="1056" operator="lessThan">
      <formula>0</formula>
    </cfRule>
  </conditionalFormatting>
  <conditionalFormatting sqref="LC61">
    <cfRule type="cellIs" dxfId="6" priority="457" operator="lessThan">
      <formula>0</formula>
    </cfRule>
  </conditionalFormatting>
  <conditionalFormatting sqref="MK61">
    <cfRule type="cellIs" dxfId="6" priority="418" operator="lessThan">
      <formula>0</formula>
    </cfRule>
  </conditionalFormatting>
  <conditionalFormatting sqref="NS61">
    <cfRule type="cellIs" dxfId="6" priority="367" operator="lessThan">
      <formula>0</formula>
    </cfRule>
  </conditionalFormatting>
  <conditionalFormatting sqref="PU61">
    <cfRule type="cellIs" dxfId="0" priority="10391" operator="lessThan">
      <formula>0</formula>
    </cfRule>
    <cfRule type="cellIs" dxfId="1" priority="10392" operator="greaterThan">
      <formula>0</formula>
    </cfRule>
  </conditionalFormatting>
  <conditionalFormatting sqref="L62">
    <cfRule type="cellIs" dxfId="6" priority="6468" operator="lessThan">
      <formula>0</formula>
    </cfRule>
  </conditionalFormatting>
  <conditionalFormatting sqref="AS62">
    <cfRule type="cellIs" dxfId="6" priority="6069" operator="lessThan">
      <formula>0</formula>
    </cfRule>
  </conditionalFormatting>
  <conditionalFormatting sqref="BZ62">
    <cfRule type="cellIs" dxfId="6" priority="5336" operator="lessThan">
      <formula>0</formula>
    </cfRule>
  </conditionalFormatting>
  <conditionalFormatting sqref="DG62">
    <cfRule type="cellIs" dxfId="6" priority="4947" operator="lessThan">
      <formula>0</formula>
    </cfRule>
  </conditionalFormatting>
  <conditionalFormatting sqref="HE62">
    <cfRule type="cellIs" dxfId="6" priority="4432" operator="lessThan">
      <formula>0</formula>
    </cfRule>
  </conditionalFormatting>
  <conditionalFormatting sqref="IM62">
    <cfRule type="cellIs" dxfId="6" priority="1693" operator="lessThan">
      <formula>0</formula>
    </cfRule>
  </conditionalFormatting>
  <conditionalFormatting sqref="JU62">
    <cfRule type="cellIs" dxfId="6" priority="1055" operator="lessThan">
      <formula>0</formula>
    </cfRule>
  </conditionalFormatting>
  <conditionalFormatting sqref="LC62">
    <cfRule type="cellIs" dxfId="6" priority="456" operator="lessThan">
      <formula>0</formula>
    </cfRule>
  </conditionalFormatting>
  <conditionalFormatting sqref="MK62">
    <cfRule type="cellIs" dxfId="6" priority="417" operator="lessThan">
      <formula>0</formula>
    </cfRule>
  </conditionalFormatting>
  <conditionalFormatting sqref="NS62">
    <cfRule type="cellIs" dxfId="6" priority="366" operator="lessThan">
      <formula>0</formula>
    </cfRule>
  </conditionalFormatting>
  <conditionalFormatting sqref="L63">
    <cfRule type="cellIs" dxfId="6" priority="6237" operator="lessThan">
      <formula>0</formula>
    </cfRule>
  </conditionalFormatting>
  <conditionalFormatting sqref="AS63">
    <cfRule type="cellIs" dxfId="6" priority="5862" operator="lessThan">
      <formula>0</formula>
    </cfRule>
  </conditionalFormatting>
  <conditionalFormatting sqref="BZ63">
    <cfRule type="cellIs" dxfId="6" priority="5135" operator="lessThan">
      <formula>0</formula>
    </cfRule>
  </conditionalFormatting>
  <conditionalFormatting sqref="DG63">
    <cfRule type="cellIs" dxfId="6" priority="4746" operator="lessThan">
      <formula>0</formula>
    </cfRule>
  </conditionalFormatting>
  <conditionalFormatting sqref="HE63">
    <cfRule type="cellIs" dxfId="6" priority="8566" operator="lessThan">
      <formula>0</formula>
    </cfRule>
  </conditionalFormatting>
  <conditionalFormatting sqref="IM63">
    <cfRule type="cellIs" dxfId="6" priority="1692" operator="lessThan">
      <formula>0</formula>
    </cfRule>
  </conditionalFormatting>
  <conditionalFormatting sqref="JU63">
    <cfRule type="cellIs" dxfId="6" priority="1054" operator="lessThan">
      <formula>0</formula>
    </cfRule>
  </conditionalFormatting>
  <conditionalFormatting sqref="NR63">
    <cfRule type="cellIs" dxfId="6" priority="10462" operator="lessThan">
      <formula>0</formula>
    </cfRule>
  </conditionalFormatting>
  <conditionalFormatting sqref="C64">
    <cfRule type="cellIs" dxfId="1" priority="6502" operator="greaterThan">
      <formula>0</formula>
    </cfRule>
    <cfRule type="cellIs" dxfId="0" priority="6501" operator="lessThan">
      <formula>0</formula>
    </cfRule>
  </conditionalFormatting>
  <conditionalFormatting sqref="AJ64">
    <cfRule type="cellIs" dxfId="1" priority="6103" operator="greaterThan">
      <formula>0</formula>
    </cfRule>
    <cfRule type="cellIs" dxfId="0" priority="6102" operator="lessThan">
      <formula>0</formula>
    </cfRule>
  </conditionalFormatting>
  <conditionalFormatting sqref="BQ64">
    <cfRule type="cellIs" dxfId="1" priority="5370" operator="greaterThan">
      <formula>0</formula>
    </cfRule>
    <cfRule type="cellIs" dxfId="0" priority="5369" operator="lessThan">
      <formula>0</formula>
    </cfRule>
  </conditionalFormatting>
  <conditionalFormatting sqref="CX64">
    <cfRule type="cellIs" dxfId="1" priority="4981" operator="greaterThan">
      <formula>0</formula>
    </cfRule>
    <cfRule type="cellIs" dxfId="0" priority="4980" operator="lessThan">
      <formula>0</formula>
    </cfRule>
  </conditionalFormatting>
  <conditionalFormatting sqref="EE64">
    <cfRule type="cellIs" dxfId="1" priority="7622" operator="greaterThan">
      <formula>0</formula>
    </cfRule>
    <cfRule type="cellIs" dxfId="0" priority="7621" operator="lessThan">
      <formula>0</formula>
    </cfRule>
  </conditionalFormatting>
  <conditionalFormatting sqref="FN64">
    <cfRule type="cellIs" dxfId="0" priority="8271" operator="lessThan">
      <formula>0</formula>
    </cfRule>
    <cfRule type="cellIs" dxfId="1" priority="8272" operator="greaterThan">
      <formula>0</formula>
    </cfRule>
  </conditionalFormatting>
  <conditionalFormatting sqref="OS64">
    <cfRule type="cellIs" dxfId="0" priority="10597" operator="lessThan">
      <formula>0</formula>
    </cfRule>
    <cfRule type="cellIs" dxfId="1" priority="10598" operator="greaterThan">
      <formula>0</formula>
    </cfRule>
  </conditionalFormatting>
  <conditionalFormatting sqref="PU64">
    <cfRule type="cellIs" dxfId="0" priority="10353" operator="lessThan">
      <formula>0</formula>
    </cfRule>
    <cfRule type="cellIs" dxfId="1" priority="10354" operator="greaterThan">
      <formula>0</formula>
    </cfRule>
  </conditionalFormatting>
  <conditionalFormatting sqref="QC64">
    <cfRule type="cellIs" dxfId="6" priority="10352" operator="lessThan">
      <formula>0</formula>
    </cfRule>
  </conditionalFormatting>
  <conditionalFormatting sqref="L66:M66">
    <cfRule type="cellIs" dxfId="1" priority="6508" operator="greaterThan">
      <formula>0</formula>
    </cfRule>
    <cfRule type="cellIs" dxfId="0" priority="6507" operator="lessThan">
      <formula>0</formula>
    </cfRule>
  </conditionalFormatting>
  <conditionalFormatting sqref="AS66:AT66">
    <cfRule type="cellIs" dxfId="1" priority="6109" operator="greaterThan">
      <formula>0</formula>
    </cfRule>
    <cfRule type="cellIs" dxfId="0" priority="6108" operator="lessThan">
      <formula>0</formula>
    </cfRule>
  </conditionalFormatting>
  <conditionalFormatting sqref="BZ66:CA66">
    <cfRule type="cellIs" dxfId="1" priority="5376" operator="greaterThan">
      <formula>0</formula>
    </cfRule>
    <cfRule type="cellIs" dxfId="0" priority="5375" operator="lessThan">
      <formula>0</formula>
    </cfRule>
  </conditionalFormatting>
  <conditionalFormatting sqref="DG66:DH66">
    <cfRule type="cellIs" dxfId="1" priority="4987" operator="greaterThan">
      <formula>0</formula>
    </cfRule>
    <cfRule type="cellIs" dxfId="0" priority="4986" operator="lessThan">
      <formula>0</formula>
    </cfRule>
  </conditionalFormatting>
  <conditionalFormatting sqref="EN66:EO66">
    <cfRule type="cellIs" dxfId="0" priority="4572" operator="lessThan">
      <formula>0</formula>
    </cfRule>
    <cfRule type="cellIs" dxfId="1" priority="4573" operator="greaterThan">
      <formula>0</formula>
    </cfRule>
  </conditionalFormatting>
  <conditionalFormatting sqref="ER66:ET66">
    <cfRule type="cellIs" dxfId="0" priority="7627" operator="lessThan">
      <formula>0</formula>
    </cfRule>
    <cfRule type="cellIs" dxfId="1" priority="7628" operator="greaterThan">
      <formula>0</formula>
    </cfRule>
  </conditionalFormatting>
  <conditionalFormatting sqref="FN66:FX66">
    <cfRule type="cellIs" dxfId="1" priority="4536" operator="greaterThan">
      <formula>0</formula>
    </cfRule>
    <cfRule type="cellIs" dxfId="0" priority="4535" operator="lessThan">
      <formula>0</formula>
    </cfRule>
  </conditionalFormatting>
  <conditionalFormatting sqref="GA66:GC66">
    <cfRule type="cellIs" dxfId="0" priority="8277" operator="lessThan">
      <formula>0</formula>
    </cfRule>
    <cfRule type="cellIs" dxfId="1" priority="8278" operator="greaterThan">
      <formula>0</formula>
    </cfRule>
  </conditionalFormatting>
  <conditionalFormatting sqref="GV66:HF66">
    <cfRule type="cellIs" dxfId="0" priority="4451" operator="lessThan">
      <formula>0</formula>
    </cfRule>
    <cfRule type="cellIs" dxfId="1" priority="4452" operator="greaterThan">
      <formula>0</formula>
    </cfRule>
  </conditionalFormatting>
  <conditionalFormatting sqref="HI66:HK66">
    <cfRule type="cellIs" dxfId="0" priority="8607" operator="lessThan">
      <formula>0</formula>
    </cfRule>
    <cfRule type="cellIs" dxfId="1" priority="8608" operator="greaterThan">
      <formula>0</formula>
    </cfRule>
  </conditionalFormatting>
  <conditionalFormatting sqref="ID66:IN66">
    <cfRule type="cellIs" dxfId="1" priority="1691" operator="greaterThan">
      <formula>0</formula>
    </cfRule>
    <cfRule type="cellIs" dxfId="0" priority="1690" operator="lessThan">
      <formula>0</formula>
    </cfRule>
  </conditionalFormatting>
  <conditionalFormatting sqref="IQ66:IS66">
    <cfRule type="cellIs" dxfId="0" priority="9024" operator="lessThan">
      <formula>0</formula>
    </cfRule>
    <cfRule type="cellIs" dxfId="1" priority="9025" operator="greaterThan">
      <formula>0</formula>
    </cfRule>
  </conditionalFormatting>
  <conditionalFormatting sqref="JL66:JU66">
    <cfRule type="cellIs" dxfId="1" priority="1046" operator="greaterThan">
      <formula>0</formula>
    </cfRule>
    <cfRule type="cellIs" dxfId="0" priority="1045" operator="lessThan">
      <formula>0</formula>
    </cfRule>
  </conditionalFormatting>
  <conditionalFormatting sqref="JX66:KA66">
    <cfRule type="cellIs" dxfId="0" priority="9426" operator="lessThan">
      <formula>0</formula>
    </cfRule>
    <cfRule type="cellIs" dxfId="1" priority="9427" operator="greaterThan">
      <formula>0</formula>
    </cfRule>
  </conditionalFormatting>
  <conditionalFormatting sqref="KT66:LC66">
    <cfRule type="cellIs" dxfId="1" priority="478" operator="greaterThan">
      <formula>0</formula>
    </cfRule>
    <cfRule type="cellIs" dxfId="0" priority="477" operator="lessThan">
      <formula>0</formula>
    </cfRule>
  </conditionalFormatting>
  <conditionalFormatting sqref="LG66:LI66">
    <cfRule type="cellIs" dxfId="0" priority="9804" operator="lessThan">
      <formula>0</formula>
    </cfRule>
    <cfRule type="cellIs" dxfId="1" priority="9805" operator="greaterThan">
      <formula>0</formula>
    </cfRule>
  </conditionalFormatting>
  <conditionalFormatting sqref="MB66:MK66">
    <cfRule type="cellIs" dxfId="1" priority="443" operator="greaterThan">
      <formula>0</formula>
    </cfRule>
    <cfRule type="cellIs" dxfId="0" priority="442" operator="lessThan">
      <formula>0</formula>
    </cfRule>
  </conditionalFormatting>
  <conditionalFormatting sqref="MO66:MQ66">
    <cfRule type="cellIs" dxfId="0" priority="10211" operator="lessThan">
      <formula>0</formula>
    </cfRule>
    <cfRule type="cellIs" dxfId="1" priority="10212" operator="greaterThan">
      <formula>0</formula>
    </cfRule>
  </conditionalFormatting>
  <conditionalFormatting sqref="NJ66:NS66">
    <cfRule type="cellIs" dxfId="0" priority="381" operator="lessThan">
      <formula>0</formula>
    </cfRule>
    <cfRule type="cellIs" dxfId="1" priority="382" operator="greaterThan">
      <formula>0</formula>
    </cfRule>
  </conditionalFormatting>
  <conditionalFormatting sqref="NW66:NY66">
    <cfRule type="cellIs" dxfId="0" priority="10504" operator="lessThan">
      <formula>0</formula>
    </cfRule>
    <cfRule type="cellIs" dxfId="1" priority="10505" operator="greaterThan">
      <formula>0</formula>
    </cfRule>
  </conditionalFormatting>
  <conditionalFormatting sqref="PA66:PB66">
    <cfRule type="cellIs" dxfId="0" priority="10622" operator="lessThan">
      <formula>0</formula>
    </cfRule>
    <cfRule type="cellIs" dxfId="1" priority="10623" operator="greaterThan">
      <formula>0</formula>
    </cfRule>
  </conditionalFormatting>
  <conditionalFormatting sqref="QC66:QD66">
    <cfRule type="cellIs" dxfId="0" priority="10397" operator="lessThan">
      <formula>0</formula>
    </cfRule>
    <cfRule type="cellIs" dxfId="1" priority="10398" operator="greaterThan">
      <formula>0</formula>
    </cfRule>
  </conditionalFormatting>
  <conditionalFormatting sqref="FW67">
    <cfRule type="cellIs" dxfId="6" priority="4541" operator="lessThan">
      <formula>0</formula>
    </cfRule>
  </conditionalFormatting>
  <conditionalFormatting sqref="HE67">
    <cfRule type="cellIs" dxfId="6" priority="4431" operator="lessThan">
      <formula>0</formula>
    </cfRule>
  </conditionalFormatting>
  <conditionalFormatting sqref="IM67">
    <cfRule type="cellIs" dxfId="6" priority="1677" operator="lessThan">
      <formula>0</formula>
    </cfRule>
  </conditionalFormatting>
  <conditionalFormatting sqref="JU67">
    <cfRule type="cellIs" dxfId="6" priority="1053" operator="lessThan">
      <formula>0</formula>
    </cfRule>
  </conditionalFormatting>
  <conditionalFormatting sqref="LC67">
    <cfRule type="cellIs" dxfId="6" priority="472" operator="lessThan">
      <formula>0</formula>
    </cfRule>
  </conditionalFormatting>
  <conditionalFormatting sqref="MK67">
    <cfRule type="cellIs" dxfId="6" priority="416" operator="lessThan">
      <formula>0</formula>
    </cfRule>
  </conditionalFormatting>
  <conditionalFormatting sqref="NS67">
    <cfRule type="cellIs" dxfId="6" priority="365" operator="lessThan">
      <formula>0</formula>
    </cfRule>
  </conditionalFormatting>
  <conditionalFormatting sqref="FW68">
    <cfRule type="cellIs" dxfId="6" priority="4540" operator="lessThan">
      <formula>0</formula>
    </cfRule>
  </conditionalFormatting>
  <conditionalFormatting sqref="HE68">
    <cfRule type="cellIs" dxfId="6" priority="4430" operator="lessThan">
      <formula>0</formula>
    </cfRule>
  </conditionalFormatting>
  <conditionalFormatting sqref="IM68">
    <cfRule type="cellIs" dxfId="6" priority="1676" operator="lessThan">
      <formula>0</formula>
    </cfRule>
  </conditionalFormatting>
  <conditionalFormatting sqref="JU68">
    <cfRule type="cellIs" dxfId="6" priority="1032" operator="lessThan">
      <formula>0</formula>
    </cfRule>
  </conditionalFormatting>
  <conditionalFormatting sqref="LC68">
    <cfRule type="cellIs" dxfId="6" priority="471" operator="lessThan">
      <formula>0</formula>
    </cfRule>
  </conditionalFormatting>
  <conditionalFormatting sqref="MK68">
    <cfRule type="cellIs" dxfId="6" priority="415" operator="lessThan">
      <formula>0</formula>
    </cfRule>
  </conditionalFormatting>
  <conditionalFormatting sqref="NS68">
    <cfRule type="cellIs" dxfId="6" priority="364" operator="lessThan">
      <formula>0</formula>
    </cfRule>
  </conditionalFormatting>
  <conditionalFormatting sqref="FW69">
    <cfRule type="cellIs" dxfId="6" priority="4539" operator="lessThan">
      <formula>0</formula>
    </cfRule>
  </conditionalFormatting>
  <conditionalFormatting sqref="HE69">
    <cfRule type="cellIs" dxfId="6" priority="4429" operator="lessThan">
      <formula>0</formula>
    </cfRule>
  </conditionalFormatting>
  <conditionalFormatting sqref="IM69">
    <cfRule type="cellIs" dxfId="6" priority="1675" operator="lessThan">
      <formula>0</formula>
    </cfRule>
  </conditionalFormatting>
  <conditionalFormatting sqref="JU69">
    <cfRule type="cellIs" dxfId="6" priority="1051" operator="lessThan">
      <formula>0</formula>
    </cfRule>
  </conditionalFormatting>
  <conditionalFormatting sqref="LC69">
    <cfRule type="cellIs" dxfId="6" priority="470" operator="lessThan">
      <formula>0</formula>
    </cfRule>
  </conditionalFormatting>
  <conditionalFormatting sqref="MK69">
    <cfRule type="cellIs" dxfId="6" priority="414" operator="lessThan">
      <formula>0</formula>
    </cfRule>
  </conditionalFormatting>
  <conditionalFormatting sqref="NS69">
    <cfRule type="cellIs" dxfId="6" priority="363" operator="lessThan">
      <formula>0</formula>
    </cfRule>
  </conditionalFormatting>
  <conditionalFormatting sqref="FW70">
    <cfRule type="cellIs" dxfId="6" priority="4538" operator="lessThan">
      <formula>0</formula>
    </cfRule>
  </conditionalFormatting>
  <conditionalFormatting sqref="HE70">
    <cfRule type="cellIs" dxfId="6" priority="4428" operator="lessThan">
      <formula>0</formula>
    </cfRule>
  </conditionalFormatting>
  <conditionalFormatting sqref="IM70">
    <cfRule type="cellIs" dxfId="6" priority="1674" operator="lessThan">
      <formula>0</formula>
    </cfRule>
  </conditionalFormatting>
  <conditionalFormatting sqref="JU70">
    <cfRule type="cellIs" dxfId="6" priority="1050" operator="lessThan">
      <formula>0</formula>
    </cfRule>
  </conditionalFormatting>
  <conditionalFormatting sqref="LC70">
    <cfRule type="cellIs" dxfId="6" priority="469" operator="lessThan">
      <formula>0</formula>
    </cfRule>
  </conditionalFormatting>
  <conditionalFormatting sqref="MK70">
    <cfRule type="cellIs" dxfId="6" priority="413" operator="lessThan">
      <formula>0</formula>
    </cfRule>
  </conditionalFormatting>
  <conditionalFormatting sqref="NS70">
    <cfRule type="cellIs" dxfId="6" priority="362" operator="lessThan">
      <formula>0</formula>
    </cfRule>
  </conditionalFormatting>
  <conditionalFormatting sqref="FW71">
    <cfRule type="cellIs" dxfId="6" priority="4537" operator="lessThan">
      <formula>0</formula>
    </cfRule>
  </conditionalFormatting>
  <conditionalFormatting sqref="HE71">
    <cfRule type="cellIs" dxfId="6" priority="4427" operator="lessThan">
      <formula>0</formula>
    </cfRule>
  </conditionalFormatting>
  <conditionalFormatting sqref="IM71">
    <cfRule type="cellIs" dxfId="6" priority="1673" operator="lessThan">
      <formula>0</formula>
    </cfRule>
  </conditionalFormatting>
  <conditionalFormatting sqref="JU71">
    <cfRule type="cellIs" dxfId="6" priority="1031" operator="lessThan">
      <formula>0</formula>
    </cfRule>
  </conditionalFormatting>
  <conditionalFormatting sqref="LC71">
    <cfRule type="cellIs" dxfId="6" priority="468" operator="lessThan">
      <formula>0</formula>
    </cfRule>
  </conditionalFormatting>
  <conditionalFormatting sqref="MK71">
    <cfRule type="cellIs" dxfId="6" priority="412" operator="lessThan">
      <formula>0</formula>
    </cfRule>
  </conditionalFormatting>
  <conditionalFormatting sqref="NS71">
    <cfRule type="cellIs" dxfId="6" priority="361" operator="lessThan">
      <formula>0</formula>
    </cfRule>
  </conditionalFormatting>
  <conditionalFormatting sqref="FN72">
    <cfRule type="cellIs" dxfId="1" priority="4534" operator="greaterThan">
      <formula>0</formula>
    </cfRule>
    <cfRule type="cellIs" dxfId="0" priority="4533" operator="lessThan">
      <formula>0</formula>
    </cfRule>
  </conditionalFormatting>
  <conditionalFormatting sqref="FW72">
    <cfRule type="cellIs" dxfId="6" priority="4532" operator="lessThan">
      <formula>0</formula>
    </cfRule>
  </conditionalFormatting>
  <conditionalFormatting sqref="PU72">
    <cfRule type="cellIs" dxfId="0" priority="10388" operator="lessThan">
      <formula>0</formula>
    </cfRule>
    <cfRule type="cellIs" dxfId="1" priority="10389" operator="greaterThan">
      <formula>0</formula>
    </cfRule>
  </conditionalFormatting>
  <conditionalFormatting sqref="QC72">
    <cfRule type="cellIs" dxfId="6" priority="10387" operator="lessThan">
      <formula>0</formula>
    </cfRule>
  </conditionalFormatting>
  <conditionalFormatting sqref="FN73">
    <cfRule type="cellIs" dxfId="0" priority="8268" operator="lessThan">
      <formula>0</formula>
    </cfRule>
    <cfRule type="cellIs" dxfId="1" priority="8269" operator="greaterThan">
      <formula>0</formula>
    </cfRule>
  </conditionalFormatting>
  <conditionalFormatting sqref="FW73">
    <cfRule type="cellIs" dxfId="6" priority="8267" operator="lessThan">
      <formula>0</formula>
    </cfRule>
  </conditionalFormatting>
  <conditionalFormatting sqref="GV73">
    <cfRule type="cellIs" dxfId="0" priority="8598" operator="lessThan">
      <formula>0</formula>
    </cfRule>
    <cfRule type="cellIs" dxfId="1" priority="8599" operator="greaterThan">
      <formula>0</formula>
    </cfRule>
  </conditionalFormatting>
  <conditionalFormatting sqref="HE73">
    <cfRule type="cellIs" dxfId="6" priority="8597" operator="lessThan">
      <formula>0</formula>
    </cfRule>
  </conditionalFormatting>
  <conditionalFormatting sqref="ID73">
    <cfRule type="cellIs" dxfId="0" priority="9015" operator="lessThan">
      <formula>0</formula>
    </cfRule>
    <cfRule type="cellIs" dxfId="1" priority="9016" operator="greaterThan">
      <formula>0</formula>
    </cfRule>
  </conditionalFormatting>
  <conditionalFormatting sqref="IM73">
    <cfRule type="cellIs" dxfId="6" priority="9014" operator="lessThan">
      <formula>0</formula>
    </cfRule>
  </conditionalFormatting>
  <conditionalFormatting sqref="JL73">
    <cfRule type="cellIs" dxfId="0" priority="9417" operator="lessThan">
      <formula>0</formula>
    </cfRule>
    <cfRule type="cellIs" dxfId="1" priority="9418" operator="greaterThan">
      <formula>0</formula>
    </cfRule>
  </conditionalFormatting>
  <conditionalFormatting sqref="JT73">
    <cfRule type="cellIs" dxfId="6" priority="9416" operator="lessThan">
      <formula>0</formula>
    </cfRule>
  </conditionalFormatting>
  <conditionalFormatting sqref="KT73">
    <cfRule type="cellIs" dxfId="0" priority="9795" operator="lessThan">
      <formula>0</formula>
    </cfRule>
    <cfRule type="cellIs" dxfId="1" priority="9796" operator="greaterThan">
      <formula>0</formula>
    </cfRule>
  </conditionalFormatting>
  <conditionalFormatting sqref="LB73">
    <cfRule type="cellIs" dxfId="6" priority="9794" operator="lessThan">
      <formula>0</formula>
    </cfRule>
  </conditionalFormatting>
  <conditionalFormatting sqref="MB73">
    <cfRule type="cellIs" dxfId="0" priority="10202" operator="lessThan">
      <formula>0</formula>
    </cfRule>
    <cfRule type="cellIs" dxfId="1" priority="10203" operator="greaterThan">
      <formula>0</formula>
    </cfRule>
  </conditionalFormatting>
  <conditionalFormatting sqref="MJ73">
    <cfRule type="cellIs" dxfId="6" priority="10201" operator="lessThan">
      <formula>0</formula>
    </cfRule>
  </conditionalFormatting>
  <conditionalFormatting sqref="NJ73">
    <cfRule type="cellIs" dxfId="0" priority="10495" operator="lessThan">
      <formula>0</formula>
    </cfRule>
    <cfRule type="cellIs" dxfId="1" priority="10496" operator="greaterThan">
      <formula>0</formula>
    </cfRule>
  </conditionalFormatting>
  <conditionalFormatting sqref="NR73">
    <cfRule type="cellIs" dxfId="6" priority="10494" operator="lessThan">
      <formula>0</formula>
    </cfRule>
  </conditionalFormatting>
  <conditionalFormatting sqref="L74:M74">
    <cfRule type="cellIs" dxfId="1" priority="6462" operator="greaterThan">
      <formula>0</formula>
    </cfRule>
    <cfRule type="cellIs" dxfId="0" priority="6461" operator="lessThan">
      <formula>0</formula>
    </cfRule>
  </conditionalFormatting>
  <conditionalFormatting sqref="AS74:AT74">
    <cfRule type="cellIs" dxfId="1" priority="6063" operator="greaterThan">
      <formula>0</formula>
    </cfRule>
    <cfRule type="cellIs" dxfId="0" priority="6062" operator="lessThan">
      <formula>0</formula>
    </cfRule>
  </conditionalFormatting>
  <conditionalFormatting sqref="BZ74:CA74">
    <cfRule type="cellIs" dxfId="1" priority="5330" operator="greaterThan">
      <formula>0</formula>
    </cfRule>
    <cfRule type="cellIs" dxfId="0" priority="5329" operator="lessThan">
      <formula>0</formula>
    </cfRule>
  </conditionalFormatting>
  <conditionalFormatting sqref="DG74:DH74">
    <cfRule type="cellIs" dxfId="1" priority="4941" operator="greaterThan">
      <formula>0</formula>
    </cfRule>
    <cfRule type="cellIs" dxfId="0" priority="4940" operator="lessThan">
      <formula>0</formula>
    </cfRule>
  </conditionalFormatting>
  <conditionalFormatting sqref="EN74:EO74">
    <cfRule type="cellIs" dxfId="0" priority="4616" operator="lessThan">
      <formula>0</formula>
    </cfRule>
    <cfRule type="cellIs" dxfId="1" priority="4617" operator="greaterThan">
      <formula>0</formula>
    </cfRule>
  </conditionalFormatting>
  <conditionalFormatting sqref="ER74:ET74">
    <cfRule type="cellIs" dxfId="0" priority="7579" operator="lessThan">
      <formula>0</formula>
    </cfRule>
    <cfRule type="cellIs" dxfId="1" priority="7580" operator="greaterThan">
      <formula>0</formula>
    </cfRule>
  </conditionalFormatting>
  <conditionalFormatting sqref="FN74:FX74">
    <cfRule type="cellIs" dxfId="1" priority="4513" operator="greaterThan">
      <formula>0</formula>
    </cfRule>
    <cfRule type="cellIs" dxfId="0" priority="4512" operator="lessThan">
      <formula>0</formula>
    </cfRule>
  </conditionalFormatting>
  <conditionalFormatting sqref="GA74:GC74">
    <cfRule type="cellIs" dxfId="0" priority="8229" operator="lessThan">
      <formula>0</formula>
    </cfRule>
    <cfRule type="cellIs" dxfId="1" priority="8230" operator="greaterThan">
      <formula>0</formula>
    </cfRule>
  </conditionalFormatting>
  <conditionalFormatting sqref="GV74:HF74">
    <cfRule type="cellIs" dxfId="0" priority="4455" operator="lessThan">
      <formula>0</formula>
    </cfRule>
    <cfRule type="cellIs" dxfId="1" priority="4456" operator="greaterThan">
      <formula>0</formula>
    </cfRule>
  </conditionalFormatting>
  <conditionalFormatting sqref="HI74:HK74">
    <cfRule type="cellIs" dxfId="0" priority="8559" operator="lessThan">
      <formula>0</formula>
    </cfRule>
    <cfRule type="cellIs" dxfId="1" priority="8560" operator="greaterThan">
      <formula>0</formula>
    </cfRule>
  </conditionalFormatting>
  <conditionalFormatting sqref="ID74:IN74">
    <cfRule type="cellIs" dxfId="1" priority="1689" operator="greaterThan">
      <formula>0</formula>
    </cfRule>
    <cfRule type="cellIs" dxfId="0" priority="1688" operator="lessThan">
      <formula>0</formula>
    </cfRule>
  </conditionalFormatting>
  <conditionalFormatting sqref="IQ74:IS74">
    <cfRule type="cellIs" dxfId="0" priority="8976" operator="lessThan">
      <formula>0</formula>
    </cfRule>
    <cfRule type="cellIs" dxfId="1" priority="8977" operator="greaterThan">
      <formula>0</formula>
    </cfRule>
  </conditionalFormatting>
  <conditionalFormatting sqref="JL74:JU74">
    <cfRule type="cellIs" dxfId="1" priority="1044" operator="greaterThan">
      <formula>0</formula>
    </cfRule>
    <cfRule type="cellIs" dxfId="0" priority="1043" operator="lessThan">
      <formula>0</formula>
    </cfRule>
  </conditionalFormatting>
  <conditionalFormatting sqref="JX74:KA74">
    <cfRule type="cellIs" dxfId="0" priority="9378" operator="lessThan">
      <formula>0</formula>
    </cfRule>
    <cfRule type="cellIs" dxfId="1" priority="9379" operator="greaterThan">
      <formula>0</formula>
    </cfRule>
  </conditionalFormatting>
  <conditionalFormatting sqref="KT74:LC74">
    <cfRule type="cellIs" dxfId="1" priority="480" operator="greaterThan">
      <formula>0</formula>
    </cfRule>
    <cfRule type="cellIs" dxfId="0" priority="479" operator="lessThan">
      <formula>0</formula>
    </cfRule>
  </conditionalFormatting>
  <conditionalFormatting sqref="LG74:LI74">
    <cfRule type="cellIs" dxfId="0" priority="9756" operator="lessThan">
      <formula>0</formula>
    </cfRule>
    <cfRule type="cellIs" dxfId="1" priority="9757" operator="greaterThan">
      <formula>0</formula>
    </cfRule>
  </conditionalFormatting>
  <conditionalFormatting sqref="MB74:MK74">
    <cfRule type="cellIs" dxfId="1" priority="441" operator="greaterThan">
      <formula>0</formula>
    </cfRule>
    <cfRule type="cellIs" dxfId="0" priority="440" operator="lessThan">
      <formula>0</formula>
    </cfRule>
  </conditionalFormatting>
  <conditionalFormatting sqref="MO74:MQ74">
    <cfRule type="cellIs" dxfId="0" priority="10163" operator="lessThan">
      <formula>0</formula>
    </cfRule>
    <cfRule type="cellIs" dxfId="1" priority="10164" operator="greaterThan">
      <formula>0</formula>
    </cfRule>
  </conditionalFormatting>
  <conditionalFormatting sqref="NJ74:NS74">
    <cfRule type="cellIs" dxfId="0" priority="379" operator="lessThan">
      <formula>0</formula>
    </cfRule>
    <cfRule type="cellIs" dxfId="1" priority="380" operator="greaterThan">
      <formula>0</formula>
    </cfRule>
  </conditionalFormatting>
  <conditionalFormatting sqref="NW74:NY74">
    <cfRule type="cellIs" dxfId="0" priority="10420" operator="lessThan">
      <formula>0</formula>
    </cfRule>
    <cfRule type="cellIs" dxfId="1" priority="10421" operator="greaterThan">
      <formula>0</formula>
    </cfRule>
  </conditionalFormatting>
  <conditionalFormatting sqref="L75">
    <cfRule type="cellIs" dxfId="6" priority="6460" operator="lessThan">
      <formula>0</formula>
    </cfRule>
  </conditionalFormatting>
  <conditionalFormatting sqref="AS75">
    <cfRule type="cellIs" dxfId="6" priority="6061" operator="lessThan">
      <formula>0</formula>
    </cfRule>
  </conditionalFormatting>
  <conditionalFormatting sqref="BZ75">
    <cfRule type="cellIs" dxfId="6" priority="5328" operator="lessThan">
      <formula>0</formula>
    </cfRule>
  </conditionalFormatting>
  <conditionalFormatting sqref="DG75">
    <cfRule type="cellIs" dxfId="6" priority="4939" operator="lessThan">
      <formula>0</formula>
    </cfRule>
  </conditionalFormatting>
  <conditionalFormatting sqref="EN75">
    <cfRule type="cellIs" dxfId="6" priority="7578" operator="lessThan">
      <formula>0</formula>
    </cfRule>
  </conditionalFormatting>
  <conditionalFormatting sqref="FW75">
    <cfRule type="cellIs" dxfId="6" priority="4503" operator="lessThan">
      <formula>0</formula>
    </cfRule>
  </conditionalFormatting>
  <conditionalFormatting sqref="HE75">
    <cfRule type="cellIs" dxfId="6" priority="4426" operator="lessThan">
      <formula>0</formula>
    </cfRule>
  </conditionalFormatting>
  <conditionalFormatting sqref="IM75">
    <cfRule type="cellIs" dxfId="6" priority="1672" operator="lessThan">
      <formula>0</formula>
    </cfRule>
  </conditionalFormatting>
  <conditionalFormatting sqref="JU75">
    <cfRule type="cellIs" dxfId="6" priority="1029" operator="lessThan">
      <formula>0</formula>
    </cfRule>
  </conditionalFormatting>
  <conditionalFormatting sqref="LC75">
    <cfRule type="cellIs" dxfId="6" priority="473" operator="lessThan">
      <formula>0</formula>
    </cfRule>
  </conditionalFormatting>
  <conditionalFormatting sqref="MK75">
    <cfRule type="cellIs" dxfId="6" priority="411" operator="lessThan">
      <formula>0</formula>
    </cfRule>
  </conditionalFormatting>
  <conditionalFormatting sqref="NS75">
    <cfRule type="cellIs" dxfId="6" priority="356" operator="lessThan">
      <formula>0</formula>
    </cfRule>
  </conditionalFormatting>
  <conditionalFormatting sqref="C76">
    <cfRule type="cellIs" dxfId="1" priority="6459" operator="greaterThan">
      <formula>0</formula>
    </cfRule>
    <cfRule type="cellIs" dxfId="0" priority="6458" operator="lessThan">
      <formula>0</formula>
    </cfRule>
  </conditionalFormatting>
  <conditionalFormatting sqref="AJ76">
    <cfRule type="cellIs" dxfId="1" priority="6060" operator="greaterThan">
      <formula>0</formula>
    </cfRule>
    <cfRule type="cellIs" dxfId="0" priority="6059" operator="lessThan">
      <formula>0</formula>
    </cfRule>
  </conditionalFormatting>
  <conditionalFormatting sqref="BQ76">
    <cfRule type="cellIs" dxfId="1" priority="5327" operator="greaterThan">
      <formula>0</formula>
    </cfRule>
    <cfRule type="cellIs" dxfId="0" priority="5326" operator="lessThan">
      <formula>0</formula>
    </cfRule>
  </conditionalFormatting>
  <conditionalFormatting sqref="CX76">
    <cfRule type="cellIs" dxfId="1" priority="4938" operator="greaterThan">
      <formula>0</formula>
    </cfRule>
    <cfRule type="cellIs" dxfId="0" priority="4937" operator="lessThan">
      <formula>0</formula>
    </cfRule>
  </conditionalFormatting>
  <conditionalFormatting sqref="EE76">
    <cfRule type="cellIs" dxfId="1" priority="7577" operator="greaterThan">
      <formula>0</formula>
    </cfRule>
    <cfRule type="cellIs" dxfId="0" priority="7576" operator="lessThan">
      <formula>0</formula>
    </cfRule>
  </conditionalFormatting>
  <conditionalFormatting sqref="FN76">
    <cfRule type="cellIs" dxfId="1" priority="4531" operator="greaterThan">
      <formula>0</formula>
    </cfRule>
    <cfRule type="cellIs" dxfId="0" priority="4530" operator="lessThan">
      <formula>0</formula>
    </cfRule>
  </conditionalFormatting>
  <conditionalFormatting sqref="FW76">
    <cfRule type="cellIs" dxfId="6" priority="4529" operator="lessThan">
      <formula>0</formula>
    </cfRule>
  </conditionalFormatting>
  <conditionalFormatting sqref="L78:M78">
    <cfRule type="cellIs" dxfId="1" priority="6427" operator="greaterThan">
      <formula>0</formula>
    </cfRule>
    <cfRule type="cellIs" dxfId="0" priority="6426" operator="lessThan">
      <formula>0</formula>
    </cfRule>
  </conditionalFormatting>
  <conditionalFormatting sqref="AS78:AT78">
    <cfRule type="cellIs" dxfId="1" priority="6028" operator="greaterThan">
      <formula>0</formula>
    </cfRule>
    <cfRule type="cellIs" dxfId="0" priority="6027" operator="lessThan">
      <formula>0</formula>
    </cfRule>
  </conditionalFormatting>
  <conditionalFormatting sqref="BZ78:CA78">
    <cfRule type="cellIs" dxfId="1" priority="5295" operator="greaterThan">
      <formula>0</formula>
    </cfRule>
    <cfRule type="cellIs" dxfId="0" priority="5294" operator="lessThan">
      <formula>0</formula>
    </cfRule>
  </conditionalFormatting>
  <conditionalFormatting sqref="DG78:DH78">
    <cfRule type="cellIs" dxfId="1" priority="4906" operator="greaterThan">
      <formula>0</formula>
    </cfRule>
    <cfRule type="cellIs" dxfId="0" priority="4905" operator="lessThan">
      <formula>0</formula>
    </cfRule>
  </conditionalFormatting>
  <conditionalFormatting sqref="EN78:EO78">
    <cfRule type="cellIs" dxfId="0" priority="4592" operator="lessThan">
      <formula>0</formula>
    </cfRule>
    <cfRule type="cellIs" dxfId="1" priority="4593" operator="greaterThan">
      <formula>0</formula>
    </cfRule>
  </conditionalFormatting>
  <conditionalFormatting sqref="ER78:ET78">
    <cfRule type="cellIs" dxfId="0" priority="7544" operator="lessThan">
      <formula>0</formula>
    </cfRule>
    <cfRule type="cellIs" dxfId="1" priority="7545" operator="greaterThan">
      <formula>0</formula>
    </cfRule>
  </conditionalFormatting>
  <conditionalFormatting sqref="FN78:FX78">
    <cfRule type="cellIs" dxfId="1" priority="4511" operator="greaterThan">
      <formula>0</formula>
    </cfRule>
    <cfRule type="cellIs" dxfId="0" priority="4510" operator="lessThan">
      <formula>0</formula>
    </cfRule>
  </conditionalFormatting>
  <conditionalFormatting sqref="GA78:GC78">
    <cfRule type="cellIs" dxfId="0" priority="8194" operator="lessThan">
      <formula>0</formula>
    </cfRule>
    <cfRule type="cellIs" dxfId="1" priority="8195" operator="greaterThan">
      <formula>0</formula>
    </cfRule>
  </conditionalFormatting>
  <conditionalFormatting sqref="GV78:HF78">
    <cfRule type="cellIs" dxfId="0" priority="4453" operator="lessThan">
      <formula>0</formula>
    </cfRule>
    <cfRule type="cellIs" dxfId="1" priority="4454" operator="greaterThan">
      <formula>0</formula>
    </cfRule>
  </conditionalFormatting>
  <conditionalFormatting sqref="HI78:HK78">
    <cfRule type="cellIs" dxfId="0" priority="8524" operator="lessThan">
      <formula>0</formula>
    </cfRule>
    <cfRule type="cellIs" dxfId="1" priority="8525" operator="greaterThan">
      <formula>0</formula>
    </cfRule>
  </conditionalFormatting>
  <conditionalFormatting sqref="ID78:IN78">
    <cfRule type="cellIs" dxfId="1" priority="1687" operator="greaterThan">
      <formula>0</formula>
    </cfRule>
    <cfRule type="cellIs" dxfId="0" priority="1686" operator="lessThan">
      <formula>0</formula>
    </cfRule>
  </conditionalFormatting>
  <conditionalFormatting sqref="IQ78:IS78">
    <cfRule type="cellIs" dxfId="0" priority="8941" operator="lessThan">
      <formula>0</formula>
    </cfRule>
    <cfRule type="cellIs" dxfId="1" priority="8942" operator="greaterThan">
      <formula>0</formula>
    </cfRule>
  </conditionalFormatting>
  <conditionalFormatting sqref="JL78:JU78">
    <cfRule type="cellIs" dxfId="1" priority="1042" operator="greaterThan">
      <formula>0</formula>
    </cfRule>
    <cfRule type="cellIs" dxfId="0" priority="1041" operator="lessThan">
      <formula>0</formula>
    </cfRule>
  </conditionalFormatting>
  <conditionalFormatting sqref="JX78:KA78">
    <cfRule type="cellIs" dxfId="0" priority="9343" operator="lessThan">
      <formula>0</formula>
    </cfRule>
    <cfRule type="cellIs" dxfId="1" priority="9344" operator="greaterThan">
      <formula>0</formula>
    </cfRule>
  </conditionalFormatting>
  <conditionalFormatting sqref="KT78:LC78">
    <cfRule type="cellIs" dxfId="1" priority="482" operator="greaterThan">
      <formula>0</formula>
    </cfRule>
    <cfRule type="cellIs" dxfId="0" priority="481" operator="lessThan">
      <formula>0</formula>
    </cfRule>
  </conditionalFormatting>
  <conditionalFormatting sqref="LG78:LI78">
    <cfRule type="cellIs" dxfId="0" priority="9721" operator="lessThan">
      <formula>0</formula>
    </cfRule>
    <cfRule type="cellIs" dxfId="1" priority="9722" operator="greaterThan">
      <formula>0</formula>
    </cfRule>
  </conditionalFormatting>
  <conditionalFormatting sqref="MB78:MK78">
    <cfRule type="cellIs" dxfId="1" priority="439" operator="greaterThan">
      <formula>0</formula>
    </cfRule>
    <cfRule type="cellIs" dxfId="0" priority="438" operator="lessThan">
      <formula>0</formula>
    </cfRule>
  </conditionalFormatting>
  <conditionalFormatting sqref="MO78:MQ78">
    <cfRule type="cellIs" dxfId="0" priority="10128" operator="lessThan">
      <formula>0</formula>
    </cfRule>
    <cfRule type="cellIs" dxfId="1" priority="10129" operator="greaterThan">
      <formula>0</formula>
    </cfRule>
  </conditionalFormatting>
  <conditionalFormatting sqref="L79">
    <cfRule type="cellIs" dxfId="6" priority="6425" operator="lessThan">
      <formula>0</formula>
    </cfRule>
  </conditionalFormatting>
  <conditionalFormatting sqref="AS79">
    <cfRule type="cellIs" dxfId="6" priority="6026" operator="lessThan">
      <formula>0</formula>
    </cfRule>
  </conditionalFormatting>
  <conditionalFormatting sqref="BZ79">
    <cfRule type="cellIs" dxfId="6" priority="5293" operator="lessThan">
      <formula>0</formula>
    </cfRule>
  </conditionalFormatting>
  <conditionalFormatting sqref="DG79">
    <cfRule type="cellIs" dxfId="6" priority="4904" operator="lessThan">
      <formula>0</formula>
    </cfRule>
  </conditionalFormatting>
  <conditionalFormatting sqref="EN79">
    <cfRule type="cellIs" dxfId="6" priority="7543" operator="lessThan">
      <formula>0</formula>
    </cfRule>
  </conditionalFormatting>
  <conditionalFormatting sqref="FW79">
    <cfRule type="cellIs" dxfId="6" priority="4502" operator="lessThan">
      <formula>0</formula>
    </cfRule>
  </conditionalFormatting>
  <conditionalFormatting sqref="HE79">
    <cfRule type="cellIs" dxfId="6" priority="4425" operator="lessThan">
      <formula>0</formula>
    </cfRule>
  </conditionalFormatting>
  <conditionalFormatting sqref="IM79">
    <cfRule type="cellIs" dxfId="6" priority="1671" operator="lessThan">
      <formula>0</formula>
    </cfRule>
  </conditionalFormatting>
  <conditionalFormatting sqref="JU79">
    <cfRule type="cellIs" dxfId="6" priority="1028" operator="lessThan">
      <formula>0</formula>
    </cfRule>
  </conditionalFormatting>
  <conditionalFormatting sqref="LC79">
    <cfRule type="cellIs" dxfId="6" priority="474" operator="lessThan">
      <formula>0</formula>
    </cfRule>
  </conditionalFormatting>
  <conditionalFormatting sqref="MK79">
    <cfRule type="cellIs" dxfId="6" priority="410" operator="lessThan">
      <formula>0</formula>
    </cfRule>
  </conditionalFormatting>
  <conditionalFormatting sqref="C80">
    <cfRule type="cellIs" dxfId="1" priority="6424" operator="greaterThan">
      <formula>0</formula>
    </cfRule>
    <cfRule type="cellIs" dxfId="0" priority="6423" operator="lessThan">
      <formula>0</formula>
    </cfRule>
  </conditionalFormatting>
  <conditionalFormatting sqref="AJ80">
    <cfRule type="cellIs" dxfId="1" priority="6025" operator="greaterThan">
      <formula>0</formula>
    </cfRule>
    <cfRule type="cellIs" dxfId="0" priority="6024" operator="lessThan">
      <formula>0</formula>
    </cfRule>
  </conditionalFormatting>
  <conditionalFormatting sqref="BQ80">
    <cfRule type="cellIs" dxfId="1" priority="5292" operator="greaterThan">
      <formula>0</formula>
    </cfRule>
    <cfRule type="cellIs" dxfId="0" priority="5291" operator="lessThan">
      <formula>0</formula>
    </cfRule>
  </conditionalFormatting>
  <conditionalFormatting sqref="CX80">
    <cfRule type="cellIs" dxfId="1" priority="4903" operator="greaterThan">
      <formula>0</formula>
    </cfRule>
    <cfRule type="cellIs" dxfId="0" priority="4902" operator="lessThan">
      <formula>0</formula>
    </cfRule>
  </conditionalFormatting>
  <conditionalFormatting sqref="EE80">
    <cfRule type="cellIs" dxfId="1" priority="7542" operator="greaterThan">
      <formula>0</formula>
    </cfRule>
    <cfRule type="cellIs" dxfId="0" priority="7541" operator="lessThan">
      <formula>0</formula>
    </cfRule>
  </conditionalFormatting>
  <conditionalFormatting sqref="FN80">
    <cfRule type="cellIs" dxfId="1" priority="4528" operator="greaterThan">
      <formula>0</formula>
    </cfRule>
    <cfRule type="cellIs" dxfId="0" priority="4527" operator="lessThan">
      <formula>0</formula>
    </cfRule>
  </conditionalFormatting>
  <conditionalFormatting sqref="FW80">
    <cfRule type="cellIs" dxfId="6" priority="4526" operator="lessThan">
      <formula>0</formula>
    </cfRule>
  </conditionalFormatting>
  <conditionalFormatting sqref="C82">
    <cfRule type="cellIs" dxfId="1" priority="6482" operator="greaterThan">
      <formula>0</formula>
    </cfRule>
    <cfRule type="cellIs" dxfId="0" priority="6481" operator="lessThan">
      <formula>0</formula>
    </cfRule>
  </conditionalFormatting>
  <conditionalFormatting sqref="AJ82">
    <cfRule type="cellIs" dxfId="1" priority="6083" operator="greaterThan">
      <formula>0</formula>
    </cfRule>
    <cfRule type="cellIs" dxfId="0" priority="6082" operator="lessThan">
      <formula>0</formula>
    </cfRule>
  </conditionalFormatting>
  <conditionalFormatting sqref="BQ82">
    <cfRule type="cellIs" dxfId="1" priority="5350" operator="greaterThan">
      <formula>0</formula>
    </cfRule>
    <cfRule type="cellIs" dxfId="0" priority="5349" operator="lessThan">
      <formula>0</formula>
    </cfRule>
  </conditionalFormatting>
  <conditionalFormatting sqref="CX82">
    <cfRule type="cellIs" dxfId="1" priority="4961" operator="greaterThan">
      <formula>0</formula>
    </cfRule>
    <cfRule type="cellIs" dxfId="0" priority="4960" operator="lessThan">
      <formula>0</formula>
    </cfRule>
  </conditionalFormatting>
  <conditionalFormatting sqref="EE82">
    <cfRule type="cellIs" dxfId="1" priority="4571" operator="greaterThan">
      <formula>0</formula>
    </cfRule>
    <cfRule type="cellIs" dxfId="0" priority="4570" operator="lessThan">
      <formula>0</formula>
    </cfRule>
  </conditionalFormatting>
  <conditionalFormatting sqref="EP82:EQ82">
    <cfRule type="cellIs" dxfId="0" priority="7446" operator="lessThan">
      <formula>0</formula>
    </cfRule>
    <cfRule type="cellIs" dxfId="1" priority="7447" operator="greaterThan">
      <formula>0</formula>
    </cfRule>
  </conditionalFormatting>
  <conditionalFormatting sqref="FN82">
    <cfRule type="cellIs" dxfId="1" priority="4505" operator="greaterThan">
      <formula>0</formula>
    </cfRule>
    <cfRule type="cellIs" dxfId="0" priority="4504" operator="lessThan">
      <formula>0</formula>
    </cfRule>
  </conditionalFormatting>
  <conditionalFormatting sqref="FY82:FZ82">
    <cfRule type="cellIs" dxfId="0" priority="8058" operator="lessThan">
      <formula>0</formula>
    </cfRule>
    <cfRule type="cellIs" dxfId="1" priority="8059" operator="greaterThan">
      <formula>0</formula>
    </cfRule>
  </conditionalFormatting>
  <conditionalFormatting sqref="GV82">
    <cfRule type="cellIs" dxfId="0" priority="4445" operator="lessThan">
      <formula>0</formula>
    </cfRule>
    <cfRule type="cellIs" dxfId="1" priority="4446" operator="greaterThan">
      <formula>0</formula>
    </cfRule>
  </conditionalFormatting>
  <conditionalFormatting sqref="ID82">
    <cfRule type="cellIs" dxfId="1" priority="1648" operator="greaterThan">
      <formula>0</formula>
    </cfRule>
    <cfRule type="cellIs" dxfId="0" priority="1647" operator="lessThan">
      <formula>0</formula>
    </cfRule>
  </conditionalFormatting>
  <conditionalFormatting sqref="JL82">
    <cfRule type="cellIs" dxfId="1" priority="1068" operator="greaterThan">
      <formula>0</formula>
    </cfRule>
    <cfRule type="cellIs" dxfId="0" priority="1067" operator="lessThan">
      <formula>0</formula>
    </cfRule>
  </conditionalFormatting>
  <conditionalFormatting sqref="KT82">
    <cfRule type="cellIs" dxfId="1" priority="511" operator="greaterThan">
      <formula>0</formula>
    </cfRule>
    <cfRule type="cellIs" dxfId="0" priority="509" operator="lessThan">
      <formula>0</formula>
    </cfRule>
  </conditionalFormatting>
  <conditionalFormatting sqref="MB82">
    <cfRule type="cellIs" dxfId="1" priority="449" operator="greaterThan">
      <formula>0</formula>
    </cfRule>
    <cfRule type="cellIs" dxfId="0" priority="447" operator="lessThan">
      <formula>0</formula>
    </cfRule>
  </conditionalFormatting>
  <conditionalFormatting sqref="NJ82">
    <cfRule type="cellIs" dxfId="1" priority="331" operator="greaterThan">
      <formula>0</formula>
    </cfRule>
    <cfRule type="cellIs" dxfId="0" priority="329" operator="lessThan">
      <formula>0</formula>
    </cfRule>
  </conditionalFormatting>
  <conditionalFormatting sqref="OS82">
    <cfRule type="cellIs" dxfId="0" priority="10556" operator="lessThan">
      <formula>0</formula>
    </cfRule>
    <cfRule type="cellIs" dxfId="1" priority="10557" operator="greaterThan">
      <formula>0</formula>
    </cfRule>
  </conditionalFormatting>
  <conditionalFormatting sqref="PU82">
    <cfRule type="cellIs" dxfId="0" priority="10369" operator="lessThan">
      <formula>0</formula>
    </cfRule>
    <cfRule type="cellIs" dxfId="1" priority="10370" operator="greaterThan">
      <formula>0</formula>
    </cfRule>
  </conditionalFormatting>
  <conditionalFormatting sqref="H83">
    <cfRule type="cellIs" dxfId="1" priority="6474" operator="greaterThan">
      <formula>0</formula>
    </cfRule>
    <cfRule type="cellIs" dxfId="0" priority="6473" operator="lessThan">
      <formula>0</formula>
    </cfRule>
  </conditionalFormatting>
  <conditionalFormatting sqref="L83:M83">
    <cfRule type="cellIs" dxfId="1" priority="6491" operator="greaterThan">
      <formula>0</formula>
    </cfRule>
    <cfRule type="cellIs" dxfId="0" priority="6490" operator="lessThan">
      <formula>0</formula>
    </cfRule>
  </conditionalFormatting>
  <conditionalFormatting sqref="AO83">
    <cfRule type="cellIs" dxfId="1" priority="6075" operator="greaterThan">
      <formula>0</formula>
    </cfRule>
    <cfRule type="cellIs" dxfId="0" priority="6074" operator="lessThan">
      <formula>0</formula>
    </cfRule>
  </conditionalFormatting>
  <conditionalFormatting sqref="AS83:AT83">
    <cfRule type="cellIs" dxfId="1" priority="6092" operator="greaterThan">
      <formula>0</formula>
    </cfRule>
    <cfRule type="cellIs" dxfId="0" priority="6091" operator="lessThan">
      <formula>0</formula>
    </cfRule>
  </conditionalFormatting>
  <conditionalFormatting sqref="BV83">
    <cfRule type="cellIs" dxfId="1" priority="5342" operator="greaterThan">
      <formula>0</formula>
    </cfRule>
    <cfRule type="cellIs" dxfId="0" priority="5341" operator="lessThan">
      <formula>0</formula>
    </cfRule>
  </conditionalFormatting>
  <conditionalFormatting sqref="BZ83:CA83">
    <cfRule type="cellIs" dxfId="1" priority="5359" operator="greaterThan">
      <formula>0</formula>
    </cfRule>
    <cfRule type="cellIs" dxfId="0" priority="5358" operator="lessThan">
      <formula>0</formula>
    </cfRule>
  </conditionalFormatting>
  <conditionalFormatting sqref="DC83">
    <cfRule type="cellIs" dxfId="1" priority="4953" operator="greaterThan">
      <formula>0</formula>
    </cfRule>
    <cfRule type="cellIs" dxfId="0" priority="4952" operator="lessThan">
      <formula>0</formula>
    </cfRule>
  </conditionalFormatting>
  <conditionalFormatting sqref="DG83:DH83">
    <cfRule type="cellIs" dxfId="1" priority="4970" operator="greaterThan">
      <formula>0</formula>
    </cfRule>
    <cfRule type="cellIs" dxfId="0" priority="4969" operator="lessThan">
      <formula>0</formula>
    </cfRule>
  </conditionalFormatting>
  <conditionalFormatting sqref="EN83:EO83">
    <cfRule type="cellIs" dxfId="0" priority="4588" operator="lessThan">
      <formula>0</formula>
    </cfRule>
    <cfRule type="cellIs" dxfId="1" priority="4589" operator="greaterThan">
      <formula>0</formula>
    </cfRule>
  </conditionalFormatting>
  <conditionalFormatting sqref="ER83:ET83">
    <cfRule type="cellIs" dxfId="0" priority="7610" operator="lessThan">
      <formula>0</formula>
    </cfRule>
    <cfRule type="cellIs" dxfId="1" priority="7611" operator="greaterThan">
      <formula>0</formula>
    </cfRule>
  </conditionalFormatting>
  <conditionalFormatting sqref="FN83:FX83">
    <cfRule type="cellIs" dxfId="1" priority="4507" operator="greaterThan">
      <formula>0</formula>
    </cfRule>
    <cfRule type="cellIs" dxfId="0" priority="4506" operator="lessThan">
      <formula>0</formula>
    </cfRule>
  </conditionalFormatting>
  <conditionalFormatting sqref="GA83:GC83">
    <cfRule type="cellIs" dxfId="0" priority="8260" operator="lessThan">
      <formula>0</formula>
    </cfRule>
    <cfRule type="cellIs" dxfId="1" priority="8261" operator="greaterThan">
      <formula>0</formula>
    </cfRule>
  </conditionalFormatting>
  <conditionalFormatting sqref="GV83:HF83">
    <cfRule type="cellIs" dxfId="0" priority="4457" operator="lessThan">
      <formula>0</formula>
    </cfRule>
    <cfRule type="cellIs" dxfId="1" priority="4458" operator="greaterThan">
      <formula>0</formula>
    </cfRule>
  </conditionalFormatting>
  <conditionalFormatting sqref="HI83:HK83">
    <cfRule type="cellIs" dxfId="0" priority="8590" operator="lessThan">
      <formula>0</formula>
    </cfRule>
    <cfRule type="cellIs" dxfId="1" priority="8591" operator="greaterThan">
      <formula>0</formula>
    </cfRule>
  </conditionalFormatting>
  <conditionalFormatting sqref="ID83:IN83">
    <cfRule type="cellIs" dxfId="1" priority="1685" operator="greaterThan">
      <formula>0</formula>
    </cfRule>
    <cfRule type="cellIs" dxfId="0" priority="1684" operator="lessThan">
      <formula>0</formula>
    </cfRule>
  </conditionalFormatting>
  <conditionalFormatting sqref="IQ83:IS83">
    <cfRule type="cellIs" dxfId="0" priority="9007" operator="lessThan">
      <formula>0</formula>
    </cfRule>
    <cfRule type="cellIs" dxfId="1" priority="9008" operator="greaterThan">
      <formula>0</formula>
    </cfRule>
  </conditionalFormatting>
  <conditionalFormatting sqref="JL83:JU83">
    <cfRule type="cellIs" dxfId="1" priority="1040" operator="greaterThan">
      <formula>0</formula>
    </cfRule>
    <cfRule type="cellIs" dxfId="0" priority="1039" operator="lessThan">
      <formula>0</formula>
    </cfRule>
  </conditionalFormatting>
  <conditionalFormatting sqref="JX83:KA83">
    <cfRule type="cellIs" dxfId="0" priority="9409" operator="lessThan">
      <formula>0</formula>
    </cfRule>
    <cfRule type="cellIs" dxfId="1" priority="9410" operator="greaterThan">
      <formula>0</formula>
    </cfRule>
  </conditionalFormatting>
  <conditionalFormatting sqref="KT83:LC83">
    <cfRule type="cellIs" dxfId="1" priority="513" operator="greaterThan">
      <formula>0</formula>
    </cfRule>
    <cfRule type="cellIs" dxfId="0" priority="512" operator="lessThan">
      <formula>0</formula>
    </cfRule>
  </conditionalFormatting>
  <conditionalFormatting sqref="LG83:LI83">
    <cfRule type="cellIs" dxfId="0" priority="9787" operator="lessThan">
      <formula>0</formula>
    </cfRule>
    <cfRule type="cellIs" dxfId="1" priority="9788" operator="greaterThan">
      <formula>0</formula>
    </cfRule>
  </conditionalFormatting>
  <conditionalFormatting sqref="MB83:MK83">
    <cfRule type="cellIs" dxfId="1" priority="437" operator="greaterThan">
      <formula>0</formula>
    </cfRule>
    <cfRule type="cellIs" dxfId="0" priority="436" operator="lessThan">
      <formula>0</formula>
    </cfRule>
  </conditionalFormatting>
  <conditionalFormatting sqref="MO83:MQ83">
    <cfRule type="cellIs" dxfId="0" priority="10194" operator="lessThan">
      <formula>0</formula>
    </cfRule>
    <cfRule type="cellIs" dxfId="1" priority="10195" operator="greaterThan">
      <formula>0</formula>
    </cfRule>
  </conditionalFormatting>
  <conditionalFormatting sqref="NJ83:NS83">
    <cfRule type="cellIs" dxfId="0" priority="389" operator="lessThan">
      <formula>0</formula>
    </cfRule>
    <cfRule type="cellIs" dxfId="1" priority="390" operator="greaterThan">
      <formula>0</formula>
    </cfRule>
  </conditionalFormatting>
  <conditionalFormatting sqref="NW83:NY83">
    <cfRule type="cellIs" dxfId="0" priority="10487" operator="lessThan">
      <formula>0</formula>
    </cfRule>
    <cfRule type="cellIs" dxfId="1" priority="10488" operator="greaterThan">
      <formula>0</formula>
    </cfRule>
  </conditionalFormatting>
  <conditionalFormatting sqref="OW83">
    <cfRule type="cellIs" dxfId="0" priority="10548" operator="lessThan">
      <formula>0</formula>
    </cfRule>
    <cfRule type="cellIs" dxfId="1" priority="10549" operator="greaterThan">
      <formula>0</formula>
    </cfRule>
  </conditionalFormatting>
  <conditionalFormatting sqref="PA83:PB83">
    <cfRule type="cellIs" dxfId="0" priority="10586" operator="lessThan">
      <formula>0</formula>
    </cfRule>
    <cfRule type="cellIs" dxfId="1" priority="10587" operator="greaterThan">
      <formula>0</formula>
    </cfRule>
  </conditionalFormatting>
  <conditionalFormatting sqref="PY83">
    <cfRule type="cellIs" dxfId="0" priority="10361" operator="lessThan">
      <formula>0</formula>
    </cfRule>
    <cfRule type="cellIs" dxfId="1" priority="10362" operator="greaterThan">
      <formula>0</formula>
    </cfRule>
  </conditionalFormatting>
  <conditionalFormatting sqref="QC83:QD83">
    <cfRule type="cellIs" dxfId="0" priority="10380" operator="lessThan">
      <formula>0</formula>
    </cfRule>
    <cfRule type="cellIs" dxfId="1" priority="10381" operator="greaterThan">
      <formula>0</formula>
    </cfRule>
  </conditionalFormatting>
  <conditionalFormatting sqref="FW84">
    <cfRule type="cellIs" dxfId="6" priority="4501" operator="lessThan">
      <formula>0</formula>
    </cfRule>
  </conditionalFormatting>
  <conditionalFormatting sqref="HE84">
    <cfRule type="cellIs" dxfId="6" priority="4424" operator="lessThan">
      <formula>0</formula>
    </cfRule>
  </conditionalFormatting>
  <conditionalFormatting sqref="IM84">
    <cfRule type="cellIs" dxfId="6" priority="1670" operator="lessThan">
      <formula>0</formula>
    </cfRule>
  </conditionalFormatting>
  <conditionalFormatting sqref="JU84">
    <cfRule type="cellIs" dxfId="6" priority="1027" operator="lessThan">
      <formula>0</formula>
    </cfRule>
  </conditionalFormatting>
  <conditionalFormatting sqref="LC84">
    <cfRule type="cellIs" dxfId="6" priority="507" operator="lessThan">
      <formula>0</formula>
    </cfRule>
  </conditionalFormatting>
  <conditionalFormatting sqref="MK84">
    <cfRule type="cellIs" dxfId="6" priority="409" operator="lessThan">
      <formula>0</formula>
    </cfRule>
  </conditionalFormatting>
  <conditionalFormatting sqref="NS84">
    <cfRule type="cellIs" dxfId="6" priority="355" operator="lessThan">
      <formula>0</formula>
    </cfRule>
  </conditionalFormatting>
  <conditionalFormatting sqref="FW85">
    <cfRule type="cellIs" dxfId="6" priority="4500" operator="lessThan">
      <formula>0</formula>
    </cfRule>
  </conditionalFormatting>
  <conditionalFormatting sqref="HE85">
    <cfRule type="cellIs" dxfId="6" priority="4423" operator="lessThan">
      <formula>0</formula>
    </cfRule>
  </conditionalFormatting>
  <conditionalFormatting sqref="IM85">
    <cfRule type="cellIs" dxfId="6" priority="1669" operator="lessThan">
      <formula>0</formula>
    </cfRule>
  </conditionalFormatting>
  <conditionalFormatting sqref="JU85">
    <cfRule type="cellIs" dxfId="6" priority="1026" operator="lessThan">
      <formula>0</formula>
    </cfRule>
  </conditionalFormatting>
  <conditionalFormatting sqref="LC85">
    <cfRule type="cellIs" dxfId="6" priority="506" operator="lessThan">
      <formula>0</formula>
    </cfRule>
  </conditionalFormatting>
  <conditionalFormatting sqref="MK85">
    <cfRule type="cellIs" dxfId="6" priority="408" operator="lessThan">
      <formula>0</formula>
    </cfRule>
  </conditionalFormatting>
  <conditionalFormatting sqref="NS85">
    <cfRule type="cellIs" dxfId="6" priority="354" operator="lessThan">
      <formula>0</formula>
    </cfRule>
  </conditionalFormatting>
  <conditionalFormatting sqref="FW86">
    <cfRule type="cellIs" dxfId="6" priority="4499" operator="lessThan">
      <formula>0</formula>
    </cfRule>
  </conditionalFormatting>
  <conditionalFormatting sqref="HE86">
    <cfRule type="cellIs" dxfId="6" priority="4422" operator="lessThan">
      <formula>0</formula>
    </cfRule>
  </conditionalFormatting>
  <conditionalFormatting sqref="IM86">
    <cfRule type="cellIs" dxfId="6" priority="1668" operator="lessThan">
      <formula>0</formula>
    </cfRule>
  </conditionalFormatting>
  <conditionalFormatting sqref="JU86">
    <cfRule type="cellIs" dxfId="6" priority="1025" operator="lessThan">
      <formula>0</formula>
    </cfRule>
  </conditionalFormatting>
  <conditionalFormatting sqref="LC86">
    <cfRule type="cellIs" dxfId="6" priority="505" operator="lessThan">
      <formula>0</formula>
    </cfRule>
  </conditionalFormatting>
  <conditionalFormatting sqref="MK86">
    <cfRule type="cellIs" dxfId="6" priority="407" operator="lessThan">
      <formula>0</formula>
    </cfRule>
  </conditionalFormatting>
  <conditionalFormatting sqref="NS86">
    <cfRule type="cellIs" dxfId="6" priority="353" operator="lessThan">
      <formula>0</formula>
    </cfRule>
  </conditionalFormatting>
  <conditionalFormatting sqref="FW87">
    <cfRule type="cellIs" dxfId="6" priority="4498" operator="lessThan">
      <formula>0</formula>
    </cfRule>
  </conditionalFormatting>
  <conditionalFormatting sqref="HE87">
    <cfRule type="cellIs" dxfId="6" priority="4421" operator="lessThan">
      <formula>0</formula>
    </cfRule>
  </conditionalFormatting>
  <conditionalFormatting sqref="IM87">
    <cfRule type="cellIs" dxfId="6" priority="1667" operator="lessThan">
      <formula>0</formula>
    </cfRule>
  </conditionalFormatting>
  <conditionalFormatting sqref="JU87">
    <cfRule type="cellIs" dxfId="6" priority="1024" operator="lessThan">
      <formula>0</formula>
    </cfRule>
  </conditionalFormatting>
  <conditionalFormatting sqref="LC87">
    <cfRule type="cellIs" dxfId="6" priority="504" operator="lessThan">
      <formula>0</formula>
    </cfRule>
  </conditionalFormatting>
  <conditionalFormatting sqref="MK87">
    <cfRule type="cellIs" dxfId="6" priority="406" operator="lessThan">
      <formula>0</formula>
    </cfRule>
  </conditionalFormatting>
  <conditionalFormatting sqref="NS87">
    <cfRule type="cellIs" dxfId="6" priority="352" operator="lessThan">
      <formula>0</formula>
    </cfRule>
  </conditionalFormatting>
  <conditionalFormatting sqref="FW88">
    <cfRule type="cellIs" dxfId="6" priority="4497" operator="lessThan">
      <formula>0</formula>
    </cfRule>
  </conditionalFormatting>
  <conditionalFormatting sqref="HE88">
    <cfRule type="cellIs" dxfId="6" priority="4420" operator="lessThan">
      <formula>0</formula>
    </cfRule>
  </conditionalFormatting>
  <conditionalFormatting sqref="IM88">
    <cfRule type="cellIs" dxfId="6" priority="1666" operator="lessThan">
      <formula>0</formula>
    </cfRule>
  </conditionalFormatting>
  <conditionalFormatting sqref="JU88">
    <cfRule type="cellIs" dxfId="6" priority="1023" operator="lessThan">
      <formula>0</formula>
    </cfRule>
  </conditionalFormatting>
  <conditionalFormatting sqref="LC88">
    <cfRule type="cellIs" dxfId="6" priority="503" operator="lessThan">
      <formula>0</formula>
    </cfRule>
  </conditionalFormatting>
  <conditionalFormatting sqref="MK88">
    <cfRule type="cellIs" dxfId="6" priority="405" operator="lessThan">
      <formula>0</formula>
    </cfRule>
  </conditionalFormatting>
  <conditionalFormatting sqref="NS88">
    <cfRule type="cellIs" dxfId="6" priority="351" operator="lessThan">
      <formula>0</formula>
    </cfRule>
  </conditionalFormatting>
  <conditionalFormatting sqref="FW89">
    <cfRule type="cellIs" dxfId="6" priority="4496" operator="lessThan">
      <formula>0</formula>
    </cfRule>
  </conditionalFormatting>
  <conditionalFormatting sqref="HE89">
    <cfRule type="cellIs" dxfId="6" priority="4419" operator="lessThan">
      <formula>0</formula>
    </cfRule>
  </conditionalFormatting>
  <conditionalFormatting sqref="IM89">
    <cfRule type="cellIs" dxfId="6" priority="1665" operator="lessThan">
      <formula>0</formula>
    </cfRule>
  </conditionalFormatting>
  <conditionalFormatting sqref="JU89">
    <cfRule type="cellIs" dxfId="6" priority="1022" operator="lessThan">
      <formula>0</formula>
    </cfRule>
  </conditionalFormatting>
  <conditionalFormatting sqref="LC89">
    <cfRule type="cellIs" dxfId="6" priority="502" operator="lessThan">
      <formula>0</formula>
    </cfRule>
  </conditionalFormatting>
  <conditionalFormatting sqref="MK89">
    <cfRule type="cellIs" dxfId="6" priority="404" operator="lessThan">
      <formula>0</formula>
    </cfRule>
  </conditionalFormatting>
  <conditionalFormatting sqref="NS89">
    <cfRule type="cellIs" dxfId="6" priority="350" operator="lessThan">
      <formula>0</formula>
    </cfRule>
  </conditionalFormatting>
  <conditionalFormatting sqref="FW90">
    <cfRule type="cellIs" dxfId="6" priority="4495" operator="lessThan">
      <formula>0</formula>
    </cfRule>
  </conditionalFormatting>
  <conditionalFormatting sqref="HE90">
    <cfRule type="cellIs" dxfId="6" priority="4418" operator="lessThan">
      <formula>0</formula>
    </cfRule>
  </conditionalFormatting>
  <conditionalFormatting sqref="IM90">
    <cfRule type="cellIs" dxfId="6" priority="1664" operator="lessThan">
      <formula>0</formula>
    </cfRule>
  </conditionalFormatting>
  <conditionalFormatting sqref="JU90">
    <cfRule type="cellIs" dxfId="6" priority="1021" operator="lessThan">
      <formula>0</formula>
    </cfRule>
  </conditionalFormatting>
  <conditionalFormatting sqref="LC90">
    <cfRule type="cellIs" dxfId="6" priority="501" operator="lessThan">
      <formula>0</formula>
    </cfRule>
  </conditionalFormatting>
  <conditionalFormatting sqref="MK90">
    <cfRule type="cellIs" dxfId="6" priority="403" operator="lessThan">
      <formula>0</formula>
    </cfRule>
  </conditionalFormatting>
  <conditionalFormatting sqref="NS90">
    <cfRule type="cellIs" dxfId="6" priority="349" operator="lessThan">
      <formula>0</formula>
    </cfRule>
  </conditionalFormatting>
  <conditionalFormatting sqref="FW91">
    <cfRule type="cellIs" dxfId="6" priority="4494" operator="lessThan">
      <formula>0</formula>
    </cfRule>
  </conditionalFormatting>
  <conditionalFormatting sqref="HE91">
    <cfRule type="cellIs" dxfId="6" priority="4417" operator="lessThan">
      <formula>0</formula>
    </cfRule>
  </conditionalFormatting>
  <conditionalFormatting sqref="IM91">
    <cfRule type="cellIs" dxfId="6" priority="1663" operator="lessThan">
      <formula>0</formula>
    </cfRule>
  </conditionalFormatting>
  <conditionalFormatting sqref="JU91">
    <cfRule type="cellIs" dxfId="6" priority="1020" operator="lessThan">
      <formula>0</formula>
    </cfRule>
  </conditionalFormatting>
  <conditionalFormatting sqref="LC91">
    <cfRule type="cellIs" dxfId="6" priority="500" operator="lessThan">
      <formula>0</formula>
    </cfRule>
  </conditionalFormatting>
  <conditionalFormatting sqref="MK91">
    <cfRule type="cellIs" dxfId="6" priority="402" operator="lessThan">
      <formula>0</formula>
    </cfRule>
  </conditionalFormatting>
  <conditionalFormatting sqref="NS91">
    <cfRule type="cellIs" dxfId="6" priority="348" operator="lessThan">
      <formula>0</formula>
    </cfRule>
  </conditionalFormatting>
  <conditionalFormatting sqref="FW92">
    <cfRule type="cellIs" dxfId="6" priority="4493" operator="lessThan">
      <formula>0</formula>
    </cfRule>
  </conditionalFormatting>
  <conditionalFormatting sqref="HE92">
    <cfRule type="cellIs" dxfId="6" priority="4416" operator="lessThan">
      <formula>0</formula>
    </cfRule>
  </conditionalFormatting>
  <conditionalFormatting sqref="IM92">
    <cfRule type="cellIs" dxfId="6" priority="1662" operator="lessThan">
      <formula>0</formula>
    </cfRule>
  </conditionalFormatting>
  <conditionalFormatting sqref="JU92">
    <cfRule type="cellIs" dxfId="6" priority="1019" operator="lessThan">
      <formula>0</formula>
    </cfRule>
  </conditionalFormatting>
  <conditionalFormatting sqref="LC92">
    <cfRule type="cellIs" dxfId="6" priority="499" operator="lessThan">
      <formula>0</formula>
    </cfRule>
  </conditionalFormatting>
  <conditionalFormatting sqref="MK92">
    <cfRule type="cellIs" dxfId="6" priority="401" operator="lessThan">
      <formula>0</formula>
    </cfRule>
  </conditionalFormatting>
  <conditionalFormatting sqref="NS92">
    <cfRule type="cellIs" dxfId="6" priority="347" operator="lessThan">
      <formula>0</formula>
    </cfRule>
  </conditionalFormatting>
  <conditionalFormatting sqref="L93">
    <cfRule type="cellIs" dxfId="6" priority="6467" operator="lessThan">
      <formula>0</formula>
    </cfRule>
  </conditionalFormatting>
  <conditionalFormatting sqref="AS93">
    <cfRule type="cellIs" dxfId="6" priority="6068" operator="lessThan">
      <formula>0</formula>
    </cfRule>
  </conditionalFormatting>
  <conditionalFormatting sqref="BZ93">
    <cfRule type="cellIs" dxfId="6" priority="5335" operator="lessThan">
      <formula>0</formula>
    </cfRule>
  </conditionalFormatting>
  <conditionalFormatting sqref="DG93">
    <cfRule type="cellIs" dxfId="6" priority="4946" operator="lessThan">
      <formula>0</formula>
    </cfRule>
  </conditionalFormatting>
  <conditionalFormatting sqref="EN93">
    <cfRule type="cellIs" dxfId="6" priority="7585" operator="lessThan">
      <formula>0</formula>
    </cfRule>
  </conditionalFormatting>
  <conditionalFormatting sqref="FW93">
    <cfRule type="cellIs" dxfId="6" priority="4492" operator="lessThan">
      <formula>0</formula>
    </cfRule>
  </conditionalFormatting>
  <conditionalFormatting sqref="HE93">
    <cfRule type="cellIs" dxfId="6" priority="4415" operator="lessThan">
      <formula>0</formula>
    </cfRule>
  </conditionalFormatting>
  <conditionalFormatting sqref="IM93">
    <cfRule type="cellIs" dxfId="6" priority="1661" operator="lessThan">
      <formula>0</formula>
    </cfRule>
  </conditionalFormatting>
  <conditionalFormatting sqref="JU93">
    <cfRule type="cellIs" dxfId="6" priority="1018" operator="lessThan">
      <formula>0</formula>
    </cfRule>
  </conditionalFormatting>
  <conditionalFormatting sqref="LC93">
    <cfRule type="cellIs" dxfId="6" priority="498" operator="lessThan">
      <formula>0</formula>
    </cfRule>
  </conditionalFormatting>
  <conditionalFormatting sqref="MK93">
    <cfRule type="cellIs" dxfId="6" priority="400" operator="lessThan">
      <formula>0</formula>
    </cfRule>
  </conditionalFormatting>
  <conditionalFormatting sqref="NS93">
    <cfRule type="cellIs" dxfId="6" priority="346" operator="lessThan">
      <formula>0</formula>
    </cfRule>
  </conditionalFormatting>
  <conditionalFormatting sqref="L94">
    <cfRule type="cellIs" dxfId="6" priority="6466" operator="lessThan">
      <formula>0</formula>
    </cfRule>
  </conditionalFormatting>
  <conditionalFormatting sqref="AS94">
    <cfRule type="cellIs" dxfId="6" priority="6067" operator="lessThan">
      <formula>0</formula>
    </cfRule>
  </conditionalFormatting>
  <conditionalFormatting sqref="BZ94">
    <cfRule type="cellIs" dxfId="6" priority="5334" operator="lessThan">
      <formula>0</formula>
    </cfRule>
  </conditionalFormatting>
  <conditionalFormatting sqref="DG94">
    <cfRule type="cellIs" dxfId="6" priority="4945" operator="lessThan">
      <formula>0</formula>
    </cfRule>
  </conditionalFormatting>
  <conditionalFormatting sqref="EN94">
    <cfRule type="cellIs" dxfId="6" priority="7584" operator="lessThan">
      <formula>0</formula>
    </cfRule>
  </conditionalFormatting>
  <conditionalFormatting sqref="FW94">
    <cfRule type="cellIs" dxfId="6" priority="4491" operator="lessThan">
      <formula>0</formula>
    </cfRule>
  </conditionalFormatting>
  <conditionalFormatting sqref="HE94">
    <cfRule type="cellIs" dxfId="6" priority="4414" operator="lessThan">
      <formula>0</formula>
    </cfRule>
  </conditionalFormatting>
  <conditionalFormatting sqref="IM94">
    <cfRule type="cellIs" dxfId="6" priority="1660" operator="lessThan">
      <formula>0</formula>
    </cfRule>
  </conditionalFormatting>
  <conditionalFormatting sqref="JU94">
    <cfRule type="cellIs" dxfId="6" priority="1017" operator="lessThan">
      <formula>0</formula>
    </cfRule>
  </conditionalFormatting>
  <conditionalFormatting sqref="LC94">
    <cfRule type="cellIs" dxfId="6" priority="497" operator="lessThan">
      <formula>0</formula>
    </cfRule>
  </conditionalFormatting>
  <conditionalFormatting sqref="MK94">
    <cfRule type="cellIs" dxfId="6" priority="399" operator="lessThan">
      <formula>0</formula>
    </cfRule>
  </conditionalFormatting>
  <conditionalFormatting sqref="NS94">
    <cfRule type="cellIs" dxfId="6" priority="345" operator="lessThan">
      <formula>0</formula>
    </cfRule>
  </conditionalFormatting>
  <conditionalFormatting sqref="L95">
    <cfRule type="cellIs" dxfId="6" priority="6465" operator="lessThan">
      <formula>0</formula>
    </cfRule>
  </conditionalFormatting>
  <conditionalFormatting sqref="AS95">
    <cfRule type="cellIs" dxfId="6" priority="6066" operator="lessThan">
      <formula>0</formula>
    </cfRule>
  </conditionalFormatting>
  <conditionalFormatting sqref="BZ95">
    <cfRule type="cellIs" dxfId="6" priority="5333" operator="lessThan">
      <formula>0</formula>
    </cfRule>
  </conditionalFormatting>
  <conditionalFormatting sqref="DG95">
    <cfRule type="cellIs" dxfId="6" priority="4944" operator="lessThan">
      <formula>0</formula>
    </cfRule>
  </conditionalFormatting>
  <conditionalFormatting sqref="FW95">
    <cfRule type="cellIs" dxfId="6" priority="4490" operator="lessThan">
      <formula>0</formula>
    </cfRule>
  </conditionalFormatting>
  <conditionalFormatting sqref="HE95">
    <cfRule type="cellIs" dxfId="6" priority="4413" operator="lessThan">
      <formula>0</formula>
    </cfRule>
  </conditionalFormatting>
  <conditionalFormatting sqref="IM95">
    <cfRule type="cellIs" dxfId="6" priority="1659" operator="lessThan">
      <formula>0</formula>
    </cfRule>
  </conditionalFormatting>
  <conditionalFormatting sqref="JU95">
    <cfRule type="cellIs" dxfId="6" priority="1016" operator="lessThan">
      <formula>0</formula>
    </cfRule>
  </conditionalFormatting>
  <conditionalFormatting sqref="LC95">
    <cfRule type="cellIs" dxfId="6" priority="496" operator="lessThan">
      <formula>0</formula>
    </cfRule>
  </conditionalFormatting>
  <conditionalFormatting sqref="MK95">
    <cfRule type="cellIs" dxfId="6" priority="398" operator="lessThan">
      <formula>0</formula>
    </cfRule>
  </conditionalFormatting>
  <conditionalFormatting sqref="NS95">
    <cfRule type="cellIs" dxfId="6" priority="344" operator="lessThan">
      <formula>0</formula>
    </cfRule>
  </conditionalFormatting>
  <conditionalFormatting sqref="L96">
    <cfRule type="cellIs" dxfId="6" priority="6236" operator="lessThan">
      <formula>0</formula>
    </cfRule>
  </conditionalFormatting>
  <conditionalFormatting sqref="AS96">
    <cfRule type="cellIs" dxfId="6" priority="5861" operator="lessThan">
      <formula>0</formula>
    </cfRule>
  </conditionalFormatting>
  <conditionalFormatting sqref="BZ96">
    <cfRule type="cellIs" dxfId="6" priority="5134" operator="lessThan">
      <formula>0</formula>
    </cfRule>
  </conditionalFormatting>
  <conditionalFormatting sqref="DG96">
    <cfRule type="cellIs" dxfId="6" priority="4745" operator="lessThan">
      <formula>0</formula>
    </cfRule>
  </conditionalFormatting>
  <conditionalFormatting sqref="FW96">
    <cfRule type="cellIs" dxfId="6" priority="4489" operator="lessThan">
      <formula>0</formula>
    </cfRule>
  </conditionalFormatting>
  <conditionalFormatting sqref="HE96">
    <cfRule type="cellIs" dxfId="6" priority="4412" operator="lessThan">
      <formula>0</formula>
    </cfRule>
  </conditionalFormatting>
  <conditionalFormatting sqref="IM96">
    <cfRule type="cellIs" dxfId="6" priority="1658" operator="lessThan">
      <formula>0</formula>
    </cfRule>
  </conditionalFormatting>
  <conditionalFormatting sqref="JU96">
    <cfRule type="cellIs" dxfId="6" priority="1015" operator="lessThan">
      <formula>0</formula>
    </cfRule>
  </conditionalFormatting>
  <conditionalFormatting sqref="MJ96">
    <cfRule type="cellIs" dxfId="6" priority="10167" operator="lessThan">
      <formula>0</formula>
    </cfRule>
  </conditionalFormatting>
  <conditionalFormatting sqref="NP96:NS96">
    <cfRule type="cellIs" dxfId="0" priority="342" operator="lessThan">
      <formula>0</formula>
    </cfRule>
    <cfRule type="cellIs" dxfId="1" priority="343" operator="greaterThan">
      <formula>0</formula>
    </cfRule>
  </conditionalFormatting>
  <conditionalFormatting sqref="C97">
    <cfRule type="cellIs" dxfId="1" priority="6235" operator="greaterThan">
      <formula>0</formula>
    </cfRule>
    <cfRule type="cellIs" dxfId="0" priority="6234" operator="lessThan">
      <formula>0</formula>
    </cfRule>
  </conditionalFormatting>
  <conditionalFormatting sqref="L97">
    <cfRule type="cellIs" dxfId="6" priority="6233" operator="lessThan">
      <formula>0</formula>
    </cfRule>
  </conditionalFormatting>
  <conditionalFormatting sqref="AJ97">
    <cfRule type="cellIs" dxfId="1" priority="5860" operator="greaterThan">
      <formula>0</formula>
    </cfRule>
    <cfRule type="cellIs" dxfId="0" priority="5859" operator="lessThan">
      <formula>0</formula>
    </cfRule>
  </conditionalFormatting>
  <conditionalFormatting sqref="AS97">
    <cfRule type="cellIs" dxfId="6" priority="5858" operator="lessThan">
      <formula>0</formula>
    </cfRule>
  </conditionalFormatting>
  <conditionalFormatting sqref="BQ97">
    <cfRule type="cellIs" dxfId="1" priority="5133" operator="greaterThan">
      <formula>0</formula>
    </cfRule>
    <cfRule type="cellIs" dxfId="0" priority="5132" operator="lessThan">
      <formula>0</formula>
    </cfRule>
  </conditionalFormatting>
  <conditionalFormatting sqref="BZ97">
    <cfRule type="cellIs" dxfId="6" priority="5131" operator="lessThan">
      <formula>0</formula>
    </cfRule>
  </conditionalFormatting>
  <conditionalFormatting sqref="CX97">
    <cfRule type="cellIs" dxfId="1" priority="4744" operator="greaterThan">
      <formula>0</formula>
    </cfRule>
    <cfRule type="cellIs" dxfId="0" priority="4743" operator="lessThan">
      <formula>0</formula>
    </cfRule>
  </conditionalFormatting>
  <conditionalFormatting sqref="DG97">
    <cfRule type="cellIs" dxfId="6" priority="4742" operator="lessThan">
      <formula>0</formula>
    </cfRule>
  </conditionalFormatting>
  <conditionalFormatting sqref="EE97">
    <cfRule type="cellIs" dxfId="1" priority="7609" operator="greaterThan">
      <formula>0</formula>
    </cfRule>
    <cfRule type="cellIs" dxfId="0" priority="7608" operator="lessThan">
      <formula>0</formula>
    </cfRule>
  </conditionalFormatting>
  <conditionalFormatting sqref="FN97">
    <cfRule type="cellIs" dxfId="1" priority="4525" operator="greaterThan">
      <formula>0</formula>
    </cfRule>
    <cfRule type="cellIs" dxfId="0" priority="4524" operator="lessThan">
      <formula>0</formula>
    </cfRule>
  </conditionalFormatting>
  <conditionalFormatting sqref="FW97">
    <cfRule type="cellIs" dxfId="6" priority="4523" operator="lessThan">
      <formula>0</formula>
    </cfRule>
  </conditionalFormatting>
  <conditionalFormatting sqref="OS97">
    <cfRule type="cellIs" dxfId="0" priority="10584" operator="lessThan">
      <formula>0</formula>
    </cfRule>
    <cfRule type="cellIs" dxfId="1" priority="10585" operator="greaterThan">
      <formula>0</formula>
    </cfRule>
  </conditionalFormatting>
  <conditionalFormatting sqref="PU97">
    <cfRule type="cellIs" dxfId="0" priority="10378" operator="lessThan">
      <formula>0</formula>
    </cfRule>
    <cfRule type="cellIs" dxfId="1" priority="10379" operator="greaterThan">
      <formula>0</formula>
    </cfRule>
  </conditionalFormatting>
  <conditionalFormatting sqref="C99">
    <cfRule type="cellIs" dxfId="1" priority="6495" operator="greaterThan">
      <formula>0</formula>
    </cfRule>
    <cfRule type="cellIs" dxfId="0" priority="6494" operator="lessThan">
      <formula>0</formula>
    </cfRule>
  </conditionalFormatting>
  <conditionalFormatting sqref="G99">
    <cfRule type="cellIs" dxfId="1" priority="6480" operator="greaterThan">
      <formula>0</formula>
    </cfRule>
    <cfRule type="cellIs" dxfId="0" priority="6479" operator="lessThan">
      <formula>0</formula>
    </cfRule>
  </conditionalFormatting>
  <conditionalFormatting sqref="H99">
    <cfRule type="cellIs" dxfId="1" priority="6472" operator="greaterThan">
      <formula>0</formula>
    </cfRule>
    <cfRule type="cellIs" dxfId="0" priority="6471" operator="lessThan">
      <formula>0</formula>
    </cfRule>
  </conditionalFormatting>
  <conditionalFormatting sqref="I99:K99">
    <cfRule type="cellIs" dxfId="1" priority="6478" operator="greaterThan">
      <formula>0</formula>
    </cfRule>
    <cfRule type="cellIs" dxfId="0" priority="6477" operator="lessThan">
      <formula>0</formula>
    </cfRule>
  </conditionalFormatting>
  <conditionalFormatting sqref="L99:M99">
    <cfRule type="cellIs" dxfId="1" priority="6476" operator="greaterThan">
      <formula>0</formula>
    </cfRule>
    <cfRule type="cellIs" dxfId="0" priority="6475" operator="lessThan">
      <formula>0</formula>
    </cfRule>
  </conditionalFormatting>
  <conditionalFormatting sqref="AJ99">
    <cfRule type="cellIs" dxfId="1" priority="6096" operator="greaterThan">
      <formula>0</formula>
    </cfRule>
    <cfRule type="cellIs" dxfId="0" priority="6095" operator="lessThan">
      <formula>0</formula>
    </cfRule>
  </conditionalFormatting>
  <conditionalFormatting sqref="AN99">
    <cfRule type="cellIs" dxfId="1" priority="6081" operator="greaterThan">
      <formula>0</formula>
    </cfRule>
    <cfRule type="cellIs" dxfId="0" priority="6080" operator="lessThan">
      <formula>0</formula>
    </cfRule>
  </conditionalFormatting>
  <conditionalFormatting sqref="AO99">
    <cfRule type="cellIs" dxfId="1" priority="6073" operator="greaterThan">
      <formula>0</formula>
    </cfRule>
    <cfRule type="cellIs" dxfId="0" priority="6072" operator="lessThan">
      <formula>0</formula>
    </cfRule>
  </conditionalFormatting>
  <conditionalFormatting sqref="AP99:AR99">
    <cfRule type="cellIs" dxfId="1" priority="6079" operator="greaterThan">
      <formula>0</formula>
    </cfRule>
    <cfRule type="cellIs" dxfId="0" priority="6078" operator="lessThan">
      <formula>0</formula>
    </cfRule>
  </conditionalFormatting>
  <conditionalFormatting sqref="AS99:AT99">
    <cfRule type="cellIs" dxfId="1" priority="6077" operator="greaterThan">
      <formula>0</formula>
    </cfRule>
    <cfRule type="cellIs" dxfId="0" priority="6076" operator="lessThan">
      <formula>0</formula>
    </cfRule>
  </conditionalFormatting>
  <conditionalFormatting sqref="BQ99">
    <cfRule type="cellIs" dxfId="1" priority="5363" operator="greaterThan">
      <formula>0</formula>
    </cfRule>
    <cfRule type="cellIs" dxfId="0" priority="5362" operator="lessThan">
      <formula>0</formula>
    </cfRule>
  </conditionalFormatting>
  <conditionalFormatting sqref="BU99">
    <cfRule type="cellIs" dxfId="1" priority="5348" operator="greaterThan">
      <formula>0</formula>
    </cfRule>
    <cfRule type="cellIs" dxfId="0" priority="5347" operator="lessThan">
      <formula>0</formula>
    </cfRule>
  </conditionalFormatting>
  <conditionalFormatting sqref="BV99">
    <cfRule type="cellIs" dxfId="1" priority="5340" operator="greaterThan">
      <formula>0</formula>
    </cfRule>
    <cfRule type="cellIs" dxfId="0" priority="5339" operator="lessThan">
      <formula>0</formula>
    </cfRule>
  </conditionalFormatting>
  <conditionalFormatting sqref="BW99:BY99">
    <cfRule type="cellIs" dxfId="1" priority="5346" operator="greaterThan">
      <formula>0</formula>
    </cfRule>
    <cfRule type="cellIs" dxfId="0" priority="5345" operator="lessThan">
      <formula>0</formula>
    </cfRule>
  </conditionalFormatting>
  <conditionalFormatting sqref="BZ99:CA99">
    <cfRule type="cellIs" dxfId="1" priority="5344" operator="greaterThan">
      <formula>0</formula>
    </cfRule>
    <cfRule type="cellIs" dxfId="0" priority="5343" operator="lessThan">
      <formula>0</formula>
    </cfRule>
  </conditionalFormatting>
  <conditionalFormatting sqref="CX99">
    <cfRule type="cellIs" dxfId="1" priority="4974" operator="greaterThan">
      <formula>0</formula>
    </cfRule>
    <cfRule type="cellIs" dxfId="0" priority="4973" operator="lessThan">
      <formula>0</formula>
    </cfRule>
  </conditionalFormatting>
  <conditionalFormatting sqref="DB99">
    <cfRule type="cellIs" dxfId="1" priority="4959" operator="greaterThan">
      <formula>0</formula>
    </cfRule>
    <cfRule type="cellIs" dxfId="0" priority="4958" operator="lessThan">
      <formula>0</formula>
    </cfRule>
  </conditionalFormatting>
  <conditionalFormatting sqref="DC99">
    <cfRule type="cellIs" dxfId="1" priority="4951" operator="greaterThan">
      <formula>0</formula>
    </cfRule>
    <cfRule type="cellIs" dxfId="0" priority="4950" operator="lessThan">
      <formula>0</formula>
    </cfRule>
  </conditionalFormatting>
  <conditionalFormatting sqref="DD99:DF99">
    <cfRule type="cellIs" dxfId="1" priority="4957" operator="greaterThan">
      <formula>0</formula>
    </cfRule>
    <cfRule type="cellIs" dxfId="0" priority="4956" operator="lessThan">
      <formula>0</formula>
    </cfRule>
  </conditionalFormatting>
  <conditionalFormatting sqref="DG99:DH99">
    <cfRule type="cellIs" dxfId="1" priority="4955" operator="greaterThan">
      <formula>0</formula>
    </cfRule>
    <cfRule type="cellIs" dxfId="0" priority="4954" operator="lessThan">
      <formula>0</formula>
    </cfRule>
  </conditionalFormatting>
  <conditionalFormatting sqref="EN99:EO99">
    <cfRule type="cellIs" dxfId="1" priority="4565" operator="greaterThan">
      <formula>0</formula>
    </cfRule>
    <cfRule type="cellIs" dxfId="0" priority="4564" operator="lessThan">
      <formula>0</formula>
    </cfRule>
  </conditionalFormatting>
  <conditionalFormatting sqref="ER99:ET99">
    <cfRule type="cellIs" dxfId="0" priority="7593" operator="lessThan">
      <formula>0</formula>
    </cfRule>
    <cfRule type="cellIs" dxfId="1" priority="7594" operator="greaterThan">
      <formula>0</formula>
    </cfRule>
  </conditionalFormatting>
  <conditionalFormatting sqref="FN99:FX99">
    <cfRule type="cellIs" dxfId="1" priority="4509" operator="greaterThan">
      <formula>0</formula>
    </cfRule>
    <cfRule type="cellIs" dxfId="0" priority="4508" operator="lessThan">
      <formula>0</formula>
    </cfRule>
  </conditionalFormatting>
  <conditionalFormatting sqref="GA99:GC99">
    <cfRule type="cellIs" dxfId="0" priority="8243" operator="lessThan">
      <formula>0</formula>
    </cfRule>
    <cfRule type="cellIs" dxfId="1" priority="8244" operator="greaterThan">
      <formula>0</formula>
    </cfRule>
  </conditionalFormatting>
  <conditionalFormatting sqref="GV99:HF99">
    <cfRule type="cellIs" dxfId="0" priority="4463" operator="lessThan">
      <formula>0</formula>
    </cfRule>
    <cfRule type="cellIs" dxfId="1" priority="4464" operator="greaterThan">
      <formula>0</formula>
    </cfRule>
  </conditionalFormatting>
  <conditionalFormatting sqref="HI99:HK99">
    <cfRule type="cellIs" dxfId="0" priority="8573" operator="lessThan">
      <formula>0</formula>
    </cfRule>
    <cfRule type="cellIs" dxfId="1" priority="8574" operator="greaterThan">
      <formula>0</formula>
    </cfRule>
  </conditionalFormatting>
  <conditionalFormatting sqref="ID99:IN99">
    <cfRule type="cellIs" dxfId="1" priority="1683" operator="greaterThan">
      <formula>0</formula>
    </cfRule>
    <cfRule type="cellIs" dxfId="0" priority="1682" operator="lessThan">
      <formula>0</formula>
    </cfRule>
  </conditionalFormatting>
  <conditionalFormatting sqref="IQ99:IS99">
    <cfRule type="cellIs" dxfId="0" priority="8990" operator="lessThan">
      <formula>0</formula>
    </cfRule>
    <cfRule type="cellIs" dxfId="1" priority="8991" operator="greaterThan">
      <formula>0</formula>
    </cfRule>
  </conditionalFormatting>
  <conditionalFormatting sqref="JL99:JU99">
    <cfRule type="cellIs" dxfId="1" priority="1038" operator="greaterThan">
      <formula>0</formula>
    </cfRule>
    <cfRule type="cellIs" dxfId="0" priority="1037" operator="lessThan">
      <formula>0</formula>
    </cfRule>
  </conditionalFormatting>
  <conditionalFormatting sqref="JX99:KA99">
    <cfRule type="cellIs" dxfId="0" priority="9392" operator="lessThan">
      <formula>0</formula>
    </cfRule>
    <cfRule type="cellIs" dxfId="1" priority="9393" operator="greaterThan">
      <formula>0</formula>
    </cfRule>
  </conditionalFormatting>
  <conditionalFormatting sqref="KT99:LC99">
    <cfRule type="cellIs" dxfId="1" priority="495" operator="greaterThan">
      <formula>0</formula>
    </cfRule>
    <cfRule type="cellIs" dxfId="0" priority="494" operator="lessThan">
      <formula>0</formula>
    </cfRule>
  </conditionalFormatting>
  <conditionalFormatting sqref="LG99:LI99">
    <cfRule type="cellIs" dxfId="0" priority="9770" operator="lessThan">
      <formula>0</formula>
    </cfRule>
    <cfRule type="cellIs" dxfId="1" priority="9771" operator="greaterThan">
      <formula>0</formula>
    </cfRule>
  </conditionalFormatting>
  <conditionalFormatting sqref="MB99:MK99">
    <cfRule type="cellIs" dxfId="1" priority="435" operator="greaterThan">
      <formula>0</formula>
    </cfRule>
    <cfRule type="cellIs" dxfId="0" priority="434" operator="lessThan">
      <formula>0</formula>
    </cfRule>
  </conditionalFormatting>
  <conditionalFormatting sqref="MO99:MQ99">
    <cfRule type="cellIs" dxfId="0" priority="10177" operator="lessThan">
      <formula>0</formula>
    </cfRule>
    <cfRule type="cellIs" dxfId="1" priority="10178" operator="greaterThan">
      <formula>0</formula>
    </cfRule>
  </conditionalFormatting>
  <conditionalFormatting sqref="NJ99:NS99">
    <cfRule type="cellIs" dxfId="0" priority="387" operator="lessThan">
      <formula>0</formula>
    </cfRule>
    <cfRule type="cellIs" dxfId="1" priority="388" operator="greaterThan">
      <formula>0</formula>
    </cfRule>
  </conditionalFormatting>
  <conditionalFormatting sqref="NW99:NY99">
    <cfRule type="cellIs" dxfId="0" priority="10470" operator="lessThan">
      <formula>0</formula>
    </cfRule>
    <cfRule type="cellIs" dxfId="1" priority="10471" operator="greaterThan">
      <formula>0</formula>
    </cfRule>
  </conditionalFormatting>
  <conditionalFormatting sqref="OS99:OT99">
    <cfRule type="cellIs" dxfId="0" priority="10590" operator="lessThan">
      <formula>0</formula>
    </cfRule>
    <cfRule type="cellIs" dxfId="1" priority="10591" operator="greaterThan">
      <formula>0</formula>
    </cfRule>
  </conditionalFormatting>
  <conditionalFormatting sqref="OV99">
    <cfRule type="cellIs" dxfId="0" priority="10554" operator="lessThan">
      <formula>0</formula>
    </cfRule>
    <cfRule type="cellIs" dxfId="1" priority="10555" operator="greaterThan">
      <formula>0</formula>
    </cfRule>
  </conditionalFormatting>
  <conditionalFormatting sqref="OW99">
    <cfRule type="cellIs" dxfId="0" priority="10546" operator="lessThan">
      <formula>0</formula>
    </cfRule>
    <cfRule type="cellIs" dxfId="1" priority="10547" operator="greaterThan">
      <formula>0</formula>
    </cfRule>
  </conditionalFormatting>
  <conditionalFormatting sqref="OX99:OZ99">
    <cfRule type="cellIs" dxfId="0" priority="10552" operator="lessThan">
      <formula>0</formula>
    </cfRule>
    <cfRule type="cellIs" dxfId="1" priority="10553" operator="greaterThan">
      <formula>0</formula>
    </cfRule>
  </conditionalFormatting>
  <conditionalFormatting sqref="PA99:PB99">
    <cfRule type="cellIs" dxfId="0" priority="10550" operator="lessThan">
      <formula>0</formula>
    </cfRule>
    <cfRule type="cellIs" dxfId="1" priority="10551" operator="greaterThan">
      <formula>0</formula>
    </cfRule>
  </conditionalFormatting>
  <conditionalFormatting sqref="PU99:PV99">
    <cfRule type="cellIs" dxfId="0" priority="10384" operator="lessThan">
      <formula>0</formula>
    </cfRule>
    <cfRule type="cellIs" dxfId="1" priority="10385" operator="greaterThan">
      <formula>0</formula>
    </cfRule>
  </conditionalFormatting>
  <conditionalFormatting sqref="PX99">
    <cfRule type="cellIs" dxfId="0" priority="10367" operator="lessThan">
      <formula>0</formula>
    </cfRule>
    <cfRule type="cellIs" dxfId="1" priority="10368" operator="greaterThan">
      <formula>0</formula>
    </cfRule>
  </conditionalFormatting>
  <conditionalFormatting sqref="PY99">
    <cfRule type="cellIs" dxfId="0" priority="10359" operator="lessThan">
      <formula>0</formula>
    </cfRule>
    <cfRule type="cellIs" dxfId="1" priority="10360" operator="greaterThan">
      <formula>0</formula>
    </cfRule>
  </conditionalFormatting>
  <conditionalFormatting sqref="PZ99:QB99">
    <cfRule type="cellIs" dxfId="0" priority="10365" operator="lessThan">
      <formula>0</formula>
    </cfRule>
    <cfRule type="cellIs" dxfId="1" priority="10366" operator="greaterThan">
      <formula>0</formula>
    </cfRule>
  </conditionalFormatting>
  <conditionalFormatting sqref="QC99:QD99">
    <cfRule type="cellIs" dxfId="0" priority="10363" operator="lessThan">
      <formula>0</formula>
    </cfRule>
    <cfRule type="cellIs" dxfId="1" priority="10364" operator="greaterThan">
      <formula>0</formula>
    </cfRule>
  </conditionalFormatting>
  <conditionalFormatting sqref="FW100">
    <cfRule type="cellIs" dxfId="6" priority="4488" operator="lessThan">
      <formula>0</formula>
    </cfRule>
  </conditionalFormatting>
  <conditionalFormatting sqref="HE100">
    <cfRule type="cellIs" dxfId="6" priority="4411" operator="lessThan">
      <formula>0</formula>
    </cfRule>
  </conditionalFormatting>
  <conditionalFormatting sqref="IM100">
    <cfRule type="cellIs" dxfId="6" priority="1657" operator="lessThan">
      <formula>0</formula>
    </cfRule>
  </conditionalFormatting>
  <conditionalFormatting sqref="JU100">
    <cfRule type="cellIs" dxfId="6" priority="1014" operator="lessThan">
      <formula>0</formula>
    </cfRule>
  </conditionalFormatting>
  <conditionalFormatting sqref="LC100">
    <cfRule type="cellIs" dxfId="6" priority="489" operator="lessThan">
      <formula>0</formula>
    </cfRule>
  </conditionalFormatting>
  <conditionalFormatting sqref="MK100">
    <cfRule type="cellIs" dxfId="6" priority="397" operator="lessThan">
      <formula>0</formula>
    </cfRule>
  </conditionalFormatting>
  <conditionalFormatting sqref="NS100">
    <cfRule type="cellIs" dxfId="6" priority="341" operator="lessThan">
      <formula>0</formula>
    </cfRule>
  </conditionalFormatting>
  <conditionalFormatting sqref="FW101">
    <cfRule type="cellIs" dxfId="6" priority="4487" operator="lessThan">
      <formula>0</formula>
    </cfRule>
  </conditionalFormatting>
  <conditionalFormatting sqref="HE101">
    <cfRule type="cellIs" dxfId="6" priority="4410" operator="lessThan">
      <formula>0</formula>
    </cfRule>
  </conditionalFormatting>
  <conditionalFormatting sqref="IM101">
    <cfRule type="cellIs" dxfId="6" priority="1656" operator="lessThan">
      <formula>0</formula>
    </cfRule>
  </conditionalFormatting>
  <conditionalFormatting sqref="JU101">
    <cfRule type="cellIs" dxfId="6" priority="1013" operator="lessThan">
      <formula>0</formula>
    </cfRule>
  </conditionalFormatting>
  <conditionalFormatting sqref="LC101">
    <cfRule type="cellIs" dxfId="6" priority="488" operator="lessThan">
      <formula>0</formula>
    </cfRule>
  </conditionalFormatting>
  <conditionalFormatting sqref="MK101">
    <cfRule type="cellIs" dxfId="6" priority="396" operator="lessThan">
      <formula>0</formula>
    </cfRule>
  </conditionalFormatting>
  <conditionalFormatting sqref="NS101">
    <cfRule type="cellIs" dxfId="6" priority="340" operator="lessThan">
      <formula>0</formula>
    </cfRule>
  </conditionalFormatting>
  <conditionalFormatting sqref="FW102">
    <cfRule type="cellIs" dxfId="6" priority="4486" operator="lessThan">
      <formula>0</formula>
    </cfRule>
  </conditionalFormatting>
  <conditionalFormatting sqref="HE102">
    <cfRule type="cellIs" dxfId="6" priority="4409" operator="lessThan">
      <formula>0</formula>
    </cfRule>
  </conditionalFormatting>
  <conditionalFormatting sqref="IM102">
    <cfRule type="cellIs" dxfId="6" priority="1655" operator="lessThan">
      <formula>0</formula>
    </cfRule>
  </conditionalFormatting>
  <conditionalFormatting sqref="JU102">
    <cfRule type="cellIs" dxfId="6" priority="1012" operator="lessThan">
      <formula>0</formula>
    </cfRule>
  </conditionalFormatting>
  <conditionalFormatting sqref="LC102">
    <cfRule type="cellIs" dxfId="6" priority="487" operator="lessThan">
      <formula>0</formula>
    </cfRule>
  </conditionalFormatting>
  <conditionalFormatting sqref="MK102">
    <cfRule type="cellIs" dxfId="6" priority="395" operator="lessThan">
      <formula>0</formula>
    </cfRule>
  </conditionalFormatting>
  <conditionalFormatting sqref="NS102">
    <cfRule type="cellIs" dxfId="6" priority="339" operator="lessThan">
      <formula>0</formula>
    </cfRule>
  </conditionalFormatting>
  <conditionalFormatting sqref="FW103">
    <cfRule type="cellIs" dxfId="6" priority="4485" operator="lessThan">
      <formula>0</formula>
    </cfRule>
  </conditionalFormatting>
  <conditionalFormatting sqref="HE103">
    <cfRule type="cellIs" dxfId="6" priority="4408" operator="lessThan">
      <formula>0</formula>
    </cfRule>
  </conditionalFormatting>
  <conditionalFormatting sqref="IM103">
    <cfRule type="cellIs" dxfId="6" priority="1654" operator="lessThan">
      <formula>0</formula>
    </cfRule>
  </conditionalFormatting>
  <conditionalFormatting sqref="JU103">
    <cfRule type="cellIs" dxfId="6" priority="1011" operator="lessThan">
      <formula>0</formula>
    </cfRule>
  </conditionalFormatting>
  <conditionalFormatting sqref="LC103">
    <cfRule type="cellIs" dxfId="6" priority="486" operator="lessThan">
      <formula>0</formula>
    </cfRule>
  </conditionalFormatting>
  <conditionalFormatting sqref="MK103">
    <cfRule type="cellIs" dxfId="6" priority="394" operator="lessThan">
      <formula>0</formula>
    </cfRule>
  </conditionalFormatting>
  <conditionalFormatting sqref="NS103">
    <cfRule type="cellIs" dxfId="6" priority="338" operator="lessThan">
      <formula>0</formula>
    </cfRule>
  </conditionalFormatting>
  <conditionalFormatting sqref="FW104">
    <cfRule type="cellIs" dxfId="6" priority="4484" operator="lessThan">
      <formula>0</formula>
    </cfRule>
  </conditionalFormatting>
  <conditionalFormatting sqref="HE104">
    <cfRule type="cellIs" dxfId="6" priority="4407" operator="lessThan">
      <formula>0</formula>
    </cfRule>
  </conditionalFormatting>
  <conditionalFormatting sqref="IM104">
    <cfRule type="cellIs" dxfId="6" priority="1653" operator="lessThan">
      <formula>0</formula>
    </cfRule>
  </conditionalFormatting>
  <conditionalFormatting sqref="JU104">
    <cfRule type="cellIs" dxfId="6" priority="1010" operator="lessThan">
      <formula>0</formula>
    </cfRule>
  </conditionalFormatting>
  <conditionalFormatting sqref="LC104">
    <cfRule type="cellIs" dxfId="6" priority="485" operator="lessThan">
      <formula>0</formula>
    </cfRule>
  </conditionalFormatting>
  <conditionalFormatting sqref="MK104">
    <cfRule type="cellIs" dxfId="6" priority="393" operator="lessThan">
      <formula>0</formula>
    </cfRule>
  </conditionalFormatting>
  <conditionalFormatting sqref="NS104">
    <cfRule type="cellIs" dxfId="6" priority="337" operator="lessThan">
      <formula>0</formula>
    </cfRule>
  </conditionalFormatting>
  <conditionalFormatting sqref="C105">
    <cfRule type="cellIs" dxfId="1" priority="6488" operator="greaterThan">
      <formula>0</formula>
    </cfRule>
    <cfRule type="cellIs" dxfId="0" priority="6487" operator="lessThan">
      <formula>0</formula>
    </cfRule>
  </conditionalFormatting>
  <conditionalFormatting sqref="L105">
    <cfRule type="cellIs" dxfId="6" priority="6486" operator="lessThan">
      <formula>0</formula>
    </cfRule>
  </conditionalFormatting>
  <conditionalFormatting sqref="AJ105">
    <cfRule type="cellIs" dxfId="1" priority="6089" operator="greaterThan">
      <formula>0</formula>
    </cfRule>
    <cfRule type="cellIs" dxfId="0" priority="6088" operator="lessThan">
      <formula>0</formula>
    </cfRule>
  </conditionalFormatting>
  <conditionalFormatting sqref="AS105">
    <cfRule type="cellIs" dxfId="6" priority="6087" operator="lessThan">
      <formula>0</formula>
    </cfRule>
  </conditionalFormatting>
  <conditionalFormatting sqref="BQ105">
    <cfRule type="cellIs" dxfId="1" priority="5356" operator="greaterThan">
      <formula>0</formula>
    </cfRule>
    <cfRule type="cellIs" dxfId="0" priority="5355" operator="lessThan">
      <formula>0</formula>
    </cfRule>
  </conditionalFormatting>
  <conditionalFormatting sqref="BZ105">
    <cfRule type="cellIs" dxfId="6" priority="5354" operator="lessThan">
      <formula>0</formula>
    </cfRule>
  </conditionalFormatting>
  <conditionalFormatting sqref="CX105">
    <cfRule type="cellIs" dxfId="1" priority="4967" operator="greaterThan">
      <formula>0</formula>
    </cfRule>
    <cfRule type="cellIs" dxfId="0" priority="4966" operator="lessThan">
      <formula>0</formula>
    </cfRule>
  </conditionalFormatting>
  <conditionalFormatting sqref="DG105">
    <cfRule type="cellIs" dxfId="6" priority="4965" operator="lessThan">
      <formula>0</formula>
    </cfRule>
  </conditionalFormatting>
  <conditionalFormatting sqref="EE105">
    <cfRule type="cellIs" dxfId="1" priority="7606" operator="greaterThan">
      <formula>0</formula>
    </cfRule>
    <cfRule type="cellIs" dxfId="0" priority="7605" operator="lessThan">
      <formula>0</formula>
    </cfRule>
  </conditionalFormatting>
  <conditionalFormatting sqref="EN105">
    <cfRule type="cellIs" dxfId="6" priority="7604" operator="lessThan">
      <formula>0</formula>
    </cfRule>
  </conditionalFormatting>
  <conditionalFormatting sqref="FN105">
    <cfRule type="cellIs" dxfId="1" priority="4481" operator="greaterThan">
      <formula>0</formula>
    </cfRule>
    <cfRule type="cellIs" dxfId="0" priority="4480" operator="lessThan">
      <formula>0</formula>
    </cfRule>
  </conditionalFormatting>
  <conditionalFormatting sqref="FW105">
    <cfRule type="cellIs" dxfId="6" priority="4479" operator="lessThan">
      <formula>0</formula>
    </cfRule>
  </conditionalFormatting>
  <conditionalFormatting sqref="OS105">
    <cfRule type="cellIs" dxfId="0" priority="10581" operator="lessThan">
      <formula>0</formula>
    </cfRule>
    <cfRule type="cellIs" dxfId="1" priority="10582" operator="greaterThan">
      <formula>0</formula>
    </cfRule>
  </conditionalFormatting>
  <conditionalFormatting sqref="PA105">
    <cfRule type="cellIs" dxfId="6" priority="10580" operator="lessThan">
      <formula>0</formula>
    </cfRule>
  </conditionalFormatting>
  <conditionalFormatting sqref="PU105">
    <cfRule type="cellIs" dxfId="0" priority="10375" operator="lessThan">
      <formula>0</formula>
    </cfRule>
    <cfRule type="cellIs" dxfId="1" priority="10376" operator="greaterThan">
      <formula>0</formula>
    </cfRule>
  </conditionalFormatting>
  <conditionalFormatting sqref="QC105">
    <cfRule type="cellIs" dxfId="6" priority="10374" operator="lessThan">
      <formula>0</formula>
    </cfRule>
  </conditionalFormatting>
  <conditionalFormatting sqref="C107">
    <cfRule type="cellIs" dxfId="1" priority="6454" operator="greaterThan">
      <formula>0</formula>
    </cfRule>
    <cfRule type="cellIs" dxfId="0" priority="6453" operator="lessThan">
      <formula>0</formula>
    </cfRule>
  </conditionalFormatting>
  <conditionalFormatting sqref="G107">
    <cfRule type="cellIs" dxfId="1" priority="6452" operator="greaterThan">
      <formula>0</formula>
    </cfRule>
    <cfRule type="cellIs" dxfId="0" priority="6451" operator="lessThan">
      <formula>0</formula>
    </cfRule>
  </conditionalFormatting>
  <conditionalFormatting sqref="H107">
    <cfRule type="cellIs" dxfId="1" priority="6446" operator="greaterThan">
      <formula>0</formula>
    </cfRule>
    <cfRule type="cellIs" dxfId="0" priority="6445" operator="lessThan">
      <formula>0</formula>
    </cfRule>
  </conditionalFormatting>
  <conditionalFormatting sqref="I107:K107">
    <cfRule type="cellIs" dxfId="1" priority="6450" operator="greaterThan">
      <formula>0</formula>
    </cfRule>
    <cfRule type="cellIs" dxfId="0" priority="6449" operator="lessThan">
      <formula>0</formula>
    </cfRule>
  </conditionalFormatting>
  <conditionalFormatting sqref="L107:M107">
    <cfRule type="cellIs" dxfId="1" priority="6448" operator="greaterThan">
      <formula>0</formula>
    </cfRule>
    <cfRule type="cellIs" dxfId="0" priority="6447" operator="lessThan">
      <formula>0</formula>
    </cfRule>
  </conditionalFormatting>
  <conditionalFormatting sqref="AJ107">
    <cfRule type="cellIs" dxfId="1" priority="6055" operator="greaterThan">
      <formula>0</formula>
    </cfRule>
    <cfRule type="cellIs" dxfId="0" priority="6054" operator="lessThan">
      <formula>0</formula>
    </cfRule>
  </conditionalFormatting>
  <conditionalFormatting sqref="AN107">
    <cfRule type="cellIs" dxfId="1" priority="6053" operator="greaterThan">
      <formula>0</formula>
    </cfRule>
    <cfRule type="cellIs" dxfId="0" priority="6052" operator="lessThan">
      <formula>0</formula>
    </cfRule>
  </conditionalFormatting>
  <conditionalFormatting sqref="AO107">
    <cfRule type="cellIs" dxfId="1" priority="6047" operator="greaterThan">
      <formula>0</formula>
    </cfRule>
    <cfRule type="cellIs" dxfId="0" priority="6046" operator="lessThan">
      <formula>0</formula>
    </cfRule>
  </conditionalFormatting>
  <conditionalFormatting sqref="AP107:AR107">
    <cfRule type="cellIs" dxfId="1" priority="6051" operator="greaterThan">
      <formula>0</formula>
    </cfRule>
    <cfRule type="cellIs" dxfId="0" priority="6050" operator="lessThan">
      <formula>0</formula>
    </cfRule>
  </conditionalFormatting>
  <conditionalFormatting sqref="AS107:AT107">
    <cfRule type="cellIs" dxfId="1" priority="6049" operator="greaterThan">
      <formula>0</formula>
    </cfRule>
    <cfRule type="cellIs" dxfId="0" priority="6048" operator="lessThan">
      <formula>0</formula>
    </cfRule>
  </conditionalFormatting>
  <conditionalFormatting sqref="BQ107">
    <cfRule type="cellIs" dxfId="1" priority="5322" operator="greaterThan">
      <formula>0</formula>
    </cfRule>
    <cfRule type="cellIs" dxfId="0" priority="5321" operator="lessThan">
      <formula>0</formula>
    </cfRule>
  </conditionalFormatting>
  <conditionalFormatting sqref="BU107">
    <cfRule type="cellIs" dxfId="1" priority="5320" operator="greaterThan">
      <formula>0</formula>
    </cfRule>
    <cfRule type="cellIs" dxfId="0" priority="5319" operator="lessThan">
      <formula>0</formula>
    </cfRule>
  </conditionalFormatting>
  <conditionalFormatting sqref="BV107">
    <cfRule type="cellIs" dxfId="1" priority="5314" operator="greaterThan">
      <formula>0</formula>
    </cfRule>
    <cfRule type="cellIs" dxfId="0" priority="5313" operator="lessThan">
      <formula>0</formula>
    </cfRule>
  </conditionalFormatting>
  <conditionalFormatting sqref="BW107:BY107">
    <cfRule type="cellIs" dxfId="1" priority="5318" operator="greaterThan">
      <formula>0</formula>
    </cfRule>
    <cfRule type="cellIs" dxfId="0" priority="5317" operator="lessThan">
      <formula>0</formula>
    </cfRule>
  </conditionalFormatting>
  <conditionalFormatting sqref="BZ107:CA107">
    <cfRule type="cellIs" dxfId="1" priority="5316" operator="greaterThan">
      <formula>0</formula>
    </cfRule>
    <cfRule type="cellIs" dxfId="0" priority="5315" operator="lessThan">
      <formula>0</formula>
    </cfRule>
  </conditionalFormatting>
  <conditionalFormatting sqref="CX107">
    <cfRule type="cellIs" dxfId="1" priority="4933" operator="greaterThan">
      <formula>0</formula>
    </cfRule>
    <cfRule type="cellIs" dxfId="0" priority="4932" operator="lessThan">
      <formula>0</formula>
    </cfRule>
  </conditionalFormatting>
  <conditionalFormatting sqref="DB107">
    <cfRule type="cellIs" dxfId="1" priority="4931" operator="greaterThan">
      <formula>0</formula>
    </cfRule>
    <cfRule type="cellIs" dxfId="0" priority="4930" operator="lessThan">
      <formula>0</formula>
    </cfRule>
  </conditionalFormatting>
  <conditionalFormatting sqref="DC107">
    <cfRule type="cellIs" dxfId="1" priority="4925" operator="greaterThan">
      <formula>0</formula>
    </cfRule>
    <cfRule type="cellIs" dxfId="0" priority="4924" operator="lessThan">
      <formula>0</formula>
    </cfRule>
  </conditionalFormatting>
  <conditionalFormatting sqref="DD107:DF107">
    <cfRule type="cellIs" dxfId="1" priority="4929" operator="greaterThan">
      <formula>0</formula>
    </cfRule>
    <cfRule type="cellIs" dxfId="0" priority="4928" operator="lessThan">
      <formula>0</formula>
    </cfRule>
  </conditionalFormatting>
  <conditionalFormatting sqref="DG107:DH107">
    <cfRule type="cellIs" dxfId="1" priority="4927" operator="greaterThan">
      <formula>0</formula>
    </cfRule>
    <cfRule type="cellIs" dxfId="0" priority="4926" operator="lessThan">
      <formula>0</formula>
    </cfRule>
  </conditionalFormatting>
  <conditionalFormatting sqref="EN107:EO107">
    <cfRule type="cellIs" dxfId="1" priority="4561" operator="greaterThan">
      <formula>0</formula>
    </cfRule>
    <cfRule type="cellIs" dxfId="0" priority="4560" operator="lessThan">
      <formula>0</formula>
    </cfRule>
  </conditionalFormatting>
  <conditionalFormatting sqref="ER107:ET107">
    <cfRule type="cellIs" dxfId="0" priority="7565" operator="lessThan">
      <formula>0</formula>
    </cfRule>
    <cfRule type="cellIs" dxfId="1" priority="7566" operator="greaterThan">
      <formula>0</formula>
    </cfRule>
  </conditionalFormatting>
  <conditionalFormatting sqref="FN107:FX107">
    <cfRule type="cellIs" dxfId="1" priority="4472" operator="greaterThan">
      <formula>0</formula>
    </cfRule>
    <cfRule type="cellIs" dxfId="0" priority="4471" operator="lessThan">
      <formula>0</formula>
    </cfRule>
  </conditionalFormatting>
  <conditionalFormatting sqref="GA107:GC107">
    <cfRule type="cellIs" dxfId="0" priority="8215" operator="lessThan">
      <formula>0</formula>
    </cfRule>
    <cfRule type="cellIs" dxfId="1" priority="8216" operator="greaterThan">
      <formula>0</formula>
    </cfRule>
  </conditionalFormatting>
  <conditionalFormatting sqref="GV107:HF107">
    <cfRule type="cellIs" dxfId="0" priority="4461" operator="lessThan">
      <formula>0</formula>
    </cfRule>
    <cfRule type="cellIs" dxfId="1" priority="4462" operator="greaterThan">
      <formula>0</formula>
    </cfRule>
  </conditionalFormatting>
  <conditionalFormatting sqref="HI107:HK107">
    <cfRule type="cellIs" dxfId="0" priority="8545" operator="lessThan">
      <formula>0</formula>
    </cfRule>
    <cfRule type="cellIs" dxfId="1" priority="8546" operator="greaterThan">
      <formula>0</formula>
    </cfRule>
  </conditionalFormatting>
  <conditionalFormatting sqref="ID107:IN107">
    <cfRule type="cellIs" dxfId="1" priority="1681" operator="greaterThan">
      <formula>0</formula>
    </cfRule>
    <cfRule type="cellIs" dxfId="0" priority="1680" operator="lessThan">
      <formula>0</formula>
    </cfRule>
  </conditionalFormatting>
  <conditionalFormatting sqref="IQ107:IS107">
    <cfRule type="cellIs" dxfId="0" priority="8962" operator="lessThan">
      <formula>0</formula>
    </cfRule>
    <cfRule type="cellIs" dxfId="1" priority="8963" operator="greaterThan">
      <formula>0</formula>
    </cfRule>
  </conditionalFormatting>
  <conditionalFormatting sqref="JL107:JU107">
    <cfRule type="cellIs" dxfId="1" priority="1036" operator="greaterThan">
      <formula>0</formula>
    </cfRule>
    <cfRule type="cellIs" dxfId="0" priority="1035" operator="lessThan">
      <formula>0</formula>
    </cfRule>
  </conditionalFormatting>
  <conditionalFormatting sqref="JX107:KA107">
    <cfRule type="cellIs" dxfId="0" priority="9364" operator="lessThan">
      <formula>0</formula>
    </cfRule>
    <cfRule type="cellIs" dxfId="1" priority="9365" operator="greaterThan">
      <formula>0</formula>
    </cfRule>
  </conditionalFormatting>
  <conditionalFormatting sqref="KT107:LC107">
    <cfRule type="cellIs" dxfId="1" priority="493" operator="greaterThan">
      <formula>0</formula>
    </cfRule>
    <cfRule type="cellIs" dxfId="0" priority="492" operator="lessThan">
      <formula>0</formula>
    </cfRule>
  </conditionalFormatting>
  <conditionalFormatting sqref="LG107:LI107">
    <cfRule type="cellIs" dxfId="0" priority="9742" operator="lessThan">
      <formula>0</formula>
    </cfRule>
    <cfRule type="cellIs" dxfId="1" priority="9743" operator="greaterThan">
      <formula>0</formula>
    </cfRule>
  </conditionalFormatting>
  <conditionalFormatting sqref="MB107:MK107">
    <cfRule type="cellIs" dxfId="1" priority="433" operator="greaterThan">
      <formula>0</formula>
    </cfRule>
    <cfRule type="cellIs" dxfId="0" priority="432" operator="lessThan">
      <formula>0</formula>
    </cfRule>
  </conditionalFormatting>
  <conditionalFormatting sqref="MO107:MQ107">
    <cfRule type="cellIs" dxfId="0" priority="10149" operator="lessThan">
      <formula>0</formula>
    </cfRule>
    <cfRule type="cellIs" dxfId="1" priority="10150" operator="greaterThan">
      <formula>0</formula>
    </cfRule>
  </conditionalFormatting>
  <conditionalFormatting sqref="NJ107:NS107">
    <cfRule type="cellIs" dxfId="0" priority="385" operator="lessThan">
      <formula>0</formula>
    </cfRule>
    <cfRule type="cellIs" dxfId="1" priority="386" operator="greaterThan">
      <formula>0</formula>
    </cfRule>
  </conditionalFormatting>
  <conditionalFormatting sqref="NW107:NY107">
    <cfRule type="cellIs" dxfId="0" priority="10404" operator="lessThan">
      <formula>0</formula>
    </cfRule>
    <cfRule type="cellIs" dxfId="1" priority="10405" operator="greaterThan">
      <formula>0</formula>
    </cfRule>
  </conditionalFormatting>
  <conditionalFormatting sqref="L108">
    <cfRule type="cellIs" dxfId="6" priority="6457" operator="lessThan">
      <formula>0</formula>
    </cfRule>
  </conditionalFormatting>
  <conditionalFormatting sqref="AS108">
    <cfRule type="cellIs" dxfId="6" priority="6058" operator="lessThan">
      <formula>0</formula>
    </cfRule>
  </conditionalFormatting>
  <conditionalFormatting sqref="BZ108">
    <cfRule type="cellIs" dxfId="6" priority="5325" operator="lessThan">
      <formula>0</formula>
    </cfRule>
  </conditionalFormatting>
  <conditionalFormatting sqref="DG108">
    <cfRule type="cellIs" dxfId="6" priority="4936" operator="lessThan">
      <formula>0</formula>
    </cfRule>
  </conditionalFormatting>
  <conditionalFormatting sqref="EN108">
    <cfRule type="cellIs" dxfId="6" priority="7575" operator="lessThan">
      <formula>0</formula>
    </cfRule>
  </conditionalFormatting>
  <conditionalFormatting sqref="FW108">
    <cfRule type="cellIs" dxfId="6" priority="4483" operator="lessThan">
      <formula>0</formula>
    </cfRule>
  </conditionalFormatting>
  <conditionalFormatting sqref="HE108">
    <cfRule type="cellIs" dxfId="6" priority="4406" operator="lessThan">
      <formula>0</formula>
    </cfRule>
  </conditionalFormatting>
  <conditionalFormatting sqref="IM108">
    <cfRule type="cellIs" dxfId="6" priority="1652" operator="lessThan">
      <formula>0</formula>
    </cfRule>
  </conditionalFormatting>
  <conditionalFormatting sqref="JU108">
    <cfRule type="cellIs" dxfId="6" priority="1009" operator="lessThan">
      <formula>0</formula>
    </cfRule>
  </conditionalFormatting>
  <conditionalFormatting sqref="LC108">
    <cfRule type="cellIs" dxfId="6" priority="484" operator="lessThan">
      <formula>0</formula>
    </cfRule>
  </conditionalFormatting>
  <conditionalFormatting sqref="MK108">
    <cfRule type="cellIs" dxfId="6" priority="392" operator="lessThan">
      <formula>0</formula>
    </cfRule>
  </conditionalFormatting>
  <conditionalFormatting sqref="NS108">
    <cfRule type="cellIs" dxfId="6" priority="336" operator="lessThan">
      <formula>0</formula>
    </cfRule>
  </conditionalFormatting>
  <conditionalFormatting sqref="C109">
    <cfRule type="cellIs" dxfId="1" priority="6456" operator="greaterThan">
      <formula>0</formula>
    </cfRule>
    <cfRule type="cellIs" dxfId="0" priority="6455" operator="lessThan">
      <formula>0</formula>
    </cfRule>
  </conditionalFormatting>
  <conditionalFormatting sqref="L109">
    <cfRule type="cellIs" dxfId="6" priority="6444" operator="lessThan">
      <formula>0</formula>
    </cfRule>
  </conditionalFormatting>
  <conditionalFormatting sqref="AJ109">
    <cfRule type="cellIs" dxfId="1" priority="6057" operator="greaterThan">
      <formula>0</formula>
    </cfRule>
    <cfRule type="cellIs" dxfId="0" priority="6056" operator="lessThan">
      <formula>0</formula>
    </cfRule>
  </conditionalFormatting>
  <conditionalFormatting sqref="AS109">
    <cfRule type="cellIs" dxfId="6" priority="6045" operator="lessThan">
      <formula>0</formula>
    </cfRule>
  </conditionalFormatting>
  <conditionalFormatting sqref="BQ109">
    <cfRule type="cellIs" dxfId="1" priority="5324" operator="greaterThan">
      <formula>0</formula>
    </cfRule>
    <cfRule type="cellIs" dxfId="0" priority="5323" operator="lessThan">
      <formula>0</formula>
    </cfRule>
  </conditionalFormatting>
  <conditionalFormatting sqref="BZ109">
    <cfRule type="cellIs" dxfId="6" priority="5312" operator="lessThan">
      <formula>0</formula>
    </cfRule>
  </conditionalFormatting>
  <conditionalFormatting sqref="CX109">
    <cfRule type="cellIs" dxfId="1" priority="4935" operator="greaterThan">
      <formula>0</formula>
    </cfRule>
    <cfRule type="cellIs" dxfId="0" priority="4934" operator="lessThan">
      <formula>0</formula>
    </cfRule>
  </conditionalFormatting>
  <conditionalFormatting sqref="DG109">
    <cfRule type="cellIs" dxfId="6" priority="4923" operator="lessThan">
      <formula>0</formula>
    </cfRule>
  </conditionalFormatting>
  <conditionalFormatting sqref="EE109">
    <cfRule type="cellIs" dxfId="1" priority="7574" operator="greaterThan">
      <formula>0</formula>
    </cfRule>
    <cfRule type="cellIs" dxfId="0" priority="7573" operator="lessThan">
      <formula>0</formula>
    </cfRule>
  </conditionalFormatting>
  <conditionalFormatting sqref="EN109">
    <cfRule type="cellIs" dxfId="6" priority="7562" operator="lessThan">
      <formula>0</formula>
    </cfRule>
  </conditionalFormatting>
  <conditionalFormatting sqref="FN109">
    <cfRule type="cellIs" dxfId="1" priority="4478" operator="greaterThan">
      <formula>0</formula>
    </cfRule>
    <cfRule type="cellIs" dxfId="0" priority="4477" operator="lessThan">
      <formula>0</formula>
    </cfRule>
  </conditionalFormatting>
  <conditionalFormatting sqref="FW109">
    <cfRule type="cellIs" dxfId="6" priority="4476" operator="lessThan">
      <formula>0</formula>
    </cfRule>
  </conditionalFormatting>
  <conditionalFormatting sqref="C111">
    <cfRule type="cellIs" dxfId="1" priority="6440" operator="greaterThan">
      <formula>0</formula>
    </cfRule>
    <cfRule type="cellIs" dxfId="0" priority="6439" operator="lessThan">
      <formula>0</formula>
    </cfRule>
  </conditionalFormatting>
  <conditionalFormatting sqref="G111">
    <cfRule type="cellIs" dxfId="1" priority="6438" operator="greaterThan">
      <formula>0</formula>
    </cfRule>
    <cfRule type="cellIs" dxfId="0" priority="6437" operator="lessThan">
      <formula>0</formula>
    </cfRule>
  </conditionalFormatting>
  <conditionalFormatting sqref="H111">
    <cfRule type="cellIs" dxfId="1" priority="6432" operator="greaterThan">
      <formula>0</formula>
    </cfRule>
    <cfRule type="cellIs" dxfId="0" priority="6431" operator="lessThan">
      <formula>0</formula>
    </cfRule>
  </conditionalFormatting>
  <conditionalFormatting sqref="I111:K111">
    <cfRule type="cellIs" dxfId="1" priority="6436" operator="greaterThan">
      <formula>0</formula>
    </cfRule>
    <cfRule type="cellIs" dxfId="0" priority="6435" operator="lessThan">
      <formula>0</formula>
    </cfRule>
  </conditionalFormatting>
  <conditionalFormatting sqref="L111:M111">
    <cfRule type="cellIs" dxfId="1" priority="6434" operator="greaterThan">
      <formula>0</formula>
    </cfRule>
    <cfRule type="cellIs" dxfId="0" priority="6433" operator="lessThan">
      <formula>0</formula>
    </cfRule>
  </conditionalFormatting>
  <conditionalFormatting sqref="AJ111">
    <cfRule type="cellIs" dxfId="1" priority="6041" operator="greaterThan">
      <formula>0</formula>
    </cfRule>
    <cfRule type="cellIs" dxfId="0" priority="6040" operator="lessThan">
      <formula>0</formula>
    </cfRule>
  </conditionalFormatting>
  <conditionalFormatting sqref="AN111">
    <cfRule type="cellIs" dxfId="1" priority="6039" operator="greaterThan">
      <formula>0</formula>
    </cfRule>
    <cfRule type="cellIs" dxfId="0" priority="6038" operator="lessThan">
      <formula>0</formula>
    </cfRule>
  </conditionalFormatting>
  <conditionalFormatting sqref="AO111">
    <cfRule type="cellIs" dxfId="1" priority="6033" operator="greaterThan">
      <formula>0</formula>
    </cfRule>
    <cfRule type="cellIs" dxfId="0" priority="6032" operator="lessThan">
      <formula>0</formula>
    </cfRule>
  </conditionalFormatting>
  <conditionalFormatting sqref="AP111:AR111">
    <cfRule type="cellIs" dxfId="1" priority="6037" operator="greaterThan">
      <formula>0</formula>
    </cfRule>
    <cfRule type="cellIs" dxfId="0" priority="6036" operator="lessThan">
      <formula>0</formula>
    </cfRule>
  </conditionalFormatting>
  <conditionalFormatting sqref="AS111:AT111">
    <cfRule type="cellIs" dxfId="1" priority="6035" operator="greaterThan">
      <formula>0</formula>
    </cfRule>
    <cfRule type="cellIs" dxfId="0" priority="6034" operator="lessThan">
      <formula>0</formula>
    </cfRule>
  </conditionalFormatting>
  <conditionalFormatting sqref="BQ111">
    <cfRule type="cellIs" dxfId="1" priority="5308" operator="greaterThan">
      <formula>0</formula>
    </cfRule>
    <cfRule type="cellIs" dxfId="0" priority="5307" operator="lessThan">
      <formula>0</formula>
    </cfRule>
  </conditionalFormatting>
  <conditionalFormatting sqref="BU111">
    <cfRule type="cellIs" dxfId="1" priority="5306" operator="greaterThan">
      <formula>0</formula>
    </cfRule>
    <cfRule type="cellIs" dxfId="0" priority="5305" operator="lessThan">
      <formula>0</formula>
    </cfRule>
  </conditionalFormatting>
  <conditionalFormatting sqref="BV111">
    <cfRule type="cellIs" dxfId="1" priority="5300" operator="greaterThan">
      <formula>0</formula>
    </cfRule>
    <cfRule type="cellIs" dxfId="0" priority="5299" operator="lessThan">
      <formula>0</formula>
    </cfRule>
  </conditionalFormatting>
  <conditionalFormatting sqref="BW111:BY111">
    <cfRule type="cellIs" dxfId="1" priority="5304" operator="greaterThan">
      <formula>0</formula>
    </cfRule>
    <cfRule type="cellIs" dxfId="0" priority="5303" operator="lessThan">
      <formula>0</formula>
    </cfRule>
  </conditionalFormatting>
  <conditionalFormatting sqref="BZ111:CA111">
    <cfRule type="cellIs" dxfId="1" priority="5302" operator="greaterThan">
      <formula>0</formula>
    </cfRule>
    <cfRule type="cellIs" dxfId="0" priority="5301" operator="lessThan">
      <formula>0</formula>
    </cfRule>
  </conditionalFormatting>
  <conditionalFormatting sqref="CX111">
    <cfRule type="cellIs" dxfId="1" priority="4919" operator="greaterThan">
      <formula>0</formula>
    </cfRule>
    <cfRule type="cellIs" dxfId="0" priority="4918" operator="lessThan">
      <formula>0</formula>
    </cfRule>
  </conditionalFormatting>
  <conditionalFormatting sqref="DB111">
    <cfRule type="cellIs" dxfId="1" priority="4917" operator="greaterThan">
      <formula>0</formula>
    </cfRule>
    <cfRule type="cellIs" dxfId="0" priority="4916" operator="lessThan">
      <formula>0</formula>
    </cfRule>
  </conditionalFormatting>
  <conditionalFormatting sqref="DC111">
    <cfRule type="cellIs" dxfId="1" priority="4911" operator="greaterThan">
      <formula>0</formula>
    </cfRule>
    <cfRule type="cellIs" dxfId="0" priority="4910" operator="lessThan">
      <formula>0</formula>
    </cfRule>
  </conditionalFormatting>
  <conditionalFormatting sqref="DD111:DF111">
    <cfRule type="cellIs" dxfId="1" priority="4915" operator="greaterThan">
      <formula>0</formula>
    </cfRule>
    <cfRule type="cellIs" dxfId="0" priority="4914" operator="lessThan">
      <formula>0</formula>
    </cfRule>
  </conditionalFormatting>
  <conditionalFormatting sqref="DG111:DH111">
    <cfRule type="cellIs" dxfId="1" priority="4913" operator="greaterThan">
      <formula>0</formula>
    </cfRule>
    <cfRule type="cellIs" dxfId="0" priority="4912" operator="lessThan">
      <formula>0</formula>
    </cfRule>
  </conditionalFormatting>
  <conditionalFormatting sqref="EN111:EO111">
    <cfRule type="cellIs" dxfId="1" priority="4557" operator="greaterThan">
      <formula>0</formula>
    </cfRule>
    <cfRule type="cellIs" dxfId="0" priority="4556" operator="lessThan">
      <formula>0</formula>
    </cfRule>
  </conditionalFormatting>
  <conditionalFormatting sqref="ER111:ET111">
    <cfRule type="cellIs" dxfId="0" priority="7551" operator="lessThan">
      <formula>0</formula>
    </cfRule>
    <cfRule type="cellIs" dxfId="1" priority="7552" operator="greaterThan">
      <formula>0</formula>
    </cfRule>
  </conditionalFormatting>
  <conditionalFormatting sqref="FN111:FX111">
    <cfRule type="cellIs" dxfId="1" priority="4470" operator="greaterThan">
      <formula>0</formula>
    </cfRule>
    <cfRule type="cellIs" dxfId="0" priority="4469" operator="lessThan">
      <formula>0</formula>
    </cfRule>
  </conditionalFormatting>
  <conditionalFormatting sqref="GA111:GC111">
    <cfRule type="cellIs" dxfId="0" priority="8201" operator="lessThan">
      <formula>0</formula>
    </cfRule>
    <cfRule type="cellIs" dxfId="1" priority="8202" operator="greaterThan">
      <formula>0</formula>
    </cfRule>
  </conditionalFormatting>
  <conditionalFormatting sqref="GV111:HF111">
    <cfRule type="cellIs" dxfId="0" priority="4459" operator="lessThan">
      <formula>0</formula>
    </cfRule>
    <cfRule type="cellIs" dxfId="1" priority="4460" operator="greaterThan">
      <formula>0</formula>
    </cfRule>
  </conditionalFormatting>
  <conditionalFormatting sqref="HI111:HK111">
    <cfRule type="cellIs" dxfId="0" priority="8531" operator="lessThan">
      <formula>0</formula>
    </cfRule>
    <cfRule type="cellIs" dxfId="1" priority="8532" operator="greaterThan">
      <formula>0</formula>
    </cfRule>
  </conditionalFormatting>
  <conditionalFormatting sqref="ID111:IN111">
    <cfRule type="cellIs" dxfId="1" priority="1679" operator="greaterThan">
      <formula>0</formula>
    </cfRule>
    <cfRule type="cellIs" dxfId="0" priority="1678" operator="lessThan">
      <formula>0</formula>
    </cfRule>
  </conditionalFormatting>
  <conditionalFormatting sqref="IQ111:IS111">
    <cfRule type="cellIs" dxfId="0" priority="8948" operator="lessThan">
      <formula>0</formula>
    </cfRule>
    <cfRule type="cellIs" dxfId="1" priority="8949" operator="greaterThan">
      <formula>0</formula>
    </cfRule>
  </conditionalFormatting>
  <conditionalFormatting sqref="JL111:JU111">
    <cfRule type="cellIs" dxfId="1" priority="1034" operator="greaterThan">
      <formula>0</formula>
    </cfRule>
    <cfRule type="cellIs" dxfId="0" priority="1033" operator="lessThan">
      <formula>0</formula>
    </cfRule>
  </conditionalFormatting>
  <conditionalFormatting sqref="JX111:KA111">
    <cfRule type="cellIs" dxfId="0" priority="9350" operator="lessThan">
      <formula>0</formula>
    </cfRule>
    <cfRule type="cellIs" dxfId="1" priority="9351" operator="greaterThan">
      <formula>0</formula>
    </cfRule>
  </conditionalFormatting>
  <conditionalFormatting sqref="KT111:LC111">
    <cfRule type="cellIs" dxfId="1" priority="491" operator="greaterThan">
      <formula>0</formula>
    </cfRule>
    <cfRule type="cellIs" dxfId="0" priority="490" operator="lessThan">
      <formula>0</formula>
    </cfRule>
  </conditionalFormatting>
  <conditionalFormatting sqref="LG111:LI111">
    <cfRule type="cellIs" dxfId="0" priority="9728" operator="lessThan">
      <formula>0</formula>
    </cfRule>
    <cfRule type="cellIs" dxfId="1" priority="9729" operator="greaterThan">
      <formula>0</formula>
    </cfRule>
  </conditionalFormatting>
  <conditionalFormatting sqref="MB111:MK111">
    <cfRule type="cellIs" dxfId="1" priority="431" operator="greaterThan">
      <formula>0</formula>
    </cfRule>
    <cfRule type="cellIs" dxfId="0" priority="430" operator="lessThan">
      <formula>0</formula>
    </cfRule>
  </conditionalFormatting>
  <conditionalFormatting sqref="MO111:MQ111">
    <cfRule type="cellIs" dxfId="0" priority="10135" operator="lessThan">
      <formula>0</formula>
    </cfRule>
    <cfRule type="cellIs" dxfId="1" priority="10136" operator="greaterThan">
      <formula>0</formula>
    </cfRule>
  </conditionalFormatting>
  <conditionalFormatting sqref="L112">
    <cfRule type="cellIs" dxfId="6" priority="6443" operator="lessThan">
      <formula>0</formula>
    </cfRule>
  </conditionalFormatting>
  <conditionalFormatting sqref="AS112">
    <cfRule type="cellIs" dxfId="6" priority="6044" operator="lessThan">
      <formula>0</formula>
    </cfRule>
  </conditionalFormatting>
  <conditionalFormatting sqref="BZ112">
    <cfRule type="cellIs" dxfId="6" priority="5311" operator="lessThan">
      <formula>0</formula>
    </cfRule>
  </conditionalFormatting>
  <conditionalFormatting sqref="DG112">
    <cfRule type="cellIs" dxfId="6" priority="4922" operator="lessThan">
      <formula>0</formula>
    </cfRule>
  </conditionalFormatting>
  <conditionalFormatting sqref="EN112">
    <cfRule type="cellIs" dxfId="6" priority="7561" operator="lessThan">
      <formula>0</formula>
    </cfRule>
  </conditionalFormatting>
  <conditionalFormatting sqref="FW112">
    <cfRule type="cellIs" dxfId="6" priority="4482" operator="lessThan">
      <formula>0</formula>
    </cfRule>
  </conditionalFormatting>
  <conditionalFormatting sqref="HE112">
    <cfRule type="cellIs" dxfId="6" priority="4405" operator="lessThan">
      <formula>0</formula>
    </cfRule>
  </conditionalFormatting>
  <conditionalFormatting sqref="IM112">
    <cfRule type="cellIs" dxfId="6" priority="1651" operator="lessThan">
      <formula>0</formula>
    </cfRule>
  </conditionalFormatting>
  <conditionalFormatting sqref="JU112">
    <cfRule type="cellIs" dxfId="6" priority="1008" operator="lessThan">
      <formula>0</formula>
    </cfRule>
  </conditionalFormatting>
  <conditionalFormatting sqref="LC112">
    <cfRule type="cellIs" dxfId="6" priority="483" operator="lessThan">
      <formula>0</formula>
    </cfRule>
  </conditionalFormatting>
  <conditionalFormatting sqref="MK112">
    <cfRule type="cellIs" dxfId="6" priority="391" operator="lessThan">
      <formula>0</formula>
    </cfRule>
  </conditionalFormatting>
  <conditionalFormatting sqref="C113">
    <cfRule type="cellIs" dxfId="1" priority="6442" operator="greaterThan">
      <formula>0</formula>
    </cfRule>
    <cfRule type="cellIs" dxfId="0" priority="6441" operator="lessThan">
      <formula>0</formula>
    </cfRule>
  </conditionalFormatting>
  <conditionalFormatting sqref="L113">
    <cfRule type="cellIs" dxfId="6" priority="6430" operator="lessThan">
      <formula>0</formula>
    </cfRule>
  </conditionalFormatting>
  <conditionalFormatting sqref="AJ113">
    <cfRule type="cellIs" dxfId="1" priority="6043" operator="greaterThan">
      <formula>0</formula>
    </cfRule>
    <cfRule type="cellIs" dxfId="0" priority="6042" operator="lessThan">
      <formula>0</formula>
    </cfRule>
  </conditionalFormatting>
  <conditionalFormatting sqref="AS113">
    <cfRule type="cellIs" dxfId="6" priority="6031" operator="lessThan">
      <formula>0</formula>
    </cfRule>
  </conditionalFormatting>
  <conditionalFormatting sqref="BQ113">
    <cfRule type="cellIs" dxfId="1" priority="5310" operator="greaterThan">
      <formula>0</formula>
    </cfRule>
    <cfRule type="cellIs" dxfId="0" priority="5309" operator="lessThan">
      <formula>0</formula>
    </cfRule>
  </conditionalFormatting>
  <conditionalFormatting sqref="BZ113">
    <cfRule type="cellIs" dxfId="6" priority="5298" operator="lessThan">
      <formula>0</formula>
    </cfRule>
  </conditionalFormatting>
  <conditionalFormatting sqref="CX113">
    <cfRule type="cellIs" dxfId="1" priority="4921" operator="greaterThan">
      <formula>0</formula>
    </cfRule>
    <cfRule type="cellIs" dxfId="0" priority="4920" operator="lessThan">
      <formula>0</formula>
    </cfRule>
  </conditionalFormatting>
  <conditionalFormatting sqref="DG113">
    <cfRule type="cellIs" dxfId="6" priority="4909" operator="lessThan">
      <formula>0</formula>
    </cfRule>
  </conditionalFormatting>
  <conditionalFormatting sqref="EE113">
    <cfRule type="cellIs" dxfId="1" priority="7560" operator="greaterThan">
      <formula>0</formula>
    </cfRule>
    <cfRule type="cellIs" dxfId="0" priority="7559" operator="lessThan">
      <formula>0</formula>
    </cfRule>
  </conditionalFormatting>
  <conditionalFormatting sqref="EN113">
    <cfRule type="cellIs" dxfId="6" priority="7548" operator="lessThan">
      <formula>0</formula>
    </cfRule>
  </conditionalFormatting>
  <conditionalFormatting sqref="FN113">
    <cfRule type="cellIs" dxfId="1" priority="4475" operator="greaterThan">
      <formula>0</formula>
    </cfRule>
    <cfRule type="cellIs" dxfId="0" priority="4474" operator="lessThan">
      <formula>0</formula>
    </cfRule>
  </conditionalFormatting>
  <conditionalFormatting sqref="FW113">
    <cfRule type="cellIs" dxfId="6" priority="4473" operator="lessThan">
      <formula>0</formula>
    </cfRule>
  </conditionalFormatting>
  <conditionalFormatting sqref="C72:C73">
    <cfRule type="cellIs" dxfId="1" priority="6499" operator="greaterThan">
      <formula>0</formula>
    </cfRule>
    <cfRule type="cellIs" dxfId="0" priority="6498" operator="lessThan">
      <formula>0</formula>
    </cfRule>
  </conditionalFormatting>
  <conditionalFormatting sqref="L67:L71">
    <cfRule type="cellIs" dxfId="6" priority="6496" operator="lessThan">
      <formula>0</formula>
    </cfRule>
  </conditionalFormatting>
  <conditionalFormatting sqref="L72:L73">
    <cfRule type="cellIs" dxfId="6" priority="6497" operator="lessThan">
      <formula>0</formula>
    </cfRule>
  </conditionalFormatting>
  <conditionalFormatting sqref="L84:L92">
    <cfRule type="cellIs" dxfId="6" priority="6489" operator="lessThan">
      <formula>0</formula>
    </cfRule>
  </conditionalFormatting>
  <conditionalFormatting sqref="L100:L104">
    <cfRule type="cellIs" dxfId="6" priority="6485" operator="lessThan">
      <formula>0</formula>
    </cfRule>
  </conditionalFormatting>
  <conditionalFormatting sqref="Y4:Y13">
    <cfRule type="cellIs" dxfId="1" priority="6295" operator="greaterThan">
      <formula>0</formula>
    </cfRule>
    <cfRule type="cellIs" dxfId="0" priority="6294" operator="lessThan">
      <formula>0</formula>
    </cfRule>
  </conditionalFormatting>
  <conditionalFormatting sqref="Y20:Y23">
    <cfRule type="cellIs" dxfId="1" priority="6289" operator="greaterThan">
      <formula>0</formula>
    </cfRule>
    <cfRule type="cellIs" dxfId="0" priority="6288" operator="lessThan">
      <formula>0</formula>
    </cfRule>
  </conditionalFormatting>
  <conditionalFormatting sqref="AD4:AD13">
    <cfRule type="cellIs" dxfId="1" priority="6311" operator="greaterThan">
      <formula>0</formula>
    </cfRule>
    <cfRule type="cellIs" dxfId="0" priority="6310" operator="lessThan">
      <formula>0</formula>
    </cfRule>
  </conditionalFormatting>
  <conditionalFormatting sqref="AG4:AG13">
    <cfRule type="cellIs" dxfId="5" priority="6335" operator="greaterThan">
      <formula>1</formula>
    </cfRule>
    <cfRule type="cellIs" dxfId="6" priority="6334" operator="lessThan">
      <formula>0</formula>
    </cfRule>
    <cfRule type="cellIs" dxfId="1" priority="6333" operator="greaterThan">
      <formula>0</formula>
    </cfRule>
    <cfRule type="cellIs" dxfId="0" priority="6332" operator="lessThan">
      <formula>0</formula>
    </cfRule>
    <cfRule type="cellIs" dxfId="1" priority="6331" operator="greaterThan">
      <formula>0</formula>
    </cfRule>
    <cfRule type="cellIs" dxfId="0" priority="6330" operator="lessThan">
      <formula>0</formula>
    </cfRule>
  </conditionalFormatting>
  <conditionalFormatting sqref="AG24:AG25">
    <cfRule type="cellIs" dxfId="5" priority="6593" operator="greaterThan">
      <formula>1</formula>
    </cfRule>
    <cfRule type="cellIs" dxfId="6" priority="6592" operator="lessThan">
      <formula>0</formula>
    </cfRule>
    <cfRule type="cellIs" dxfId="1" priority="6591" operator="greaterThan">
      <formula>0</formula>
    </cfRule>
    <cfRule type="cellIs" dxfId="0" priority="6590" operator="lessThan">
      <formula>0</formula>
    </cfRule>
  </conditionalFormatting>
  <conditionalFormatting sqref="AH4:AH13">
    <cfRule type="cellIs" dxfId="4" priority="6329" operator="lessThan">
      <formula>0</formula>
    </cfRule>
    <cfRule type="cellIs" dxfId="0" priority="6328" operator="lessThan">
      <formula>0</formula>
    </cfRule>
    <cfRule type="cellIs" dxfId="0" priority="6327" operator="lessThan">
      <formula>-1</formula>
    </cfRule>
  </conditionalFormatting>
  <conditionalFormatting sqref="AH20:AH23">
    <cfRule type="cellIs" dxfId="4" priority="6326" operator="lessThan">
      <formula>0</formula>
    </cfRule>
    <cfRule type="cellIs" dxfId="0" priority="6325" operator="lessThan">
      <formula>0</formula>
    </cfRule>
    <cfRule type="cellIs" dxfId="0" priority="6324" operator="lessThan">
      <formula>-1</formula>
    </cfRule>
  </conditionalFormatting>
  <conditionalFormatting sqref="AH24:AH25">
    <cfRule type="cellIs" dxfId="4" priority="6568" operator="lessThan">
      <formula>0</formula>
    </cfRule>
  </conditionalFormatting>
  <conditionalFormatting sqref="AJ72:AJ73">
    <cfRule type="cellIs" dxfId="1" priority="6100" operator="greaterThan">
      <formula>0</formula>
    </cfRule>
    <cfRule type="cellIs" dxfId="0" priority="6099" operator="lessThan">
      <formula>0</formula>
    </cfRule>
  </conditionalFormatting>
  <conditionalFormatting sqref="AS67:AS71">
    <cfRule type="cellIs" dxfId="6" priority="6097" operator="lessThan">
      <formula>0</formula>
    </cfRule>
  </conditionalFormatting>
  <conditionalFormatting sqref="AS72:AS73">
    <cfRule type="cellIs" dxfId="6" priority="6098" operator="lessThan">
      <formula>0</formula>
    </cfRule>
  </conditionalFormatting>
  <conditionalFormatting sqref="AS84:AS92">
    <cfRule type="cellIs" dxfId="6" priority="6090" operator="lessThan">
      <formula>0</formula>
    </cfRule>
  </conditionalFormatting>
  <conditionalFormatting sqref="AS100:AS104">
    <cfRule type="cellIs" dxfId="6" priority="6086" operator="lessThan">
      <formula>0</formula>
    </cfRule>
  </conditionalFormatting>
  <conditionalFormatting sqref="BF4:BF13">
    <cfRule type="cellIs" dxfId="1" priority="5908" operator="greaterThan">
      <formula>0</formula>
    </cfRule>
    <cfRule type="cellIs" dxfId="0" priority="5907" operator="lessThan">
      <formula>0</formula>
    </cfRule>
  </conditionalFormatting>
  <conditionalFormatting sqref="BF20:BF23">
    <cfRule type="cellIs" dxfId="1" priority="5902" operator="greaterThan">
      <formula>0</formula>
    </cfRule>
    <cfRule type="cellIs" dxfId="0" priority="5901" operator="lessThan">
      <formula>0</formula>
    </cfRule>
  </conditionalFormatting>
  <conditionalFormatting sqref="BK4:BK13">
    <cfRule type="cellIs" dxfId="1" priority="5924" operator="greaterThan">
      <formula>0</formula>
    </cfRule>
    <cfRule type="cellIs" dxfId="0" priority="5923" operator="lessThan">
      <formula>0</formula>
    </cfRule>
  </conditionalFormatting>
  <conditionalFormatting sqref="BN4:BN13">
    <cfRule type="cellIs" dxfId="5" priority="5948" operator="greaterThan">
      <formula>1</formula>
    </cfRule>
    <cfRule type="cellIs" dxfId="6" priority="5947" operator="lessThan">
      <formula>0</formula>
    </cfRule>
    <cfRule type="cellIs" dxfId="1" priority="5946" operator="greaterThan">
      <formula>0</formula>
    </cfRule>
    <cfRule type="cellIs" dxfId="0" priority="5945" operator="lessThan">
      <formula>0</formula>
    </cfRule>
    <cfRule type="cellIs" dxfId="1" priority="5944" operator="greaterThan">
      <formula>0</formula>
    </cfRule>
    <cfRule type="cellIs" dxfId="0" priority="5943" operator="lessThan">
      <formula>0</formula>
    </cfRule>
  </conditionalFormatting>
  <conditionalFormatting sqref="BN24:BN25">
    <cfRule type="cellIs" dxfId="5" priority="6169" operator="greaterThan">
      <formula>1</formula>
    </cfRule>
    <cfRule type="cellIs" dxfId="6" priority="6168" operator="lessThan">
      <formula>0</formula>
    </cfRule>
    <cfRule type="cellIs" dxfId="1" priority="6167" operator="greaterThan">
      <formula>0</formula>
    </cfRule>
    <cfRule type="cellIs" dxfId="0" priority="6166" operator="lessThan">
      <formula>0</formula>
    </cfRule>
  </conditionalFormatting>
  <conditionalFormatting sqref="BO4:BO13">
    <cfRule type="cellIs" dxfId="4" priority="5942" operator="lessThan">
      <formula>0</formula>
    </cfRule>
    <cfRule type="cellIs" dxfId="0" priority="5941" operator="lessThan">
      <formula>0</formula>
    </cfRule>
    <cfRule type="cellIs" dxfId="0" priority="5940" operator="lessThan">
      <formula>-1</formula>
    </cfRule>
  </conditionalFormatting>
  <conditionalFormatting sqref="BO20:BO23">
    <cfRule type="cellIs" dxfId="4" priority="5939" operator="lessThan">
      <formula>0</formula>
    </cfRule>
    <cfRule type="cellIs" dxfId="0" priority="5938" operator="lessThan">
      <formula>0</formula>
    </cfRule>
    <cfRule type="cellIs" dxfId="0" priority="5937" operator="lessThan">
      <formula>-1</formula>
    </cfRule>
  </conditionalFormatting>
  <conditionalFormatting sqref="BO24:BO25">
    <cfRule type="cellIs" dxfId="4" priority="6147" operator="lessThan">
      <formula>0</formula>
    </cfRule>
  </conditionalFormatting>
  <conditionalFormatting sqref="BQ72:BQ73">
    <cfRule type="cellIs" dxfId="1" priority="5367" operator="greaterThan">
      <formula>0</formula>
    </cfRule>
    <cfRule type="cellIs" dxfId="0" priority="5366" operator="lessThan">
      <formula>0</formula>
    </cfRule>
  </conditionalFormatting>
  <conditionalFormatting sqref="BZ67:BZ71">
    <cfRule type="cellIs" dxfId="6" priority="5364" operator="lessThan">
      <formula>0</formula>
    </cfRule>
  </conditionalFormatting>
  <conditionalFormatting sqref="BZ72:BZ73">
    <cfRule type="cellIs" dxfId="6" priority="5365" operator="lessThan">
      <formula>0</formula>
    </cfRule>
  </conditionalFormatting>
  <conditionalFormatting sqref="BZ84:BZ92">
    <cfRule type="cellIs" dxfId="6" priority="5357" operator="lessThan">
      <formula>0</formula>
    </cfRule>
  </conditionalFormatting>
  <conditionalFormatting sqref="BZ100:BZ104">
    <cfRule type="cellIs" dxfId="6" priority="5353" operator="lessThan">
      <formula>0</formula>
    </cfRule>
  </conditionalFormatting>
  <conditionalFormatting sqref="CM4:CM13">
    <cfRule type="cellIs" dxfId="1" priority="5175" operator="greaterThan">
      <formula>0</formula>
    </cfRule>
    <cfRule type="cellIs" dxfId="0" priority="5174" operator="lessThan">
      <formula>0</formula>
    </cfRule>
  </conditionalFormatting>
  <conditionalFormatting sqref="CM20:CM23">
    <cfRule type="cellIs" dxfId="1" priority="5169" operator="greaterThan">
      <formula>0</formula>
    </cfRule>
    <cfRule type="cellIs" dxfId="0" priority="5168" operator="lessThan">
      <formula>0</formula>
    </cfRule>
  </conditionalFormatting>
  <conditionalFormatting sqref="CR4:CR13">
    <cfRule type="cellIs" dxfId="1" priority="5191" operator="greaterThan">
      <formula>0</formula>
    </cfRule>
    <cfRule type="cellIs" dxfId="0" priority="5190" operator="lessThan">
      <formula>0</formula>
    </cfRule>
  </conditionalFormatting>
  <conditionalFormatting sqref="CU4:CU13">
    <cfRule type="cellIs" dxfId="5" priority="5215" operator="greaterThan">
      <formula>1</formula>
    </cfRule>
    <cfRule type="cellIs" dxfId="6" priority="5214" operator="lessThan">
      <formula>0</formula>
    </cfRule>
    <cfRule type="cellIs" dxfId="1" priority="5213" operator="greaterThan">
      <formula>0</formula>
    </cfRule>
    <cfRule type="cellIs" dxfId="0" priority="5212" operator="lessThan">
      <formula>0</formula>
    </cfRule>
    <cfRule type="cellIs" dxfId="1" priority="5211" operator="greaterThan">
      <formula>0</formula>
    </cfRule>
    <cfRule type="cellIs" dxfId="0" priority="5210" operator="lessThan">
      <formula>0</formula>
    </cfRule>
  </conditionalFormatting>
  <conditionalFormatting sqref="CU24:CU25">
    <cfRule type="cellIs" dxfId="5" priority="5434" operator="greaterThan">
      <formula>1</formula>
    </cfRule>
    <cfRule type="cellIs" dxfId="6" priority="5433" operator="lessThan">
      <formula>0</formula>
    </cfRule>
    <cfRule type="cellIs" dxfId="1" priority="5432" operator="greaterThan">
      <formula>0</formula>
    </cfRule>
    <cfRule type="cellIs" dxfId="0" priority="5431" operator="lessThan">
      <formula>0</formula>
    </cfRule>
  </conditionalFormatting>
  <conditionalFormatting sqref="CV4:CV13">
    <cfRule type="cellIs" dxfId="4" priority="5209" operator="lessThan">
      <formula>0</formula>
    </cfRule>
    <cfRule type="cellIs" dxfId="0" priority="5208" operator="lessThan">
      <formula>0</formula>
    </cfRule>
    <cfRule type="cellIs" dxfId="0" priority="5207" operator="lessThan">
      <formula>-1</formula>
    </cfRule>
  </conditionalFormatting>
  <conditionalFormatting sqref="CV20:CV23">
    <cfRule type="cellIs" dxfId="4" priority="5206" operator="lessThan">
      <formula>0</formula>
    </cfRule>
    <cfRule type="cellIs" dxfId="0" priority="5205" operator="lessThan">
      <formula>0</formula>
    </cfRule>
    <cfRule type="cellIs" dxfId="0" priority="5204" operator="lessThan">
      <formula>-1</formula>
    </cfRule>
  </conditionalFormatting>
  <conditionalFormatting sqref="CV24:CV25">
    <cfRule type="cellIs" dxfId="4" priority="5412" operator="lessThan">
      <formula>0</formula>
    </cfRule>
  </conditionalFormatting>
  <conditionalFormatting sqref="CX72:CX73">
    <cfRule type="cellIs" dxfId="1" priority="4978" operator="greaterThan">
      <formula>0</formula>
    </cfRule>
    <cfRule type="cellIs" dxfId="0" priority="4977" operator="lessThan">
      <formula>0</formula>
    </cfRule>
  </conditionalFormatting>
  <conditionalFormatting sqref="DG67:DG71">
    <cfRule type="cellIs" dxfId="6" priority="4975" operator="lessThan">
      <formula>0</formula>
    </cfRule>
  </conditionalFormatting>
  <conditionalFormatting sqref="DG72:DG73">
    <cfRule type="cellIs" dxfId="6" priority="4976" operator="lessThan">
      <formula>0</formula>
    </cfRule>
  </conditionalFormatting>
  <conditionalFormatting sqref="DG84:DG92">
    <cfRule type="cellIs" dxfId="6" priority="4968" operator="lessThan">
      <formula>0</formula>
    </cfRule>
  </conditionalFormatting>
  <conditionalFormatting sqref="DG100:DG104">
    <cfRule type="cellIs" dxfId="6" priority="4964" operator="lessThan">
      <formula>0</formula>
    </cfRule>
  </conditionalFormatting>
  <conditionalFormatting sqref="DT4:DT13">
    <cfRule type="cellIs" dxfId="1" priority="4786" operator="greaterThan">
      <formula>0</formula>
    </cfRule>
    <cfRule type="cellIs" dxfId="0" priority="4785" operator="lessThan">
      <formula>0</formula>
    </cfRule>
  </conditionalFormatting>
  <conditionalFormatting sqref="DT20:DT23">
    <cfRule type="cellIs" dxfId="1" priority="4780" operator="greaterThan">
      <formula>0</formula>
    </cfRule>
    <cfRule type="cellIs" dxfId="0" priority="4779" operator="lessThan">
      <formula>0</formula>
    </cfRule>
  </conditionalFormatting>
  <conditionalFormatting sqref="DY4:DY13">
    <cfRule type="cellIs" dxfId="1" priority="4802" operator="greaterThan">
      <formula>0</formula>
    </cfRule>
    <cfRule type="cellIs" dxfId="0" priority="4801" operator="lessThan">
      <formula>0</formula>
    </cfRule>
  </conditionalFormatting>
  <conditionalFormatting sqref="EB4:EB13">
    <cfRule type="cellIs" dxfId="5" priority="4826" operator="greaterThan">
      <formula>1</formula>
    </cfRule>
    <cfRule type="cellIs" dxfId="6" priority="4825" operator="lessThan">
      <formula>0</formula>
    </cfRule>
    <cfRule type="cellIs" dxfId="1" priority="4824" operator="greaterThan">
      <formula>0</formula>
    </cfRule>
    <cfRule type="cellIs" dxfId="0" priority="4823" operator="lessThan">
      <formula>0</formula>
    </cfRule>
    <cfRule type="cellIs" dxfId="1" priority="4822" operator="greaterThan">
      <formula>0</formula>
    </cfRule>
    <cfRule type="cellIs" dxfId="0" priority="4821" operator="lessThan">
      <formula>0</formula>
    </cfRule>
  </conditionalFormatting>
  <conditionalFormatting sqref="EB24:EB25">
    <cfRule type="cellIs" dxfId="5" priority="5045" operator="greaterThan">
      <formula>1</formula>
    </cfRule>
    <cfRule type="cellIs" dxfId="6" priority="5044" operator="lessThan">
      <formula>0</formula>
    </cfRule>
    <cfRule type="cellIs" dxfId="1" priority="5043" operator="greaterThan">
      <formula>0</formula>
    </cfRule>
    <cfRule type="cellIs" dxfId="0" priority="5042" operator="lessThan">
      <formula>0</formula>
    </cfRule>
  </conditionalFormatting>
  <conditionalFormatting sqref="EC4:EC13">
    <cfRule type="cellIs" dxfId="4" priority="4820" operator="lessThan">
      <formula>0</formula>
    </cfRule>
    <cfRule type="cellIs" dxfId="0" priority="4819" operator="lessThan">
      <formula>0</formula>
    </cfRule>
    <cfRule type="cellIs" dxfId="0" priority="4818" operator="lessThan">
      <formula>-1</formula>
    </cfRule>
  </conditionalFormatting>
  <conditionalFormatting sqref="EC20:EC23">
    <cfRule type="cellIs" dxfId="4" priority="4817" operator="lessThan">
      <formula>0</formula>
    </cfRule>
    <cfRule type="cellIs" dxfId="0" priority="4816" operator="lessThan">
      <formula>0</formula>
    </cfRule>
    <cfRule type="cellIs" dxfId="0" priority="4815" operator="lessThan">
      <formula>-1</formula>
    </cfRule>
  </conditionalFormatting>
  <conditionalFormatting sqref="EC24:EC25">
    <cfRule type="cellIs" dxfId="4" priority="5023" operator="lessThan">
      <formula>0</formula>
    </cfRule>
  </conditionalFormatting>
  <conditionalFormatting sqref="EE72:EE73">
    <cfRule type="cellIs" dxfId="1" priority="7619" operator="greaterThan">
      <formula>0</formula>
    </cfRule>
    <cfRule type="cellIs" dxfId="0" priority="7618" operator="lessThan">
      <formula>0</formula>
    </cfRule>
  </conditionalFormatting>
  <conditionalFormatting sqref="EN62:EN63">
    <cfRule type="cellIs" dxfId="6" priority="7586" operator="lessThan">
      <formula>0</formula>
    </cfRule>
  </conditionalFormatting>
  <conditionalFormatting sqref="EN67:EN71">
    <cfRule type="cellIs" dxfId="6" priority="7616" operator="lessThan">
      <formula>0</formula>
    </cfRule>
  </conditionalFormatting>
  <conditionalFormatting sqref="EN95:EN96">
    <cfRule type="cellIs" dxfId="6" priority="7583" operator="lessThan">
      <formula>0</formula>
    </cfRule>
  </conditionalFormatting>
  <conditionalFormatting sqref="EN100:EN104">
    <cfRule type="cellIs" dxfId="6" priority="7603" operator="lessThan">
      <formula>0</formula>
    </cfRule>
  </conditionalFormatting>
  <conditionalFormatting sqref="FA14:FA15">
    <cfRule type="cellIs" dxfId="0" priority="7444" operator="lessThan">
      <formula>0</formula>
    </cfRule>
    <cfRule type="cellIs" dxfId="1" priority="7445" operator="greaterThan">
      <formula>0</formula>
    </cfRule>
  </conditionalFormatting>
  <conditionalFormatting sqref="FW62:FW63">
    <cfRule type="cellIs" dxfId="6" priority="8236" operator="lessThan">
      <formula>0</formula>
    </cfRule>
  </conditionalFormatting>
  <conditionalFormatting sqref="GJ14:GJ15">
    <cfRule type="cellIs" dxfId="0" priority="8056" operator="lessThan">
      <formula>0</formula>
    </cfRule>
    <cfRule type="cellIs" dxfId="1" priority="8057" operator="greaterThan">
      <formula>0</formula>
    </cfRule>
  </conditionalFormatting>
  <conditionalFormatting sqref="HR14:HR15">
    <cfRule type="cellIs" dxfId="0" priority="8384" operator="lessThan">
      <formula>0</formula>
    </cfRule>
    <cfRule type="cellIs" dxfId="1" priority="8385" operator="greaterThan">
      <formula>0</formula>
    </cfRule>
  </conditionalFormatting>
  <conditionalFormatting sqref="JX4:JX16">
    <cfRule type="cellIs" dxfId="2" priority="903" operator="greaterThan">
      <formula>0</formula>
    </cfRule>
    <cfRule type="cellIs" dxfId="3" priority="902" operator="lessThan">
      <formula>0</formula>
    </cfRule>
  </conditionalFormatting>
  <conditionalFormatting sqref="LV11:LV14">
    <cfRule type="cellIs" dxfId="0" priority="9858" operator="lessThan">
      <formula>0</formula>
    </cfRule>
    <cfRule type="cellIs" dxfId="1" priority="9859" operator="greaterThan">
      <formula>0</formula>
    </cfRule>
  </conditionalFormatting>
  <conditionalFormatting sqref="LV19:LV23">
    <cfRule type="cellIs" dxfId="0" priority="9828" operator="lessThan">
      <formula>0</formula>
    </cfRule>
    <cfRule type="cellIs" dxfId="1" priority="9829" operator="greaterThan">
      <formula>0</formula>
    </cfRule>
  </conditionalFormatting>
  <conditionalFormatting sqref="LX24:LX25">
    <cfRule type="cellIs" dxfId="0" priority="9902" operator="lessThan">
      <formula>0</formula>
    </cfRule>
    <cfRule type="cellIs" dxfId="1" priority="9903" operator="greaterThan">
      <formula>0</formula>
    </cfRule>
    <cfRule type="cellIs" dxfId="6" priority="9904" operator="lessThan">
      <formula>0</formula>
    </cfRule>
    <cfRule type="cellIs" dxfId="5" priority="9905" operator="greaterThan">
      <formula>1</formula>
    </cfRule>
  </conditionalFormatting>
  <conditionalFormatting sqref="LY24:LY25">
    <cfRule type="cellIs" dxfId="4" priority="9880" operator="lessThan">
      <formula>0</formula>
    </cfRule>
  </conditionalFormatting>
  <conditionalFormatting sqref="ND11:ND14">
    <cfRule type="cellIs" dxfId="0" priority="10265" operator="lessThan">
      <formula>0</formula>
    </cfRule>
    <cfRule type="cellIs" dxfId="1" priority="10266" operator="greaterThan">
      <formula>0</formula>
    </cfRule>
  </conditionalFormatting>
  <conditionalFormatting sqref="ND19:ND23">
    <cfRule type="cellIs" dxfId="0" priority="10235" operator="lessThan">
      <formula>0</formula>
    </cfRule>
    <cfRule type="cellIs" dxfId="1" priority="10236" operator="greaterThan">
      <formula>0</formula>
    </cfRule>
  </conditionalFormatting>
  <conditionalFormatting sqref="NF24:NF25">
    <cfRule type="cellIs" dxfId="0" priority="10312" operator="lessThan">
      <formula>0</formula>
    </cfRule>
    <cfRule type="cellIs" dxfId="1" priority="10313" operator="greaterThan">
      <formula>0</formula>
    </cfRule>
    <cfRule type="cellIs" dxfId="6" priority="10314" operator="lessThan">
      <formula>0</formula>
    </cfRule>
    <cfRule type="cellIs" dxfId="5" priority="10315" operator="greaterThan">
      <formula>1</formula>
    </cfRule>
  </conditionalFormatting>
  <conditionalFormatting sqref="NG24:NG25">
    <cfRule type="cellIs" dxfId="4" priority="10290" operator="lessThan">
      <formula>0</formula>
    </cfRule>
  </conditionalFormatting>
  <conditionalFormatting sqref="OL11:OL14">
    <cfRule type="cellIs" dxfId="0" priority="10428" operator="lessThan">
      <formula>0</formula>
    </cfRule>
    <cfRule type="cellIs" dxfId="1" priority="10429" operator="greaterThan">
      <formula>0</formula>
    </cfRule>
  </conditionalFormatting>
  <conditionalFormatting sqref="OL19:OL23">
    <cfRule type="cellIs" dxfId="0" priority="10318" operator="lessThan">
      <formula>0</formula>
    </cfRule>
    <cfRule type="cellIs" dxfId="1" priority="10319" operator="greaterThan">
      <formula>0</formula>
    </cfRule>
  </conditionalFormatting>
  <conditionalFormatting sqref="ON19:ON23">
    <cfRule type="cellIs" dxfId="0" priority="10335" operator="lessThan">
      <formula>0</formula>
    </cfRule>
    <cfRule type="cellIs" dxfId="1" priority="10336" operator="greaterThan">
      <formula>0</formula>
    </cfRule>
    <cfRule type="cellIs" dxfId="0" priority="10337" operator="lessThan">
      <formula>0</formula>
    </cfRule>
    <cfRule type="cellIs" dxfId="1" priority="10338" operator="greaterThan">
      <formula>0</formula>
    </cfRule>
    <cfRule type="cellIs" dxfId="6" priority="10339" operator="lessThan">
      <formula>0</formula>
    </cfRule>
    <cfRule type="cellIs" dxfId="5" priority="10340" operator="greaterThan">
      <formula>1</formula>
    </cfRule>
  </conditionalFormatting>
  <conditionalFormatting sqref="ON24:ON25">
    <cfRule type="cellIs" dxfId="0" priority="10531" operator="lessThan">
      <formula>0</formula>
    </cfRule>
    <cfRule type="cellIs" dxfId="1" priority="10532" operator="greaterThan">
      <formula>0</formula>
    </cfRule>
    <cfRule type="cellIs" dxfId="6" priority="10533" operator="lessThan">
      <formula>0</formula>
    </cfRule>
    <cfRule type="cellIs" dxfId="5" priority="10534" operator="greaterThan">
      <formula>1</formula>
    </cfRule>
  </conditionalFormatting>
  <conditionalFormatting sqref="OO19:OO23">
    <cfRule type="cellIs" dxfId="4" priority="10088" operator="lessThan">
      <formula>0</formula>
    </cfRule>
  </conditionalFormatting>
  <conditionalFormatting sqref="OO24:OO25">
    <cfRule type="cellIs" dxfId="4" priority="10465" operator="lessThan">
      <formula>0</formula>
    </cfRule>
  </conditionalFormatting>
  <conditionalFormatting sqref="OS72:OS81">
    <cfRule type="cellIs" dxfId="0" priority="10594" operator="lessThan">
      <formula>0</formula>
    </cfRule>
    <cfRule type="cellIs" dxfId="1" priority="10595" operator="greaterThan">
      <formula>0</formula>
    </cfRule>
  </conditionalFormatting>
  <conditionalFormatting sqref="PA51:PA64">
    <cfRule type="cellIs" dxfId="6" priority="10596" operator="lessThan">
      <formula>0</formula>
    </cfRule>
  </conditionalFormatting>
  <conditionalFormatting sqref="PA67:PA71">
    <cfRule type="cellIs" dxfId="6" priority="10592" operator="lessThan">
      <formula>0</formula>
    </cfRule>
  </conditionalFormatting>
  <conditionalFormatting sqref="PA84:PA97">
    <cfRule type="cellIs" dxfId="6" priority="10583" operator="lessThan">
      <formula>0</formula>
    </cfRule>
  </conditionalFormatting>
  <conditionalFormatting sqref="PA100:PA104">
    <cfRule type="cellIs" dxfId="6" priority="10579" operator="lessThan">
      <formula>0</formula>
    </cfRule>
  </conditionalFormatting>
  <conditionalFormatting sqref="PP4:PP15">
    <cfRule type="cellIs" dxfId="0" priority="10790" operator="lessThan">
      <formula>0</formula>
    </cfRule>
    <cfRule type="cellIs" dxfId="1" priority="10791" operator="greaterThan">
      <formula>0</formula>
    </cfRule>
    <cfRule type="cellIs" dxfId="0" priority="10792" operator="lessThan">
      <formula>0</formula>
    </cfRule>
    <cfRule type="cellIs" dxfId="1" priority="10793" operator="greaterThan">
      <formula>0</formula>
    </cfRule>
    <cfRule type="cellIs" dxfId="6" priority="10794" operator="lessThan">
      <formula>0</formula>
    </cfRule>
    <cfRule type="cellIs" dxfId="5" priority="10795" operator="greaterThan">
      <formula>1</formula>
    </cfRule>
  </conditionalFormatting>
  <conditionalFormatting sqref="PP19:PP23">
    <cfRule type="cellIs" dxfId="0" priority="10537" operator="lessThan">
      <formula>0</formula>
    </cfRule>
    <cfRule type="cellIs" dxfId="1" priority="10538" operator="greaterThan">
      <formula>0</formula>
    </cfRule>
    <cfRule type="cellIs" dxfId="0" priority="10539" operator="lessThan">
      <formula>0</formula>
    </cfRule>
    <cfRule type="cellIs" dxfId="1" priority="10540" operator="greaterThan">
      <formula>0</formula>
    </cfRule>
    <cfRule type="cellIs" dxfId="6" priority="10541" operator="lessThan">
      <formula>0</formula>
    </cfRule>
    <cfRule type="cellIs" dxfId="5" priority="10542" operator="greaterThan">
      <formula>1</formula>
    </cfRule>
  </conditionalFormatting>
  <conditionalFormatting sqref="PP24:PP25">
    <cfRule type="cellIs" dxfId="0" priority="10803" operator="lessThan">
      <formula>0</formula>
    </cfRule>
    <cfRule type="cellIs" dxfId="1" priority="10804" operator="greaterThan">
      <formula>0</formula>
    </cfRule>
    <cfRule type="cellIs" dxfId="6" priority="10805" operator="lessThan">
      <formula>0</formula>
    </cfRule>
    <cfRule type="cellIs" dxfId="5" priority="10806" operator="greaterThan">
      <formula>1</formula>
    </cfRule>
  </conditionalFormatting>
  <conditionalFormatting sqref="PQ4:PQ16">
    <cfRule type="cellIs" dxfId="4" priority="10808" operator="lessThan">
      <formula>0</formula>
    </cfRule>
  </conditionalFormatting>
  <conditionalFormatting sqref="PQ19:PQ23">
    <cfRule type="cellIs" dxfId="4" priority="10543" operator="lessThan">
      <formula>0</formula>
    </cfRule>
  </conditionalFormatting>
  <conditionalFormatting sqref="PQ24:PQ26">
    <cfRule type="cellIs" dxfId="4" priority="10545" operator="lessThan">
      <formula>0</formula>
    </cfRule>
  </conditionalFormatting>
  <conditionalFormatting sqref="QC51:QC61">
    <cfRule type="cellIs" dxfId="6" priority="10390" operator="lessThan">
      <formula>0</formula>
    </cfRule>
  </conditionalFormatting>
  <conditionalFormatting sqref="QC67:QC71">
    <cfRule type="cellIs" dxfId="6" priority="10386" operator="lessThan">
      <formula>0</formula>
    </cfRule>
  </conditionalFormatting>
  <conditionalFormatting sqref="QC100:QC104">
    <cfRule type="cellIs" dxfId="6" priority="10373" operator="lessThan">
      <formula>0</formula>
    </cfRule>
  </conditionalFormatting>
  <conditionalFormatting sqref="QP4:QP15">
    <cfRule type="cellIs" dxfId="0" priority="11132" operator="lessThan">
      <formula>0</formula>
    </cfRule>
    <cfRule type="cellIs" dxfId="1" priority="11133" operator="greaterThan">
      <formula>0</formula>
    </cfRule>
    <cfRule type="cellIs" dxfId="0" priority="11134" operator="lessThan">
      <formula>0</formula>
    </cfRule>
    <cfRule type="cellIs" dxfId="1" priority="11135" operator="greaterThan">
      <formula>0</formula>
    </cfRule>
    <cfRule type="cellIs" dxfId="6" priority="11136" operator="lessThan">
      <formula>0</formula>
    </cfRule>
    <cfRule type="cellIs" dxfId="5" priority="11137" operator="greaterThan">
      <formula>1</formula>
    </cfRule>
  </conditionalFormatting>
  <conditionalFormatting sqref="QP19:QP23">
    <cfRule type="cellIs" dxfId="0" priority="10778" operator="lessThan">
      <formula>0</formula>
    </cfRule>
    <cfRule type="cellIs" dxfId="1" priority="10779" operator="greaterThan">
      <formula>0</formula>
    </cfRule>
    <cfRule type="cellIs" dxfId="0" priority="10780" operator="lessThan">
      <formula>0</formula>
    </cfRule>
    <cfRule type="cellIs" dxfId="1" priority="10781" operator="greaterThan">
      <formula>0</formula>
    </cfRule>
    <cfRule type="cellIs" dxfId="6" priority="10782" operator="lessThan">
      <formula>0</formula>
    </cfRule>
    <cfRule type="cellIs" dxfId="5" priority="10783" operator="greaterThan">
      <formula>1</formula>
    </cfRule>
  </conditionalFormatting>
  <conditionalFormatting sqref="QQ19:QQ26">
    <cfRule type="cellIs" dxfId="4" priority="10544" operator="lessThan">
      <formula>0</formula>
    </cfRule>
  </conditionalFormatting>
  <conditionalFormatting sqref="QQ28:QQ36">
    <cfRule type="cellIs" dxfId="0" priority="10441" operator="lessThan">
      <formula>0</formula>
    </cfRule>
    <cfRule type="cellIs" dxfId="1" priority="10442" operator="greaterThan">
      <formula>0</formula>
    </cfRule>
  </conditionalFormatting>
  <conditionalFormatting sqref="RJ19:RJ26">
    <cfRule type="cellIs" dxfId="0" priority="10632" operator="lessThan">
      <formula>0</formula>
    </cfRule>
    <cfRule type="cellIs" dxfId="1" priority="10633" operator="greaterThan">
      <formula>0</formula>
    </cfRule>
  </conditionalFormatting>
  <conditionalFormatting sqref="RK2:RK3">
    <cfRule type="cellIs" dxfId="0" priority="8714" operator="lessThan">
      <formula>0</formula>
    </cfRule>
    <cfRule type="cellIs" dxfId="1" priority="8715" operator="greaterThan">
      <formula>0</formula>
    </cfRule>
  </conditionalFormatting>
  <conditionalFormatting sqref="RK4:RK15">
    <cfRule type="cellIs" dxfId="0" priority="8712" operator="lessThan">
      <formula>0</formula>
    </cfRule>
    <cfRule type="cellIs" dxfId="1" priority="8713" operator="greaterThan">
      <formula>0</formula>
    </cfRule>
  </conditionalFormatting>
  <conditionalFormatting sqref="RK19:RK23">
    <cfRule type="cellIs" dxfId="0" priority="8708" operator="lessThan">
      <formula>0</formula>
    </cfRule>
    <cfRule type="cellIs" dxfId="1" priority="8709" operator="greaterThan">
      <formula>0</formula>
    </cfRule>
  </conditionalFormatting>
  <conditionalFormatting sqref="RK24:RK25">
    <cfRule type="cellIs" dxfId="0" priority="8718" operator="lessThan">
      <formula>-1</formula>
    </cfRule>
    <cfRule type="cellIs" dxfId="1" priority="8719" operator="greaterThan">
      <formula>1</formula>
    </cfRule>
    <cfRule type="cellIs" dxfId="0" priority="8720" operator="lessThan">
      <formula>0</formula>
    </cfRule>
    <cfRule type="cellIs" dxfId="1" priority="8721" operator="greaterThan">
      <formula>0</formula>
    </cfRule>
  </conditionalFormatting>
  <conditionalFormatting sqref="RL4:RL15">
    <cfRule type="cellIs" dxfId="0" priority="10766" operator="lessThan">
      <formula>0</formula>
    </cfRule>
    <cfRule type="cellIs" dxfId="1" priority="10767" operator="greaterThan">
      <formula>0</formula>
    </cfRule>
    <cfRule type="cellIs" dxfId="0" priority="10768" operator="lessThan">
      <formula>0</formula>
    </cfRule>
    <cfRule type="cellIs" dxfId="1" priority="10769" operator="greaterThan">
      <formula>0</formula>
    </cfRule>
    <cfRule type="cellIs" dxfId="6" priority="10770" operator="lessThan">
      <formula>0</formula>
    </cfRule>
    <cfRule type="cellIs" dxfId="5" priority="10771" operator="greaterThan">
      <formula>1</formula>
    </cfRule>
  </conditionalFormatting>
  <conditionalFormatting sqref="RL19:RL23">
    <cfRule type="cellIs" dxfId="0" priority="10772" operator="lessThan">
      <formula>0</formula>
    </cfRule>
    <cfRule type="cellIs" dxfId="1" priority="10773" operator="greaterThan">
      <formula>0</formula>
    </cfRule>
    <cfRule type="cellIs" dxfId="0" priority="10774" operator="lessThan">
      <formula>0</formula>
    </cfRule>
    <cfRule type="cellIs" dxfId="1" priority="10775" operator="greaterThan">
      <formula>0</formula>
    </cfRule>
    <cfRule type="cellIs" dxfId="6" priority="10776" operator="lessThan">
      <formula>0</formula>
    </cfRule>
    <cfRule type="cellIs" dxfId="5" priority="10777" operator="greaterThan">
      <formula>1</formula>
    </cfRule>
  </conditionalFormatting>
  <conditionalFormatting sqref="RM4:RM16">
    <cfRule type="cellIs" dxfId="0" priority="10637" operator="lessThan">
      <formula>-1</formula>
    </cfRule>
    <cfRule type="cellIs" dxfId="0" priority="10638" operator="lessThan">
      <formula>0</formula>
    </cfRule>
    <cfRule type="cellIs" dxfId="4" priority="10639" operator="lessThan">
      <formula>0</formula>
    </cfRule>
  </conditionalFormatting>
  <conditionalFormatting sqref="RM19:RM26">
    <cfRule type="cellIs" dxfId="0" priority="10634" operator="lessThan">
      <formula>-1</formula>
    </cfRule>
    <cfRule type="cellIs" dxfId="0" priority="10635" operator="lessThan">
      <formula>0</formula>
    </cfRule>
    <cfRule type="cellIs" dxfId="4" priority="10636" operator="lessThan">
      <formula>0</formula>
    </cfRule>
  </conditionalFormatting>
  <conditionalFormatting sqref="SG2:SG3">
    <cfRule type="cellIs" dxfId="0" priority="10857" operator="lessThan">
      <formula>0</formula>
    </cfRule>
    <cfRule type="cellIs" dxfId="1" priority="10858" operator="greaterThan">
      <formula>0</formula>
    </cfRule>
  </conditionalFormatting>
  <conditionalFormatting sqref="SG4:SG15">
    <cfRule type="cellIs" dxfId="0" priority="10855" operator="lessThan">
      <formula>0</formula>
    </cfRule>
    <cfRule type="cellIs" dxfId="1" priority="10856" operator="greaterThan">
      <formula>0</formula>
    </cfRule>
  </conditionalFormatting>
  <conditionalFormatting sqref="SG19:SG23">
    <cfRule type="cellIs" dxfId="0" priority="10851" operator="lessThan">
      <formula>0</formula>
    </cfRule>
    <cfRule type="cellIs" dxfId="1" priority="10852" operator="greaterThan">
      <formula>0</formula>
    </cfRule>
  </conditionalFormatting>
  <conditionalFormatting sqref="SH4:SH15">
    <cfRule type="cellIs" dxfId="0" priority="10754" operator="lessThan">
      <formula>0</formula>
    </cfRule>
    <cfRule type="cellIs" dxfId="1" priority="10755" operator="greaterThan">
      <formula>0</formula>
    </cfRule>
    <cfRule type="cellIs" dxfId="0" priority="10756" operator="lessThan">
      <formula>0</formula>
    </cfRule>
    <cfRule type="cellIs" dxfId="1" priority="10757" operator="greaterThan">
      <formula>0</formula>
    </cfRule>
    <cfRule type="cellIs" dxfId="6" priority="10758" operator="lessThan">
      <formula>0</formula>
    </cfRule>
    <cfRule type="cellIs" dxfId="5" priority="10759" operator="greaterThan">
      <formula>1</formula>
    </cfRule>
  </conditionalFormatting>
  <conditionalFormatting sqref="SH19:SH23">
    <cfRule type="cellIs" dxfId="0" priority="10760" operator="lessThan">
      <formula>0</formula>
    </cfRule>
    <cfRule type="cellIs" dxfId="1" priority="10761" operator="greaterThan">
      <formula>0</formula>
    </cfRule>
    <cfRule type="cellIs" dxfId="0" priority="10762" operator="lessThan">
      <formula>0</formula>
    </cfRule>
    <cfRule type="cellIs" dxfId="1" priority="10763" operator="greaterThan">
      <formula>0</formula>
    </cfRule>
    <cfRule type="cellIs" dxfId="6" priority="10764" operator="lessThan">
      <formula>0</formula>
    </cfRule>
    <cfRule type="cellIs" dxfId="5" priority="10765" operator="greaterThan">
      <formula>1</formula>
    </cfRule>
  </conditionalFormatting>
  <conditionalFormatting sqref="TC2:TC3">
    <cfRule type="cellIs" dxfId="0" priority="10847" operator="lessThan">
      <formula>0</formula>
    </cfRule>
    <cfRule type="cellIs" dxfId="1" priority="10848" operator="greaterThan">
      <formula>0</formula>
    </cfRule>
  </conditionalFormatting>
  <conditionalFormatting sqref="TC4:TC15">
    <cfRule type="cellIs" dxfId="0" priority="10845" operator="lessThan">
      <formula>0</formula>
    </cfRule>
    <cfRule type="cellIs" dxfId="1" priority="10846" operator="greaterThan">
      <formula>0</formula>
    </cfRule>
  </conditionalFormatting>
  <conditionalFormatting sqref="TC19:TC23">
    <cfRule type="cellIs" dxfId="0" priority="10841" operator="lessThan">
      <formula>0</formula>
    </cfRule>
    <cfRule type="cellIs" dxfId="1" priority="10842" operator="greaterThan">
      <formula>0</formula>
    </cfRule>
  </conditionalFormatting>
  <conditionalFormatting sqref="TD4:TD15">
    <cfRule type="cellIs" dxfId="0" priority="10742" operator="lessThan">
      <formula>0</formula>
    </cfRule>
    <cfRule type="cellIs" dxfId="1" priority="10743" operator="greaterThan">
      <formula>0</formula>
    </cfRule>
    <cfRule type="cellIs" dxfId="0" priority="10744" operator="lessThan">
      <formula>0</formula>
    </cfRule>
    <cfRule type="cellIs" dxfId="1" priority="10745" operator="greaterThan">
      <formula>0</formula>
    </cfRule>
    <cfRule type="cellIs" dxfId="6" priority="10746" operator="lessThan">
      <formula>0</formula>
    </cfRule>
    <cfRule type="cellIs" dxfId="5" priority="10747" operator="greaterThan">
      <formula>1</formula>
    </cfRule>
  </conditionalFormatting>
  <conditionalFormatting sqref="TD19:TD23">
    <cfRule type="cellIs" dxfId="0" priority="10748" operator="lessThan">
      <formula>0</formula>
    </cfRule>
    <cfRule type="cellIs" dxfId="1" priority="10749" operator="greaterThan">
      <formula>0</formula>
    </cfRule>
    <cfRule type="cellIs" dxfId="0" priority="10750" operator="lessThan">
      <formula>0</formula>
    </cfRule>
    <cfRule type="cellIs" dxfId="1" priority="10751" operator="greaterThan">
      <formula>0</formula>
    </cfRule>
    <cfRule type="cellIs" dxfId="6" priority="10752" operator="lessThan">
      <formula>0</formula>
    </cfRule>
    <cfRule type="cellIs" dxfId="5" priority="10753" operator="greaterThan">
      <formula>1</formula>
    </cfRule>
  </conditionalFormatting>
  <conditionalFormatting sqref="TE13:TE15">
    <cfRule type="cellIs" dxfId="4" priority="11184" operator="lessThan">
      <formula>0</formula>
    </cfRule>
  </conditionalFormatting>
  <conditionalFormatting sqref="TX2:TX3">
    <cfRule type="cellIs" dxfId="0" priority="10837" operator="lessThan">
      <formula>0</formula>
    </cfRule>
    <cfRule type="cellIs" dxfId="1" priority="10838" operator="greaterThan">
      <formula>0</formula>
    </cfRule>
  </conditionalFormatting>
  <conditionalFormatting sqref="TX4:TX15">
    <cfRule type="cellIs" dxfId="0" priority="10835" operator="lessThan">
      <formula>0</formula>
    </cfRule>
    <cfRule type="cellIs" dxfId="1" priority="10836" operator="greaterThan">
      <formula>0</formula>
    </cfRule>
  </conditionalFormatting>
  <conditionalFormatting sqref="TX19:TX23">
    <cfRule type="cellIs" dxfId="0" priority="10833" operator="lessThan">
      <formula>0</formula>
    </cfRule>
    <cfRule type="cellIs" dxfId="1" priority="10834" operator="greaterThan">
      <formula>0</formula>
    </cfRule>
  </conditionalFormatting>
  <conditionalFormatting sqref="TY4:TY15">
    <cfRule type="cellIs" dxfId="0" priority="10736" operator="lessThan">
      <formula>0</formula>
    </cfRule>
    <cfRule type="cellIs" dxfId="1" priority="10737" operator="greaterThan">
      <formula>0</formula>
    </cfRule>
    <cfRule type="cellIs" dxfId="0" priority="10738" operator="lessThan">
      <formula>0</formula>
    </cfRule>
    <cfRule type="cellIs" dxfId="1" priority="10739" operator="greaterThan">
      <formula>0</formula>
    </cfRule>
    <cfRule type="cellIs" dxfId="6" priority="10740" operator="lessThan">
      <formula>0</formula>
    </cfRule>
    <cfRule type="cellIs" dxfId="5" priority="10741" operator="greaterThan">
      <formula>1</formula>
    </cfRule>
  </conditionalFormatting>
  <conditionalFormatting sqref="TY19:TY23">
    <cfRule type="cellIs" dxfId="0" priority="10730" operator="lessThan">
      <formula>0</formula>
    </cfRule>
    <cfRule type="cellIs" dxfId="1" priority="10731" operator="greaterThan">
      <formula>0</formula>
    </cfRule>
    <cfRule type="cellIs" dxfId="0" priority="10732" operator="lessThan">
      <formula>0</formula>
    </cfRule>
    <cfRule type="cellIs" dxfId="1" priority="10733" operator="greaterThan">
      <formula>0</formula>
    </cfRule>
    <cfRule type="cellIs" dxfId="6" priority="10734" operator="lessThan">
      <formula>0</formula>
    </cfRule>
    <cfRule type="cellIs" dxfId="5" priority="10735" operator="greaterThan">
      <formula>1</formula>
    </cfRule>
  </conditionalFormatting>
  <conditionalFormatting sqref="UT2:UT3">
    <cfRule type="cellIs" dxfId="0" priority="10827" operator="lessThan">
      <formula>0</formula>
    </cfRule>
    <cfRule type="cellIs" dxfId="1" priority="10828" operator="greaterThan">
      <formula>0</formula>
    </cfRule>
  </conditionalFormatting>
  <conditionalFormatting sqref="UT4:UT15">
    <cfRule type="cellIs" dxfId="0" priority="10825" operator="lessThan">
      <formula>0</formula>
    </cfRule>
    <cfRule type="cellIs" dxfId="1" priority="10826" operator="greaterThan">
      <formula>0</formula>
    </cfRule>
  </conditionalFormatting>
  <conditionalFormatting sqref="UT19:UT23">
    <cfRule type="cellIs" dxfId="0" priority="10823" operator="lessThan">
      <formula>0</formula>
    </cfRule>
    <cfRule type="cellIs" dxfId="1" priority="10824" operator="greaterThan">
      <formula>0</formula>
    </cfRule>
  </conditionalFormatting>
  <conditionalFormatting sqref="UU4:UU15">
    <cfRule type="cellIs" dxfId="0" priority="10718" operator="lessThan">
      <formula>0</formula>
    </cfRule>
    <cfRule type="cellIs" dxfId="1" priority="10719" operator="greaterThan">
      <formula>0</formula>
    </cfRule>
    <cfRule type="cellIs" dxfId="0" priority="10720" operator="lessThan">
      <formula>0</formula>
    </cfRule>
    <cfRule type="cellIs" dxfId="1" priority="10721" operator="greaterThan">
      <formula>0</formula>
    </cfRule>
    <cfRule type="cellIs" dxfId="6" priority="10722" operator="lessThan">
      <formula>0</formula>
    </cfRule>
    <cfRule type="cellIs" dxfId="5" priority="10723" operator="greaterThan">
      <formula>1</formula>
    </cfRule>
  </conditionalFormatting>
  <conditionalFormatting sqref="UU19:UU23">
    <cfRule type="cellIs" dxfId="0" priority="10724" operator="lessThan">
      <formula>0</formula>
    </cfRule>
    <cfRule type="cellIs" dxfId="1" priority="10725" operator="greaterThan">
      <formula>0</formula>
    </cfRule>
    <cfRule type="cellIs" dxfId="0" priority="10726" operator="lessThan">
      <formula>0</formula>
    </cfRule>
    <cfRule type="cellIs" dxfId="1" priority="10727" operator="greaterThan">
      <formula>0</formula>
    </cfRule>
    <cfRule type="cellIs" dxfId="6" priority="10728" operator="lessThan">
      <formula>0</formula>
    </cfRule>
    <cfRule type="cellIs" dxfId="5" priority="10729" operator="greaterThan">
      <formula>1</formula>
    </cfRule>
  </conditionalFormatting>
  <conditionalFormatting sqref="VP2:VP3">
    <cfRule type="cellIs" dxfId="0" priority="10817" operator="lessThan">
      <formula>0</formula>
    </cfRule>
    <cfRule type="cellIs" dxfId="1" priority="10818" operator="greaterThan">
      <formula>0</formula>
    </cfRule>
  </conditionalFormatting>
  <conditionalFormatting sqref="VP4:VP15">
    <cfRule type="cellIs" dxfId="0" priority="10815" operator="lessThan">
      <formula>0</formula>
    </cfRule>
    <cfRule type="cellIs" dxfId="1" priority="10816" operator="greaterThan">
      <formula>0</formula>
    </cfRule>
  </conditionalFormatting>
  <conditionalFormatting sqref="VP19:VP23">
    <cfRule type="cellIs" dxfId="0" priority="10813" operator="lessThan">
      <formula>0</formula>
    </cfRule>
    <cfRule type="cellIs" dxfId="1" priority="10814" operator="greaterThan">
      <formula>0</formula>
    </cfRule>
  </conditionalFormatting>
  <conditionalFormatting sqref="VQ4:VQ15">
    <cfRule type="cellIs" dxfId="0" priority="10712" operator="lessThan">
      <formula>0</formula>
    </cfRule>
    <cfRule type="cellIs" dxfId="1" priority="10713" operator="greaterThan">
      <formula>0</formula>
    </cfRule>
    <cfRule type="cellIs" dxfId="0" priority="10714" operator="lessThan">
      <formula>0</formula>
    </cfRule>
    <cfRule type="cellIs" dxfId="1" priority="10715" operator="greaterThan">
      <formula>0</formula>
    </cfRule>
    <cfRule type="cellIs" dxfId="6" priority="10716" operator="lessThan">
      <formula>0</formula>
    </cfRule>
    <cfRule type="cellIs" dxfId="5" priority="10717" operator="greaterThan">
      <formula>1</formula>
    </cfRule>
  </conditionalFormatting>
  <conditionalFormatting sqref="VQ19:VQ23">
    <cfRule type="cellIs" dxfId="0" priority="10706" operator="lessThan">
      <formula>0</formula>
    </cfRule>
    <cfRule type="cellIs" dxfId="1" priority="10707" operator="greaterThan">
      <formula>0</formula>
    </cfRule>
    <cfRule type="cellIs" dxfId="0" priority="10708" operator="lessThan">
      <formula>0</formula>
    </cfRule>
    <cfRule type="cellIs" dxfId="1" priority="10709" operator="greaterThan">
      <formula>0</formula>
    </cfRule>
    <cfRule type="cellIs" dxfId="6" priority="10710" operator="lessThan">
      <formula>0</formula>
    </cfRule>
    <cfRule type="cellIs" dxfId="5" priority="10711" operator="greaterThan">
      <formula>1</formula>
    </cfRule>
  </conditionalFormatting>
  <conditionalFormatting sqref="C1 S1 C3:AH17 C19:AH27 C29:AH32 C33 C34:AH36 C38:AH64 C66:AH97 C99:AH113">
    <cfRule type="cellIs" dxfId="3" priority="6271" operator="lessThan">
      <formula>0</formula>
    </cfRule>
    <cfRule type="cellIs" dxfId="2" priority="6272" operator="greaterThan">
      <formula>0</formula>
    </cfRule>
  </conditionalFormatting>
  <conditionalFormatting sqref="AJ1 AZ1 AJ4:BO27 AJ29:BO32 AJ34:BO36 AJ38:BO64 AJ66:BO97 AJ99:BO113">
    <cfRule type="cellIs" dxfId="3" priority="5890" operator="lessThan">
      <formula>0</formula>
    </cfRule>
    <cfRule type="cellIs" dxfId="2" priority="5891" operator="greaterThan">
      <formula>0</formula>
    </cfRule>
  </conditionalFormatting>
  <conditionalFormatting sqref="BQ1:CV1 BQ3:CV17 BQ19:CV27 BQ29:CV32 BQ33 BQ34:CV36 BQ38:CV64 BQ66:CV97 BQ99:CV113">
    <cfRule type="cellIs" dxfId="2" priority="5164" operator="greaterThan">
      <formula>0</formula>
    </cfRule>
    <cfRule type="cellIs" dxfId="3" priority="5163" operator="lessThan">
      <formula>0</formula>
    </cfRule>
  </conditionalFormatting>
  <conditionalFormatting sqref="CX1:EC1 CX3:EC13 CX16:EC17 CX19:EC27 CX29:EC32 CX33 CX34:EC36 CX38:EC64 CX66:EC97 CX99:EC113">
    <cfRule type="cellIs" dxfId="2" priority="4775" operator="greaterThan">
      <formula>0</formula>
    </cfRule>
    <cfRule type="cellIs" dxfId="3" priority="4774" operator="lessThan">
      <formula>0</formula>
    </cfRule>
  </conditionalFormatting>
  <conditionalFormatting sqref="QI1 QM1:QP1 QG2:QG13 QI2:QI13 QM2:QO13 QG14 QI14 QM14:QO14 QG15 QI15 QM15:QO15 QG16 QM16 QO16 QG18:QG23 QI18:QI23 QM18:QO23 QG24:QG25 QI24:QI25 QM24:QP25 QM26 QO26 QG27 QI27 QM27:QP27 QP28:QP36 QG38:QG41 QI38:QI41 QM38:QP41 QG42 QI42 QM42:QO42 QG43:QG44 QI43:QI44 QM43:QP44 QG45 QI45 QM45:QO45 QG46 QI46 QM46:QP46 QG47 QM47:QO47">
    <cfRule type="cellIs" dxfId="0" priority="11150" operator="lessThan">
      <formula>0</formula>
    </cfRule>
    <cfRule type="cellIs" dxfId="1" priority="11151" operator="greaterThan">
      <formula>0</formula>
    </cfRule>
  </conditionalFormatting>
  <conditionalFormatting sqref="QP1 QP24:QP25 QP27:QP36 QP38:QP41 QP43:QP44 QP46">
    <cfRule type="cellIs" dxfId="0" priority="11152" operator="lessThan">
      <formula>0</formula>
    </cfRule>
    <cfRule type="cellIs" dxfId="1" priority="11153" operator="greaterThan">
      <formula>0</formula>
    </cfRule>
    <cfRule type="cellIs" dxfId="6" priority="11154" operator="lessThan">
      <formula>0</formula>
    </cfRule>
    <cfRule type="cellIs" dxfId="5" priority="11155" operator="greaterThan">
      <formula>1</formula>
    </cfRule>
  </conditionalFormatting>
  <conditionalFormatting sqref="QQ1 QQ4:QQ16 QQ18:QQ27 QQ38:QQ47">
    <cfRule type="cellIs" dxfId="0" priority="11147" operator="lessThan">
      <formula>-1</formula>
    </cfRule>
    <cfRule type="cellIs" dxfId="0" priority="11149" operator="lessThan">
      <formula>0</formula>
    </cfRule>
  </conditionalFormatting>
  <conditionalFormatting sqref="QQ1 QQ4:QQ16 QQ27 QQ39:QQ47">
    <cfRule type="cellIs" dxfId="4" priority="11157" operator="lessThan">
      <formula>0</formula>
    </cfRule>
  </conditionalFormatting>
  <conditionalFormatting sqref="RD1 RF1 RJ1:RL1 RD2:RD15 RF2:RF15 RJ2:RJ15 RD18 RF18 RJ18 RD19:RD23 RF19:RF23 RD24:RD25 RF24:RF25 RL24:RL25 RD27 RF27 RJ27:RL27 RD38:RD41 RF38:RF41 RJ38:RL41 RD42 RF42 RJ42:RK42 RD43:RD44 RF43:RF44 RJ43:RL44 RD45 RF45 RJ45:RK45 RD46 RF46 RJ46:RL46 RD48 RF48 RJ48:RL48 RD51:RD62 RF51:RF62 RJ51:RL62 RD63 RF63 RJ63:RL63 RD64 RF64 RJ64:RL64 RD66:RD82 RF66:RF82 RJ66:RL82 RC83:RC95 RI83:RK95 RC96 RI96:RK96 RC97 RI97:RK97 RC99:RC105 RI99:RK105 RD106:RD118 RF106:RF118 RJ106:RL118">
    <cfRule type="cellIs" dxfId="0" priority="11171" operator="lessThan">
      <formula>0</formula>
    </cfRule>
    <cfRule type="cellIs" dxfId="1" priority="11172" operator="greaterThan">
      <formula>0</formula>
    </cfRule>
  </conditionalFormatting>
  <conditionalFormatting sqref="RL1 RL24:RL25 RL27 RL38:RL41 RL43:RL44 RL46 RL48 RL51:RL64 RL66:RL82 RK83:RK97 RK99:RK105 RL106:RL118">
    <cfRule type="cellIs" dxfId="0" priority="11173" operator="lessThan">
      <formula>0</formula>
    </cfRule>
    <cfRule type="cellIs" dxfId="1" priority="11174" operator="greaterThan">
      <formula>0</formula>
    </cfRule>
    <cfRule type="cellIs" dxfId="6" priority="11175" operator="lessThan">
      <formula>0</formula>
    </cfRule>
    <cfRule type="cellIs" dxfId="5" priority="11176" operator="greaterThan">
      <formula>1</formula>
    </cfRule>
  </conditionalFormatting>
  <conditionalFormatting sqref="RM1 RM18 RM27 RM38:RM46 RM48 RM51:RM64 RM66:RM82 RL83:RL97 RL99:RL105 RM106:RM118">
    <cfRule type="cellIs" dxfId="0" priority="11158" operator="lessThan">
      <formula>-1</formula>
    </cfRule>
    <cfRule type="cellIs" dxfId="0" priority="11160" operator="lessThan">
      <formula>0</formula>
    </cfRule>
  </conditionalFormatting>
  <conditionalFormatting sqref="RM1 RM27 RM39:RM46">
    <cfRule type="cellIs" dxfId="4" priority="11183" operator="lessThan">
      <formula>0</formula>
    </cfRule>
  </conditionalFormatting>
  <conditionalFormatting sqref="RY1 SB1 SF1:SH1 RY2:RY15 SB2:SB15 SF2:SF15 RY18:RY23 SB18:SB23 SF18:SF23 RY24:RY25 SB24:SB25 SF24:SH25 RY27 SB27 SF27:SH27 RY38:RY41 SB38:SB41 SF38:SH41 RY42 SB42 SF42:SG42 RY43:RY44 SB43:SB44 SF43:SH44 RY45 SB45 SF45:SG45 RY46 SB46 SF46:SH46 RY48 SB48 SF48:SH48 RY51:RY62 SB51:SB62 SF51:SH62 RY63 SB63 SF63:SH63 RY64 SB64 SF64:SH64 RY66:RY82 SB66:SB82 SF66:SH82 RX83:RX95 SA83:SA95 SE83:SG95 RX96 SA96 SE96:SG96 RX97 SA97 SE97:SG97 RX99:RX105 SA99:SA105 SE99:SG105 RY106:RY118 SB106:SB118 SF106:SH118">
    <cfRule type="cellIs" dxfId="0" priority="11169" operator="lessThan">
      <formula>0</formula>
    </cfRule>
    <cfRule type="cellIs" dxfId="1" priority="11170" operator="greaterThan">
      <formula>0</formula>
    </cfRule>
  </conditionalFormatting>
  <conditionalFormatting sqref="RY1 SB1 SF1:SI1 SU1 SX1 TB1:TE1 TP1 TS1 TW1:TZ1 UL1 UO1 US1:UV1 VH1 VK1 VO1:VR1 RY2:RY3 SB2:SB3 SF2:SF3 SU2:SU3 SX2:SX3 TB2:TB3 TP2:TP3 TS2:TS3 TW2:TW3 UL2:UL3 UO2:UO3 US2:US3 VH2:VH3 VK2:VK3 VO2:VO3 RY4:RY15 SB4:SB15 SF4:SF15 SI4:SI15 SU4:SU15 SX4:SX15 TB4:TB15 TE4:TE15 TP4:TP15 TS4:TS15 TW4:TW15 TZ4:TZ15 UL4:UL15 UO4:UO15 US4:US15 UV4:UV15 VH4:VH15 VK4:VK15 VO4:VO15 VR4:VR15 RY18:RY23 SB18:SB23 SF18:SF23 SI18:SI23 SU18:SU23 SX18:SX23 TB18:TB23 TE18:TE23 TP18:TP23 TS18:TS23 TW18:TW23 TZ18:TZ23 UL18:UL23 UO18:UO23 US18:US23 UV18:UV23 VH18:VH23 VK18:VK23 VO18:VO23 VR18:VR23 RY24:RY25 SB24:SB25 SF24:SI25 SU24:SU25 SX24:SX25 TB24:TE25 TP24:TP25 TS24:TS25 TW24:TZ25 UL24:UL25 UO24:UO25 US24:UV25 VH24:VH25 VK24:VK25 VO24:VR25 RY27 SB27 SF27:SI27 SU27 SX27 TB27:TE27 TP27 TS27 TW27:TZ27 UL27 UO27 US27:UV27 VH27 VK27 VO27:VR27 RY38:RY41 SB38:SB41 SF38:SI41 SU38:SU41 SX38:SX41 TB38:TE41 TP38:TP41 TS38:TS41 TW38:TZ41 UL38:UL41 UO38:UO41 US38:UV41 VH38:VH41 VK38:VK41 VO38:VR41 RY42 SB42 SF42:SG42 SI42 SU42 SX42 TB42:TC42 TE42 TP42 TS42 TW42:TX42 TZ42 UL42 UO42 US42:UT42 UV42 VH42 VK42 VO42:VP42 VR42 RY43:RY44 SB43:SB44 SF43:SI44 SU43:SU44 SX43:SX44 TB43:TE44 TP43:TP44 TS43:TS44 TW43:TZ44 UL43:UL44 UO43:UO44 US43:UV44 VH43:VH44 VK43:VK44 VO43:VR44 RY45 SB45 SF45:SG45 SI45 SU45 SX45 TB45:TC45 TE45 TP45 TS45 TW45:TX45 TZ45 UL45 UO45 US45:UT45 UV45 VH45 VK45 VO45:VP45 VR45 RY46 SB46 SF46:SI46 SU46 SX46 TB46:TE46 TP46 TS46 TW46:TZ46 UL46 UO46 US46:UV46 VH46 VK46 VO46:VR46 RY48 SB48 SF48:SI48 SU48 SX48 TB48:TE48 TP48 TS48 TW48:TZ48 UL48 UO48 US48:UV48 VH48 VK48 VO48:VR48 RY51:RY62 SB51:SB62 SF51:SI62 SU51:SU62 SX51:SX62 TB51:TE62 TP51:TP62 TS51:TS62 TW51:TZ62 UL51:UL62 UO51:UO62 US51:UV62 VH51:VH62 VK51:VK62 VO51:VR62 RY63 SB63 SF63:SI63 SU63 SX63 TB63:TE63 TP63 TS63 TW63:TZ63 UL63 UO63 US63:UV63 VH63 VK63 VO63:VR63 RY64 SB64 SF64:SI64 SU64 SX64 TB64:TE64 TP64 TS64 TW64:TZ64 UL64 UO64 US64:UV64 VH64 VK64 VO64:VR64 RY66:RY82 SB66:SB82 SF66:SI82 SU66:SU82 SX66:SX82 TB66:TE82 TP66:TP82 TS66:TS82 TW66:TZ82 UL66:UL82 UO66:UO82 US66:UV82 VH66:VH82 VK66:VK82 VO66:VR82 RX83:RX95 SA83:SA95 SE83:SH95 ST83:ST95 SW83:SW95 TA83:TD95 TO83:TO95 TR83:TR95 TV83:TY95 UK83:UK95 UN83:UN95 UR83:UU95 VG83:VG95 VJ83:VJ95 VN83:VQ95 RX96 SA96 SE96:SH96 ST96 SW96 TA96:TD96 TO96 TR96 TV96:TY96 UK96 UN96 UR96:UU96 VG96 VJ96 VN96:VQ96 RX97 SA97 SE97:SH97 ST97 SW97 TA97:TD97 TO97 TR97 TV97:TY97 UK97 UN97 UR97:UU97 VG97 VJ97 VN97:VQ97 RX99:RX105 SA99:SA105 SE99:SH105 ST99:ST105 SW99:SW105 TA99:TD105 TO99:TO105 TR99:TR105 TV99:TY105 UK99:UK105 UN99:UN105 UR99:UU105 VG99:VG105 VJ99:VJ105 VN99:VQ105 RY106:RY118 SB106:SB118 SF106:SI118 SU106:SU118 SX106:SX118 TB106:TE118 TP106:TP118 TS106:TS118 TW106:TZ118 UL106:UL118 UO106:UO118 US106:UV118 VH106:VH118 VK106:VK118 VO106:VR118">
    <cfRule type="cellIs" dxfId="0" priority="11167" operator="lessThan">
      <formula>-1</formula>
    </cfRule>
    <cfRule type="cellIs" dxfId="1" priority="11168" operator="greaterThan">
      <formula>1</formula>
    </cfRule>
  </conditionalFormatting>
  <conditionalFormatting sqref="SI1 SI4:SI15 SI18:SI25 SI27 SI38:SI46 SI48 SI51:SI64 SI66:SI82 SH83:SH97 SH99:SH105 SI106:SI118">
    <cfRule type="cellIs" dxfId="0" priority="11161" operator="lessThan">
      <formula>0</formula>
    </cfRule>
  </conditionalFormatting>
  <conditionalFormatting sqref="SI1 SI4:SI15 SI19:SI23 SI27 SI38 SI40:SI46">
    <cfRule type="cellIs" dxfId="4" priority="11189" operator="lessThan">
      <formula>0</formula>
    </cfRule>
  </conditionalFormatting>
  <conditionalFormatting sqref="TE1 TE4:TE15 TE18:TE25 TE27 TE38:TE46 TE48 TE51:TE64 TE66:TE82 TD83:TD97 TD99:TD105 TE106:TE118">
    <cfRule type="cellIs" dxfId="0" priority="11162" operator="lessThan">
      <formula>0</formula>
    </cfRule>
  </conditionalFormatting>
  <conditionalFormatting sqref="TE1 TE4:TE12 TE19:TE23 TE25 TE27 TE38 TE40:TE46 TE48 TE51:TE64 TE66:TE82 TD83:TD97 TD99:TD105 TE106:TE118">
    <cfRule type="cellIs" dxfId="4" priority="11194" operator="lessThan">
      <formula>0</formula>
    </cfRule>
  </conditionalFormatting>
  <conditionalFormatting sqref="TZ1 TZ4:TZ15 TZ18:TZ25 TZ27 TZ38:TZ46 TZ48 TZ51:TZ64 TZ66:TZ82 TY83:TY97 TY99:TY105 TZ106:TZ118">
    <cfRule type="cellIs" dxfId="0" priority="11163" operator="lessThan">
      <formula>0</formula>
    </cfRule>
  </conditionalFormatting>
  <conditionalFormatting sqref="UV1 UV4:UV15 UV18:UV25 UV27 UV38:UV46 UV48 UV51:UV64 UV66:UV82 UU83:UU97 UU99:UU105 UV106:UV118">
    <cfRule type="cellIs" dxfId="0" priority="11164" operator="lessThan">
      <formula>0</formula>
    </cfRule>
  </conditionalFormatting>
  <conditionalFormatting sqref="VR1 VR4:VR15 VR18:VR25 VR27 VR38:VR46 VR48 VR51:VR64 VR66:VR82 VQ83:VQ97 VQ99:VQ105 VR106:VR118">
    <cfRule type="cellIs" dxfId="0" priority="11165" operator="lessThan">
      <formula>0</formula>
    </cfRule>
    <cfRule type="cellIs" dxfId="0" priority="11166" operator="lessThan">
      <formula>-100</formula>
    </cfRule>
  </conditionalFormatting>
  <conditionalFormatting sqref="W2 Y2">
    <cfRule type="cellIs" dxfId="1" priority="5695" operator="greaterThan">
      <formula>0</formula>
    </cfRule>
    <cfRule type="cellIs" dxfId="0" priority="5694" operator="lessThan">
      <formula>0</formula>
    </cfRule>
  </conditionalFormatting>
  <conditionalFormatting sqref="BD2 BF2">
    <cfRule type="cellIs" dxfId="1" priority="5581" operator="greaterThan">
      <formula>0</formula>
    </cfRule>
    <cfRule type="cellIs" dxfId="0" priority="5580" operator="lessThan">
      <formula>0</formula>
    </cfRule>
  </conditionalFormatting>
  <conditionalFormatting sqref="CK2 CM2">
    <cfRule type="cellIs" dxfId="1" priority="5084" operator="greaterThan">
      <formula>0</formula>
    </cfRule>
    <cfRule type="cellIs" dxfId="0" priority="5083" operator="lessThan">
      <formula>0</formula>
    </cfRule>
  </conditionalFormatting>
  <conditionalFormatting sqref="DR2 DT2">
    <cfRule type="cellIs" dxfId="1" priority="4695" operator="greaterThan">
      <formula>0</formula>
    </cfRule>
    <cfRule type="cellIs" dxfId="0" priority="4694" operator="lessThan">
      <formula>0</formula>
    </cfRule>
  </conditionalFormatting>
  <conditionalFormatting sqref="EY2 FA2">
    <cfRule type="cellIs" dxfId="1" priority="4364" operator="greaterThan">
      <formula>0</formula>
    </cfRule>
    <cfRule type="cellIs" dxfId="0" priority="4363" operator="lessThan">
      <formula>0</formula>
    </cfRule>
  </conditionalFormatting>
  <conditionalFormatting sqref="GH2 GJ2">
    <cfRule type="cellIs" dxfId="1" priority="4292" operator="greaterThan">
      <formula>0</formula>
    </cfRule>
    <cfRule type="cellIs" dxfId="0" priority="4291" operator="lessThan">
      <formula>0</formula>
    </cfRule>
  </conditionalFormatting>
  <conditionalFormatting sqref="HP2 HR2">
    <cfRule type="cellIs" dxfId="1" priority="4258" operator="greaterThan">
      <formula>0</formula>
    </cfRule>
    <cfRule type="cellIs" dxfId="0" priority="4257" operator="lessThan">
      <formula>0</formula>
    </cfRule>
  </conditionalFormatting>
  <conditionalFormatting sqref="IX2 IZ2">
    <cfRule type="cellIs" dxfId="1" priority="2387" operator="greaterThan">
      <formula>0</formula>
    </cfRule>
    <cfRule type="cellIs" dxfId="0" priority="2386" operator="lessThan">
      <formula>0</formula>
    </cfRule>
  </conditionalFormatting>
  <conditionalFormatting sqref="KF2 KH2">
    <cfRule type="cellIs" dxfId="1" priority="1610" operator="greaterThan">
      <formula>0</formula>
    </cfRule>
    <cfRule type="cellIs" dxfId="0" priority="1609" operator="lessThan">
      <formula>0</formula>
    </cfRule>
  </conditionalFormatting>
  <conditionalFormatting sqref="LN2 LP2">
    <cfRule type="cellIs" dxfId="1" priority="957" operator="greaterThan">
      <formula>0</formula>
    </cfRule>
    <cfRule type="cellIs" dxfId="0" priority="956" operator="lessThan">
      <formula>0</formula>
    </cfRule>
  </conditionalFormatting>
  <conditionalFormatting sqref="MV2 MX2">
    <cfRule type="cellIs" dxfId="1" priority="923" operator="greaterThan">
      <formula>0</formula>
    </cfRule>
    <cfRule type="cellIs" dxfId="0" priority="922" operator="lessThan">
      <formula>0</formula>
    </cfRule>
  </conditionalFormatting>
  <conditionalFormatting sqref="OD2 OF2">
    <cfRule type="cellIs" dxfId="1" priority="311" operator="greaterThan">
      <formula>0</formula>
    </cfRule>
    <cfRule type="cellIs" dxfId="0" priority="310" operator="lessThan">
      <formula>0</formula>
    </cfRule>
  </conditionalFormatting>
  <conditionalFormatting sqref="W3 Y3 AD3 W4:W5 AF5:AF7 AF10 W11 AF11 W13 AF13 W15 AD15:AF15 AE16:AF16 W19 Y19 AD19 AF19 W20 AF20 W21:W23 AF23 W24:W25 Y24:Y25 AD24:AG25 AE26:AF26">
    <cfRule type="cellIs" dxfId="1" priority="6589" operator="greaterThan">
      <formula>0</formula>
    </cfRule>
    <cfRule type="cellIs" dxfId="0" priority="6588" operator="lessThan">
      <formula>0</formula>
    </cfRule>
  </conditionalFormatting>
  <conditionalFormatting sqref="BD3 BF3 BK3">
    <cfRule type="cellIs" dxfId="1" priority="5597" operator="greaterThan">
      <formula>0</formula>
    </cfRule>
    <cfRule type="cellIs" dxfId="0" priority="5596" operator="lessThan">
      <formula>0</formula>
    </cfRule>
  </conditionalFormatting>
  <conditionalFormatting sqref="CK3 CM3 CR3 CK4:CK5 CT5:CT7 CT10 CK11 CT11 CK13 CT13 CK15 CR15:CT15 CS16:CT16 CK19 CM19 CR19 CT19 CK20 CT20 CK21:CK23 CT23 CK24:CK25 CM24:CM25 CR24:CU25 CS26:CT26">
    <cfRule type="cellIs" dxfId="1" priority="5430" operator="greaterThan">
      <formula>0</formula>
    </cfRule>
    <cfRule type="cellIs" dxfId="0" priority="5429" operator="lessThan">
      <formula>0</formula>
    </cfRule>
  </conditionalFormatting>
  <conditionalFormatting sqref="DR3 DT3 DY3 DR4:DR5 EA5:EA7 EA10 DR11 EA11 DR13 EA13 DZ16:EA16 DR19 DT19 DY19 EA19 DR20 EA20 DR21:DR23 EA23 DR24:DR25 DT24:DT25 DY24:EB25 DZ26:EA26">
    <cfRule type="cellIs" dxfId="1" priority="5041" operator="greaterThan">
      <formula>0</formula>
    </cfRule>
    <cfRule type="cellIs" dxfId="0" priority="5040" operator="lessThan">
      <formula>0</formula>
    </cfRule>
  </conditionalFormatting>
  <conditionalFormatting sqref="EY3 FA3 FF3">
    <cfRule type="cellIs" dxfId="1" priority="4380" operator="greaterThan">
      <formula>0</formula>
    </cfRule>
    <cfRule type="cellIs" dxfId="0" priority="4379" operator="lessThan">
      <formula>0</formula>
    </cfRule>
  </conditionalFormatting>
  <conditionalFormatting sqref="GH3 GJ3 GO3">
    <cfRule type="cellIs" dxfId="1" priority="4308" operator="greaterThan">
      <formula>0</formula>
    </cfRule>
    <cfRule type="cellIs" dxfId="0" priority="4307" operator="lessThan">
      <formula>0</formula>
    </cfRule>
  </conditionalFormatting>
  <conditionalFormatting sqref="HP3 HR3 HW3">
    <cfRule type="cellIs" dxfId="1" priority="4274" operator="greaterThan">
      <formula>0</formula>
    </cfRule>
    <cfRule type="cellIs" dxfId="0" priority="4273" operator="lessThan">
      <formula>0</formula>
    </cfRule>
  </conditionalFormatting>
  <conditionalFormatting sqref="IX3 IZ3 JE3">
    <cfRule type="cellIs" dxfId="1" priority="2403" operator="greaterThan">
      <formula>0</formula>
    </cfRule>
    <cfRule type="cellIs" dxfId="0" priority="2402" operator="lessThan">
      <formula>0</formula>
    </cfRule>
  </conditionalFormatting>
  <conditionalFormatting sqref="KF3 KH3 KM3">
    <cfRule type="cellIs" dxfId="1" priority="1626" operator="greaterThan">
      <formula>0</formula>
    </cfRule>
    <cfRule type="cellIs" dxfId="0" priority="1625" operator="lessThan">
      <formula>0</formula>
    </cfRule>
  </conditionalFormatting>
  <conditionalFormatting sqref="LN3 LP3 LU3">
    <cfRule type="cellIs" dxfId="1" priority="973" operator="greaterThan">
      <formula>0</formula>
    </cfRule>
    <cfRule type="cellIs" dxfId="0" priority="972" operator="lessThan">
      <formula>0</formula>
    </cfRule>
  </conditionalFormatting>
  <conditionalFormatting sqref="MV3 MX3 NC3">
    <cfRule type="cellIs" dxfId="1" priority="939" operator="greaterThan">
      <formula>0</formula>
    </cfRule>
    <cfRule type="cellIs" dxfId="0" priority="938" operator="lessThan">
      <formula>0</formula>
    </cfRule>
  </conditionalFormatting>
  <conditionalFormatting sqref="OD3 OF3 OK3">
    <cfRule type="cellIs" dxfId="1" priority="327" operator="greaterThan">
      <formula>0</formula>
    </cfRule>
    <cfRule type="cellIs" dxfId="0" priority="326" operator="lessThan">
      <formula>0</formula>
    </cfRule>
  </conditionalFormatting>
  <conditionalFormatting sqref="X4:X9 X11:X13">
    <cfRule type="cellIs" dxfId="1" priority="6341" operator="greaterThan">
      <formula>0</formula>
    </cfRule>
    <cfRule type="cellIs" dxfId="0" priority="6340" operator="lessThan">
      <formula>0</formula>
    </cfRule>
  </conditionalFormatting>
  <conditionalFormatting sqref="BD4:BD5 BM5:BM7 BM10 BD11 BM11 BD13 BM13 BD15 BK15:BM15 BL16:BM16 BD19 BF19 BK19 BM19 BD20 BM20 BD21:BD23 BM23 BD24:BD25 BF24:BF25 BK24:BN25 BL26:BM26">
    <cfRule type="cellIs" dxfId="1" priority="6165" operator="greaterThan">
      <formula>0</formula>
    </cfRule>
    <cfRule type="cellIs" dxfId="0" priority="6164" operator="lessThan">
      <formula>0</formula>
    </cfRule>
  </conditionalFormatting>
  <conditionalFormatting sqref="BE4:BE9 BE11:BE13">
    <cfRule type="cellIs" dxfId="1" priority="5954" operator="greaterThan">
      <formula>0</formula>
    </cfRule>
    <cfRule type="cellIs" dxfId="0" priority="5953" operator="lessThan">
      <formula>0</formula>
    </cfRule>
  </conditionalFormatting>
  <conditionalFormatting sqref="CL4:CL9 CL11:CL13">
    <cfRule type="cellIs" dxfId="1" priority="5221" operator="greaterThan">
      <formula>0</formula>
    </cfRule>
    <cfRule type="cellIs" dxfId="0" priority="5220" operator="lessThan">
      <formula>0</formula>
    </cfRule>
  </conditionalFormatting>
  <conditionalFormatting sqref="DS4:DS9 DS11:DS13">
    <cfRule type="cellIs" dxfId="1" priority="4832" operator="greaterThan">
      <formula>0</formula>
    </cfRule>
    <cfRule type="cellIs" dxfId="0" priority="4831" operator="lessThan">
      <formula>0</formula>
    </cfRule>
  </conditionalFormatting>
  <conditionalFormatting sqref="EE4:FJ13">
    <cfRule type="cellIs" dxfId="2" priority="3747" operator="greaterThan">
      <formula>0</formula>
    </cfRule>
    <cfRule type="cellIs" dxfId="3" priority="3746" operator="lessThan">
      <formula>0</formula>
    </cfRule>
  </conditionalFormatting>
  <conditionalFormatting sqref="FN4:GS13">
    <cfRule type="cellIs" dxfId="2" priority="3232" operator="greaterThan">
      <formula>0</formula>
    </cfRule>
    <cfRule type="cellIs" dxfId="3" priority="3231" operator="lessThan">
      <formula>0</formula>
    </cfRule>
  </conditionalFormatting>
  <conditionalFormatting sqref="GV4:IA13">
    <cfRule type="cellIs" dxfId="2" priority="2688" operator="greaterThan">
      <formula>0</formula>
    </cfRule>
    <cfRule type="cellIs" dxfId="3" priority="2687" operator="lessThan">
      <formula>0</formula>
    </cfRule>
  </conditionalFormatting>
  <conditionalFormatting sqref="ID4:JI15">
    <cfRule type="cellIs" dxfId="2" priority="2117" operator="greaterThan">
      <formula>0</formula>
    </cfRule>
    <cfRule type="cellIs" dxfId="3" priority="2116" operator="lessThan">
      <formula>0</formula>
    </cfRule>
  </conditionalFormatting>
  <conditionalFormatting sqref="JL4:JW13 JY4:KQ13">
    <cfRule type="cellIs" dxfId="2" priority="1382" operator="greaterThan">
      <formula>0</formula>
    </cfRule>
    <cfRule type="cellIs" dxfId="3" priority="1381" operator="lessThan">
      <formula>0</formula>
    </cfRule>
  </conditionalFormatting>
  <conditionalFormatting sqref="KT4:LE4 LG4:LY4">
    <cfRule type="cellIs" dxfId="2" priority="754" operator="greaterThan">
      <formula>0</formula>
    </cfRule>
    <cfRule type="cellIs" dxfId="3" priority="747" operator="lessThan">
      <formula>0</formula>
    </cfRule>
  </conditionalFormatting>
  <conditionalFormatting sqref="MB4:MM4 MO4:NG4">
    <cfRule type="cellIs" dxfId="2" priority="541" operator="greaterThan">
      <formula>0</formula>
    </cfRule>
    <cfRule type="cellIs" dxfId="3" priority="534" operator="lessThan">
      <formula>0</formula>
    </cfRule>
  </conditionalFormatting>
  <conditionalFormatting sqref="NJ4:NU4 NW4:OO4">
    <cfRule type="cellIs" dxfId="2" priority="146" operator="greaterThan">
      <formula>0</formula>
    </cfRule>
    <cfRule type="cellIs" dxfId="3" priority="139" operator="lessThan">
      <formula>0</formula>
    </cfRule>
  </conditionalFormatting>
  <conditionalFormatting sqref="PG4:PG15 PI4:PI15 PM4:PO16 PG18:PG23 PI18:PI23 PM18:PO23 PG24:PG25 PI24:PI25 PM24:PP25 PG26 PM26:PO26">
    <cfRule type="cellIs" dxfId="0" priority="10801" operator="lessThan">
      <formula>0</formula>
    </cfRule>
    <cfRule type="cellIs" dxfId="1" priority="10802" operator="greaterThan">
      <formula>0</formula>
    </cfRule>
  </conditionalFormatting>
  <conditionalFormatting sqref="PQ4:PQ16 PQ18:PQ26">
    <cfRule type="cellIs" dxfId="0" priority="10799" operator="lessThan">
      <formula>-1</formula>
    </cfRule>
    <cfRule type="cellIs" dxfId="0" priority="10800" operator="lessThan">
      <formula>0</formula>
    </cfRule>
  </conditionalFormatting>
  <conditionalFormatting sqref="AE5:AE7 AE10:AE11 AE13">
    <cfRule type="cellIs" dxfId="1" priority="6555" operator="greaterThan">
      <formula>0</formula>
    </cfRule>
    <cfRule type="cellIs" dxfId="0" priority="6554" operator="lessThan">
      <formula>0</formula>
    </cfRule>
  </conditionalFormatting>
  <conditionalFormatting sqref="BL5:BL7 BL10:BL11 BL13">
    <cfRule type="cellIs" dxfId="1" priority="6142" operator="greaterThan">
      <formula>0</formula>
    </cfRule>
    <cfRule type="cellIs" dxfId="0" priority="6141" operator="lessThan">
      <formula>0</formula>
    </cfRule>
  </conditionalFormatting>
  <conditionalFormatting sqref="CS5:CS7 CS10:CS11 CS13">
    <cfRule type="cellIs" dxfId="1" priority="5407" operator="greaterThan">
      <formula>0</formula>
    </cfRule>
    <cfRule type="cellIs" dxfId="0" priority="5406" operator="lessThan">
      <formula>0</formula>
    </cfRule>
  </conditionalFormatting>
  <conditionalFormatting sqref="DZ5:DZ7 DZ10:DZ11 DZ13">
    <cfRule type="cellIs" dxfId="1" priority="5018" operator="greaterThan">
      <formula>0</formula>
    </cfRule>
    <cfRule type="cellIs" dxfId="0" priority="5017" operator="lessThan">
      <formula>0</formula>
    </cfRule>
  </conditionalFormatting>
  <conditionalFormatting sqref="KT5:LE5 LG5:LY5">
    <cfRule type="cellIs" dxfId="2" priority="753" operator="greaterThan">
      <formula>0</formula>
    </cfRule>
    <cfRule type="cellIs" dxfId="3" priority="746" operator="lessThan">
      <formula>0</formula>
    </cfRule>
  </conditionalFormatting>
  <conditionalFormatting sqref="MB5:MM5 MO5:NG5">
    <cfRule type="cellIs" dxfId="2" priority="540" operator="greaterThan">
      <formula>0</formula>
    </cfRule>
    <cfRule type="cellIs" dxfId="3" priority="533" operator="lessThan">
      <formula>0</formula>
    </cfRule>
  </conditionalFormatting>
  <conditionalFormatting sqref="NJ5:NU5 NW5:OO5">
    <cfRule type="cellIs" dxfId="2" priority="145" operator="greaterThan">
      <formula>0</formula>
    </cfRule>
    <cfRule type="cellIs" dxfId="3" priority="138" operator="lessThan">
      <formula>0</formula>
    </cfRule>
  </conditionalFormatting>
  <conditionalFormatting sqref="KT6:LE6 LG6:LY6">
    <cfRule type="cellIs" dxfId="2" priority="752" operator="greaterThan">
      <formula>0</formula>
    </cfRule>
    <cfRule type="cellIs" dxfId="3" priority="745" operator="lessThan">
      <formula>0</formula>
    </cfRule>
  </conditionalFormatting>
  <conditionalFormatting sqref="MB6:MM6 MO6:NG6">
    <cfRule type="cellIs" dxfId="2" priority="539" operator="greaterThan">
      <formula>0</formula>
    </cfRule>
    <cfRule type="cellIs" dxfId="3" priority="532" operator="lessThan">
      <formula>0</formula>
    </cfRule>
  </conditionalFormatting>
  <conditionalFormatting sqref="NJ6:NM6 NO6:NU6 NW6:OO6">
    <cfRule type="cellIs" dxfId="2" priority="144" operator="greaterThan">
      <formula>0</formula>
    </cfRule>
    <cfRule type="cellIs" dxfId="3" priority="137" operator="lessThan">
      <formula>0</formula>
    </cfRule>
  </conditionalFormatting>
  <conditionalFormatting sqref="KT7:LE7 LG7:LY7">
    <cfRule type="cellIs" dxfId="2" priority="751" operator="greaterThan">
      <formula>0</formula>
    </cfRule>
    <cfRule type="cellIs" dxfId="3" priority="744" operator="lessThan">
      <formula>0</formula>
    </cfRule>
  </conditionalFormatting>
  <conditionalFormatting sqref="MB7:MM7 MO7:NG7">
    <cfRule type="cellIs" dxfId="2" priority="538" operator="greaterThan">
      <formula>0</formula>
    </cfRule>
    <cfRule type="cellIs" dxfId="3" priority="531" operator="lessThan">
      <formula>0</formula>
    </cfRule>
  </conditionalFormatting>
  <conditionalFormatting sqref="NJ7:NM7 NO7:NU7 NW7:OO7">
    <cfRule type="cellIs" dxfId="2" priority="143" operator="greaterThan">
      <formula>0</formula>
    </cfRule>
    <cfRule type="cellIs" dxfId="3" priority="136" operator="lessThan">
      <formula>0</formula>
    </cfRule>
  </conditionalFormatting>
  <conditionalFormatting sqref="KT8:LE8 LG8:LY8">
    <cfRule type="cellIs" dxfId="2" priority="750" operator="greaterThan">
      <formula>0</formula>
    </cfRule>
    <cfRule type="cellIs" dxfId="3" priority="743" operator="lessThan">
      <formula>0</formula>
    </cfRule>
  </conditionalFormatting>
  <conditionalFormatting sqref="MB8:MM8 MO8:NG8">
    <cfRule type="cellIs" dxfId="2" priority="537" operator="greaterThan">
      <formula>0</formula>
    </cfRule>
    <cfRule type="cellIs" dxfId="3" priority="530" operator="lessThan">
      <formula>0</formula>
    </cfRule>
  </conditionalFormatting>
  <conditionalFormatting sqref="NJ8:NU8 NW8:OO8">
    <cfRule type="cellIs" dxfId="2" priority="142" operator="greaterThan">
      <formula>0</formula>
    </cfRule>
    <cfRule type="cellIs" dxfId="3" priority="135" operator="lessThan">
      <formula>0</formula>
    </cfRule>
  </conditionalFormatting>
  <conditionalFormatting sqref="KT9:LE9 LG9:LY9">
    <cfRule type="cellIs" dxfId="2" priority="749" operator="greaterThan">
      <formula>0</formula>
    </cfRule>
    <cfRule type="cellIs" dxfId="3" priority="742" operator="lessThan">
      <formula>0</formula>
    </cfRule>
  </conditionalFormatting>
  <conditionalFormatting sqref="MB9:MM9 MO9:NG9">
    <cfRule type="cellIs" dxfId="2" priority="536" operator="greaterThan">
      <formula>0</formula>
    </cfRule>
    <cfRule type="cellIs" dxfId="3" priority="529" operator="lessThan">
      <formula>0</formula>
    </cfRule>
  </conditionalFormatting>
  <conditionalFormatting sqref="NJ9:NU9 NW9:OO9">
    <cfRule type="cellIs" dxfId="2" priority="141" operator="greaterThan">
      <formula>0</formula>
    </cfRule>
    <cfRule type="cellIs" dxfId="3" priority="134" operator="lessThan">
      <formula>0</formula>
    </cfRule>
  </conditionalFormatting>
  <conditionalFormatting sqref="KT10:LE10 LG10:LY10">
    <cfRule type="cellIs" dxfId="2" priority="748" operator="greaterThan">
      <formula>0</formula>
    </cfRule>
    <cfRule type="cellIs" dxfId="3" priority="741" operator="lessThan">
      <formula>0</formula>
    </cfRule>
  </conditionalFormatting>
  <conditionalFormatting sqref="MB10:MM10 MO10:NG10">
    <cfRule type="cellIs" dxfId="2" priority="535" operator="greaterThan">
      <formula>0</formula>
    </cfRule>
    <cfRule type="cellIs" dxfId="3" priority="528" operator="lessThan">
      <formula>0</formula>
    </cfRule>
  </conditionalFormatting>
  <conditionalFormatting sqref="NJ10:NM10 NO10:NU10 NW10:OO10">
    <cfRule type="cellIs" dxfId="2" priority="140" operator="greaterThan">
      <formula>0</formula>
    </cfRule>
    <cfRule type="cellIs" dxfId="3" priority="133" operator="lessThan">
      <formula>0</formula>
    </cfRule>
  </conditionalFormatting>
  <conditionalFormatting sqref="LN11:LN13 LP11:LP13 LU11:LU13 LW11:LW13 LN14 LP14 LN15 LP15 LU15:LW15 LN18 LP18 LU18:LW18 LN19:LN23 LP19:LP23 LU19:LU23 LW19:LW23 LN24:LN25 LP24:LP25 LU24:LX25 LV26:LW26">
    <cfRule type="cellIs" dxfId="0" priority="9900" operator="lessThan">
      <formula>0</formula>
    </cfRule>
    <cfRule type="cellIs" dxfId="1" priority="9901" operator="greaterThan">
      <formula>0</formula>
    </cfRule>
  </conditionalFormatting>
  <conditionalFormatting sqref="MV11:MV13 MX11:MX13 NB11:NC13 NE11:NE13 MV14 MX14 MV15 MX15 NB15:NE15 MV18 MX18 NB18:NE18 MV19:MV23 MX19:MX23 NB19:NC23 NE19:NE23 MV24:MV25 MX24:MX25 NB24:NF25 ND26:NE26">
    <cfRule type="cellIs" dxfId="0" priority="10310" operator="lessThan">
      <formula>0</formula>
    </cfRule>
    <cfRule type="cellIs" dxfId="1" priority="10311" operator="greaterThan">
      <formula>0</formula>
    </cfRule>
  </conditionalFormatting>
  <conditionalFormatting sqref="OD11:OD13 OF11:OF13 OK11:OK13 OM11:OM13 OD14 OF14 OD15 OF15 OK15:OM15 OD18 OF18 OK18:OM18 OD19:OD23 OF19:OF23 OK19:OK23 OM19:OM23 OD24:OD25 OF24:OF25 OK24:ON25 OL26:OM26">
    <cfRule type="cellIs" dxfId="0" priority="10529" operator="lessThan">
      <formula>0</formula>
    </cfRule>
    <cfRule type="cellIs" dxfId="1" priority="10530" operator="greaterThan">
      <formula>0</formula>
    </cfRule>
  </conditionalFormatting>
  <conditionalFormatting sqref="ON11:ON13 ON15">
    <cfRule type="cellIs" dxfId="0" priority="10518" operator="lessThan">
      <formula>0</formula>
    </cfRule>
    <cfRule type="cellIs" dxfId="1" priority="10519" operator="greaterThan">
      <formula>0</formula>
    </cfRule>
    <cfRule type="cellIs" dxfId="0" priority="10520" operator="lessThan">
      <formula>0</formula>
    </cfRule>
    <cfRule type="cellIs" dxfId="1" priority="10521" operator="greaterThan">
      <formula>0</formula>
    </cfRule>
    <cfRule type="cellIs" dxfId="6" priority="10522" operator="lessThan">
      <formula>0</formula>
    </cfRule>
    <cfRule type="cellIs" dxfId="5" priority="10523" operator="greaterThan">
      <formula>1</formula>
    </cfRule>
  </conditionalFormatting>
  <conditionalFormatting sqref="OO11:OO13 OO15">
    <cfRule type="cellIs" dxfId="4" priority="10536" operator="lessThan">
      <formula>0</formula>
    </cfRule>
  </conditionalFormatting>
  <conditionalFormatting sqref="OO11:OO13 OO15 OO18:OO25">
    <cfRule type="cellIs" dxfId="0" priority="10527" operator="lessThan">
      <formula>-1</formula>
    </cfRule>
    <cfRule type="cellIs" dxfId="0" priority="10528" operator="lessThan">
      <formula>0</formula>
    </cfRule>
  </conditionalFormatting>
  <conditionalFormatting sqref="CK14 CR14:CT14">
    <cfRule type="cellIs" dxfId="1" priority="1778" operator="greaterThan">
      <formula>0</formula>
    </cfRule>
    <cfRule type="cellIs" dxfId="0" priority="1777" operator="lessThan">
      <formula>0</formula>
    </cfRule>
  </conditionalFormatting>
  <conditionalFormatting sqref="CX14:EC15">
    <cfRule type="cellIs" dxfId="2" priority="1740" operator="greaterThan">
      <formula>0</formula>
    </cfRule>
    <cfRule type="cellIs" dxfId="3" priority="1739" operator="lessThan">
      <formula>0</formula>
    </cfRule>
  </conditionalFormatting>
  <conditionalFormatting sqref="DR14 DY14:EA14">
    <cfRule type="cellIs" dxfId="1" priority="1764" operator="greaterThan">
      <formula>0</formula>
    </cfRule>
    <cfRule type="cellIs" dxfId="0" priority="1762" operator="lessThan">
      <formula>0</formula>
    </cfRule>
  </conditionalFormatting>
  <conditionalFormatting sqref="LU14 LW14">
    <cfRule type="cellIs" dxfId="0" priority="9866" operator="lessThan">
      <formula>0</formula>
    </cfRule>
    <cfRule type="cellIs" dxfId="1" priority="9867" operator="greaterThan">
      <formula>0</formula>
    </cfRule>
  </conditionalFormatting>
  <conditionalFormatting sqref="NB14:NC14 NE14">
    <cfRule type="cellIs" dxfId="0" priority="10275" operator="lessThan">
      <formula>0</formula>
    </cfRule>
    <cfRule type="cellIs" dxfId="1" priority="10276" operator="greaterThan">
      <formula>0</formula>
    </cfRule>
  </conditionalFormatting>
  <conditionalFormatting sqref="OK14 OM14">
    <cfRule type="cellIs" dxfId="0" priority="10438" operator="lessThan">
      <formula>0</formula>
    </cfRule>
    <cfRule type="cellIs" dxfId="1" priority="10439" operator="greaterThan">
      <formula>0</formula>
    </cfRule>
  </conditionalFormatting>
  <conditionalFormatting sqref="AH15 AH19 AH24:AH25">
    <cfRule type="cellIs" dxfId="0" priority="6587" operator="lessThan">
      <formula>0</formula>
    </cfRule>
    <cfRule type="cellIs" dxfId="0" priority="6586" operator="lessThan">
      <formula>-1</formula>
    </cfRule>
  </conditionalFormatting>
  <conditionalFormatting sqref="BO15 BO19 BO24:BO25">
    <cfRule type="cellIs" dxfId="0" priority="6163" operator="lessThan">
      <formula>0</formula>
    </cfRule>
    <cfRule type="cellIs" dxfId="0" priority="6162" operator="lessThan">
      <formula>-1</formula>
    </cfRule>
  </conditionalFormatting>
  <conditionalFormatting sqref="CV15 CV19 CV24:CV25">
    <cfRule type="cellIs" dxfId="0" priority="5428" operator="lessThan">
      <formula>0</formula>
    </cfRule>
    <cfRule type="cellIs" dxfId="0" priority="5427" operator="lessThan">
      <formula>-1</formula>
    </cfRule>
  </conditionalFormatting>
  <conditionalFormatting sqref="DR15 DY15:EA15">
    <cfRule type="cellIs" dxfId="1" priority="1763" operator="greaterThan">
      <formula>0</formula>
    </cfRule>
    <cfRule type="cellIs" dxfId="0" priority="1761" operator="lessThan">
      <formula>0</formula>
    </cfRule>
  </conditionalFormatting>
  <conditionalFormatting sqref="EY15 FF15:FH15">
    <cfRule type="cellIs" dxfId="0" priority="7707" operator="lessThan">
      <formula>0</formula>
    </cfRule>
    <cfRule type="cellIs" dxfId="1" priority="7708" operator="greaterThan">
      <formula>0</formula>
    </cfRule>
  </conditionalFormatting>
  <conditionalFormatting sqref="GH15 GO15:GQ15">
    <cfRule type="cellIs" dxfId="0" priority="8364" operator="lessThan">
      <formula>0</formula>
    </cfRule>
    <cfRule type="cellIs" dxfId="1" priority="8365" operator="greaterThan">
      <formula>0</formula>
    </cfRule>
  </conditionalFormatting>
  <conditionalFormatting sqref="HP15 HW15:HY15">
    <cfRule type="cellIs" dxfId="0" priority="8694" operator="lessThan">
      <formula>0</formula>
    </cfRule>
    <cfRule type="cellIs" dxfId="1" priority="8695" operator="greaterThan">
      <formula>0</formula>
    </cfRule>
  </conditionalFormatting>
  <conditionalFormatting sqref="KF15 KH15 KM15:KO15 KF25 KH25 KM25:KP25">
    <cfRule type="cellIs" dxfId="0" priority="9520" operator="lessThan">
      <formula>0</formula>
    </cfRule>
    <cfRule type="cellIs" dxfId="1" priority="9521" operator="greaterThan">
      <formula>0</formula>
    </cfRule>
  </conditionalFormatting>
  <conditionalFormatting sqref="KQ15 KQ25">
    <cfRule type="cellIs" dxfId="0" priority="9518" operator="lessThan">
      <formula>-1</formula>
    </cfRule>
    <cfRule type="cellIs" dxfId="0" priority="9519" operator="lessThan">
      <formula>0</formula>
    </cfRule>
  </conditionalFormatting>
  <conditionalFormatting sqref="LY15 LY18:LY19 LY24:LY25">
    <cfRule type="cellIs" dxfId="0" priority="9898" operator="lessThan">
      <formula>-1</formula>
    </cfRule>
    <cfRule type="cellIs" dxfId="0" priority="9899" operator="lessThan">
      <formula>0</formula>
    </cfRule>
  </conditionalFormatting>
  <conditionalFormatting sqref="NG15 NG18:NG19 NG24:NG25">
    <cfRule type="cellIs" dxfId="0" priority="10308" operator="lessThan">
      <formula>-1</formula>
    </cfRule>
    <cfRule type="cellIs" dxfId="0" priority="10309" operator="lessThan">
      <formula>0</formula>
    </cfRule>
  </conditionalFormatting>
  <conditionalFormatting sqref="ID16:IG16 II16:IO16 IQ16:JI16">
    <cfRule type="cellIs" dxfId="2" priority="1781" operator="greaterThan">
      <formula>0</formula>
    </cfRule>
    <cfRule type="cellIs" dxfId="3" priority="1780" operator="lessThan">
      <formula>0</formula>
    </cfRule>
  </conditionalFormatting>
  <conditionalFormatting sqref="JL16:JO16 JQ16:JW16 JY16:KQ16">
    <cfRule type="cellIs" dxfId="2" priority="1307" operator="greaterThan">
      <formula>0</formula>
    </cfRule>
    <cfRule type="cellIs" dxfId="3" priority="1306" operator="lessThan">
      <formula>0</formula>
    </cfRule>
  </conditionalFormatting>
  <conditionalFormatting sqref="KT16:KW16 KY16:LE16 LG16:LY16">
    <cfRule type="cellIs" dxfId="2" priority="713" operator="greaterThan">
      <formula>0</formula>
    </cfRule>
    <cfRule type="cellIs" dxfId="3" priority="712" operator="lessThan">
      <formula>0</formula>
    </cfRule>
  </conditionalFormatting>
  <conditionalFormatting sqref="MB16:ME16 MG16:MM16 MO16:NG16">
    <cfRule type="cellIs" dxfId="2" priority="694" operator="greaterThan">
      <formula>0</formula>
    </cfRule>
    <cfRule type="cellIs" dxfId="3" priority="693" operator="lessThan">
      <formula>0</formula>
    </cfRule>
  </conditionalFormatting>
  <conditionalFormatting sqref="NJ16:NM16 NO16:NU16 NW16:OO16">
    <cfRule type="cellIs" dxfId="2" priority="105" operator="greaterThan">
      <formula>0</formula>
    </cfRule>
    <cfRule type="cellIs" dxfId="3" priority="104" operator="lessThan">
      <formula>0</formula>
    </cfRule>
  </conditionalFormatting>
  <conditionalFormatting sqref="RY16 SF16:SG16">
    <cfRule type="cellIs" dxfId="0" priority="11082" operator="lessThan">
      <formula>0</formula>
    </cfRule>
    <cfRule type="cellIs" dxfId="1" priority="11083" operator="greaterThan">
      <formula>0</formula>
    </cfRule>
  </conditionalFormatting>
  <conditionalFormatting sqref="SU16 SX16 TB16:TC16">
    <cfRule type="cellIs" dxfId="0" priority="11077" operator="lessThan">
      <formula>0</formula>
    </cfRule>
    <cfRule type="cellIs" dxfId="1" priority="11078" operator="greaterThan">
      <formula>0</formula>
    </cfRule>
  </conditionalFormatting>
  <conditionalFormatting sqref="TP16 TS16 TW16:TX16">
    <cfRule type="cellIs" dxfId="0" priority="11072" operator="lessThan">
      <formula>0</formula>
    </cfRule>
    <cfRule type="cellIs" dxfId="1" priority="11073" operator="greaterThan">
      <formula>0</formula>
    </cfRule>
  </conditionalFormatting>
  <conditionalFormatting sqref="UL16 UO16 US16:UT16">
    <cfRule type="cellIs" dxfId="0" priority="11061" operator="lessThan">
      <formula>0</formula>
    </cfRule>
    <cfRule type="cellIs" dxfId="1" priority="11062" operator="greaterThan">
      <formula>0</formula>
    </cfRule>
  </conditionalFormatting>
  <conditionalFormatting sqref="VH16 VK16 VO16:VP16">
    <cfRule type="cellIs" dxfId="0" priority="11050" operator="lessThan">
      <formula>0</formula>
    </cfRule>
    <cfRule type="cellIs" dxfId="1" priority="11051" operator="greaterThan">
      <formula>0</formula>
    </cfRule>
  </conditionalFormatting>
  <conditionalFormatting sqref="W18 Y18">
    <cfRule type="cellIs" dxfId="1" priority="5615" operator="greaterThan">
      <formula>0</formula>
    </cfRule>
    <cfRule type="cellIs" dxfId="0" priority="5614" operator="lessThan">
      <formula>0</formula>
    </cfRule>
  </conditionalFormatting>
  <conditionalFormatting sqref="BD18 BF18 BK18:BM18">
    <cfRule type="cellIs" dxfId="1" priority="5851" operator="greaterThan">
      <formula>0</formula>
    </cfRule>
    <cfRule type="cellIs" dxfId="0" priority="5850" operator="lessThan">
      <formula>0</formula>
    </cfRule>
  </conditionalFormatting>
  <conditionalFormatting sqref="CK18 CM18">
    <cfRule type="cellIs" dxfId="1" priority="5064" operator="greaterThan">
      <formula>0</formula>
    </cfRule>
    <cfRule type="cellIs" dxfId="0" priority="5063" operator="lessThan">
      <formula>0</formula>
    </cfRule>
  </conditionalFormatting>
  <conditionalFormatting sqref="DR18 DT18">
    <cfRule type="cellIs" dxfId="1" priority="3998" operator="greaterThan">
      <formula>0</formula>
    </cfRule>
    <cfRule type="cellIs" dxfId="0" priority="3997" operator="lessThan">
      <formula>0</formula>
    </cfRule>
  </conditionalFormatting>
  <conditionalFormatting sqref="EY18 FA18">
    <cfRule type="cellIs" dxfId="1" priority="4018" operator="greaterThan">
      <formula>0</formula>
    </cfRule>
    <cfRule type="cellIs" dxfId="0" priority="4017" operator="lessThan">
      <formula>0</formula>
    </cfRule>
  </conditionalFormatting>
  <conditionalFormatting sqref="GH18 GJ18">
    <cfRule type="cellIs" dxfId="1" priority="4118" operator="greaterThan">
      <formula>0</formula>
    </cfRule>
    <cfRule type="cellIs" dxfId="0" priority="4117" operator="lessThan">
      <formula>0</formula>
    </cfRule>
  </conditionalFormatting>
  <conditionalFormatting sqref="HP18 HR18">
    <cfRule type="cellIs" dxfId="1" priority="4238" operator="greaterThan">
      <formula>0</formula>
    </cfRule>
    <cfRule type="cellIs" dxfId="0" priority="4237" operator="lessThan">
      <formula>0</formula>
    </cfRule>
  </conditionalFormatting>
  <conditionalFormatting sqref="IX18 IZ18">
    <cfRule type="cellIs" dxfId="1" priority="1943" operator="greaterThan">
      <formula>0</formula>
    </cfRule>
    <cfRule type="cellIs" dxfId="0" priority="1942" operator="lessThan">
      <formula>0</formula>
    </cfRule>
  </conditionalFormatting>
  <conditionalFormatting sqref="KF18 KH18">
    <cfRule type="cellIs" dxfId="1" priority="1378" operator="greaterThan">
      <formula>0</formula>
    </cfRule>
    <cfRule type="cellIs" dxfId="0" priority="1377" operator="lessThan">
      <formula>0</formula>
    </cfRule>
  </conditionalFormatting>
  <conditionalFormatting sqref="AE19:AE20 AE23">
    <cfRule type="cellIs" dxfId="1" priority="6530" operator="greaterThan">
      <formula>0</formula>
    </cfRule>
    <cfRule type="cellIs" dxfId="0" priority="6529" operator="lessThan">
      <formula>0</formula>
    </cfRule>
  </conditionalFormatting>
  <conditionalFormatting sqref="BL19:BL20 BL23">
    <cfRule type="cellIs" dxfId="1" priority="6121" operator="greaterThan">
      <formula>0</formula>
    </cfRule>
    <cfRule type="cellIs" dxfId="0" priority="6120" operator="lessThan">
      <formula>0</formula>
    </cfRule>
  </conditionalFormatting>
  <conditionalFormatting sqref="CS19:CS20 CS23">
    <cfRule type="cellIs" dxfId="1" priority="5388" operator="greaterThan">
      <formula>0</formula>
    </cfRule>
    <cfRule type="cellIs" dxfId="0" priority="5387" operator="lessThan">
      <formula>0</formula>
    </cfRule>
  </conditionalFormatting>
  <conditionalFormatting sqref="DZ19:DZ20 DZ23">
    <cfRule type="cellIs" dxfId="1" priority="4999" operator="greaterThan">
      <formula>0</formula>
    </cfRule>
    <cfRule type="cellIs" dxfId="0" priority="4998" operator="lessThan">
      <formula>0</formula>
    </cfRule>
  </conditionalFormatting>
  <conditionalFormatting sqref="EC19 EC24:EC25">
    <cfRule type="cellIs" dxfId="0" priority="5039" operator="lessThan">
      <formula>0</formula>
    </cfRule>
    <cfRule type="cellIs" dxfId="0" priority="5038" operator="lessThan">
      <formula>-1</formula>
    </cfRule>
  </conditionalFormatting>
  <conditionalFormatting sqref="EE19:FJ25">
    <cfRule type="cellIs" dxfId="2" priority="3536" operator="greaterThan">
      <formula>0</formula>
    </cfRule>
    <cfRule type="cellIs" dxfId="3" priority="3535" operator="lessThan">
      <formula>0</formula>
    </cfRule>
  </conditionalFormatting>
  <conditionalFormatting sqref="FN19:GS19 FN20:FQ20 FS20:GS20 FN21:GS22 FN23:FQ23 FS23:GS23 FN24:GS25">
    <cfRule type="cellIs" dxfId="2" priority="2983" operator="greaterThan">
      <formula>0</formula>
    </cfRule>
    <cfRule type="cellIs" dxfId="3" priority="2982" operator="lessThan">
      <formula>0</formula>
    </cfRule>
  </conditionalFormatting>
  <conditionalFormatting sqref="GV19:IA25">
    <cfRule type="cellIs" dxfId="2" priority="2479" operator="greaterThan">
      <formula>0</formula>
    </cfRule>
    <cfRule type="cellIs" dxfId="3" priority="2478" operator="lessThan">
      <formula>0</formula>
    </cfRule>
  </conditionalFormatting>
  <conditionalFormatting sqref="ID19:JI19 ID20:IG20 II20:IO20 IQ20:JI20 ID21:JI22 ID23:IG23 II23:IO23 IQ23:JI23 ID24:JI25">
    <cfRule type="cellIs" dxfId="2" priority="1947" operator="greaterThan">
      <formula>0</formula>
    </cfRule>
    <cfRule type="cellIs" dxfId="3" priority="1946" operator="lessThan">
      <formula>0</formula>
    </cfRule>
  </conditionalFormatting>
  <conditionalFormatting sqref="JL19:KQ24">
    <cfRule type="cellIs" dxfId="2" priority="1118" operator="greaterThan">
      <formula>0</formula>
    </cfRule>
    <cfRule type="cellIs" dxfId="3" priority="1117" operator="lessThan">
      <formula>0</formula>
    </cfRule>
  </conditionalFormatting>
  <conditionalFormatting sqref="AD20 AD23">
    <cfRule type="cellIs" dxfId="1" priority="6303" operator="greaterThan">
      <formula>0</formula>
    </cfRule>
    <cfRule type="cellIs" dxfId="0" priority="6302" operator="lessThan">
      <formula>0</formula>
    </cfRule>
  </conditionalFormatting>
  <conditionalFormatting sqref="BK20 BK23">
    <cfRule type="cellIs" dxfId="1" priority="5916" operator="greaterThan">
      <formula>0</formula>
    </cfRule>
    <cfRule type="cellIs" dxfId="0" priority="5915" operator="lessThan">
      <formula>0</formula>
    </cfRule>
  </conditionalFormatting>
  <conditionalFormatting sqref="CR20 CR23">
    <cfRule type="cellIs" dxfId="1" priority="5183" operator="greaterThan">
      <formula>0</formula>
    </cfRule>
    <cfRule type="cellIs" dxfId="0" priority="5182" operator="lessThan">
      <formula>0</formula>
    </cfRule>
  </conditionalFormatting>
  <conditionalFormatting sqref="DY20 DY23">
    <cfRule type="cellIs" dxfId="1" priority="4794" operator="greaterThan">
      <formula>0</formula>
    </cfRule>
    <cfRule type="cellIs" dxfId="0" priority="4793" operator="lessThan">
      <formula>0</formula>
    </cfRule>
  </conditionalFormatting>
  <conditionalFormatting sqref="Z21:AA22 AE21:AF22">
    <cfRule type="cellIs" dxfId="1" priority="6346" operator="greaterThan">
      <formula>0</formula>
    </cfRule>
    <cfRule type="cellIs" dxfId="0" priority="6345" operator="lessThan">
      <formula>0</formula>
    </cfRule>
  </conditionalFormatting>
  <conditionalFormatting sqref="BG21:BH22 BL21:BM22">
    <cfRule type="cellIs" dxfId="1" priority="5959" operator="greaterThan">
      <formula>0</formula>
    </cfRule>
    <cfRule type="cellIs" dxfId="0" priority="5958" operator="lessThan">
      <formula>0</formula>
    </cfRule>
  </conditionalFormatting>
  <conditionalFormatting sqref="CN21:CO22 CS21:CT22">
    <cfRule type="cellIs" dxfId="1" priority="5226" operator="greaterThan">
      <formula>0</formula>
    </cfRule>
    <cfRule type="cellIs" dxfId="0" priority="5225" operator="lessThan">
      <formula>0</formula>
    </cfRule>
  </conditionalFormatting>
  <conditionalFormatting sqref="DU21:DV22 DZ21:EA22">
    <cfRule type="cellIs" dxfId="1" priority="4837" operator="greaterThan">
      <formula>0</formula>
    </cfRule>
    <cfRule type="cellIs" dxfId="0" priority="4836" operator="lessThan">
      <formula>0</formula>
    </cfRule>
  </conditionalFormatting>
  <conditionalFormatting sqref="ID26:IG26 II26:IO26 IQ26:JI26">
    <cfRule type="cellIs" dxfId="2" priority="1796" operator="greaterThan">
      <formula>0</formula>
    </cfRule>
    <cfRule type="cellIs" dxfId="3" priority="1795" operator="lessThan">
      <formula>0</formula>
    </cfRule>
  </conditionalFormatting>
  <conditionalFormatting sqref="JL26:JO26 JQ26:JW26 JY26:KQ26">
    <cfRule type="cellIs" dxfId="2" priority="1288" operator="greaterThan">
      <formula>0</formula>
    </cfRule>
    <cfRule type="cellIs" dxfId="3" priority="1287" operator="lessThan">
      <formula>0</formula>
    </cfRule>
  </conditionalFormatting>
  <conditionalFormatting sqref="RY26 SF26">
    <cfRule type="cellIs" dxfId="0" priority="11037" operator="lessThan">
      <formula>0</formula>
    </cfRule>
    <cfRule type="cellIs" dxfId="1" priority="11038" operator="greaterThan">
      <formula>0</formula>
    </cfRule>
  </conditionalFormatting>
  <conditionalFormatting sqref="SU26 SX26 TB26">
    <cfRule type="cellIs" dxfId="0" priority="11032" operator="lessThan">
      <formula>0</formula>
    </cfRule>
    <cfRule type="cellIs" dxfId="1" priority="11033" operator="greaterThan">
      <formula>0</formula>
    </cfRule>
  </conditionalFormatting>
  <conditionalFormatting sqref="TP26 TS26 TW26">
    <cfRule type="cellIs" dxfId="0" priority="11027" operator="lessThan">
      <formula>0</formula>
    </cfRule>
    <cfRule type="cellIs" dxfId="1" priority="11028" operator="greaterThan">
      <formula>0</formula>
    </cfRule>
  </conditionalFormatting>
  <conditionalFormatting sqref="UL26 UO26 US26">
    <cfRule type="cellIs" dxfId="0" priority="11022" operator="lessThan">
      <formula>0</formula>
    </cfRule>
    <cfRule type="cellIs" dxfId="1" priority="11023" operator="greaterThan">
      <formula>0</formula>
    </cfRule>
  </conditionalFormatting>
  <conditionalFormatting sqref="VH26 VK26 VO26">
    <cfRule type="cellIs" dxfId="0" priority="11011" operator="lessThan">
      <formula>0</formula>
    </cfRule>
    <cfRule type="cellIs" dxfId="1" priority="11012" operator="greaterThan">
      <formula>0</formula>
    </cfRule>
  </conditionalFormatting>
  <conditionalFormatting sqref="W28 Y28">
    <cfRule type="cellIs" dxfId="1" priority="5715" operator="greaterThan">
      <formula>0</formula>
    </cfRule>
    <cfRule type="cellIs" dxfId="0" priority="5714" operator="lessThan">
      <formula>0</formula>
    </cfRule>
  </conditionalFormatting>
  <conditionalFormatting sqref="BD28 BF28">
    <cfRule type="cellIs" dxfId="1" priority="5655" operator="greaterThan">
      <formula>0</formula>
    </cfRule>
    <cfRule type="cellIs" dxfId="0" priority="5654" operator="lessThan">
      <formula>0</formula>
    </cfRule>
  </conditionalFormatting>
  <conditionalFormatting sqref="CK28 CM28">
    <cfRule type="cellIs" dxfId="1" priority="5104" operator="greaterThan">
      <formula>0</formula>
    </cfRule>
    <cfRule type="cellIs" dxfId="0" priority="5103" operator="lessThan">
      <formula>0</formula>
    </cfRule>
  </conditionalFormatting>
  <conditionalFormatting sqref="DR28 DT28">
    <cfRule type="cellIs" dxfId="1" priority="4715" operator="greaterThan">
      <formula>0</formula>
    </cfRule>
    <cfRule type="cellIs" dxfId="0" priority="4714" operator="lessThan">
      <formula>0</formula>
    </cfRule>
  </conditionalFormatting>
  <conditionalFormatting sqref="EY28 FA28">
    <cfRule type="cellIs" dxfId="1" priority="4038" operator="greaterThan">
      <formula>0</formula>
    </cfRule>
    <cfRule type="cellIs" dxfId="0" priority="4037" operator="lessThan">
      <formula>0</formula>
    </cfRule>
  </conditionalFormatting>
  <conditionalFormatting sqref="GH28 GJ28">
    <cfRule type="cellIs" dxfId="1" priority="3168" operator="greaterThan">
      <formula>0</formula>
    </cfRule>
    <cfRule type="cellIs" dxfId="0" priority="3167" operator="lessThan">
      <formula>0</formula>
    </cfRule>
  </conditionalFormatting>
  <conditionalFormatting sqref="HP28 HR28">
    <cfRule type="cellIs" dxfId="1" priority="4218" operator="greaterThan">
      <formula>0</formula>
    </cfRule>
    <cfRule type="cellIs" dxfId="0" priority="4217" operator="lessThan">
      <formula>0</formula>
    </cfRule>
  </conditionalFormatting>
  <conditionalFormatting sqref="IX28 IZ28">
    <cfRule type="cellIs" dxfId="1" priority="1923" operator="greaterThan">
      <formula>0</formula>
    </cfRule>
    <cfRule type="cellIs" dxfId="0" priority="1922" operator="lessThan">
      <formula>0</formula>
    </cfRule>
  </conditionalFormatting>
  <conditionalFormatting sqref="KF28 KH28">
    <cfRule type="cellIs" dxfId="1" priority="1358" operator="greaterThan">
      <formula>0</formula>
    </cfRule>
    <cfRule type="cellIs" dxfId="0" priority="1357" operator="lessThan">
      <formula>0</formula>
    </cfRule>
  </conditionalFormatting>
  <conditionalFormatting sqref="LN28 LP28 LU28:LW28">
    <cfRule type="cellIs" dxfId="0" priority="9877" operator="lessThan">
      <formula>0</formula>
    </cfRule>
    <cfRule type="cellIs" dxfId="1" priority="9878" operator="greaterThan">
      <formula>0</formula>
    </cfRule>
  </conditionalFormatting>
  <conditionalFormatting sqref="MV28 MX28 NB28:NE28">
    <cfRule type="cellIs" dxfId="0" priority="10287" operator="lessThan">
      <formula>0</formula>
    </cfRule>
    <cfRule type="cellIs" dxfId="1" priority="10288" operator="greaterThan">
      <formula>0</formula>
    </cfRule>
  </conditionalFormatting>
  <conditionalFormatting sqref="OD28 OF28 OK28:OM28">
    <cfRule type="cellIs" dxfId="0" priority="10456" operator="lessThan">
      <formula>0</formula>
    </cfRule>
    <cfRule type="cellIs" dxfId="1" priority="10457" operator="greaterThan">
      <formula>0</formula>
    </cfRule>
  </conditionalFormatting>
  <conditionalFormatting sqref="QG28:QO36">
    <cfRule type="cellIs" dxfId="0" priority="10445" operator="lessThan">
      <formula>0</formula>
    </cfRule>
    <cfRule type="cellIs" dxfId="1" priority="10446" operator="greaterThan">
      <formula>0</formula>
    </cfRule>
  </conditionalFormatting>
  <conditionalFormatting sqref="QS28:QS36 QS38:QS39">
    <cfRule type="cellIs" dxfId="0" priority="10443" operator="lessThan">
      <formula>0</formula>
    </cfRule>
    <cfRule type="cellIs" dxfId="1" priority="10444" operator="greaterThan">
      <formula>0</formula>
    </cfRule>
  </conditionalFormatting>
  <conditionalFormatting sqref="FN29:FQ29 FS29:FY29 GA29:GS29">
    <cfRule type="cellIs" dxfId="2" priority="2960" operator="greaterThan">
      <formula>0</formula>
    </cfRule>
    <cfRule type="cellIs" dxfId="3" priority="2959" operator="lessThan">
      <formula>0</formula>
    </cfRule>
  </conditionalFormatting>
  <conditionalFormatting sqref="ID29:IG29 II29:IO29 IQ29:JI29">
    <cfRule type="cellIs" dxfId="2" priority="1864" operator="greaterThan">
      <formula>0</formula>
    </cfRule>
    <cfRule type="cellIs" dxfId="3" priority="1863" operator="lessThan">
      <formula>0</formula>
    </cfRule>
  </conditionalFormatting>
  <conditionalFormatting sqref="ID31:IG31 II31:IO31 IQ31:JI31">
    <cfRule type="cellIs" dxfId="2" priority="1811" operator="greaterThan">
      <formula>0</formula>
    </cfRule>
    <cfRule type="cellIs" dxfId="3" priority="1810" operator="lessThan">
      <formula>0</formula>
    </cfRule>
  </conditionalFormatting>
  <conditionalFormatting sqref="JL31:JO31 JQ31:JW31 JY31:KQ31">
    <cfRule type="cellIs" dxfId="2" priority="1269" operator="greaterThan">
      <formula>0</formula>
    </cfRule>
    <cfRule type="cellIs" dxfId="3" priority="1268" operator="lessThan">
      <formula>0</formula>
    </cfRule>
  </conditionalFormatting>
  <conditionalFormatting sqref="W33 Y33">
    <cfRule type="cellIs" dxfId="1" priority="5735" operator="greaterThan">
      <formula>0</formula>
    </cfRule>
    <cfRule type="cellIs" dxfId="0" priority="5734" operator="lessThan">
      <formula>0</formula>
    </cfRule>
  </conditionalFormatting>
  <conditionalFormatting sqref="BD33 BF33">
    <cfRule type="cellIs" dxfId="1" priority="5635" operator="greaterThan">
      <formula>0</formula>
    </cfRule>
    <cfRule type="cellIs" dxfId="0" priority="5634" operator="lessThan">
      <formula>0</formula>
    </cfRule>
  </conditionalFormatting>
  <conditionalFormatting sqref="CK33 CM33">
    <cfRule type="cellIs" dxfId="1" priority="5124" operator="greaterThan">
      <formula>0</formula>
    </cfRule>
    <cfRule type="cellIs" dxfId="0" priority="5123" operator="lessThan">
      <formula>0</formula>
    </cfRule>
  </conditionalFormatting>
  <conditionalFormatting sqref="DR33 DT33">
    <cfRule type="cellIs" dxfId="1" priority="4735" operator="greaterThan">
      <formula>0</formula>
    </cfRule>
    <cfRule type="cellIs" dxfId="0" priority="4734" operator="lessThan">
      <formula>0</formula>
    </cfRule>
  </conditionalFormatting>
  <conditionalFormatting sqref="EY33 FA33">
    <cfRule type="cellIs" dxfId="1" priority="4058" operator="greaterThan">
      <formula>0</formula>
    </cfRule>
    <cfRule type="cellIs" dxfId="0" priority="4057" operator="lessThan">
      <formula>0</formula>
    </cfRule>
  </conditionalFormatting>
  <conditionalFormatting sqref="GH33 GJ33">
    <cfRule type="cellIs" dxfId="1" priority="3148" operator="greaterThan">
      <formula>0</formula>
    </cfRule>
    <cfRule type="cellIs" dxfId="0" priority="3147" operator="lessThan">
      <formula>0</formula>
    </cfRule>
  </conditionalFormatting>
  <conditionalFormatting sqref="HP33 HR33">
    <cfRule type="cellIs" dxfId="1" priority="4198" operator="greaterThan">
      <formula>0</formula>
    </cfRule>
    <cfRule type="cellIs" dxfId="0" priority="4197" operator="lessThan">
      <formula>0</formula>
    </cfRule>
  </conditionalFormatting>
  <conditionalFormatting sqref="IX33 IZ33">
    <cfRule type="cellIs" dxfId="1" priority="1903" operator="greaterThan">
      <formula>0</formula>
    </cfRule>
    <cfRule type="cellIs" dxfId="0" priority="1902" operator="lessThan">
      <formula>0</formula>
    </cfRule>
  </conditionalFormatting>
  <conditionalFormatting sqref="KF33 KH33">
    <cfRule type="cellIs" dxfId="1" priority="1338" operator="greaterThan">
      <formula>0</formula>
    </cfRule>
    <cfRule type="cellIs" dxfId="0" priority="1337" operator="lessThan">
      <formula>0</formula>
    </cfRule>
  </conditionalFormatting>
  <conditionalFormatting sqref="LN33 LP33 LU33:LW33">
    <cfRule type="cellIs" dxfId="0" priority="9825" operator="lessThan">
      <formula>0</formula>
    </cfRule>
    <cfRule type="cellIs" dxfId="1" priority="9826" operator="greaterThan">
      <formula>0</formula>
    </cfRule>
  </conditionalFormatting>
  <conditionalFormatting sqref="MV33 MX33 NB33:NE33">
    <cfRule type="cellIs" dxfId="0" priority="10232" operator="lessThan">
      <formula>0</formula>
    </cfRule>
    <cfRule type="cellIs" dxfId="1" priority="10233" operator="greaterThan">
      <formula>0</formula>
    </cfRule>
  </conditionalFormatting>
  <conditionalFormatting sqref="FN34:FQ34 FS34:FY34 GA34:GS34">
    <cfRule type="cellIs" dxfId="2" priority="2937" operator="greaterThan">
      <formula>0</formula>
    </cfRule>
    <cfRule type="cellIs" dxfId="3" priority="2936" operator="lessThan">
      <formula>0</formula>
    </cfRule>
  </conditionalFormatting>
  <conditionalFormatting sqref="ID34:IG34 II34:IO34 IQ34:JI34">
    <cfRule type="cellIs" dxfId="2" priority="1841" operator="greaterThan">
      <formula>0</formula>
    </cfRule>
    <cfRule type="cellIs" dxfId="3" priority="1840" operator="lessThan">
      <formula>0</formula>
    </cfRule>
  </conditionalFormatting>
  <conditionalFormatting sqref="FN36:FY36 GA36:GS36">
    <cfRule type="cellIs" dxfId="2" priority="3172" operator="greaterThan">
      <formula>0</formula>
    </cfRule>
    <cfRule type="cellIs" dxfId="3" priority="3171" operator="lessThan">
      <formula>0</formula>
    </cfRule>
  </conditionalFormatting>
  <conditionalFormatting sqref="ID36:IG36 II36:IO36 IQ36:JI36">
    <cfRule type="cellIs" dxfId="2" priority="1826" operator="greaterThan">
      <formula>0</formula>
    </cfRule>
    <cfRule type="cellIs" dxfId="3" priority="1825" operator="lessThan">
      <formula>0</formula>
    </cfRule>
  </conditionalFormatting>
  <conditionalFormatting sqref="JL36:JO36 JQ36:JW36 JY36:KQ36">
    <cfRule type="cellIs" dxfId="2" priority="1250" operator="greaterThan">
      <formula>0</formula>
    </cfRule>
    <cfRule type="cellIs" dxfId="3" priority="1249" operator="lessThan">
      <formula>0</formula>
    </cfRule>
  </conditionalFormatting>
  <conditionalFormatting sqref="RD47 RJ47:RK47">
    <cfRule type="cellIs" dxfId="0" priority="11000" operator="lessThan">
      <formula>0</formula>
    </cfRule>
    <cfRule type="cellIs" dxfId="1" priority="11001" operator="greaterThan">
      <formula>0</formula>
    </cfRule>
  </conditionalFormatting>
  <conditionalFormatting sqref="RY47 SB47 SF47:SG47">
    <cfRule type="cellIs" dxfId="0" priority="10989" operator="lessThan">
      <formula>0</formula>
    </cfRule>
    <cfRule type="cellIs" dxfId="1" priority="10990" operator="greaterThan">
      <formula>0</formula>
    </cfRule>
  </conditionalFormatting>
  <conditionalFormatting sqref="SU47 TB47:TC47">
    <cfRule type="cellIs" dxfId="0" priority="10978" operator="lessThan">
      <formula>0</formula>
    </cfRule>
    <cfRule type="cellIs" dxfId="1" priority="10979" operator="greaterThan">
      <formula>0</formula>
    </cfRule>
  </conditionalFormatting>
  <conditionalFormatting sqref="TP47 TS47 TW47:TX47">
    <cfRule type="cellIs" dxfId="0" priority="10967" operator="lessThan">
      <formula>0</formula>
    </cfRule>
    <cfRule type="cellIs" dxfId="1" priority="10968" operator="greaterThan">
      <formula>0</formula>
    </cfRule>
  </conditionalFormatting>
  <conditionalFormatting sqref="UL47 UO47 US47:UT47">
    <cfRule type="cellIs" dxfId="0" priority="10956" operator="lessThan">
      <formula>0</formula>
    </cfRule>
    <cfRule type="cellIs" dxfId="1" priority="10957" operator="greaterThan">
      <formula>0</formula>
    </cfRule>
  </conditionalFormatting>
  <conditionalFormatting sqref="VH47 VK47 VO47:VP47">
    <cfRule type="cellIs" dxfId="0" priority="10945" operator="lessThan">
      <formula>0</formula>
    </cfRule>
    <cfRule type="cellIs" dxfId="1" priority="10946" operator="greaterThan">
      <formula>0</formula>
    </cfRule>
  </conditionalFormatting>
  <conditionalFormatting sqref="RD49 RF49 RJ49:RL49">
    <cfRule type="cellIs" dxfId="0" priority="10572" operator="lessThan">
      <formula>0</formula>
    </cfRule>
    <cfRule type="cellIs" dxfId="1" priority="10573" operator="greaterThan">
      <formula>0</formula>
    </cfRule>
  </conditionalFormatting>
  <conditionalFormatting sqref="RY49 SB49 SF49:SH49">
    <cfRule type="cellIs" dxfId="0" priority="10570" operator="lessThan">
      <formula>0</formula>
    </cfRule>
    <cfRule type="cellIs" dxfId="1" priority="10571" operator="greaterThan">
      <formula>0</formula>
    </cfRule>
  </conditionalFormatting>
  <conditionalFormatting sqref="RY49 SB49 SF49:SI49 SU49 SX49 TB49:TE49 TP49 TS49 TW49:TZ49 UL49 UO49 US49:UV49 VH49 VK49 VO49:VR49">
    <cfRule type="cellIs" dxfId="0" priority="10568" operator="lessThan">
      <formula>-1</formula>
    </cfRule>
    <cfRule type="cellIs" dxfId="1" priority="10569" operator="greaterThan">
      <formula>1</formula>
    </cfRule>
  </conditionalFormatting>
  <conditionalFormatting sqref="C50 G50:H50 K50">
    <cfRule type="cellIs" dxfId="1" priority="6506" operator="greaterThan">
      <formula>0</formula>
    </cfRule>
    <cfRule type="cellIs" dxfId="0" priority="6505" operator="lessThan">
      <formula>0</formula>
    </cfRule>
  </conditionalFormatting>
  <conditionalFormatting sqref="AJ50 AN50:AO50 AR50">
    <cfRule type="cellIs" dxfId="1" priority="6107" operator="greaterThan">
      <formula>0</formula>
    </cfRule>
    <cfRule type="cellIs" dxfId="0" priority="6106" operator="lessThan">
      <formula>0</formula>
    </cfRule>
  </conditionalFormatting>
  <conditionalFormatting sqref="BQ50 BU50:BV50 BY50">
    <cfRule type="cellIs" dxfId="1" priority="5374" operator="greaterThan">
      <formula>0</formula>
    </cfRule>
    <cfRule type="cellIs" dxfId="0" priority="5373" operator="lessThan">
      <formula>0</formula>
    </cfRule>
  </conditionalFormatting>
  <conditionalFormatting sqref="CX50 DB50:DC50 DF50">
    <cfRule type="cellIs" dxfId="1" priority="4985" operator="greaterThan">
      <formula>0</formula>
    </cfRule>
    <cfRule type="cellIs" dxfId="0" priority="4984" operator="lessThan">
      <formula>0</formula>
    </cfRule>
  </conditionalFormatting>
  <conditionalFormatting sqref="EI50:EJ50 EM50">
    <cfRule type="cellIs" dxfId="1" priority="4555" operator="greaterThan">
      <formula>0</formula>
    </cfRule>
    <cfRule type="cellIs" dxfId="0" priority="4553" operator="lessThan">
      <formula>0</formula>
    </cfRule>
  </conditionalFormatting>
  <conditionalFormatting sqref="OS50:OT50 OV50:OW50 OZ50">
    <cfRule type="cellIs" dxfId="0" priority="10601" operator="lessThan">
      <formula>0</formula>
    </cfRule>
    <cfRule type="cellIs" dxfId="1" priority="10602" operator="greaterThan">
      <formula>0</formula>
    </cfRule>
  </conditionalFormatting>
  <conditionalFormatting sqref="PU50:PV50 PX50:QB50">
    <cfRule type="cellIs" dxfId="0" priority="10395" operator="lessThan">
      <formula>0</formula>
    </cfRule>
    <cfRule type="cellIs" dxfId="1" priority="10396" operator="greaterThan">
      <formula>0</formula>
    </cfRule>
  </conditionalFormatting>
  <conditionalFormatting sqref="RD50 RF50 RJ50:RL50">
    <cfRule type="cellIs" dxfId="0" priority="10615" operator="lessThan">
      <formula>0</formula>
    </cfRule>
    <cfRule type="cellIs" dxfId="1" priority="10616" operator="greaterThan">
      <formula>0</formula>
    </cfRule>
  </conditionalFormatting>
  <conditionalFormatting sqref="RY50 SB50 SF50:SH50">
    <cfRule type="cellIs" dxfId="0" priority="10613" operator="lessThan">
      <formula>0</formula>
    </cfRule>
    <cfRule type="cellIs" dxfId="1" priority="10614" operator="greaterThan">
      <formula>0</formula>
    </cfRule>
  </conditionalFormatting>
  <conditionalFormatting sqref="RY50 SB50 SF50:SI50 SU50 SX50 TB50:TE50 TP50 TS50 TW50:TZ50 UL50 UO50 US50:UV50 VH50 VK50 VO50:VR50">
    <cfRule type="cellIs" dxfId="0" priority="10611" operator="lessThan">
      <formula>-1</formula>
    </cfRule>
    <cfRule type="cellIs" dxfId="1" priority="10612" operator="greaterThan">
      <formula>1</formula>
    </cfRule>
  </conditionalFormatting>
  <conditionalFormatting sqref="L51:L59 L64">
    <cfRule type="cellIs" dxfId="6" priority="6500" operator="lessThan">
      <formula>0</formula>
    </cfRule>
  </conditionalFormatting>
  <conditionalFormatting sqref="AS51:AS59 AS64">
    <cfRule type="cellIs" dxfId="6" priority="6101" operator="lessThan">
      <formula>0</formula>
    </cfRule>
  </conditionalFormatting>
  <conditionalFormatting sqref="BZ51:BZ59 BZ64">
    <cfRule type="cellIs" dxfId="6" priority="5368" operator="lessThan">
      <formula>0</formula>
    </cfRule>
  </conditionalFormatting>
  <conditionalFormatting sqref="DG51:DG59 DG64">
    <cfRule type="cellIs" dxfId="6" priority="4979" operator="lessThan">
      <formula>0</formula>
    </cfRule>
  </conditionalFormatting>
  <conditionalFormatting sqref="FW51:FW59 FW64">
    <cfRule type="cellIs" dxfId="6" priority="8270" operator="lessThan">
      <formula>0</formula>
    </cfRule>
  </conditionalFormatting>
  <conditionalFormatting sqref="EN52:EN59 EN64">
    <cfRule type="cellIs" dxfId="6" priority="7620" operator="lessThan">
      <formula>0</formula>
    </cfRule>
  </conditionalFormatting>
  <conditionalFormatting sqref="C66 G66:H66 K66">
    <cfRule type="cellIs" dxfId="1" priority="6510" operator="greaterThan">
      <formula>0</formula>
    </cfRule>
    <cfRule type="cellIs" dxfId="0" priority="6509" operator="lessThan">
      <formula>0</formula>
    </cfRule>
  </conditionalFormatting>
  <conditionalFormatting sqref="AJ66 AN66:AO66 AR66">
    <cfRule type="cellIs" dxfId="1" priority="6111" operator="greaterThan">
      <formula>0</formula>
    </cfRule>
    <cfRule type="cellIs" dxfId="0" priority="6110" operator="lessThan">
      <formula>0</formula>
    </cfRule>
  </conditionalFormatting>
  <conditionalFormatting sqref="BQ66 BU66:BV66 BY66">
    <cfRule type="cellIs" dxfId="1" priority="5378" operator="greaterThan">
      <formula>0</formula>
    </cfRule>
    <cfRule type="cellIs" dxfId="0" priority="5377" operator="lessThan">
      <formula>0</formula>
    </cfRule>
  </conditionalFormatting>
  <conditionalFormatting sqref="CX66 DB66:DC66 DF66">
    <cfRule type="cellIs" dxfId="1" priority="4989" operator="greaterThan">
      <formula>0</formula>
    </cfRule>
    <cfRule type="cellIs" dxfId="0" priority="4988" operator="lessThan">
      <formula>0</formula>
    </cfRule>
  </conditionalFormatting>
  <conditionalFormatting sqref="EI66:EJ66 EM66">
    <cfRule type="cellIs" dxfId="0" priority="4574" operator="lessThan">
      <formula>0</formula>
    </cfRule>
    <cfRule type="cellIs" dxfId="1" priority="4575" operator="greaterThan">
      <formula>0</formula>
    </cfRule>
  </conditionalFormatting>
  <conditionalFormatting sqref="OS66:OT66 OV66:OW66 OZ66">
    <cfRule type="cellIs" dxfId="0" priority="10624" operator="lessThan">
      <formula>0</formula>
    </cfRule>
    <cfRule type="cellIs" dxfId="1" priority="10625" operator="greaterThan">
      <formula>0</formula>
    </cfRule>
  </conditionalFormatting>
  <conditionalFormatting sqref="PU66:PV66 PX66:QB66">
    <cfRule type="cellIs" dxfId="0" priority="10399" operator="lessThan">
      <formula>0</formula>
    </cfRule>
    <cfRule type="cellIs" dxfId="1" priority="10400" operator="greaterThan">
      <formula>0</formula>
    </cfRule>
  </conditionalFormatting>
  <conditionalFormatting sqref="EN72 EM73">
    <cfRule type="cellIs" dxfId="6" priority="7617" operator="lessThan">
      <formula>0</formula>
    </cfRule>
  </conditionalFormatting>
  <conditionalFormatting sqref="PA72 PC73:PC79">
    <cfRule type="cellIs" dxfId="6" priority="10593" operator="lessThan">
      <formula>0</formula>
    </cfRule>
  </conditionalFormatting>
  <conditionalFormatting sqref="C74 G74:H74 K74">
    <cfRule type="cellIs" dxfId="1" priority="6464" operator="greaterThan">
      <formula>0</formula>
    </cfRule>
    <cfRule type="cellIs" dxfId="0" priority="6463" operator="lessThan">
      <formula>0</formula>
    </cfRule>
  </conditionalFormatting>
  <conditionalFormatting sqref="AJ74 AN74:AO74 AR74">
    <cfRule type="cellIs" dxfId="1" priority="6065" operator="greaterThan">
      <formula>0</formula>
    </cfRule>
    <cfRule type="cellIs" dxfId="0" priority="6064" operator="lessThan">
      <formula>0</formula>
    </cfRule>
  </conditionalFormatting>
  <conditionalFormatting sqref="BQ74 BU74:BV74 BY74">
    <cfRule type="cellIs" dxfId="1" priority="5332" operator="greaterThan">
      <formula>0</formula>
    </cfRule>
    <cfRule type="cellIs" dxfId="0" priority="5331" operator="lessThan">
      <formula>0</formula>
    </cfRule>
  </conditionalFormatting>
  <conditionalFormatting sqref="CX74 DB74:DC74 DF74">
    <cfRule type="cellIs" dxfId="1" priority="4943" operator="greaterThan">
      <formula>0</formula>
    </cfRule>
    <cfRule type="cellIs" dxfId="0" priority="4942" operator="lessThan">
      <formula>0</formula>
    </cfRule>
  </conditionalFormatting>
  <conditionalFormatting sqref="EI74:EJ74 EM74">
    <cfRule type="cellIs" dxfId="0" priority="4618" operator="lessThan">
      <formula>0</formula>
    </cfRule>
    <cfRule type="cellIs" dxfId="1" priority="4619" operator="greaterThan">
      <formula>0</formula>
    </cfRule>
  </conditionalFormatting>
  <conditionalFormatting sqref="C78 G78:H78 K78">
    <cfRule type="cellIs" dxfId="1" priority="6429" operator="greaterThan">
      <formula>0</formula>
    </cfRule>
    <cfRule type="cellIs" dxfId="0" priority="6428" operator="lessThan">
      <formula>0</formula>
    </cfRule>
  </conditionalFormatting>
  <conditionalFormatting sqref="AJ78 AN78:AO78 AR78">
    <cfRule type="cellIs" dxfId="1" priority="6030" operator="greaterThan">
      <formula>0</formula>
    </cfRule>
    <cfRule type="cellIs" dxfId="0" priority="6029" operator="lessThan">
      <formula>0</formula>
    </cfRule>
  </conditionalFormatting>
  <conditionalFormatting sqref="BQ78 BU78:BV78 BY78">
    <cfRule type="cellIs" dxfId="1" priority="5297" operator="greaterThan">
      <formula>0</formula>
    </cfRule>
    <cfRule type="cellIs" dxfId="0" priority="5296" operator="lessThan">
      <formula>0</formula>
    </cfRule>
  </conditionalFormatting>
  <conditionalFormatting sqref="CX78 DB78:DC78 DF78">
    <cfRule type="cellIs" dxfId="1" priority="4908" operator="greaterThan">
      <formula>0</formula>
    </cfRule>
    <cfRule type="cellIs" dxfId="0" priority="4907" operator="lessThan">
      <formula>0</formula>
    </cfRule>
  </conditionalFormatting>
  <conditionalFormatting sqref="EI78:EJ78 EM78">
    <cfRule type="cellIs" dxfId="0" priority="4594" operator="lessThan">
      <formula>0</formula>
    </cfRule>
    <cfRule type="cellIs" dxfId="1" priority="4595" operator="greaterThan">
      <formula>0</formula>
    </cfRule>
  </conditionalFormatting>
  <conditionalFormatting sqref="PC80:PD82">
    <cfRule type="cellIs" dxfId="6" priority="10320" operator="lessThan">
      <formula>0</formula>
    </cfRule>
  </conditionalFormatting>
  <conditionalFormatting sqref="C83 G83 I83:K83">
    <cfRule type="cellIs" dxfId="1" priority="6493" operator="greaterThan">
      <formula>0</formula>
    </cfRule>
    <cfRule type="cellIs" dxfId="0" priority="6492" operator="lessThan">
      <formula>0</formula>
    </cfRule>
  </conditionalFormatting>
  <conditionalFormatting sqref="AJ83 AN83 AP83:AR83">
    <cfRule type="cellIs" dxfId="1" priority="6094" operator="greaterThan">
      <formula>0</formula>
    </cfRule>
    <cfRule type="cellIs" dxfId="0" priority="6093" operator="lessThan">
      <formula>0</formula>
    </cfRule>
  </conditionalFormatting>
  <conditionalFormatting sqref="BQ83 BU83 BW83:BY83">
    <cfRule type="cellIs" dxfId="1" priority="5361" operator="greaterThan">
      <formula>0</formula>
    </cfRule>
    <cfRule type="cellIs" dxfId="0" priority="5360" operator="lessThan">
      <formula>0</formula>
    </cfRule>
  </conditionalFormatting>
  <conditionalFormatting sqref="CX83 DB83 DD83:DF83">
    <cfRule type="cellIs" dxfId="1" priority="4972" operator="greaterThan">
      <formula>0</formula>
    </cfRule>
    <cfRule type="cellIs" dxfId="0" priority="4971" operator="lessThan">
      <formula>0</formula>
    </cfRule>
  </conditionalFormatting>
  <conditionalFormatting sqref="EI83:EJ83 EM83">
    <cfRule type="cellIs" dxfId="0" priority="4590" operator="lessThan">
      <formula>0</formula>
    </cfRule>
    <cfRule type="cellIs" dxfId="1" priority="4591" operator="greaterThan">
      <formula>0</formula>
    </cfRule>
  </conditionalFormatting>
  <conditionalFormatting sqref="OS83:OT83 OV83 OX83:OZ83">
    <cfRule type="cellIs" dxfId="0" priority="10588" operator="lessThan">
      <formula>0</formula>
    </cfRule>
    <cfRule type="cellIs" dxfId="1" priority="10589" operator="greaterThan">
      <formula>0</formula>
    </cfRule>
  </conditionalFormatting>
  <conditionalFormatting sqref="PU83:PV83 PX83 PZ83:QB83">
    <cfRule type="cellIs" dxfId="0" priority="10382" operator="lessThan">
      <formula>0</formula>
    </cfRule>
    <cfRule type="cellIs" dxfId="1" priority="10383" operator="greaterThan">
      <formula>0</formula>
    </cfRule>
  </conditionalFormatting>
  <conditionalFormatting sqref="EN84:EN92 EN97">
    <cfRule type="cellIs" dxfId="6" priority="7607" operator="lessThan">
      <formula>0</formula>
    </cfRule>
  </conditionalFormatting>
  <conditionalFormatting sqref="QC84:QC93 QC97">
    <cfRule type="cellIs" dxfId="6" priority="10377" operator="lessThan">
      <formula>0</formula>
    </cfRule>
  </conditionalFormatting>
  <conditionalFormatting sqref="EI99:EJ99 EM99">
    <cfRule type="cellIs" dxfId="1" priority="4567" operator="greaterThan">
      <formula>0</formula>
    </cfRule>
    <cfRule type="cellIs" dxfId="0" priority="4566" operator="lessThan">
      <formula>0</formula>
    </cfRule>
  </conditionalFormatting>
  <conditionalFormatting sqref="EI107:EJ107 EM107">
    <cfRule type="cellIs" dxfId="1" priority="4563" operator="greaterThan">
      <formula>0</formula>
    </cfRule>
    <cfRule type="cellIs" dxfId="0" priority="4562" operator="lessThan">
      <formula>0</formula>
    </cfRule>
  </conditionalFormatting>
  <conditionalFormatting sqref="EI111:EJ111 EM111">
    <cfRule type="cellIs" dxfId="1" priority="4559" operator="greaterThan">
      <formula>0</formula>
    </cfRule>
    <cfRule type="cellIs" dxfId="0" priority="4558" operator="lessThan">
      <formula>0</formula>
    </cfRule>
  </conditionalFormatting>
  <pageMargins left="0.75" right="0.75" top="1" bottom="1" header="0.5" footer="0.5"/>
  <headerFooter/>
  <ignoredErrors>
    <ignoredError sqref="IF64 IF97 D16:E16 MC16:MX16 NW16:OI16 AK16:AM16 AO16:BO16 NK16:NM16 NO16:NU16" formulaRange="1"/>
    <ignoredError sqref="AN16 NN16" formula="1" formulaRange="1"/>
    <ignoredError sqref="FR16 FZ16 FR26:FZ26 FR31:FR36 FZ31:FZ36 GZ26:GZ36 GZ16 HH16 HH35:HH36 HH30:HH33 HH26:HH28 IH16:IH36 IP16:IP36 JP16 JX16 NV16 PG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8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T38" sqref="T38"/>
    </sheetView>
  </sheetViews>
  <sheetFormatPr defaultColWidth="9.14285714285714" defaultRowHeight="15"/>
  <cols>
    <col min="2" max="2" width="22.1428571428571" style="81" customWidth="1"/>
    <col min="3" max="6" width="10.5714285714286" style="81" customWidth="1"/>
    <col min="7" max="9" width="11.7142857142857" style="81" customWidth="1"/>
    <col min="10" max="16" width="10.5714285714286" style="81" customWidth="1"/>
    <col min="17" max="19" width="9.14285714285714" style="81"/>
    <col min="20" max="20" width="11" style="81" customWidth="1"/>
    <col min="21" max="21" width="21.2857142857143" style="81" customWidth="1"/>
    <col min="22" max="22" width="8.42857142857143" style="81" customWidth="1"/>
  </cols>
  <sheetData>
    <row r="1" spans="1:30">
      <c r="A1" s="82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4"/>
      <c r="W1" s="82"/>
      <c r="X1" s="82" t="s">
        <v>235</v>
      </c>
      <c r="Y1" s="82" t="s">
        <v>236</v>
      </c>
      <c r="Z1" s="82"/>
      <c r="AA1" s="82"/>
      <c r="AB1" s="85"/>
      <c r="AC1" s="85"/>
      <c r="AD1" s="82"/>
    </row>
    <row r="2" spans="1:30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82"/>
      <c r="X2" s="86" t="s">
        <v>237</v>
      </c>
      <c r="Y2" s="87" t="s">
        <v>238</v>
      </c>
      <c r="Z2" s="85"/>
      <c r="AA2" s="85"/>
      <c r="AB2" s="85"/>
      <c r="AC2" s="85"/>
      <c r="AD2" s="82"/>
    </row>
    <row r="3" spans="1:30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82"/>
      <c r="X3" s="88" t="s">
        <v>239</v>
      </c>
      <c r="Y3" s="87" t="s">
        <v>240</v>
      </c>
      <c r="Z3" s="87" t="s">
        <v>241</v>
      </c>
      <c r="AA3" s="87" t="s">
        <v>242</v>
      </c>
      <c r="AB3" s="85"/>
      <c r="AC3" s="85"/>
      <c r="AD3" s="82"/>
    </row>
    <row r="4" spans="1:30">
      <c r="A4" s="82"/>
      <c r="B4" s="89" t="s">
        <v>243</v>
      </c>
      <c r="C4" s="90">
        <v>45809</v>
      </c>
      <c r="D4" s="90">
        <v>45839</v>
      </c>
      <c r="E4" s="90">
        <v>45875</v>
      </c>
      <c r="F4" s="90">
        <v>45907</v>
      </c>
      <c r="G4" s="90">
        <v>45938</v>
      </c>
      <c r="H4" s="90">
        <v>45969</v>
      </c>
      <c r="I4" s="90">
        <v>45999</v>
      </c>
      <c r="J4" s="91">
        <v>46031</v>
      </c>
      <c r="K4" s="91">
        <v>46063</v>
      </c>
      <c r="L4" s="91">
        <v>46092</v>
      </c>
      <c r="M4" s="91">
        <v>46124</v>
      </c>
      <c r="N4" s="91">
        <v>46155</v>
      </c>
      <c r="O4" s="91">
        <v>46187</v>
      </c>
      <c r="P4" s="91">
        <v>46218</v>
      </c>
      <c r="Q4" s="91"/>
      <c r="R4" s="91"/>
      <c r="S4" s="92"/>
      <c r="T4" s="93" t="s">
        <v>244</v>
      </c>
      <c r="U4" s="94" t="s">
        <v>245</v>
      </c>
      <c r="V4" s="95" t="s">
        <v>51</v>
      </c>
      <c r="W4" s="82"/>
      <c r="X4" s="96" t="s">
        <v>246</v>
      </c>
      <c r="Y4" s="87" t="s">
        <v>247</v>
      </c>
      <c r="Z4" s="87" t="s">
        <v>248</v>
      </c>
      <c r="AA4" s="87" t="s">
        <v>249</v>
      </c>
      <c r="AB4" s="87" t="s">
        <v>250</v>
      </c>
      <c r="AC4" s="87" t="s">
        <v>251</v>
      </c>
      <c r="AD4" s="82"/>
    </row>
    <row r="5" spans="1:30">
      <c r="A5" s="82"/>
      <c r="B5" s="97" t="s">
        <v>117</v>
      </c>
      <c r="C5" s="46"/>
      <c r="D5" s="46"/>
      <c r="E5" s="46"/>
      <c r="F5" s="46"/>
      <c r="G5" s="46"/>
      <c r="H5" s="46"/>
      <c r="I5" s="98"/>
      <c r="J5" s="98"/>
      <c r="K5" s="98"/>
      <c r="L5" s="98"/>
      <c r="M5" s="46"/>
      <c r="N5" s="46"/>
      <c r="O5" s="46"/>
      <c r="P5" s="46"/>
      <c r="Q5" s="46"/>
      <c r="R5" s="46"/>
      <c r="S5" s="46"/>
      <c r="T5" s="46"/>
      <c r="U5" s="84"/>
      <c r="V5" s="84"/>
      <c r="W5" s="82"/>
      <c r="X5" s="82"/>
      <c r="Y5" s="82"/>
      <c r="Z5" s="82"/>
      <c r="AA5" s="82"/>
      <c r="AB5" s="82"/>
      <c r="AC5" s="82"/>
      <c r="AD5" s="82"/>
    </row>
    <row r="6" spans="1:30">
      <c r="A6" s="82"/>
      <c r="B6" s="99" t="s">
        <v>252</v>
      </c>
      <c r="C6" s="100">
        <v>5950327</v>
      </c>
      <c r="D6" s="100">
        <v>9401979</v>
      </c>
      <c r="E6" s="100">
        <v>7893269</v>
      </c>
      <c r="F6" s="100">
        <v>8630762</v>
      </c>
      <c r="G6" s="100">
        <v>7280801</v>
      </c>
      <c r="H6" s="100">
        <v>4967263</v>
      </c>
      <c r="I6" s="100">
        <v>5801357.37</v>
      </c>
      <c r="J6" s="101">
        <v>3259006</v>
      </c>
      <c r="K6" s="100">
        <v>2647851</v>
      </c>
      <c r="L6" s="100">
        <v>3532708</v>
      </c>
      <c r="M6" s="100">
        <v>2412529</v>
      </c>
      <c r="N6" s="100">
        <v>4145218</v>
      </c>
      <c r="O6" s="100">
        <v>4393391.18</v>
      </c>
      <c r="P6" s="100">
        <f>汇总!W4</f>
        <v>3961145.38</v>
      </c>
      <c r="Q6" s="100"/>
      <c r="R6" s="100"/>
      <c r="S6" s="100"/>
      <c r="T6" s="100">
        <f t="shared" ref="T6:T18" si="0">SUM(C6:R6)</f>
        <v>74277606.93</v>
      </c>
      <c r="U6" s="94">
        <f>当日汇总!B5+当日汇总!C5</f>
        <v>5</v>
      </c>
      <c r="V6" s="102">
        <f>T6/T16</f>
        <v>1.25747642657553</v>
      </c>
      <c r="W6" s="82"/>
      <c r="X6" s="82"/>
      <c r="Y6" s="82"/>
      <c r="Z6" s="82"/>
      <c r="AA6" s="82"/>
      <c r="AB6" s="82"/>
      <c r="AC6" s="82"/>
      <c r="AD6" s="82"/>
    </row>
    <row r="7" spans="1:30">
      <c r="A7" s="82"/>
      <c r="B7" s="103" t="s">
        <v>253</v>
      </c>
      <c r="C7" s="101">
        <v>838729.104</v>
      </c>
      <c r="D7" s="101">
        <v>1611881.024</v>
      </c>
      <c r="E7" s="101">
        <v>1403500.144</v>
      </c>
      <c r="F7" s="101">
        <v>1627106.6</v>
      </c>
      <c r="G7" s="101">
        <v>1361091.288</v>
      </c>
      <c r="H7" s="101">
        <v>922214.782</v>
      </c>
      <c r="I7" s="101">
        <v>1008834.1</v>
      </c>
      <c r="J7" s="101">
        <v>102961.03</v>
      </c>
      <c r="K7" s="101">
        <v>464985.636</v>
      </c>
      <c r="L7" s="101">
        <v>611932.428</v>
      </c>
      <c r="M7" s="101">
        <v>401758.484</v>
      </c>
      <c r="N7" s="101">
        <v>732541.108</v>
      </c>
      <c r="O7" s="100">
        <v>858390.93</v>
      </c>
      <c r="P7" s="100">
        <f>汇总!AA4</f>
        <v>726303.846</v>
      </c>
      <c r="Q7" s="100"/>
      <c r="R7" s="100"/>
      <c r="S7" s="100"/>
      <c r="T7" s="100">
        <f t="shared" si="0"/>
        <v>12672230.504</v>
      </c>
      <c r="U7" s="83"/>
      <c r="V7" s="84"/>
      <c r="W7" s="82"/>
      <c r="X7" s="82"/>
      <c r="Y7" s="82"/>
      <c r="Z7" s="82"/>
      <c r="AA7" s="82"/>
      <c r="AB7" s="82"/>
      <c r="AC7" s="82"/>
      <c r="AD7" s="82"/>
    </row>
    <row r="8" spans="1:30">
      <c r="A8" s="82"/>
      <c r="B8" s="103" t="s">
        <v>254</v>
      </c>
      <c r="C8" s="101">
        <v>1676590.93</v>
      </c>
      <c r="D8" s="101">
        <v>1798451.445</v>
      </c>
      <c r="E8" s="101">
        <v>1681537.445</v>
      </c>
      <c r="F8" s="101">
        <v>1697048.08</v>
      </c>
      <c r="G8" s="101">
        <v>1588300.735</v>
      </c>
      <c r="H8" s="101">
        <v>1144502.415</v>
      </c>
      <c r="I8" s="101">
        <v>1474058.82295</v>
      </c>
      <c r="J8" s="101">
        <v>1248593.465</v>
      </c>
      <c r="K8" s="101">
        <v>1131960.165</v>
      </c>
      <c r="L8" s="101">
        <v>1032688.545</v>
      </c>
      <c r="M8" s="101">
        <v>966872.13</v>
      </c>
      <c r="N8" s="101">
        <v>1019933.04</v>
      </c>
      <c r="O8" s="100">
        <v>973258.86</v>
      </c>
      <c r="P8" s="100">
        <f>汇总!Z4</f>
        <v>902430.2042</v>
      </c>
      <c r="Q8" s="100"/>
      <c r="R8" s="100"/>
      <c r="S8" s="100"/>
      <c r="T8" s="100">
        <f t="shared" si="0"/>
        <v>18336226.28215</v>
      </c>
      <c r="U8" s="83"/>
      <c r="V8" s="84"/>
      <c r="W8" s="82"/>
      <c r="X8" s="82"/>
      <c r="Y8" s="82"/>
      <c r="Z8" s="82"/>
      <c r="AA8" s="82"/>
      <c r="AB8" s="82"/>
      <c r="AC8" s="82"/>
      <c r="AD8" s="82"/>
    </row>
    <row r="9" spans="1:30">
      <c r="A9" s="82"/>
      <c r="B9" s="103" t="s">
        <v>255</v>
      </c>
      <c r="C9" s="101">
        <v>3697460</v>
      </c>
      <c r="D9" s="101">
        <v>3400670</v>
      </c>
      <c r="E9" s="101">
        <v>2231090</v>
      </c>
      <c r="F9" s="101">
        <v>2031430</v>
      </c>
      <c r="G9" s="101">
        <v>1477360</v>
      </c>
      <c r="H9" s="101">
        <v>1057260</v>
      </c>
      <c r="I9" s="101">
        <v>1177430</v>
      </c>
      <c r="J9" s="101">
        <v>1253970</v>
      </c>
      <c r="K9" s="101">
        <v>1199250</v>
      </c>
      <c r="L9" s="101">
        <v>1099330</v>
      </c>
      <c r="M9" s="101">
        <v>793280</v>
      </c>
      <c r="N9" s="101">
        <v>742860</v>
      </c>
      <c r="O9" s="100">
        <v>902275</v>
      </c>
      <c r="P9" s="100">
        <f>汇总!X4</f>
        <v>981915</v>
      </c>
      <c r="Q9" s="100"/>
      <c r="R9" s="100"/>
      <c r="S9" s="100"/>
      <c r="T9" s="100">
        <f t="shared" si="0"/>
        <v>22045580</v>
      </c>
      <c r="U9" s="83"/>
      <c r="V9" s="84"/>
      <c r="W9" s="82"/>
      <c r="X9" s="82"/>
      <c r="Y9" s="82"/>
      <c r="Z9" s="82"/>
      <c r="AA9" s="82"/>
      <c r="AB9" s="82"/>
      <c r="AC9" s="82"/>
      <c r="AD9" s="82"/>
    </row>
    <row r="10" spans="1:30">
      <c r="A10" s="82"/>
      <c r="B10" s="104" t="s">
        <v>256</v>
      </c>
      <c r="C10" s="105">
        <v>0</v>
      </c>
      <c r="D10" s="106">
        <v>0</v>
      </c>
      <c r="E10" s="106">
        <v>0</v>
      </c>
      <c r="F10" s="106">
        <v>309</v>
      </c>
      <c r="G10" s="106">
        <v>0</v>
      </c>
      <c r="H10" s="106">
        <v>0</v>
      </c>
      <c r="I10" s="106">
        <v>0</v>
      </c>
      <c r="J10" s="106">
        <v>0</v>
      </c>
      <c r="K10" s="106">
        <v>0</v>
      </c>
      <c r="L10" s="106">
        <v>0</v>
      </c>
      <c r="M10" s="106">
        <v>0</v>
      </c>
      <c r="N10" s="106">
        <v>0</v>
      </c>
      <c r="O10" s="107">
        <v>0</v>
      </c>
      <c r="P10" s="107">
        <v>0</v>
      </c>
      <c r="Q10" s="107"/>
      <c r="R10" s="107"/>
      <c r="S10" s="107"/>
      <c r="T10" s="100">
        <f t="shared" si="0"/>
        <v>309</v>
      </c>
      <c r="U10" s="83"/>
      <c r="V10" s="84"/>
      <c r="W10" s="82"/>
      <c r="X10" s="82"/>
      <c r="Y10" s="82"/>
      <c r="Z10" s="82"/>
      <c r="AA10" s="82"/>
      <c r="AB10" s="82"/>
      <c r="AC10" s="82"/>
      <c r="AD10" s="82"/>
    </row>
    <row r="11" spans="1:30">
      <c r="A11" s="82"/>
      <c r="B11" s="103" t="s">
        <v>257</v>
      </c>
      <c r="C11" s="100">
        <v>694261</v>
      </c>
      <c r="D11" s="100">
        <v>376062</v>
      </c>
      <c r="E11" s="100">
        <v>389925</v>
      </c>
      <c r="F11" s="100">
        <v>363930</v>
      </c>
      <c r="G11" s="100">
        <v>322338</v>
      </c>
      <c r="H11" s="100">
        <v>311940</v>
      </c>
      <c r="I11" s="100">
        <v>301542</v>
      </c>
      <c r="J11" s="100">
        <v>198400</v>
      </c>
      <c r="K11" s="100">
        <v>179200</v>
      </c>
      <c r="L11" s="100">
        <v>198400</v>
      </c>
      <c r="M11" s="100">
        <v>96000</v>
      </c>
      <c r="N11" s="100">
        <v>99200</v>
      </c>
      <c r="O11" s="100">
        <v>96000</v>
      </c>
      <c r="P11" s="100">
        <f>汇总!AB4</f>
        <v>249600</v>
      </c>
      <c r="Q11" s="100"/>
      <c r="R11" s="100"/>
      <c r="S11" s="100"/>
      <c r="T11" s="100">
        <f t="shared" si="0"/>
        <v>3876798</v>
      </c>
      <c r="U11" s="83"/>
      <c r="V11" s="84"/>
      <c r="W11" s="82"/>
      <c r="X11" s="82"/>
      <c r="Y11" s="82"/>
      <c r="Z11" s="82"/>
      <c r="AA11" s="82"/>
      <c r="AB11" s="82"/>
      <c r="AC11" s="82"/>
      <c r="AD11" s="82"/>
    </row>
    <row r="12" spans="1:30">
      <c r="A12" s="82"/>
      <c r="B12" s="103" t="s">
        <v>258</v>
      </c>
      <c r="C12" s="100">
        <v>0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0</v>
      </c>
      <c r="J12" s="100">
        <v>107446</v>
      </c>
      <c r="K12" s="100">
        <v>97048</v>
      </c>
      <c r="L12" s="100">
        <v>0</v>
      </c>
      <c r="M12" s="100">
        <v>0</v>
      </c>
      <c r="N12" s="100">
        <v>107446</v>
      </c>
      <c r="O12" s="100">
        <v>103980</v>
      </c>
      <c r="P12" s="100">
        <f>汇总!AC4</f>
        <v>90116</v>
      </c>
      <c r="Q12" s="100"/>
      <c r="R12" s="100"/>
      <c r="S12" s="100"/>
      <c r="T12" s="100">
        <f t="shared" si="0"/>
        <v>506036</v>
      </c>
      <c r="U12" s="83"/>
      <c r="V12" s="84"/>
      <c r="W12" s="82"/>
      <c r="X12" s="82"/>
      <c r="Y12" s="82"/>
      <c r="Z12" s="82"/>
      <c r="AA12" s="82"/>
      <c r="AB12" s="82"/>
      <c r="AC12" s="82"/>
      <c r="AD12" s="82"/>
    </row>
    <row r="13" spans="1:30">
      <c r="A13" s="82"/>
      <c r="B13" s="104" t="s">
        <v>259</v>
      </c>
      <c r="C13" s="106">
        <v>0</v>
      </c>
      <c r="D13" s="106">
        <v>800</v>
      </c>
      <c r="E13" s="106">
        <v>4000</v>
      </c>
      <c r="F13" s="106">
        <v>1600</v>
      </c>
      <c r="G13" s="106">
        <v>0</v>
      </c>
      <c r="H13" s="106">
        <v>0</v>
      </c>
      <c r="I13" s="106">
        <v>0</v>
      </c>
      <c r="J13" s="106">
        <v>0</v>
      </c>
      <c r="K13" s="106">
        <v>0</v>
      </c>
      <c r="L13" s="106">
        <v>0</v>
      </c>
      <c r="M13" s="106">
        <v>0</v>
      </c>
      <c r="N13" s="106">
        <v>0</v>
      </c>
      <c r="O13" s="107">
        <v>0</v>
      </c>
      <c r="P13" s="107">
        <v>0</v>
      </c>
      <c r="Q13" s="107"/>
      <c r="R13" s="107"/>
      <c r="S13" s="107"/>
      <c r="T13" s="100">
        <f t="shared" si="0"/>
        <v>6400</v>
      </c>
      <c r="U13" s="83"/>
      <c r="V13" s="84"/>
      <c r="W13" s="82"/>
      <c r="X13" s="82"/>
      <c r="Y13" s="82"/>
      <c r="Z13" s="82"/>
      <c r="AA13" s="82"/>
      <c r="AB13" s="82"/>
      <c r="AC13" s="82"/>
      <c r="AD13" s="82"/>
    </row>
    <row r="14" spans="1:30">
      <c r="A14" s="82"/>
      <c r="B14" s="104" t="s">
        <v>260</v>
      </c>
      <c r="C14" s="106">
        <v>321028</v>
      </c>
      <c r="D14" s="106">
        <v>274746</v>
      </c>
      <c r="E14" s="106">
        <v>191341</v>
      </c>
      <c r="F14" s="106">
        <v>186331</v>
      </c>
      <c r="G14" s="106">
        <v>120344</v>
      </c>
      <c r="H14" s="106">
        <v>87013</v>
      </c>
      <c r="I14" s="106">
        <v>91786</v>
      </c>
      <c r="J14" s="106">
        <v>68171</v>
      </c>
      <c r="K14" s="106">
        <v>32618</v>
      </c>
      <c r="L14" s="106">
        <v>71055</v>
      </c>
      <c r="M14" s="106">
        <v>55010</v>
      </c>
      <c r="N14" s="106">
        <v>68996</v>
      </c>
      <c r="O14" s="107">
        <v>56768</v>
      </c>
      <c r="P14" s="107"/>
      <c r="Q14" s="107"/>
      <c r="R14" s="107"/>
      <c r="S14" s="107"/>
      <c r="T14" s="100">
        <f t="shared" si="0"/>
        <v>1625207</v>
      </c>
      <c r="U14" s="83"/>
      <c r="V14" s="84"/>
      <c r="W14" s="82"/>
      <c r="X14" s="82"/>
      <c r="Y14" s="82"/>
      <c r="Z14" s="82"/>
      <c r="AA14" s="82"/>
      <c r="AB14" s="82"/>
      <c r="AC14" s="82"/>
      <c r="AD14" s="82"/>
    </row>
    <row r="15" spans="1:30">
      <c r="A15" s="82"/>
      <c r="B15" s="104" t="s">
        <v>261</v>
      </c>
      <c r="C15" s="106">
        <v>0</v>
      </c>
      <c r="D15" s="106">
        <v>0</v>
      </c>
      <c r="E15" s="106">
        <v>0</v>
      </c>
      <c r="F15" s="106">
        <v>0</v>
      </c>
      <c r="G15" s="106">
        <v>0</v>
      </c>
      <c r="H15" s="106">
        <v>0</v>
      </c>
      <c r="I15" s="106">
        <v>0</v>
      </c>
      <c r="J15" s="106">
        <v>0</v>
      </c>
      <c r="K15" s="106">
        <v>0</v>
      </c>
      <c r="L15" s="106">
        <v>0</v>
      </c>
      <c r="M15" s="106">
        <v>0</v>
      </c>
      <c r="N15" s="106">
        <v>0</v>
      </c>
      <c r="O15" s="107">
        <v>0</v>
      </c>
      <c r="P15" s="107">
        <v>0</v>
      </c>
      <c r="Q15" s="107"/>
      <c r="R15" s="107"/>
      <c r="S15" s="107"/>
      <c r="T15" s="100">
        <f t="shared" si="0"/>
        <v>0</v>
      </c>
      <c r="U15" s="83"/>
      <c r="V15" s="84"/>
      <c r="W15" s="82"/>
      <c r="X15" s="82"/>
      <c r="Y15" s="82"/>
      <c r="Z15" s="82"/>
      <c r="AA15" s="82"/>
      <c r="AB15" s="82"/>
      <c r="AC15" s="82"/>
      <c r="AD15" s="82"/>
    </row>
    <row r="16" spans="1:30">
      <c r="A16" s="82"/>
      <c r="B16" s="99" t="s">
        <v>262</v>
      </c>
      <c r="C16" s="100">
        <f t="shared" ref="C16:P16" si="1">SUM(C7:C15)</f>
        <v>7228069.034</v>
      </c>
      <c r="D16" s="100">
        <f t="shared" si="1"/>
        <v>7462610.469</v>
      </c>
      <c r="E16" s="100">
        <f t="shared" si="1"/>
        <v>5901393.589</v>
      </c>
      <c r="F16" s="100">
        <f t="shared" si="1"/>
        <v>5907754.68</v>
      </c>
      <c r="G16" s="100">
        <f t="shared" si="1"/>
        <v>4869434.023</v>
      </c>
      <c r="H16" s="100">
        <f t="shared" si="1"/>
        <v>3522930.197</v>
      </c>
      <c r="I16" s="100">
        <f t="shared" si="1"/>
        <v>4053650.92295</v>
      </c>
      <c r="J16" s="100">
        <f t="shared" si="1"/>
        <v>2979541.495</v>
      </c>
      <c r="K16" s="100">
        <f t="shared" si="1"/>
        <v>3105061.801</v>
      </c>
      <c r="L16" s="100">
        <f t="shared" si="1"/>
        <v>3013405.973</v>
      </c>
      <c r="M16" s="100">
        <f t="shared" si="1"/>
        <v>2312920.614</v>
      </c>
      <c r="N16" s="100">
        <f t="shared" si="1"/>
        <v>2770976.148</v>
      </c>
      <c r="O16" s="100">
        <f t="shared" si="1"/>
        <v>2990672.79</v>
      </c>
      <c r="P16" s="100">
        <f t="shared" si="1"/>
        <v>2950365.0502</v>
      </c>
      <c r="Q16" s="100"/>
      <c r="R16" s="100"/>
      <c r="S16" s="100">
        <f>SUM(S7:S15)</f>
        <v>0</v>
      </c>
      <c r="T16" s="100">
        <f t="shared" si="0"/>
        <v>59068786.78615</v>
      </c>
      <c r="U16" s="83"/>
      <c r="V16" s="84"/>
      <c r="W16" s="82"/>
      <c r="X16" s="82"/>
      <c r="Y16" s="82"/>
      <c r="Z16" s="82"/>
      <c r="AA16" s="82"/>
      <c r="AB16" s="82"/>
      <c r="AC16" s="82"/>
      <c r="AD16" s="82"/>
    </row>
    <row r="17" spans="1:30">
      <c r="A17" s="82"/>
      <c r="B17" s="89" t="s">
        <v>263</v>
      </c>
      <c r="C17" s="108">
        <f t="shared" ref="C17:P17" si="2">C6-C16</f>
        <v>-1277742.034</v>
      </c>
      <c r="D17" s="108">
        <f t="shared" si="2"/>
        <v>1939368.531</v>
      </c>
      <c r="E17" s="108">
        <f t="shared" si="2"/>
        <v>1991875.411</v>
      </c>
      <c r="F17" s="108">
        <f t="shared" si="2"/>
        <v>2723007.32</v>
      </c>
      <c r="G17" s="108">
        <f t="shared" si="2"/>
        <v>2411366.977</v>
      </c>
      <c r="H17" s="108">
        <f t="shared" si="2"/>
        <v>1444332.803</v>
      </c>
      <c r="I17" s="108">
        <f t="shared" si="2"/>
        <v>1747706.44705</v>
      </c>
      <c r="J17" s="108">
        <f t="shared" si="2"/>
        <v>279464.505</v>
      </c>
      <c r="K17" s="108">
        <f t="shared" si="2"/>
        <v>-457210.801</v>
      </c>
      <c r="L17" s="108">
        <f t="shared" si="2"/>
        <v>519302.027</v>
      </c>
      <c r="M17" s="108">
        <f t="shared" si="2"/>
        <v>99608.3859999999</v>
      </c>
      <c r="N17" s="108">
        <f t="shared" si="2"/>
        <v>1374241.852</v>
      </c>
      <c r="O17" s="108">
        <f t="shared" si="2"/>
        <v>1402718.39</v>
      </c>
      <c r="P17" s="108">
        <f t="shared" si="2"/>
        <v>1010780.3298</v>
      </c>
      <c r="Q17" s="108"/>
      <c r="R17" s="108"/>
      <c r="S17" s="108">
        <f>S6-S16</f>
        <v>0</v>
      </c>
      <c r="T17" s="108">
        <f t="shared" si="0"/>
        <v>15208820.14385</v>
      </c>
      <c r="U17" s="83"/>
      <c r="V17" s="84"/>
      <c r="W17" s="82"/>
      <c r="X17" s="82"/>
      <c r="Y17" s="82"/>
      <c r="Z17" s="82"/>
      <c r="AA17" s="82"/>
      <c r="AB17" s="82"/>
      <c r="AC17" s="82"/>
      <c r="AD17" s="82"/>
    </row>
    <row r="18" spans="1:30">
      <c r="A18" s="82"/>
      <c r="B18" s="89" t="s">
        <v>264</v>
      </c>
      <c r="C18" s="108">
        <f t="shared" ref="C18:P18" si="3">C17/60</f>
        <v>-21295.7005666667</v>
      </c>
      <c r="D18" s="108">
        <f t="shared" si="3"/>
        <v>32322.80885</v>
      </c>
      <c r="E18" s="108">
        <f t="shared" si="3"/>
        <v>33197.9235166667</v>
      </c>
      <c r="F18" s="108">
        <f t="shared" si="3"/>
        <v>45383.4553333333</v>
      </c>
      <c r="G18" s="108">
        <f t="shared" si="3"/>
        <v>40189.4496166667</v>
      </c>
      <c r="H18" s="108">
        <f t="shared" si="3"/>
        <v>24072.2133833333</v>
      </c>
      <c r="I18" s="108">
        <f t="shared" si="3"/>
        <v>29128.4407841667</v>
      </c>
      <c r="J18" s="108">
        <f t="shared" si="3"/>
        <v>4657.74175</v>
      </c>
      <c r="K18" s="108">
        <f t="shared" si="3"/>
        <v>-7620.18001666667</v>
      </c>
      <c r="L18" s="108">
        <f t="shared" si="3"/>
        <v>8655.03378333333</v>
      </c>
      <c r="M18" s="108">
        <f t="shared" si="3"/>
        <v>1660.13976666667</v>
      </c>
      <c r="N18" s="108">
        <f t="shared" si="3"/>
        <v>22904.0308666667</v>
      </c>
      <c r="O18" s="108">
        <f t="shared" si="3"/>
        <v>23378.6398333333</v>
      </c>
      <c r="P18" s="108">
        <f t="shared" si="3"/>
        <v>16846.33883</v>
      </c>
      <c r="Q18" s="108"/>
      <c r="R18" s="108"/>
      <c r="S18" s="108">
        <f>S17/57</f>
        <v>0</v>
      </c>
      <c r="T18" s="108">
        <f t="shared" si="0"/>
        <v>253480.335730833</v>
      </c>
      <c r="U18" s="83"/>
      <c r="V18" s="84"/>
      <c r="W18" s="82"/>
      <c r="X18" s="82"/>
      <c r="Y18" s="82"/>
      <c r="Z18" s="82"/>
      <c r="AA18" s="82"/>
      <c r="AB18" s="82"/>
      <c r="AC18" s="82"/>
      <c r="AD18" s="82"/>
    </row>
    <row r="19" spans="1:30">
      <c r="A19" s="82"/>
      <c r="B19" s="109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1"/>
      <c r="U19" s="83"/>
      <c r="V19" s="84"/>
      <c r="W19" s="82"/>
      <c r="X19" s="82"/>
      <c r="Y19" s="82"/>
      <c r="Z19" s="82"/>
      <c r="AA19" s="82"/>
      <c r="AB19" s="82"/>
      <c r="AC19" s="82"/>
      <c r="AD19" s="82"/>
    </row>
    <row r="20" hidden="1" spans="1:30">
      <c r="A20" s="82"/>
      <c r="B20" s="112" t="s">
        <v>120</v>
      </c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4"/>
      <c r="U20" s="83"/>
      <c r="V20" s="84"/>
      <c r="W20" s="82"/>
      <c r="X20" s="82"/>
      <c r="Y20" s="82"/>
      <c r="Z20" s="82"/>
      <c r="AA20" s="82"/>
      <c r="AB20" s="82"/>
      <c r="AC20" s="82"/>
      <c r="AD20" s="82"/>
    </row>
    <row r="21" hidden="1" spans="1:30">
      <c r="A21" s="82"/>
      <c r="B21" s="89" t="s">
        <v>243</v>
      </c>
      <c r="C21" s="90">
        <v>45812</v>
      </c>
      <c r="D21" s="90">
        <v>45843</v>
      </c>
      <c r="E21" s="90">
        <v>45875</v>
      </c>
      <c r="F21" s="90">
        <v>45907</v>
      </c>
      <c r="G21" s="90">
        <v>45938</v>
      </c>
      <c r="H21" s="90">
        <v>45969</v>
      </c>
      <c r="I21" s="115">
        <v>45999</v>
      </c>
      <c r="J21" s="91">
        <v>46031</v>
      </c>
      <c r="K21" s="91">
        <v>46063</v>
      </c>
      <c r="L21" s="91">
        <v>46092</v>
      </c>
      <c r="M21" s="91">
        <v>46124</v>
      </c>
      <c r="N21" s="91">
        <v>46155</v>
      </c>
      <c r="O21" s="91">
        <v>46187</v>
      </c>
      <c r="P21" s="91">
        <v>46218</v>
      </c>
      <c r="Q21" s="91"/>
      <c r="R21" s="91"/>
      <c r="S21" s="92"/>
      <c r="T21" s="93" t="s">
        <v>244</v>
      </c>
      <c r="U21" s="94" t="s">
        <v>245</v>
      </c>
      <c r="V21" s="95" t="s">
        <v>51</v>
      </c>
      <c r="W21" s="82"/>
      <c r="X21" s="82"/>
      <c r="Y21" s="82"/>
      <c r="Z21" s="82"/>
      <c r="AA21" s="82"/>
      <c r="AB21" s="82"/>
      <c r="AC21" s="82"/>
      <c r="AD21" s="82"/>
    </row>
    <row r="22" hidden="1" spans="1:30">
      <c r="A22" s="82"/>
      <c r="B22" s="99" t="s">
        <v>252</v>
      </c>
      <c r="C22" s="100">
        <f>[1]汇总!PM5</f>
        <v>580328</v>
      </c>
      <c r="D22" s="100">
        <f>[1]汇总!OM5</f>
        <v>769562</v>
      </c>
      <c r="E22" s="100">
        <f>[1]汇总!NK5</f>
        <v>820235</v>
      </c>
      <c r="F22" s="100">
        <f>[1]汇总!MG5</f>
        <v>624955</v>
      </c>
      <c r="G22" s="100">
        <f>[1]汇总!LC5</f>
        <v>-869671</v>
      </c>
      <c r="H22" s="100">
        <f>[1]汇总!JY5</f>
        <v>444306</v>
      </c>
      <c r="I22" s="100">
        <f>[1]汇总!IU5</f>
        <v>72289</v>
      </c>
      <c r="J22" s="101">
        <f>[1]汇总!HP5</f>
        <v>194828</v>
      </c>
      <c r="K22" s="100">
        <f>[1]汇总!GI5</f>
        <v>-76657</v>
      </c>
      <c r="L22" s="100">
        <f>[1]汇总!EZ5</f>
        <v>523090</v>
      </c>
      <c r="M22" s="100">
        <f>[1]汇总!DR5</f>
        <v>302841</v>
      </c>
      <c r="N22" s="100">
        <f>[1]汇总!CK5</f>
        <v>428363</v>
      </c>
      <c r="O22" s="100"/>
      <c r="P22" s="100"/>
      <c r="Q22" s="100"/>
      <c r="R22" s="100"/>
      <c r="S22" s="100"/>
      <c r="T22" s="100">
        <f t="shared" ref="T22:T34" si="4">SUM(C22:N22)</f>
        <v>3814469</v>
      </c>
      <c r="U22" s="94">
        <v>0</v>
      </c>
      <c r="V22" s="102">
        <f>T22/T32</f>
        <v>0.560921246354763</v>
      </c>
      <c r="W22" s="82"/>
      <c r="X22" s="82"/>
      <c r="Y22" s="82"/>
      <c r="Z22" s="82"/>
      <c r="AA22" s="82"/>
      <c r="AB22" s="82"/>
      <c r="AC22" s="82"/>
      <c r="AD22" s="82"/>
    </row>
    <row r="23" hidden="1" spans="1:30">
      <c r="A23" s="82"/>
      <c r="B23" s="103" t="s">
        <v>253</v>
      </c>
      <c r="C23" s="101">
        <f>[1]汇总!PQ5</f>
        <v>98087.596</v>
      </c>
      <c r="D23" s="101">
        <f>[1]汇总!OQ5</f>
        <v>121637.27</v>
      </c>
      <c r="E23" s="101">
        <f>[1]汇总!NO5</f>
        <v>134643.25</v>
      </c>
      <c r="F23" s="101">
        <f>[1]汇总!MK5</f>
        <v>114823.168</v>
      </c>
      <c r="G23" s="101">
        <f>[1]汇总!LG5</f>
        <v>0</v>
      </c>
      <c r="H23" s="101">
        <f>[1]汇总!KC5</f>
        <v>95810.208</v>
      </c>
      <c r="I23" s="101">
        <f>[1]汇总!IY5</f>
        <v>9327.244</v>
      </c>
      <c r="J23" s="101">
        <f>[1]汇总!HT5</f>
        <v>29721.344</v>
      </c>
      <c r="K23" s="101">
        <f>[1]汇总!GM5</f>
        <v>0</v>
      </c>
      <c r="L23" s="101">
        <f>[1]汇总!FD5</f>
        <v>92017.95</v>
      </c>
      <c r="M23" s="101">
        <f>[1]汇总!DV5</f>
        <v>51952.104</v>
      </c>
      <c r="N23" s="101">
        <f>[1]汇总!CO5</f>
        <v>83454.184</v>
      </c>
      <c r="O23" s="100"/>
      <c r="P23" s="100"/>
      <c r="Q23" s="100"/>
      <c r="R23" s="100"/>
      <c r="S23" s="100"/>
      <c r="T23" s="100">
        <f t="shared" si="4"/>
        <v>831474.318</v>
      </c>
      <c r="U23" s="116"/>
      <c r="V23" s="84"/>
      <c r="W23" s="82"/>
      <c r="X23" s="82"/>
      <c r="Y23" s="82"/>
      <c r="Z23" s="82"/>
      <c r="AA23" s="82"/>
      <c r="AB23" s="82"/>
      <c r="AC23" s="82"/>
      <c r="AD23" s="82"/>
    </row>
    <row r="24" hidden="1" spans="1:30">
      <c r="A24" s="82"/>
      <c r="B24" s="103" t="s">
        <v>254</v>
      </c>
      <c r="C24" s="101">
        <f>[1]汇总!PP5</f>
        <v>87838.1</v>
      </c>
      <c r="D24" s="101">
        <f>[1]汇总!OP5</f>
        <v>147708.225</v>
      </c>
      <c r="E24" s="101">
        <f>[1]汇总!NN5</f>
        <v>189817.04</v>
      </c>
      <c r="F24" s="101">
        <f>[1]汇总!MJ5</f>
        <v>163929.605</v>
      </c>
      <c r="G24" s="101">
        <f>[1]汇总!LF5</f>
        <v>133519.47</v>
      </c>
      <c r="H24" s="101">
        <f>[1]汇总!KB5</f>
        <v>93736.335</v>
      </c>
      <c r="I24" s="101">
        <f>[1]汇总!IX5</f>
        <v>70734.23</v>
      </c>
      <c r="J24" s="101">
        <f>[1]汇总!HS5</f>
        <v>89486.6</v>
      </c>
      <c r="K24" s="101">
        <f>[1]汇总!GL5</f>
        <v>150737.02</v>
      </c>
      <c r="L24" s="101">
        <f>[1]汇总!FC5</f>
        <v>124779.13</v>
      </c>
      <c r="M24" s="101">
        <f>[1]汇总!DU5</f>
        <v>78118.46</v>
      </c>
      <c r="N24" s="101">
        <f>[1]汇总!CN5</f>
        <v>65897.09</v>
      </c>
      <c r="O24" s="100"/>
      <c r="P24" s="100"/>
      <c r="Q24" s="100"/>
      <c r="R24" s="100"/>
      <c r="S24" s="100"/>
      <c r="T24" s="100">
        <f t="shared" si="4"/>
        <v>1396301.305</v>
      </c>
      <c r="U24" s="116"/>
      <c r="V24" s="84"/>
      <c r="W24" s="82"/>
      <c r="X24" s="82"/>
      <c r="Y24" s="82"/>
      <c r="Z24" s="82"/>
      <c r="AA24" s="82"/>
      <c r="AB24" s="82"/>
      <c r="AC24" s="82"/>
      <c r="AD24" s="82"/>
    </row>
    <row r="25" hidden="1" spans="1:30">
      <c r="A25" s="82"/>
      <c r="B25" s="103" t="s">
        <v>255</v>
      </c>
      <c r="C25" s="101">
        <f>[1]汇总!PN5</f>
        <v>215310</v>
      </c>
      <c r="D25" s="101">
        <f>[1]汇总!ON5</f>
        <v>318780</v>
      </c>
      <c r="E25" s="101">
        <f>[1]汇总!NL5</f>
        <v>281580</v>
      </c>
      <c r="F25" s="101">
        <f>[1]汇总!MH5</f>
        <v>144420</v>
      </c>
      <c r="G25" s="101">
        <f>[1]汇总!LD5</f>
        <v>115140</v>
      </c>
      <c r="H25" s="101">
        <f>[1]汇总!JZ5</f>
        <v>51780</v>
      </c>
      <c r="I25" s="101">
        <f>[1]汇总!IV5</f>
        <v>75390</v>
      </c>
      <c r="J25" s="101">
        <f>[1]汇总!HQ5</f>
        <v>106910</v>
      </c>
      <c r="K25" s="101">
        <f>[1]汇总!GJ5</f>
        <v>255860</v>
      </c>
      <c r="L25" s="101">
        <f>[1]汇总!FA5</f>
        <v>325240</v>
      </c>
      <c r="M25" s="101">
        <f>[1]汇总!DS5</f>
        <v>125950</v>
      </c>
      <c r="N25" s="101">
        <f>[1]汇总!CL5</f>
        <v>55620</v>
      </c>
      <c r="O25" s="100"/>
      <c r="P25" s="100"/>
      <c r="Q25" s="100"/>
      <c r="R25" s="100"/>
      <c r="S25" s="100"/>
      <c r="T25" s="100">
        <f t="shared" si="4"/>
        <v>2071980</v>
      </c>
      <c r="U25" s="116"/>
      <c r="V25" s="84"/>
      <c r="W25" s="82"/>
      <c r="X25" s="82"/>
      <c r="Y25" s="82"/>
      <c r="Z25" s="82"/>
      <c r="AA25" s="82"/>
      <c r="AB25" s="82"/>
      <c r="AC25" s="82"/>
      <c r="AD25" s="82"/>
    </row>
    <row r="26" hidden="1" spans="1:30">
      <c r="A26" s="82"/>
      <c r="B26" s="104" t="s">
        <v>256</v>
      </c>
      <c r="C26" s="105">
        <v>0</v>
      </c>
      <c r="D26" s="106">
        <v>0</v>
      </c>
      <c r="E26" s="106">
        <v>0</v>
      </c>
      <c r="F26" s="106">
        <v>0</v>
      </c>
      <c r="G26" s="106">
        <v>0</v>
      </c>
      <c r="H26" s="106">
        <v>0</v>
      </c>
      <c r="I26" s="106">
        <v>0</v>
      </c>
      <c r="J26" s="106">
        <v>0</v>
      </c>
      <c r="K26" s="106">
        <v>0</v>
      </c>
      <c r="L26" s="106">
        <v>0</v>
      </c>
      <c r="M26" s="106">
        <v>0</v>
      </c>
      <c r="N26" s="106">
        <v>0</v>
      </c>
      <c r="O26" s="107"/>
      <c r="P26" s="107"/>
      <c r="Q26" s="107"/>
      <c r="R26" s="107"/>
      <c r="S26" s="107"/>
      <c r="T26" s="100">
        <f t="shared" si="4"/>
        <v>0</v>
      </c>
      <c r="U26" s="83"/>
      <c r="V26" s="84"/>
      <c r="W26" s="82"/>
      <c r="X26" s="82"/>
      <c r="Y26" s="82"/>
      <c r="Z26" s="82"/>
      <c r="AA26" s="82"/>
      <c r="AB26" s="82"/>
      <c r="AC26" s="82"/>
      <c r="AD26" s="82"/>
    </row>
    <row r="27" hidden="1" spans="1:30">
      <c r="A27" s="82"/>
      <c r="B27" s="103" t="s">
        <v>257</v>
      </c>
      <c r="C27" s="100">
        <f>[1]汇总!PR5</f>
        <v>198361</v>
      </c>
      <c r="D27" s="100">
        <f>[1]汇总!OR5</f>
        <v>107447</v>
      </c>
      <c r="E27" s="100">
        <f>[1]汇总!NP5</f>
        <v>183698</v>
      </c>
      <c r="F27" s="100">
        <f>[1]汇总!ML5</f>
        <v>169834</v>
      </c>
      <c r="G27" s="100">
        <f>[1]汇总!LH5</f>
        <v>161169</v>
      </c>
      <c r="H27" s="100">
        <f>[1]汇总!KD5</f>
        <v>155970</v>
      </c>
      <c r="I27" s="100">
        <f>[1]汇总!IZ5</f>
        <v>161169</v>
      </c>
      <c r="J27" s="100">
        <f>[1]汇总!HU5</f>
        <v>198400</v>
      </c>
      <c r="K27" s="100">
        <f>[1]汇总!GN5</f>
        <v>179200</v>
      </c>
      <c r="L27" s="100">
        <f>[1]汇总!FE5</f>
        <v>198400</v>
      </c>
      <c r="M27" s="100">
        <f>[1]汇总!DW5</f>
        <v>96000</v>
      </c>
      <c r="N27" s="100">
        <f>[1]汇总!CP5</f>
        <v>99200</v>
      </c>
      <c r="O27" s="100"/>
      <c r="P27" s="100"/>
      <c r="Q27" s="100"/>
      <c r="R27" s="100"/>
      <c r="S27" s="100"/>
      <c r="T27" s="100">
        <f t="shared" si="4"/>
        <v>1908848</v>
      </c>
      <c r="U27" s="83"/>
      <c r="V27" s="84"/>
      <c r="W27" s="82"/>
      <c r="X27" s="82"/>
      <c r="Y27" s="82"/>
      <c r="Z27" s="82"/>
      <c r="AA27" s="82"/>
      <c r="AB27" s="82"/>
      <c r="AC27" s="82"/>
      <c r="AD27" s="82"/>
    </row>
    <row r="28" hidden="1" spans="1:30">
      <c r="A28" s="82"/>
      <c r="B28" s="103" t="s">
        <v>258</v>
      </c>
      <c r="C28" s="100">
        <v>0</v>
      </c>
      <c r="D28" s="100">
        <v>0</v>
      </c>
      <c r="E28" s="100">
        <v>0</v>
      </c>
      <c r="F28" s="100">
        <v>0</v>
      </c>
      <c r="G28" s="100">
        <v>0</v>
      </c>
      <c r="H28" s="100">
        <v>0</v>
      </c>
      <c r="I28" s="100">
        <v>0</v>
      </c>
      <c r="J28" s="100">
        <f>[1]汇总!HV5</f>
        <v>107446</v>
      </c>
      <c r="K28" s="100">
        <f>[1]汇总!GO5</f>
        <v>97048</v>
      </c>
      <c r="L28" s="100">
        <f>[1]汇总!FF5</f>
        <v>107446</v>
      </c>
      <c r="M28" s="100">
        <f>[1]汇总!DX5</f>
        <v>103980</v>
      </c>
      <c r="N28" s="100">
        <f>[1]汇总!CQ5</f>
        <v>107446</v>
      </c>
      <c r="O28" s="100"/>
      <c r="P28" s="100"/>
      <c r="Q28" s="100"/>
      <c r="R28" s="100"/>
      <c r="S28" s="100"/>
      <c r="T28" s="100">
        <f t="shared" si="4"/>
        <v>523366</v>
      </c>
      <c r="U28" s="83"/>
      <c r="V28" s="84"/>
      <c r="W28" s="82"/>
      <c r="X28" s="82"/>
      <c r="Y28" s="82"/>
      <c r="Z28" s="82"/>
      <c r="AA28" s="82"/>
      <c r="AB28" s="82"/>
      <c r="AC28" s="82"/>
      <c r="AD28" s="82"/>
    </row>
    <row r="29" hidden="1" spans="1:30">
      <c r="A29" s="82"/>
      <c r="B29" s="104" t="s">
        <v>259</v>
      </c>
      <c r="C29" s="106">
        <v>0</v>
      </c>
      <c r="D29" s="106">
        <v>5600</v>
      </c>
      <c r="E29" s="106">
        <f>300*8</f>
        <v>2400</v>
      </c>
      <c r="F29" s="106">
        <f>75*8</f>
        <v>600</v>
      </c>
      <c r="G29" s="106">
        <v>0</v>
      </c>
      <c r="H29" s="106">
        <v>0</v>
      </c>
      <c r="I29" s="106">
        <v>0</v>
      </c>
      <c r="J29" s="106">
        <v>0</v>
      </c>
      <c r="K29" s="106">
        <v>0</v>
      </c>
      <c r="L29" s="106">
        <v>0</v>
      </c>
      <c r="M29" s="106">
        <v>0</v>
      </c>
      <c r="N29" s="106">
        <v>0</v>
      </c>
      <c r="O29" s="107"/>
      <c r="P29" s="107"/>
      <c r="Q29" s="107"/>
      <c r="R29" s="107"/>
      <c r="S29" s="107"/>
      <c r="T29" s="100">
        <f t="shared" si="4"/>
        <v>8600</v>
      </c>
      <c r="U29" s="83"/>
      <c r="V29" s="84"/>
      <c r="W29" s="82"/>
      <c r="X29" s="82"/>
      <c r="Y29" s="82"/>
      <c r="Z29" s="82"/>
      <c r="AA29" s="82"/>
      <c r="AB29" s="82"/>
      <c r="AC29" s="82"/>
      <c r="AD29" s="82"/>
    </row>
    <row r="30" hidden="1" spans="1:30">
      <c r="A30" s="82"/>
      <c r="B30" s="104" t="s">
        <v>260</v>
      </c>
      <c r="C30" s="106">
        <v>16950</v>
      </c>
      <c r="D30" s="106">
        <v>14033</v>
      </c>
      <c r="E30" s="106">
        <v>12836</v>
      </c>
      <c r="F30" s="106">
        <v>4976</v>
      </c>
      <c r="G30" s="106">
        <v>1000</v>
      </c>
      <c r="H30" s="106">
        <v>0</v>
      </c>
      <c r="I30" s="106">
        <v>0</v>
      </c>
      <c r="J30" s="106">
        <v>0</v>
      </c>
      <c r="K30" s="106">
        <v>4000</v>
      </c>
      <c r="L30" s="106">
        <v>1000</v>
      </c>
      <c r="M30" s="106">
        <v>5000</v>
      </c>
      <c r="N30" s="106"/>
      <c r="O30" s="107"/>
      <c r="P30" s="107"/>
      <c r="Q30" s="107"/>
      <c r="R30" s="107"/>
      <c r="S30" s="107"/>
      <c r="T30" s="100">
        <f t="shared" si="4"/>
        <v>59795</v>
      </c>
      <c r="U30" s="83"/>
      <c r="V30" s="84"/>
      <c r="W30" s="82"/>
      <c r="X30" s="82"/>
      <c r="Y30" s="82"/>
      <c r="Z30" s="82"/>
      <c r="AA30" s="82"/>
      <c r="AB30" s="82"/>
      <c r="AC30" s="82"/>
      <c r="AD30" s="82"/>
    </row>
    <row r="31" hidden="1" spans="1:30">
      <c r="A31" s="82"/>
      <c r="B31" s="104" t="s">
        <v>261</v>
      </c>
      <c r="C31" s="106">
        <v>0</v>
      </c>
      <c r="D31" s="106">
        <v>0</v>
      </c>
      <c r="E31" s="106">
        <v>0</v>
      </c>
      <c r="F31" s="106">
        <v>0</v>
      </c>
      <c r="G31" s="106">
        <v>0</v>
      </c>
      <c r="H31" s="106">
        <v>0</v>
      </c>
      <c r="I31" s="106">
        <v>0</v>
      </c>
      <c r="J31" s="106">
        <v>0</v>
      </c>
      <c r="K31" s="106">
        <v>0</v>
      </c>
      <c r="L31" s="106">
        <v>0</v>
      </c>
      <c r="M31" s="106">
        <v>0</v>
      </c>
      <c r="N31" s="106">
        <v>0</v>
      </c>
      <c r="O31" s="107"/>
      <c r="P31" s="107"/>
      <c r="Q31" s="107"/>
      <c r="R31" s="107"/>
      <c r="S31" s="107"/>
      <c r="T31" s="100">
        <f t="shared" si="4"/>
        <v>0</v>
      </c>
      <c r="U31" s="83"/>
      <c r="V31" s="84"/>
      <c r="W31" s="82"/>
      <c r="X31" s="82"/>
      <c r="Y31" s="82"/>
      <c r="Z31" s="82"/>
      <c r="AA31" s="82"/>
      <c r="AB31" s="82"/>
      <c r="AC31" s="82"/>
      <c r="AD31" s="82"/>
    </row>
    <row r="32" hidden="1" spans="1:30">
      <c r="A32" s="82"/>
      <c r="B32" s="99" t="s">
        <v>262</v>
      </c>
      <c r="C32" s="100">
        <f t="shared" ref="C32:N32" si="5">SUM(C23:C31)</f>
        <v>616546.696</v>
      </c>
      <c r="D32" s="100">
        <f t="shared" si="5"/>
        <v>715205.495</v>
      </c>
      <c r="E32" s="100">
        <f t="shared" si="5"/>
        <v>804974.29</v>
      </c>
      <c r="F32" s="100">
        <f t="shared" si="5"/>
        <v>598582.773</v>
      </c>
      <c r="G32" s="100">
        <f t="shared" si="5"/>
        <v>410828.47</v>
      </c>
      <c r="H32" s="100">
        <f t="shared" si="5"/>
        <v>397296.543</v>
      </c>
      <c r="I32" s="100">
        <f t="shared" si="5"/>
        <v>316620.474</v>
      </c>
      <c r="J32" s="100">
        <f t="shared" si="5"/>
        <v>531963.944</v>
      </c>
      <c r="K32" s="100">
        <f t="shared" si="5"/>
        <v>686845.02</v>
      </c>
      <c r="L32" s="100">
        <f t="shared" si="5"/>
        <v>848883.08</v>
      </c>
      <c r="M32" s="100">
        <f t="shared" si="5"/>
        <v>461000.564</v>
      </c>
      <c r="N32" s="100">
        <f t="shared" si="5"/>
        <v>411617.274</v>
      </c>
      <c r="O32" s="100"/>
      <c r="P32" s="100"/>
      <c r="Q32" s="100"/>
      <c r="R32" s="100"/>
      <c r="S32" s="100">
        <f>SUM(S23:S31)</f>
        <v>0</v>
      </c>
      <c r="T32" s="100">
        <f t="shared" si="4"/>
        <v>6800364.623</v>
      </c>
      <c r="U32" s="83"/>
      <c r="V32" s="84"/>
      <c r="W32" s="82"/>
      <c r="X32" s="82"/>
      <c r="Y32" s="82"/>
      <c r="Z32" s="82"/>
      <c r="AA32" s="82"/>
      <c r="AB32" s="82"/>
      <c r="AC32" s="82"/>
      <c r="AD32" s="82"/>
    </row>
    <row r="33" hidden="1" spans="1:30">
      <c r="A33" s="82"/>
      <c r="B33" s="89" t="s">
        <v>263</v>
      </c>
      <c r="C33" s="108">
        <f t="shared" ref="C33:N33" si="6">C22-C32</f>
        <v>-36218.696</v>
      </c>
      <c r="D33" s="108">
        <f t="shared" si="6"/>
        <v>54356.505</v>
      </c>
      <c r="E33" s="108">
        <f t="shared" si="6"/>
        <v>15260.71</v>
      </c>
      <c r="F33" s="108">
        <f t="shared" si="6"/>
        <v>26372.227</v>
      </c>
      <c r="G33" s="108">
        <f t="shared" si="6"/>
        <v>-1280499.47</v>
      </c>
      <c r="H33" s="108">
        <f t="shared" si="6"/>
        <v>47009.457</v>
      </c>
      <c r="I33" s="108">
        <f t="shared" si="6"/>
        <v>-244331.474</v>
      </c>
      <c r="J33" s="108">
        <f t="shared" si="6"/>
        <v>-337135.944</v>
      </c>
      <c r="K33" s="108">
        <f t="shared" si="6"/>
        <v>-763502.02</v>
      </c>
      <c r="L33" s="108">
        <f t="shared" si="6"/>
        <v>-325793.08</v>
      </c>
      <c r="M33" s="108">
        <f t="shared" si="6"/>
        <v>-158159.564</v>
      </c>
      <c r="N33" s="108">
        <f t="shared" si="6"/>
        <v>16745.726</v>
      </c>
      <c r="O33" s="108"/>
      <c r="P33" s="108"/>
      <c r="Q33" s="108"/>
      <c r="R33" s="108"/>
      <c r="S33" s="108">
        <f>S22-S32</f>
        <v>0</v>
      </c>
      <c r="T33" s="108">
        <f t="shared" si="4"/>
        <v>-2985895.623</v>
      </c>
      <c r="U33" s="83"/>
      <c r="V33" s="84"/>
      <c r="W33" s="82"/>
      <c r="X33" s="82"/>
      <c r="Y33" s="82"/>
      <c r="Z33" s="82"/>
      <c r="AA33" s="82"/>
      <c r="AB33" s="82"/>
      <c r="AC33" s="82"/>
      <c r="AD33" s="82"/>
    </row>
    <row r="34" hidden="1" spans="1:30">
      <c r="A34" s="82"/>
      <c r="B34" s="89" t="s">
        <v>264</v>
      </c>
      <c r="C34" s="108">
        <f t="shared" ref="C34:N34" si="7">C33/57</f>
        <v>-635.415719298246</v>
      </c>
      <c r="D34" s="108">
        <f t="shared" si="7"/>
        <v>953.622894736842</v>
      </c>
      <c r="E34" s="108">
        <f t="shared" si="7"/>
        <v>267.731754385964</v>
      </c>
      <c r="F34" s="108">
        <f t="shared" si="7"/>
        <v>462.670649122806</v>
      </c>
      <c r="G34" s="108">
        <f t="shared" si="7"/>
        <v>-22464.9029824561</v>
      </c>
      <c r="H34" s="108">
        <f t="shared" si="7"/>
        <v>824.727315789474</v>
      </c>
      <c r="I34" s="108">
        <f t="shared" si="7"/>
        <v>-4286.5170877193</v>
      </c>
      <c r="J34" s="108">
        <f t="shared" si="7"/>
        <v>-5914.66568421053</v>
      </c>
      <c r="K34" s="108">
        <f t="shared" si="7"/>
        <v>-13394.7722807018</v>
      </c>
      <c r="L34" s="108">
        <f t="shared" si="7"/>
        <v>-5715.66807017544</v>
      </c>
      <c r="M34" s="108">
        <f t="shared" si="7"/>
        <v>-2774.72919298246</v>
      </c>
      <c r="N34" s="108">
        <f t="shared" si="7"/>
        <v>293.784666666667</v>
      </c>
      <c r="O34" s="108"/>
      <c r="P34" s="108"/>
      <c r="Q34" s="108"/>
      <c r="R34" s="108"/>
      <c r="S34" s="108">
        <f>S33/57</f>
        <v>0</v>
      </c>
      <c r="T34" s="108">
        <f t="shared" si="4"/>
        <v>-52384.1337368421</v>
      </c>
      <c r="U34" s="83"/>
      <c r="V34" s="84"/>
      <c r="W34" s="82"/>
      <c r="X34" s="82"/>
      <c r="Y34" s="82"/>
      <c r="Z34" s="82"/>
      <c r="AA34" s="82"/>
      <c r="AB34" s="82"/>
      <c r="AC34" s="82"/>
      <c r="AD34" s="82"/>
    </row>
    <row r="35" hidden="1" spans="1:30">
      <c r="A35" s="82"/>
      <c r="B35" s="109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1"/>
      <c r="U35" s="83"/>
      <c r="V35" s="84"/>
      <c r="W35" s="82"/>
      <c r="X35" s="82"/>
      <c r="Y35" s="82"/>
      <c r="Z35" s="82"/>
      <c r="AA35" s="82"/>
      <c r="AB35" s="82"/>
      <c r="AC35" s="82"/>
      <c r="AD35" s="82"/>
    </row>
    <row r="36" spans="1:30">
      <c r="A36" s="82"/>
      <c r="B36" s="112" t="s">
        <v>124</v>
      </c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4"/>
      <c r="U36" s="83"/>
      <c r="V36" s="84"/>
      <c r="W36" s="82"/>
      <c r="X36" s="82"/>
      <c r="Y36" s="82"/>
      <c r="Z36" s="82"/>
      <c r="AA36" s="82"/>
      <c r="AB36" s="82"/>
      <c r="AC36" s="82"/>
      <c r="AD36" s="82"/>
    </row>
    <row r="37" spans="1:30">
      <c r="A37" s="82"/>
      <c r="B37" s="89" t="s">
        <v>243</v>
      </c>
      <c r="C37" s="90">
        <v>45812</v>
      </c>
      <c r="D37" s="90">
        <v>45843</v>
      </c>
      <c r="E37" s="90">
        <v>45875</v>
      </c>
      <c r="F37" s="90">
        <v>45907</v>
      </c>
      <c r="G37" s="90">
        <v>45938</v>
      </c>
      <c r="H37" s="90">
        <v>45969</v>
      </c>
      <c r="I37" s="115">
        <v>45999</v>
      </c>
      <c r="J37" s="91">
        <v>46031</v>
      </c>
      <c r="K37" s="91">
        <v>46063</v>
      </c>
      <c r="L37" s="91">
        <v>46092</v>
      </c>
      <c r="M37" s="91">
        <v>46124</v>
      </c>
      <c r="N37" s="91">
        <v>46155</v>
      </c>
      <c r="O37" s="91">
        <v>46187</v>
      </c>
      <c r="P37" s="91">
        <v>46218</v>
      </c>
      <c r="Q37" s="91"/>
      <c r="R37" s="91"/>
      <c r="S37" s="92"/>
      <c r="T37" s="93" t="s">
        <v>244</v>
      </c>
      <c r="U37" s="94" t="s">
        <v>245</v>
      </c>
      <c r="V37" s="95" t="s">
        <v>51</v>
      </c>
      <c r="W37" s="82"/>
      <c r="X37" s="82"/>
      <c r="Y37" s="82"/>
      <c r="Z37" s="82"/>
      <c r="AA37" s="82"/>
      <c r="AB37" s="82"/>
      <c r="AC37" s="82"/>
      <c r="AD37" s="82"/>
    </row>
    <row r="38" spans="1:30">
      <c r="A38" s="82"/>
      <c r="B38" s="99" t="s">
        <v>252</v>
      </c>
      <c r="C38" s="100">
        <v>318931</v>
      </c>
      <c r="D38" s="100">
        <v>450026</v>
      </c>
      <c r="E38" s="100">
        <v>1515805</v>
      </c>
      <c r="F38" s="100">
        <v>1557928</v>
      </c>
      <c r="G38" s="100">
        <v>809224</v>
      </c>
      <c r="H38" s="100">
        <v>925212</v>
      </c>
      <c r="I38" s="100">
        <v>1449417.52</v>
      </c>
      <c r="J38" s="101">
        <v>929036</v>
      </c>
      <c r="K38" s="100">
        <v>920888</v>
      </c>
      <c r="L38" s="100">
        <v>964396</v>
      </c>
      <c r="M38" s="100">
        <v>810631</v>
      </c>
      <c r="N38" s="100">
        <v>1244141</v>
      </c>
      <c r="O38" s="100">
        <v>957724.06</v>
      </c>
      <c r="P38" s="100">
        <f>汇总!W6</f>
        <v>791802.51</v>
      </c>
      <c r="Q38" s="100"/>
      <c r="R38" s="100"/>
      <c r="S38" s="100"/>
      <c r="T38" s="100">
        <f t="shared" ref="T38:T50" si="8">SUM(C38:R38)</f>
        <v>13645162.09</v>
      </c>
      <c r="U38" s="94">
        <f>当日汇总!B7+当日汇总!C7</f>
        <v>6</v>
      </c>
      <c r="V38" s="102">
        <f>T38/T48</f>
        <v>0.958772366287311</v>
      </c>
      <c r="W38" s="82"/>
      <c r="X38" s="82"/>
      <c r="Y38" s="82"/>
      <c r="Z38" s="82"/>
      <c r="AA38" s="82"/>
      <c r="AB38" s="82"/>
      <c r="AC38" s="82"/>
      <c r="AD38" s="82"/>
    </row>
    <row r="39" spans="1:30">
      <c r="A39" s="82"/>
      <c r="B39" s="103" t="s">
        <v>253</v>
      </c>
      <c r="C39" s="101">
        <v>39128.726</v>
      </c>
      <c r="D39" s="101">
        <v>18903.596</v>
      </c>
      <c r="E39" s="101">
        <v>226420.068</v>
      </c>
      <c r="F39" s="101">
        <v>246669.414</v>
      </c>
      <c r="G39" s="101">
        <v>76460.096</v>
      </c>
      <c r="H39" s="101">
        <v>135240.598</v>
      </c>
      <c r="I39" s="101">
        <v>239672.622</v>
      </c>
      <c r="J39" s="101">
        <v>53058.224</v>
      </c>
      <c r="K39" s="101">
        <v>138877.332</v>
      </c>
      <c r="L39" s="101">
        <v>151107.762</v>
      </c>
      <c r="M39" s="101">
        <v>135195.298</v>
      </c>
      <c r="N39" s="101">
        <v>205818.288</v>
      </c>
      <c r="O39" s="100">
        <v>166185.476</v>
      </c>
      <c r="P39" s="100">
        <f>汇总!AA6</f>
        <v>132972.012</v>
      </c>
      <c r="Q39" s="100"/>
      <c r="R39" s="100"/>
      <c r="S39" s="100"/>
      <c r="T39" s="100">
        <f t="shared" si="8"/>
        <v>1965709.512</v>
      </c>
      <c r="U39" s="83"/>
      <c r="V39" s="84"/>
      <c r="W39" s="82"/>
      <c r="X39" s="82"/>
      <c r="Y39" s="82"/>
      <c r="Z39" s="82"/>
      <c r="AA39" s="82"/>
      <c r="AB39" s="82"/>
      <c r="AC39" s="82"/>
      <c r="AD39" s="82"/>
    </row>
    <row r="40" spans="1:30">
      <c r="A40" s="82"/>
      <c r="B40" s="103" t="s">
        <v>254</v>
      </c>
      <c r="C40" s="101">
        <v>93527.77</v>
      </c>
      <c r="D40" s="101">
        <v>221853.52</v>
      </c>
      <c r="E40" s="101">
        <v>271782.77</v>
      </c>
      <c r="F40" s="101">
        <v>278396.475</v>
      </c>
      <c r="G40" s="101">
        <v>263752.65</v>
      </c>
      <c r="H40" s="101">
        <v>199220.77</v>
      </c>
      <c r="I40" s="101">
        <v>242475.5732</v>
      </c>
      <c r="J40" s="101">
        <v>196430.22</v>
      </c>
      <c r="K40" s="101">
        <v>210273.735</v>
      </c>
      <c r="L40" s="101">
        <v>216973.155</v>
      </c>
      <c r="M40" s="101">
        <v>173023.76</v>
      </c>
      <c r="N40" s="101">
        <v>179484.55</v>
      </c>
      <c r="O40" s="100">
        <v>165742.22</v>
      </c>
      <c r="P40" s="100">
        <f>汇总!Z6</f>
        <v>144466.385</v>
      </c>
      <c r="Q40" s="100"/>
      <c r="R40" s="100"/>
      <c r="S40" s="100"/>
      <c r="T40" s="100">
        <f t="shared" si="8"/>
        <v>2857403.5532</v>
      </c>
      <c r="U40" s="83"/>
      <c r="V40" s="84"/>
      <c r="W40" s="82"/>
      <c r="X40" s="82"/>
      <c r="Y40" s="82"/>
      <c r="Z40" s="82"/>
      <c r="AA40" s="82"/>
      <c r="AB40" s="82"/>
      <c r="AC40" s="82"/>
      <c r="AD40" s="82"/>
    </row>
    <row r="41" spans="1:30">
      <c r="A41" s="82"/>
      <c r="B41" s="103" t="s">
        <v>255</v>
      </c>
      <c r="C41" s="101">
        <v>100050</v>
      </c>
      <c r="D41" s="101">
        <v>703870</v>
      </c>
      <c r="E41" s="101">
        <v>580460</v>
      </c>
      <c r="F41" s="101">
        <v>447520</v>
      </c>
      <c r="G41" s="101">
        <v>294730</v>
      </c>
      <c r="H41" s="101">
        <v>229600</v>
      </c>
      <c r="I41" s="101">
        <v>368840</v>
      </c>
      <c r="J41" s="101">
        <v>325250</v>
      </c>
      <c r="K41" s="101">
        <v>402970</v>
      </c>
      <c r="L41" s="101">
        <v>486740</v>
      </c>
      <c r="M41" s="101">
        <v>242440</v>
      </c>
      <c r="N41" s="101">
        <v>185570</v>
      </c>
      <c r="O41" s="100">
        <v>583747</v>
      </c>
      <c r="P41" s="100">
        <f>汇总!X6</f>
        <v>456003</v>
      </c>
      <c r="Q41" s="100"/>
      <c r="R41" s="100"/>
      <c r="S41" s="100"/>
      <c r="T41" s="100">
        <f t="shared" si="8"/>
        <v>5407790</v>
      </c>
      <c r="U41" s="83"/>
      <c r="V41" s="84"/>
      <c r="W41" s="82"/>
      <c r="X41" s="82"/>
      <c r="Y41" s="82"/>
      <c r="Z41" s="82"/>
      <c r="AA41" s="82"/>
      <c r="AB41" s="82"/>
      <c r="AC41" s="82"/>
      <c r="AD41" s="82"/>
    </row>
    <row r="42" spans="1:30">
      <c r="A42" s="82"/>
      <c r="B42" s="104" t="s">
        <v>256</v>
      </c>
      <c r="C42" s="105">
        <v>0</v>
      </c>
      <c r="D42" s="106">
        <v>0</v>
      </c>
      <c r="E42" s="106">
        <v>0</v>
      </c>
      <c r="F42" s="106">
        <v>0</v>
      </c>
      <c r="G42" s="106">
        <v>0</v>
      </c>
      <c r="H42" s="106">
        <v>0</v>
      </c>
      <c r="I42" s="106">
        <v>0</v>
      </c>
      <c r="J42" s="106">
        <v>0</v>
      </c>
      <c r="K42" s="106">
        <v>0</v>
      </c>
      <c r="L42" s="106">
        <v>0</v>
      </c>
      <c r="M42" s="106">
        <v>0</v>
      </c>
      <c r="N42" s="106">
        <v>0</v>
      </c>
      <c r="O42" s="107">
        <v>0</v>
      </c>
      <c r="P42" s="107">
        <v>0</v>
      </c>
      <c r="Q42" s="107"/>
      <c r="R42" s="107"/>
      <c r="S42" s="107"/>
      <c r="T42" s="100">
        <f t="shared" si="8"/>
        <v>0</v>
      </c>
      <c r="U42" s="83"/>
      <c r="V42" s="84"/>
      <c r="W42" s="82"/>
      <c r="X42" s="82"/>
      <c r="Y42" s="82"/>
      <c r="Z42" s="82"/>
      <c r="AA42" s="82"/>
      <c r="AB42" s="82"/>
      <c r="AC42" s="82"/>
      <c r="AD42" s="82"/>
    </row>
    <row r="43" spans="1:30">
      <c r="A43" s="82"/>
      <c r="B43" s="103" t="s">
        <v>257</v>
      </c>
      <c r="C43" s="100">
        <v>495901</v>
      </c>
      <c r="D43" s="100">
        <v>268616</v>
      </c>
      <c r="E43" s="100">
        <v>202761</v>
      </c>
      <c r="F43" s="100">
        <v>259950</v>
      </c>
      <c r="G43" s="100">
        <v>254751</v>
      </c>
      <c r="H43" s="100">
        <v>246086</v>
      </c>
      <c r="I43" s="100">
        <v>214892</v>
      </c>
      <c r="J43" s="100">
        <v>99200</v>
      </c>
      <c r="K43" s="100">
        <v>0</v>
      </c>
      <c r="L43" s="100">
        <v>0</v>
      </c>
      <c r="M43" s="100">
        <v>0</v>
      </c>
      <c r="N43" s="100">
        <v>99200</v>
      </c>
      <c r="O43" s="100">
        <v>96000</v>
      </c>
      <c r="P43" s="100">
        <f>汇总!AB6</f>
        <v>166400</v>
      </c>
      <c r="Q43" s="100"/>
      <c r="R43" s="100"/>
      <c r="S43" s="100"/>
      <c r="T43" s="100">
        <f t="shared" si="8"/>
        <v>2403757</v>
      </c>
      <c r="U43" s="83"/>
      <c r="V43" s="84"/>
      <c r="W43" s="82"/>
      <c r="X43" s="82"/>
      <c r="Y43" s="82"/>
      <c r="Z43" s="82"/>
      <c r="AA43" s="82"/>
      <c r="AB43" s="82"/>
      <c r="AC43" s="82"/>
      <c r="AD43" s="82"/>
    </row>
    <row r="44" spans="1:30">
      <c r="A44" s="82"/>
      <c r="B44" s="103" t="s">
        <v>258</v>
      </c>
      <c r="C44" s="100">
        <v>0</v>
      </c>
      <c r="D44" s="100">
        <v>0</v>
      </c>
      <c r="E44" s="100">
        <v>0</v>
      </c>
      <c r="F44" s="100">
        <v>0</v>
      </c>
      <c r="G44" s="100">
        <v>0</v>
      </c>
      <c r="H44" s="100">
        <v>0</v>
      </c>
      <c r="I44" s="100">
        <v>0</v>
      </c>
      <c r="J44" s="100">
        <v>214892</v>
      </c>
      <c r="K44" s="100">
        <v>242620</v>
      </c>
      <c r="L44" s="100">
        <v>214892</v>
      </c>
      <c r="M44" s="100">
        <v>207960</v>
      </c>
      <c r="N44" s="100">
        <v>214892</v>
      </c>
      <c r="O44" s="100">
        <v>207960</v>
      </c>
      <c r="P44" s="100">
        <f>汇总!AC6</f>
        <v>180232</v>
      </c>
      <c r="Q44" s="100"/>
      <c r="R44" s="100"/>
      <c r="S44" s="100"/>
      <c r="T44" s="100">
        <f t="shared" si="8"/>
        <v>1483448</v>
      </c>
      <c r="U44" s="83"/>
      <c r="V44" s="84"/>
      <c r="W44" s="82"/>
      <c r="X44" s="82"/>
      <c r="Y44" s="82"/>
      <c r="Z44" s="82"/>
      <c r="AA44" s="82"/>
      <c r="AB44" s="82"/>
      <c r="AC44" s="82"/>
      <c r="AD44" s="82"/>
    </row>
    <row r="45" spans="1:30">
      <c r="A45" s="82"/>
      <c r="B45" s="104" t="s">
        <v>259</v>
      </c>
      <c r="C45" s="106">
        <v>0</v>
      </c>
      <c r="D45" s="106">
        <v>4400</v>
      </c>
      <c r="E45" s="106">
        <v>6400</v>
      </c>
      <c r="F45" s="106">
        <v>3000</v>
      </c>
      <c r="G45" s="106">
        <v>0</v>
      </c>
      <c r="H45" s="106">
        <v>0</v>
      </c>
      <c r="I45" s="106">
        <v>0</v>
      </c>
      <c r="J45" s="106">
        <v>0</v>
      </c>
      <c r="K45" s="106">
        <v>0</v>
      </c>
      <c r="L45" s="106">
        <v>0</v>
      </c>
      <c r="M45" s="106">
        <v>0</v>
      </c>
      <c r="N45" s="106">
        <v>0</v>
      </c>
      <c r="O45" s="107">
        <v>0</v>
      </c>
      <c r="P45" s="107">
        <v>0</v>
      </c>
      <c r="Q45" s="107"/>
      <c r="R45" s="107"/>
      <c r="S45" s="107"/>
      <c r="T45" s="100">
        <f t="shared" si="8"/>
        <v>13800</v>
      </c>
      <c r="U45" s="83"/>
      <c r="V45" s="84"/>
      <c r="W45" s="82"/>
      <c r="X45" s="82"/>
      <c r="Y45" s="82"/>
      <c r="Z45" s="82"/>
      <c r="AA45" s="82"/>
      <c r="AB45" s="82"/>
      <c r="AC45" s="82"/>
      <c r="AD45" s="82"/>
    </row>
    <row r="46" spans="1:30">
      <c r="A46" s="82"/>
      <c r="B46" s="104" t="s">
        <v>260</v>
      </c>
      <c r="C46" s="106">
        <v>6358</v>
      </c>
      <c r="D46" s="106">
        <v>0</v>
      </c>
      <c r="E46" s="106">
        <v>10000</v>
      </c>
      <c r="F46" s="106">
        <v>0</v>
      </c>
      <c r="G46" s="106">
        <v>8000</v>
      </c>
      <c r="H46" s="106">
        <v>0</v>
      </c>
      <c r="I46" s="106">
        <v>0</v>
      </c>
      <c r="J46" s="106">
        <v>26768</v>
      </c>
      <c r="K46" s="106">
        <v>21876</v>
      </c>
      <c r="L46" s="106">
        <v>5000</v>
      </c>
      <c r="M46" s="106">
        <v>0</v>
      </c>
      <c r="N46" s="106">
        <v>11000</v>
      </c>
      <c r="O46" s="107">
        <v>11000</v>
      </c>
      <c r="P46" s="107"/>
      <c r="Q46" s="107"/>
      <c r="R46" s="107"/>
      <c r="S46" s="107"/>
      <c r="T46" s="100">
        <f t="shared" si="8"/>
        <v>100002</v>
      </c>
      <c r="U46" s="83"/>
      <c r="V46" s="84"/>
      <c r="W46" s="82"/>
      <c r="X46" s="82"/>
      <c r="Y46" s="82"/>
      <c r="Z46" s="82"/>
      <c r="AA46" s="82"/>
      <c r="AB46" s="82"/>
      <c r="AC46" s="82"/>
      <c r="AD46" s="82"/>
    </row>
    <row r="47" spans="1:30">
      <c r="A47" s="82"/>
      <c r="B47" s="104" t="s">
        <v>261</v>
      </c>
      <c r="C47" s="106">
        <v>0</v>
      </c>
      <c r="D47" s="106">
        <v>0</v>
      </c>
      <c r="E47" s="106">
        <v>0</v>
      </c>
      <c r="F47" s="106">
        <v>0</v>
      </c>
      <c r="G47" s="106">
        <v>0</v>
      </c>
      <c r="H47" s="106">
        <v>0</v>
      </c>
      <c r="I47" s="106">
        <v>0</v>
      </c>
      <c r="J47" s="106">
        <v>0</v>
      </c>
      <c r="K47" s="106">
        <v>0</v>
      </c>
      <c r="L47" s="106">
        <v>0</v>
      </c>
      <c r="M47" s="106">
        <v>0</v>
      </c>
      <c r="N47" s="106">
        <v>0</v>
      </c>
      <c r="O47" s="107">
        <v>0</v>
      </c>
      <c r="P47" s="107">
        <v>0</v>
      </c>
      <c r="Q47" s="107"/>
      <c r="R47" s="107"/>
      <c r="S47" s="107"/>
      <c r="T47" s="100">
        <f t="shared" si="8"/>
        <v>0</v>
      </c>
      <c r="U47" s="83"/>
      <c r="V47" s="84"/>
      <c r="W47" s="82"/>
      <c r="X47" s="82"/>
      <c r="Y47" s="82"/>
      <c r="Z47" s="82"/>
      <c r="AA47" s="82"/>
      <c r="AB47" s="82"/>
      <c r="AC47" s="82"/>
      <c r="AD47" s="82"/>
    </row>
    <row r="48" spans="1:30">
      <c r="A48" s="82"/>
      <c r="B48" s="99" t="s">
        <v>262</v>
      </c>
      <c r="C48" s="100">
        <f t="shared" ref="C48:P48" si="9">SUM(C39:C47)</f>
        <v>734965.496</v>
      </c>
      <c r="D48" s="100">
        <f t="shared" si="9"/>
        <v>1217643.116</v>
      </c>
      <c r="E48" s="100">
        <f t="shared" si="9"/>
        <v>1297823.838</v>
      </c>
      <c r="F48" s="100">
        <f t="shared" si="9"/>
        <v>1235535.889</v>
      </c>
      <c r="G48" s="100">
        <f t="shared" si="9"/>
        <v>897693.746</v>
      </c>
      <c r="H48" s="100">
        <f t="shared" si="9"/>
        <v>810147.368</v>
      </c>
      <c r="I48" s="100">
        <f t="shared" si="9"/>
        <v>1065880.1952</v>
      </c>
      <c r="J48" s="100">
        <f t="shared" si="9"/>
        <v>915598.444</v>
      </c>
      <c r="K48" s="100">
        <f t="shared" si="9"/>
        <v>1016617.067</v>
      </c>
      <c r="L48" s="100">
        <f t="shared" si="9"/>
        <v>1074712.917</v>
      </c>
      <c r="M48" s="100">
        <f t="shared" si="9"/>
        <v>758619.058</v>
      </c>
      <c r="N48" s="100">
        <f t="shared" si="9"/>
        <v>895964.838</v>
      </c>
      <c r="O48" s="100">
        <f t="shared" si="9"/>
        <v>1230634.696</v>
      </c>
      <c r="P48" s="100">
        <f t="shared" si="9"/>
        <v>1080073.397</v>
      </c>
      <c r="Q48" s="100"/>
      <c r="R48" s="100"/>
      <c r="S48" s="100">
        <v>0</v>
      </c>
      <c r="T48" s="100">
        <f t="shared" si="8"/>
        <v>14231910.0652</v>
      </c>
      <c r="U48" s="83"/>
      <c r="V48" s="84"/>
      <c r="W48" s="82"/>
      <c r="X48" s="82"/>
      <c r="Y48" s="82"/>
      <c r="Z48" s="82"/>
      <c r="AA48" s="82"/>
      <c r="AB48" s="82"/>
      <c r="AC48" s="82"/>
      <c r="AD48" s="82"/>
    </row>
    <row r="49" spans="1:30">
      <c r="A49" s="82"/>
      <c r="B49" s="89" t="s">
        <v>263</v>
      </c>
      <c r="C49" s="108">
        <f t="shared" ref="C49:P49" si="10">C38-C48</f>
        <v>-416034.496</v>
      </c>
      <c r="D49" s="108">
        <f t="shared" si="10"/>
        <v>-767617.116</v>
      </c>
      <c r="E49" s="108">
        <f t="shared" si="10"/>
        <v>217981.162</v>
      </c>
      <c r="F49" s="108">
        <f t="shared" si="10"/>
        <v>322392.111</v>
      </c>
      <c r="G49" s="108">
        <f t="shared" si="10"/>
        <v>-88469.746</v>
      </c>
      <c r="H49" s="108">
        <f t="shared" si="10"/>
        <v>115064.632</v>
      </c>
      <c r="I49" s="108">
        <f t="shared" si="10"/>
        <v>383537.3248</v>
      </c>
      <c r="J49" s="108">
        <f t="shared" si="10"/>
        <v>13437.556</v>
      </c>
      <c r="K49" s="108">
        <f t="shared" si="10"/>
        <v>-95729.067</v>
      </c>
      <c r="L49" s="108">
        <f t="shared" si="10"/>
        <v>-110316.917</v>
      </c>
      <c r="M49" s="108">
        <f t="shared" si="10"/>
        <v>52011.942</v>
      </c>
      <c r="N49" s="108">
        <f t="shared" si="10"/>
        <v>348176.162</v>
      </c>
      <c r="O49" s="108">
        <f t="shared" si="10"/>
        <v>-272910.636</v>
      </c>
      <c r="P49" s="108">
        <f t="shared" si="10"/>
        <v>-288270.887</v>
      </c>
      <c r="Q49" s="108"/>
      <c r="R49" s="108"/>
      <c r="S49" s="108">
        <f>S38-S48</f>
        <v>0</v>
      </c>
      <c r="T49" s="108">
        <f t="shared" si="8"/>
        <v>-586747.9752</v>
      </c>
      <c r="U49" s="83"/>
      <c r="V49" s="84"/>
      <c r="W49" s="82"/>
      <c r="X49" s="82"/>
      <c r="Y49" s="82"/>
      <c r="Z49" s="82"/>
      <c r="AA49" s="82"/>
      <c r="AB49" s="82"/>
      <c r="AC49" s="82"/>
      <c r="AD49" s="82"/>
    </row>
    <row r="50" spans="1:30">
      <c r="A50" s="82"/>
      <c r="B50" s="89" t="s">
        <v>264</v>
      </c>
      <c r="C50" s="108">
        <f t="shared" ref="C50:P50" si="11">C49/60</f>
        <v>-6933.90826666667</v>
      </c>
      <c r="D50" s="108">
        <f t="shared" si="11"/>
        <v>-12793.6186</v>
      </c>
      <c r="E50" s="108">
        <f t="shared" si="11"/>
        <v>3633.01936666667</v>
      </c>
      <c r="F50" s="108">
        <f t="shared" si="11"/>
        <v>5373.20185</v>
      </c>
      <c r="G50" s="108">
        <f t="shared" si="11"/>
        <v>-1474.49576666667</v>
      </c>
      <c r="H50" s="108">
        <f t="shared" si="11"/>
        <v>1917.74386666667</v>
      </c>
      <c r="I50" s="108">
        <f t="shared" si="11"/>
        <v>6392.28874666667</v>
      </c>
      <c r="J50" s="108">
        <f t="shared" si="11"/>
        <v>223.959266666666</v>
      </c>
      <c r="K50" s="108">
        <f t="shared" si="11"/>
        <v>-1595.48445</v>
      </c>
      <c r="L50" s="108">
        <f t="shared" si="11"/>
        <v>-1838.61528333333</v>
      </c>
      <c r="M50" s="108">
        <f t="shared" si="11"/>
        <v>866.865700000001</v>
      </c>
      <c r="N50" s="108">
        <f t="shared" si="11"/>
        <v>5802.93603333333</v>
      </c>
      <c r="O50" s="108">
        <f t="shared" si="11"/>
        <v>-4548.5106</v>
      </c>
      <c r="P50" s="108">
        <f t="shared" si="11"/>
        <v>-4804.51478333333</v>
      </c>
      <c r="Q50" s="108"/>
      <c r="R50" s="108"/>
      <c r="S50" s="108">
        <f>S49/57</f>
        <v>0</v>
      </c>
      <c r="T50" s="108">
        <f t="shared" si="8"/>
        <v>-9779.13292</v>
      </c>
      <c r="U50" s="83"/>
      <c r="V50" s="84"/>
      <c r="W50" s="82"/>
      <c r="X50" s="82"/>
      <c r="Y50" s="82"/>
      <c r="Z50" s="82"/>
      <c r="AA50" s="82"/>
      <c r="AB50" s="82"/>
      <c r="AC50" s="82"/>
      <c r="AD50" s="82"/>
    </row>
    <row r="51" spans="1:30">
      <c r="A51" s="82"/>
      <c r="B51" s="109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1"/>
      <c r="U51" s="83"/>
      <c r="V51" s="84"/>
      <c r="W51" s="82"/>
      <c r="X51" s="82"/>
      <c r="Y51" s="82"/>
      <c r="Z51" s="82"/>
      <c r="AA51" s="82"/>
      <c r="AB51" s="82"/>
      <c r="AC51" s="82"/>
      <c r="AD51" s="82"/>
    </row>
    <row r="52" spans="1:30">
      <c r="A52" s="82"/>
      <c r="B52" s="112" t="s">
        <v>127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4"/>
      <c r="U52" s="83"/>
      <c r="V52" s="84"/>
      <c r="W52" s="82"/>
      <c r="X52" s="82"/>
      <c r="Y52" s="82"/>
      <c r="Z52" s="82"/>
      <c r="AA52" s="82"/>
      <c r="AB52" s="82"/>
      <c r="AC52" s="82"/>
      <c r="AD52" s="82"/>
    </row>
    <row r="53" spans="1:30">
      <c r="A53" s="82"/>
      <c r="B53" s="89" t="s">
        <v>243</v>
      </c>
      <c r="C53" s="90">
        <v>45812</v>
      </c>
      <c r="D53" s="90">
        <v>45843</v>
      </c>
      <c r="E53" s="90">
        <v>45875</v>
      </c>
      <c r="F53" s="90">
        <v>45907</v>
      </c>
      <c r="G53" s="90">
        <v>45938</v>
      </c>
      <c r="H53" s="90">
        <v>45969</v>
      </c>
      <c r="I53" s="115">
        <v>45999</v>
      </c>
      <c r="J53" s="91">
        <v>46031</v>
      </c>
      <c r="K53" s="91">
        <v>46063</v>
      </c>
      <c r="L53" s="91">
        <v>46092</v>
      </c>
      <c r="M53" s="91">
        <v>46124</v>
      </c>
      <c r="N53" s="91">
        <v>46155</v>
      </c>
      <c r="O53" s="91">
        <v>46187</v>
      </c>
      <c r="P53" s="91">
        <v>46218</v>
      </c>
      <c r="Q53" s="91"/>
      <c r="R53" s="91"/>
      <c r="S53" s="92"/>
      <c r="T53" s="93" t="s">
        <v>244</v>
      </c>
      <c r="U53" s="94" t="s">
        <v>245</v>
      </c>
      <c r="V53" s="95" t="s">
        <v>51</v>
      </c>
      <c r="W53" s="82"/>
      <c r="X53" s="82"/>
      <c r="Y53" s="82"/>
      <c r="Z53" s="82"/>
      <c r="AA53" s="82"/>
      <c r="AB53" s="82"/>
      <c r="AC53" s="82"/>
      <c r="AD53" s="82"/>
    </row>
    <row r="54" spans="1:30">
      <c r="A54" s="82"/>
      <c r="B54" s="99" t="s">
        <v>252</v>
      </c>
      <c r="C54" s="100">
        <v>540051.76</v>
      </c>
      <c r="D54" s="100">
        <v>1486393.84</v>
      </c>
      <c r="E54" s="100">
        <v>577454.140000001</v>
      </c>
      <c r="F54" s="100">
        <v>303388.75</v>
      </c>
      <c r="G54" s="100">
        <v>1463856.61</v>
      </c>
      <c r="H54" s="100">
        <v>1948483.77</v>
      </c>
      <c r="I54" s="100">
        <v>2164855.63</v>
      </c>
      <c r="J54" s="101">
        <v>852540.26</v>
      </c>
      <c r="K54" s="100">
        <v>997015.030000001</v>
      </c>
      <c r="L54" s="100">
        <v>681398.779999999</v>
      </c>
      <c r="M54" s="100">
        <v>821921.28</v>
      </c>
      <c r="N54" s="100">
        <v>2051960.03</v>
      </c>
      <c r="O54" s="100">
        <v>1846594.06</v>
      </c>
      <c r="P54" s="100">
        <f>汇总!W7</f>
        <v>502041.92</v>
      </c>
      <c r="Q54" s="100"/>
      <c r="R54" s="100"/>
      <c r="S54" s="100"/>
      <c r="T54" s="100">
        <f t="shared" ref="T54:T66" si="12">SUM(C54:R54)</f>
        <v>16237955.86</v>
      </c>
      <c r="U54" s="94">
        <f>当日汇总!B8+当日汇总!C8</f>
        <v>5</v>
      </c>
      <c r="V54" s="102">
        <f>T54/T64</f>
        <v>0.918277755837191</v>
      </c>
      <c r="W54" s="82"/>
      <c r="X54" s="82"/>
      <c r="Y54" s="82"/>
      <c r="Z54" s="82"/>
      <c r="AA54" s="82"/>
      <c r="AB54" s="82"/>
      <c r="AC54" s="82"/>
      <c r="AD54" s="82"/>
    </row>
    <row r="55" spans="1:30">
      <c r="A55" s="82"/>
      <c r="B55" s="103" t="s">
        <v>253</v>
      </c>
      <c r="C55" s="101">
        <v>33477.024</v>
      </c>
      <c r="D55" s="101">
        <v>189603.42</v>
      </c>
      <c r="E55" s="101">
        <v>14225.906</v>
      </c>
      <c r="F55" s="101">
        <v>0</v>
      </c>
      <c r="G55" s="101">
        <v>202767.096</v>
      </c>
      <c r="H55" s="101">
        <v>315746.71</v>
      </c>
      <c r="I55" s="101">
        <v>339493.666</v>
      </c>
      <c r="J55" s="101">
        <v>69371.85</v>
      </c>
      <c r="K55" s="101">
        <v>143035.236</v>
      </c>
      <c r="L55" s="101">
        <v>85588.026</v>
      </c>
      <c r="M55" s="101">
        <v>116561.32</v>
      </c>
      <c r="N55" s="101">
        <v>357431.482</v>
      </c>
      <c r="O55" s="100">
        <v>365445.69</v>
      </c>
      <c r="P55" s="100">
        <f>汇总!AA7</f>
        <v>73369.458</v>
      </c>
      <c r="Q55" s="100"/>
      <c r="R55" s="100"/>
      <c r="S55" s="100"/>
      <c r="T55" s="100">
        <f t="shared" si="12"/>
        <v>2306116.884</v>
      </c>
      <c r="U55" s="83"/>
      <c r="V55" s="84"/>
      <c r="W55" s="82"/>
      <c r="X55" s="82"/>
      <c r="Y55" s="82"/>
      <c r="Z55" s="82"/>
      <c r="AA55" s="82"/>
      <c r="AB55" s="82"/>
      <c r="AC55" s="82"/>
      <c r="AD55" s="82"/>
    </row>
    <row r="56" spans="1:30">
      <c r="A56" s="82"/>
      <c r="B56" s="103" t="s">
        <v>254</v>
      </c>
      <c r="C56" s="101">
        <v>251246.2316</v>
      </c>
      <c r="D56" s="101">
        <v>295385.0144</v>
      </c>
      <c r="E56" s="101">
        <v>355638.4349</v>
      </c>
      <c r="F56" s="101">
        <v>564158.90125</v>
      </c>
      <c r="G56" s="101">
        <v>397702.32635</v>
      </c>
      <c r="H56" s="101">
        <v>364213.10695</v>
      </c>
      <c r="I56" s="101">
        <v>409591.12705</v>
      </c>
      <c r="J56" s="101">
        <v>299311.5391</v>
      </c>
      <c r="K56" s="101">
        <v>269530.7398</v>
      </c>
      <c r="L56" s="101">
        <v>288753.9823</v>
      </c>
      <c r="M56" s="101">
        <v>263064.7348</v>
      </c>
      <c r="N56" s="101">
        <v>252377.93105</v>
      </c>
      <c r="O56" s="100">
        <v>205572.65785</v>
      </c>
      <c r="P56" s="100">
        <f>汇总!Z7</f>
        <v>159519.1689</v>
      </c>
      <c r="Q56" s="100"/>
      <c r="R56" s="100"/>
      <c r="S56" s="100"/>
      <c r="T56" s="100">
        <f t="shared" si="12"/>
        <v>4376065.8963</v>
      </c>
      <c r="U56" s="83"/>
      <c r="V56" s="84"/>
      <c r="W56" s="82"/>
      <c r="X56" s="82"/>
      <c r="Y56" s="82"/>
      <c r="Z56" s="82"/>
      <c r="AA56" s="82"/>
      <c r="AB56" s="82"/>
      <c r="AC56" s="82"/>
      <c r="AD56" s="82"/>
    </row>
    <row r="57" spans="1:30">
      <c r="A57" s="82"/>
      <c r="B57" s="103" t="s">
        <v>255</v>
      </c>
      <c r="C57" s="101">
        <v>806690</v>
      </c>
      <c r="D57" s="101">
        <v>1153200</v>
      </c>
      <c r="E57" s="101">
        <v>936840</v>
      </c>
      <c r="F57" s="101">
        <v>503340</v>
      </c>
      <c r="G57" s="101">
        <v>344550</v>
      </c>
      <c r="H57" s="101">
        <v>379360</v>
      </c>
      <c r="I57" s="101">
        <v>500700</v>
      </c>
      <c r="J57" s="101">
        <v>415560</v>
      </c>
      <c r="K57" s="101">
        <v>285630</v>
      </c>
      <c r="L57" s="101">
        <v>315490</v>
      </c>
      <c r="M57" s="101">
        <v>235810</v>
      </c>
      <c r="N57" s="101">
        <v>167640</v>
      </c>
      <c r="O57" s="100">
        <v>305170</v>
      </c>
      <c r="P57" s="100">
        <f>汇总!X7</f>
        <v>331462</v>
      </c>
      <c r="Q57" s="100"/>
      <c r="R57" s="100"/>
      <c r="S57" s="100"/>
      <c r="T57" s="100">
        <f t="shared" si="12"/>
        <v>6681442</v>
      </c>
      <c r="U57" s="83"/>
      <c r="V57" s="84"/>
      <c r="W57" s="82"/>
      <c r="X57" s="82"/>
      <c r="Y57" s="82"/>
      <c r="Z57" s="82"/>
      <c r="AA57" s="82"/>
      <c r="AB57" s="82"/>
      <c r="AC57" s="82"/>
      <c r="AD57" s="82"/>
    </row>
    <row r="58" spans="1:30">
      <c r="A58" s="82"/>
      <c r="B58" s="104" t="s">
        <v>256</v>
      </c>
      <c r="C58" s="105">
        <v>0</v>
      </c>
      <c r="D58" s="106">
        <v>0</v>
      </c>
      <c r="E58" s="106">
        <v>300</v>
      </c>
      <c r="F58" s="106">
        <v>0</v>
      </c>
      <c r="G58" s="106">
        <v>0</v>
      </c>
      <c r="H58" s="106">
        <v>0</v>
      </c>
      <c r="I58" s="106">
        <v>0</v>
      </c>
      <c r="J58" s="106">
        <v>0</v>
      </c>
      <c r="K58" s="106">
        <v>0</v>
      </c>
      <c r="L58" s="106">
        <v>0</v>
      </c>
      <c r="M58" s="106">
        <v>0</v>
      </c>
      <c r="N58" s="106">
        <v>0</v>
      </c>
      <c r="O58" s="107">
        <v>0</v>
      </c>
      <c r="P58" s="107">
        <v>0</v>
      </c>
      <c r="Q58" s="107"/>
      <c r="R58" s="107"/>
      <c r="S58" s="107"/>
      <c r="T58" s="100">
        <f t="shared" si="12"/>
        <v>300</v>
      </c>
      <c r="U58" s="83"/>
      <c r="V58" s="84"/>
      <c r="W58" s="82"/>
      <c r="X58" s="82"/>
      <c r="Y58" s="82"/>
      <c r="Z58" s="82"/>
      <c r="AA58" s="82"/>
      <c r="AB58" s="82"/>
      <c r="AC58" s="82"/>
      <c r="AD58" s="82"/>
    </row>
    <row r="59" spans="1:30">
      <c r="A59" s="82"/>
      <c r="B59" s="103" t="s">
        <v>257</v>
      </c>
      <c r="C59" s="100">
        <v>595081</v>
      </c>
      <c r="D59" s="100">
        <v>322339</v>
      </c>
      <c r="E59" s="100">
        <v>344867</v>
      </c>
      <c r="F59" s="100">
        <v>259950</v>
      </c>
      <c r="G59" s="100">
        <v>268615</v>
      </c>
      <c r="H59" s="100">
        <v>259950</v>
      </c>
      <c r="I59" s="100">
        <v>221824</v>
      </c>
      <c r="J59" s="100">
        <v>198400</v>
      </c>
      <c r="K59" s="100">
        <v>179200</v>
      </c>
      <c r="L59" s="100">
        <v>198400</v>
      </c>
      <c r="M59" s="100">
        <v>192000</v>
      </c>
      <c r="N59" s="100">
        <v>198400</v>
      </c>
      <c r="O59" s="100">
        <v>288000</v>
      </c>
      <c r="P59" s="100">
        <f>汇总!AB7</f>
        <v>249600</v>
      </c>
      <c r="Q59" s="100"/>
      <c r="R59" s="100"/>
      <c r="S59" s="100"/>
      <c r="T59" s="100">
        <f t="shared" si="12"/>
        <v>3776626</v>
      </c>
      <c r="U59" s="83"/>
      <c r="V59" s="84"/>
      <c r="W59" s="82"/>
      <c r="X59" s="82"/>
      <c r="Y59" s="82"/>
      <c r="Z59" s="82"/>
      <c r="AA59" s="82"/>
      <c r="AB59" s="82"/>
      <c r="AC59" s="82"/>
      <c r="AD59" s="82"/>
    </row>
    <row r="60" spans="1:30">
      <c r="A60" s="82"/>
      <c r="B60" s="103" t="s">
        <v>258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00">
        <v>53723</v>
      </c>
      <c r="K60" s="100">
        <v>48524</v>
      </c>
      <c r="L60" s="100">
        <v>53723</v>
      </c>
      <c r="M60" s="100">
        <v>51990</v>
      </c>
      <c r="N60" s="100">
        <v>53723</v>
      </c>
      <c r="O60" s="100">
        <v>103980</v>
      </c>
      <c r="P60" s="100">
        <f>汇总!AC7</f>
        <v>90116</v>
      </c>
      <c r="Q60" s="100"/>
      <c r="R60" s="100"/>
      <c r="S60" s="100"/>
      <c r="T60" s="100">
        <f t="shared" si="12"/>
        <v>455779</v>
      </c>
      <c r="U60" s="83"/>
      <c r="V60" s="84"/>
      <c r="W60" s="82"/>
      <c r="X60" s="82"/>
      <c r="Y60" s="82"/>
      <c r="Z60" s="82"/>
      <c r="AA60" s="82"/>
      <c r="AB60" s="82"/>
      <c r="AC60" s="82"/>
      <c r="AD60" s="82"/>
    </row>
    <row r="61" spans="1:30">
      <c r="A61" s="82"/>
      <c r="B61" s="104" t="s">
        <v>259</v>
      </c>
      <c r="C61" s="106">
        <v>0</v>
      </c>
      <c r="D61" s="106">
        <v>6400</v>
      </c>
      <c r="E61" s="106">
        <v>9200</v>
      </c>
      <c r="F61" s="106">
        <v>5400</v>
      </c>
      <c r="G61" s="106">
        <v>0</v>
      </c>
      <c r="H61" s="106">
        <v>0</v>
      </c>
      <c r="I61" s="106">
        <v>0</v>
      </c>
      <c r="J61" s="106">
        <v>0</v>
      </c>
      <c r="K61" s="106">
        <v>0</v>
      </c>
      <c r="L61" s="106">
        <v>0</v>
      </c>
      <c r="M61" s="106">
        <v>0</v>
      </c>
      <c r="N61" s="106">
        <v>0</v>
      </c>
      <c r="O61" s="107">
        <v>0</v>
      </c>
      <c r="P61" s="107">
        <v>0</v>
      </c>
      <c r="Q61" s="107"/>
      <c r="R61" s="107"/>
      <c r="S61" s="107"/>
      <c r="T61" s="100">
        <f t="shared" si="12"/>
        <v>21000</v>
      </c>
      <c r="U61" s="83"/>
      <c r="V61" s="84"/>
      <c r="W61" s="82"/>
      <c r="X61" s="82"/>
      <c r="Y61" s="82"/>
      <c r="Z61" s="82"/>
      <c r="AA61" s="82"/>
      <c r="AB61" s="82"/>
      <c r="AC61" s="82"/>
      <c r="AD61" s="82"/>
    </row>
    <row r="62" spans="1:30">
      <c r="A62" s="82"/>
      <c r="B62" s="104" t="s">
        <v>260</v>
      </c>
      <c r="C62" s="106">
        <v>22725</v>
      </c>
      <c r="D62" s="106">
        <v>0</v>
      </c>
      <c r="E62" s="106">
        <v>10000</v>
      </c>
      <c r="F62" s="106">
        <v>10000</v>
      </c>
      <c r="G62" s="106">
        <v>2000</v>
      </c>
      <c r="H62" s="106">
        <v>10000</v>
      </c>
      <c r="I62" s="106">
        <v>5000</v>
      </c>
      <c r="J62" s="106">
        <v>0</v>
      </c>
      <c r="K62" s="106">
        <v>2000</v>
      </c>
      <c r="L62" s="106">
        <v>0</v>
      </c>
      <c r="M62" s="106">
        <v>1000</v>
      </c>
      <c r="N62" s="106">
        <v>1000</v>
      </c>
      <c r="O62" s="107">
        <v>1000</v>
      </c>
      <c r="P62" s="107"/>
      <c r="Q62" s="107"/>
      <c r="R62" s="107"/>
      <c r="S62" s="107"/>
      <c r="T62" s="100">
        <f t="shared" si="12"/>
        <v>64725</v>
      </c>
      <c r="U62" s="83"/>
      <c r="V62" s="84"/>
      <c r="W62" s="82"/>
      <c r="X62" s="82"/>
      <c r="Y62" s="82"/>
      <c r="Z62" s="82"/>
      <c r="AA62" s="82"/>
      <c r="AB62" s="82"/>
      <c r="AC62" s="82"/>
      <c r="AD62" s="82"/>
    </row>
    <row r="63" spans="1:30">
      <c r="A63" s="82"/>
      <c r="B63" s="104" t="s">
        <v>261</v>
      </c>
      <c r="C63" s="106">
        <v>0</v>
      </c>
      <c r="D63" s="106">
        <v>500</v>
      </c>
      <c r="E63" s="106">
        <v>500</v>
      </c>
      <c r="F63" s="106">
        <v>0</v>
      </c>
      <c r="G63" s="106">
        <v>0</v>
      </c>
      <c r="H63" s="106">
        <v>0</v>
      </c>
      <c r="I63" s="106">
        <v>0</v>
      </c>
      <c r="J63" s="106">
        <v>0</v>
      </c>
      <c r="K63" s="106">
        <v>0</v>
      </c>
      <c r="L63" s="106">
        <v>0</v>
      </c>
      <c r="M63" s="106">
        <v>0</v>
      </c>
      <c r="N63" s="106">
        <v>0</v>
      </c>
      <c r="O63" s="107">
        <v>0</v>
      </c>
      <c r="P63" s="107">
        <v>0</v>
      </c>
      <c r="Q63" s="107"/>
      <c r="R63" s="107"/>
      <c r="S63" s="107"/>
      <c r="T63" s="100">
        <f t="shared" si="12"/>
        <v>1000</v>
      </c>
      <c r="U63" s="83"/>
      <c r="V63" s="84"/>
      <c r="W63" s="82"/>
      <c r="X63" s="82"/>
      <c r="Y63" s="82"/>
      <c r="Z63" s="82"/>
      <c r="AA63" s="82"/>
      <c r="AB63" s="82"/>
      <c r="AC63" s="82"/>
      <c r="AD63" s="82"/>
    </row>
    <row r="64" spans="1:30">
      <c r="A64" s="82"/>
      <c r="B64" s="99" t="s">
        <v>262</v>
      </c>
      <c r="C64" s="100">
        <f t="shared" ref="C64:P64" si="13">SUM(C55:C63)</f>
        <v>1709219.2556</v>
      </c>
      <c r="D64" s="100">
        <f t="shared" si="13"/>
        <v>1967427.4344</v>
      </c>
      <c r="E64" s="100">
        <f t="shared" si="13"/>
        <v>1671571.3409</v>
      </c>
      <c r="F64" s="100">
        <f t="shared" si="13"/>
        <v>1342848.90125</v>
      </c>
      <c r="G64" s="100">
        <f t="shared" si="13"/>
        <v>1215634.42235</v>
      </c>
      <c r="H64" s="100">
        <f t="shared" si="13"/>
        <v>1329269.81695</v>
      </c>
      <c r="I64" s="100">
        <f t="shared" si="13"/>
        <v>1476608.79305</v>
      </c>
      <c r="J64" s="100">
        <f t="shared" si="13"/>
        <v>1036366.3891</v>
      </c>
      <c r="K64" s="100">
        <f t="shared" si="13"/>
        <v>927919.9758</v>
      </c>
      <c r="L64" s="100">
        <f t="shared" si="13"/>
        <v>941955.0083</v>
      </c>
      <c r="M64" s="100">
        <f t="shared" si="13"/>
        <v>860426.0548</v>
      </c>
      <c r="N64" s="100">
        <f t="shared" si="13"/>
        <v>1030572.41305</v>
      </c>
      <c r="O64" s="100">
        <f t="shared" si="13"/>
        <v>1269168.34785</v>
      </c>
      <c r="P64" s="100">
        <f t="shared" si="13"/>
        <v>904066.6269</v>
      </c>
      <c r="Q64" s="100"/>
      <c r="R64" s="100"/>
      <c r="S64" s="100">
        <f>SUM(S55:S63)</f>
        <v>0</v>
      </c>
      <c r="T64" s="100">
        <f t="shared" si="12"/>
        <v>17683054.7803</v>
      </c>
      <c r="U64" s="83"/>
      <c r="V64" s="84"/>
      <c r="W64" s="82"/>
      <c r="X64" s="82"/>
      <c r="Y64" s="82"/>
      <c r="Z64" s="82"/>
      <c r="AA64" s="82"/>
      <c r="AB64" s="82"/>
      <c r="AC64" s="82"/>
      <c r="AD64" s="82"/>
    </row>
    <row r="65" spans="1:30">
      <c r="A65" s="82"/>
      <c r="B65" s="89" t="s">
        <v>263</v>
      </c>
      <c r="C65" s="108">
        <f t="shared" ref="C65:P65" si="14">C54-C64</f>
        <v>-1169167.4956</v>
      </c>
      <c r="D65" s="108">
        <f t="shared" si="14"/>
        <v>-481033.5944</v>
      </c>
      <c r="E65" s="108">
        <f t="shared" si="14"/>
        <v>-1094117.2009</v>
      </c>
      <c r="F65" s="108">
        <f t="shared" si="14"/>
        <v>-1039460.15125</v>
      </c>
      <c r="G65" s="108">
        <f t="shared" si="14"/>
        <v>248222.18765</v>
      </c>
      <c r="H65" s="108">
        <f t="shared" si="14"/>
        <v>619213.95305</v>
      </c>
      <c r="I65" s="108">
        <f t="shared" si="14"/>
        <v>688246.83695</v>
      </c>
      <c r="J65" s="108">
        <f t="shared" si="14"/>
        <v>-183826.1291</v>
      </c>
      <c r="K65" s="108">
        <f t="shared" si="14"/>
        <v>69095.0542000009</v>
      </c>
      <c r="L65" s="108">
        <f t="shared" si="14"/>
        <v>-260556.228300001</v>
      </c>
      <c r="M65" s="108">
        <f t="shared" si="14"/>
        <v>-38504.7748</v>
      </c>
      <c r="N65" s="108">
        <f t="shared" si="14"/>
        <v>1021387.61695</v>
      </c>
      <c r="O65" s="108">
        <f t="shared" si="14"/>
        <v>577425.71215</v>
      </c>
      <c r="P65" s="108">
        <f t="shared" si="14"/>
        <v>-402024.7069</v>
      </c>
      <c r="Q65" s="108"/>
      <c r="R65" s="108"/>
      <c r="S65" s="108">
        <f>S54-S64</f>
        <v>0</v>
      </c>
      <c r="T65" s="108">
        <f t="shared" si="12"/>
        <v>-1445098.9203</v>
      </c>
      <c r="U65" s="83"/>
      <c r="V65" s="84"/>
      <c r="W65" s="82"/>
      <c r="X65" s="82"/>
      <c r="Y65" s="82"/>
      <c r="Z65" s="82"/>
      <c r="AA65" s="82"/>
      <c r="AB65" s="82"/>
      <c r="AC65" s="82"/>
      <c r="AD65" s="82"/>
    </row>
    <row r="66" spans="1:30">
      <c r="A66" s="82"/>
      <c r="B66" s="89" t="s">
        <v>264</v>
      </c>
      <c r="C66" s="108">
        <f t="shared" ref="C66:P66" si="15">C65/60</f>
        <v>-19486.1249266667</v>
      </c>
      <c r="D66" s="108">
        <f t="shared" si="15"/>
        <v>-8017.22657333333</v>
      </c>
      <c r="E66" s="108">
        <f t="shared" si="15"/>
        <v>-18235.2866816667</v>
      </c>
      <c r="F66" s="108">
        <f t="shared" si="15"/>
        <v>-17324.3358541667</v>
      </c>
      <c r="G66" s="108">
        <f t="shared" si="15"/>
        <v>4137.03646083333</v>
      </c>
      <c r="H66" s="108">
        <f t="shared" si="15"/>
        <v>10320.2325508333</v>
      </c>
      <c r="I66" s="108">
        <f t="shared" si="15"/>
        <v>11470.7806158333</v>
      </c>
      <c r="J66" s="108">
        <f t="shared" si="15"/>
        <v>-3063.76881833333</v>
      </c>
      <c r="K66" s="108">
        <f t="shared" si="15"/>
        <v>1151.58423666668</v>
      </c>
      <c r="L66" s="108">
        <f t="shared" si="15"/>
        <v>-4342.60380500002</v>
      </c>
      <c r="M66" s="108">
        <f t="shared" si="15"/>
        <v>-641.746246666667</v>
      </c>
      <c r="N66" s="108">
        <f t="shared" si="15"/>
        <v>17023.1269491667</v>
      </c>
      <c r="O66" s="108">
        <f t="shared" si="15"/>
        <v>9623.76186916667</v>
      </c>
      <c r="P66" s="108">
        <f t="shared" si="15"/>
        <v>-6700.41178166667</v>
      </c>
      <c r="Q66" s="108"/>
      <c r="R66" s="108"/>
      <c r="S66" s="108">
        <f>S65/57</f>
        <v>0</v>
      </c>
      <c r="T66" s="108">
        <f t="shared" si="12"/>
        <v>-24084.9820050001</v>
      </c>
      <c r="U66" s="83"/>
      <c r="V66" s="84"/>
      <c r="W66" s="82"/>
      <c r="X66" s="82"/>
      <c r="Y66" s="82"/>
      <c r="Z66" s="82"/>
      <c r="AA66" s="82"/>
      <c r="AB66" s="82"/>
      <c r="AC66" s="82"/>
      <c r="AD66" s="82"/>
    </row>
    <row r="67" spans="1:30">
      <c r="A67" s="82"/>
      <c r="B67" s="109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1"/>
      <c r="U67" s="83"/>
      <c r="V67" s="84"/>
      <c r="W67" s="82"/>
      <c r="X67" s="82"/>
      <c r="Y67" s="82"/>
      <c r="Z67" s="82"/>
      <c r="AA67" s="82"/>
      <c r="AB67" s="82"/>
      <c r="AC67" s="82"/>
      <c r="AD67" s="82"/>
    </row>
    <row r="68" spans="1:30">
      <c r="A68" s="82"/>
      <c r="B68" s="97" t="s">
        <v>137</v>
      </c>
      <c r="C68" s="46"/>
      <c r="D68" s="46"/>
      <c r="E68" s="46"/>
      <c r="F68" s="46"/>
      <c r="G68" s="46"/>
      <c r="H68" s="46"/>
      <c r="I68" s="98"/>
      <c r="J68" s="98"/>
      <c r="K68" s="98"/>
      <c r="L68" s="98"/>
      <c r="M68" s="46"/>
      <c r="N68" s="46"/>
      <c r="O68" s="46"/>
      <c r="P68" s="46"/>
      <c r="Q68" s="46"/>
      <c r="R68" s="46"/>
      <c r="S68" s="46"/>
      <c r="T68" s="46"/>
      <c r="U68" s="83"/>
      <c r="V68" s="84"/>
      <c r="W68" s="82"/>
      <c r="X68" s="82"/>
      <c r="Y68" s="82"/>
      <c r="Z68" s="82"/>
      <c r="AA68" s="82"/>
      <c r="AB68" s="82"/>
      <c r="AC68" s="82"/>
      <c r="AD68" s="82"/>
    </row>
    <row r="69" spans="1:30">
      <c r="A69" s="82"/>
      <c r="B69" s="89" t="s">
        <v>243</v>
      </c>
      <c r="C69" s="90">
        <v>45812</v>
      </c>
      <c r="D69" s="90">
        <v>45843</v>
      </c>
      <c r="E69" s="90">
        <v>45875</v>
      </c>
      <c r="F69" s="90">
        <v>45907</v>
      </c>
      <c r="G69" s="90">
        <v>45938</v>
      </c>
      <c r="H69" s="90">
        <v>45969</v>
      </c>
      <c r="I69" s="115">
        <v>45999</v>
      </c>
      <c r="J69" s="91">
        <v>46031</v>
      </c>
      <c r="K69" s="91">
        <v>46063</v>
      </c>
      <c r="L69" s="91">
        <v>46092</v>
      </c>
      <c r="M69" s="91">
        <v>46124</v>
      </c>
      <c r="N69" s="91">
        <v>46155</v>
      </c>
      <c r="O69" s="91">
        <v>46187</v>
      </c>
      <c r="P69" s="91">
        <v>46218</v>
      </c>
      <c r="Q69" s="91"/>
      <c r="R69" s="91"/>
      <c r="S69" s="92"/>
      <c r="T69" s="93" t="s">
        <v>244</v>
      </c>
      <c r="U69" s="94" t="s">
        <v>245</v>
      </c>
      <c r="V69" s="95" t="s">
        <v>51</v>
      </c>
      <c r="W69" s="82"/>
      <c r="X69" s="82"/>
      <c r="Y69" s="82"/>
      <c r="Z69" s="82"/>
      <c r="AA69" s="82"/>
      <c r="AB69" s="82"/>
      <c r="AC69" s="82"/>
      <c r="AD69" s="82"/>
    </row>
    <row r="70" spans="1:30">
      <c r="A70" s="82"/>
      <c r="B70" s="99" t="s">
        <v>252</v>
      </c>
      <c r="C70" s="100">
        <v>1691176.38</v>
      </c>
      <c r="D70" s="100">
        <v>2381762.43</v>
      </c>
      <c r="E70" s="100">
        <v>2979098.08</v>
      </c>
      <c r="F70" s="100">
        <v>3901215.28</v>
      </c>
      <c r="G70" s="100">
        <v>3527516.56</v>
      </c>
      <c r="H70" s="100">
        <v>2469671.55</v>
      </c>
      <c r="I70" s="100">
        <v>2144953.03</v>
      </c>
      <c r="J70" s="101">
        <v>1266697.1</v>
      </c>
      <c r="K70" s="100">
        <v>678643.510000002</v>
      </c>
      <c r="L70" s="100">
        <v>2011010.65</v>
      </c>
      <c r="M70" s="100">
        <v>1345150.99</v>
      </c>
      <c r="N70" s="100">
        <v>1178286.28</v>
      </c>
      <c r="O70" s="100">
        <v>1085567.79</v>
      </c>
      <c r="P70" s="100">
        <f>汇总!W10</f>
        <v>852626.52</v>
      </c>
      <c r="Q70" s="100"/>
      <c r="R70" s="100"/>
      <c r="S70" s="100"/>
      <c r="T70" s="100">
        <f t="shared" ref="T70:T82" si="16">SUM(C70:R70)</f>
        <v>27513376.15</v>
      </c>
      <c r="U70" s="94">
        <f>当日汇总!B9+当日汇总!C9</f>
        <v>4</v>
      </c>
      <c r="V70" s="102">
        <f>T70/T80</f>
        <v>0.9990791196255</v>
      </c>
      <c r="W70" s="82"/>
      <c r="X70" s="82"/>
      <c r="Y70" s="82"/>
      <c r="Z70" s="82"/>
      <c r="AA70" s="82"/>
      <c r="AB70" s="82"/>
      <c r="AC70" s="82"/>
      <c r="AD70" s="82"/>
    </row>
    <row r="71" spans="1:30">
      <c r="A71" s="82"/>
      <c r="B71" s="103" t="s">
        <v>253</v>
      </c>
      <c r="C71" s="101">
        <v>272368.246</v>
      </c>
      <c r="D71" s="101">
        <v>405652.912</v>
      </c>
      <c r="E71" s="101">
        <v>505328.152</v>
      </c>
      <c r="F71" s="101">
        <v>742240.372</v>
      </c>
      <c r="G71" s="101">
        <v>668166.034</v>
      </c>
      <c r="H71" s="101">
        <v>477496.84</v>
      </c>
      <c r="I71" s="101">
        <v>395171.718</v>
      </c>
      <c r="J71" s="101">
        <v>134134.678</v>
      </c>
      <c r="K71" s="101">
        <v>115559.686</v>
      </c>
      <c r="L71" s="101">
        <v>398670.314</v>
      </c>
      <c r="M71" s="101">
        <v>252077.982</v>
      </c>
      <c r="N71" s="101">
        <v>215692.134</v>
      </c>
      <c r="O71" s="100">
        <v>201563.76</v>
      </c>
      <c r="P71" s="100">
        <f>汇总!AA10</f>
        <v>163772.314</v>
      </c>
      <c r="Q71" s="100"/>
      <c r="R71" s="100"/>
      <c r="S71" s="100"/>
      <c r="T71" s="100">
        <f t="shared" si="16"/>
        <v>4947895.142</v>
      </c>
      <c r="U71" s="83"/>
      <c r="V71" s="84"/>
      <c r="W71" s="82"/>
      <c r="X71" s="82"/>
      <c r="Y71" s="82"/>
      <c r="Z71" s="82"/>
      <c r="AA71" s="82"/>
      <c r="AB71" s="82"/>
      <c r="AC71" s="82"/>
      <c r="AD71" s="82"/>
    </row>
    <row r="72" spans="1:30">
      <c r="A72" s="82"/>
      <c r="B72" s="103" t="s">
        <v>254</v>
      </c>
      <c r="C72" s="101">
        <v>448084.4683</v>
      </c>
      <c r="D72" s="101">
        <v>512142.45005</v>
      </c>
      <c r="E72" s="101">
        <v>694630.1628</v>
      </c>
      <c r="F72" s="101">
        <v>835876.5898</v>
      </c>
      <c r="G72" s="101">
        <v>710506.3196</v>
      </c>
      <c r="H72" s="101">
        <v>521534.03925</v>
      </c>
      <c r="I72" s="101">
        <v>593919.93605</v>
      </c>
      <c r="J72" s="101">
        <v>466976.7935</v>
      </c>
      <c r="K72" s="101">
        <v>421738.18785</v>
      </c>
      <c r="L72" s="101">
        <v>446810.16275</v>
      </c>
      <c r="M72" s="101">
        <v>293878.86465</v>
      </c>
      <c r="N72" s="101">
        <v>282814.1708</v>
      </c>
      <c r="O72" s="100">
        <v>346009.05325</v>
      </c>
      <c r="P72" s="100">
        <f>汇总!Z10</f>
        <v>284676.6909</v>
      </c>
      <c r="Q72" s="100"/>
      <c r="R72" s="100"/>
      <c r="S72" s="100"/>
      <c r="T72" s="100">
        <f t="shared" si="16"/>
        <v>6859597.88955</v>
      </c>
      <c r="U72" s="83"/>
      <c r="V72" s="84"/>
      <c r="W72" s="82"/>
      <c r="X72" s="82"/>
      <c r="Y72" s="82"/>
      <c r="Z72" s="82"/>
      <c r="AA72" s="82"/>
      <c r="AB72" s="82"/>
      <c r="AC72" s="82"/>
      <c r="AD72" s="82"/>
    </row>
    <row r="73" spans="1:30">
      <c r="A73" s="82"/>
      <c r="B73" s="103" t="s">
        <v>255</v>
      </c>
      <c r="C73" s="101">
        <v>892350</v>
      </c>
      <c r="D73" s="101">
        <v>1077500</v>
      </c>
      <c r="E73" s="101">
        <v>1115330</v>
      </c>
      <c r="F73" s="101">
        <v>1165940</v>
      </c>
      <c r="G73" s="101">
        <v>1024160</v>
      </c>
      <c r="H73" s="101">
        <v>682470</v>
      </c>
      <c r="I73" s="101">
        <v>822850</v>
      </c>
      <c r="J73" s="101">
        <v>635210</v>
      </c>
      <c r="K73" s="101">
        <v>513080</v>
      </c>
      <c r="L73" s="101">
        <v>450060</v>
      </c>
      <c r="M73" s="101">
        <v>379020</v>
      </c>
      <c r="N73" s="101">
        <v>281610</v>
      </c>
      <c r="O73" s="100">
        <v>531451</v>
      </c>
      <c r="P73" s="100">
        <f>汇总!X10</f>
        <v>510845</v>
      </c>
      <c r="Q73" s="100"/>
      <c r="R73" s="100"/>
      <c r="S73" s="100"/>
      <c r="T73" s="100">
        <f t="shared" si="16"/>
        <v>10081876</v>
      </c>
      <c r="U73" s="83"/>
      <c r="V73" s="84"/>
      <c r="W73" s="82"/>
      <c r="X73" s="82"/>
      <c r="Y73" s="82"/>
      <c r="Z73" s="82"/>
      <c r="AA73" s="82"/>
      <c r="AB73" s="82"/>
      <c r="AC73" s="82"/>
      <c r="AD73" s="82"/>
    </row>
    <row r="74" spans="1:30">
      <c r="A74" s="82"/>
      <c r="B74" s="104" t="s">
        <v>256</v>
      </c>
      <c r="C74" s="105">
        <v>0</v>
      </c>
      <c r="D74" s="106">
        <v>0</v>
      </c>
      <c r="E74" s="106">
        <v>474</v>
      </c>
      <c r="F74" s="106">
        <v>0</v>
      </c>
      <c r="G74" s="106">
        <v>0</v>
      </c>
      <c r="H74" s="106">
        <v>0</v>
      </c>
      <c r="I74" s="106">
        <v>0</v>
      </c>
      <c r="J74" s="106">
        <v>0</v>
      </c>
      <c r="K74" s="106">
        <v>0</v>
      </c>
      <c r="L74" s="106">
        <v>0</v>
      </c>
      <c r="M74" s="106">
        <v>0</v>
      </c>
      <c r="N74" s="106">
        <v>0</v>
      </c>
      <c r="O74" s="107">
        <v>0</v>
      </c>
      <c r="P74" s="107">
        <v>0</v>
      </c>
      <c r="Q74" s="107"/>
      <c r="R74" s="107"/>
      <c r="S74" s="107"/>
      <c r="T74" s="100">
        <f t="shared" si="16"/>
        <v>474</v>
      </c>
      <c r="U74" s="83"/>
      <c r="V74" s="84"/>
      <c r="W74" s="82"/>
      <c r="X74" s="82"/>
      <c r="Y74" s="82"/>
      <c r="Z74" s="82"/>
      <c r="AA74" s="82"/>
      <c r="AB74" s="82"/>
      <c r="AC74" s="82"/>
      <c r="AD74" s="82"/>
    </row>
    <row r="75" spans="1:30">
      <c r="A75" s="82"/>
      <c r="B75" s="103" t="s">
        <v>257</v>
      </c>
      <c r="C75" s="100">
        <v>396721</v>
      </c>
      <c r="D75" s="100">
        <v>268616</v>
      </c>
      <c r="E75" s="100">
        <v>291144</v>
      </c>
      <c r="F75" s="100">
        <v>311940</v>
      </c>
      <c r="G75" s="100">
        <v>322338</v>
      </c>
      <c r="H75" s="100">
        <v>311940</v>
      </c>
      <c r="I75" s="100">
        <v>301542</v>
      </c>
      <c r="J75" s="100">
        <v>396800</v>
      </c>
      <c r="K75" s="100">
        <v>358400</v>
      </c>
      <c r="L75" s="100">
        <v>396800</v>
      </c>
      <c r="M75" s="100">
        <v>384000</v>
      </c>
      <c r="N75" s="100">
        <v>297600</v>
      </c>
      <c r="O75" s="100">
        <v>288000</v>
      </c>
      <c r="P75" s="100">
        <f>汇总!AB10</f>
        <v>249600</v>
      </c>
      <c r="Q75" s="100"/>
      <c r="R75" s="100"/>
      <c r="S75" s="100"/>
      <c r="T75" s="100">
        <f t="shared" si="16"/>
        <v>4575441</v>
      </c>
      <c r="U75" s="83"/>
      <c r="V75" s="84"/>
      <c r="W75" s="82"/>
      <c r="X75" s="82"/>
      <c r="Y75" s="82"/>
      <c r="Z75" s="82"/>
      <c r="AA75" s="82"/>
      <c r="AB75" s="82"/>
      <c r="AC75" s="82"/>
      <c r="AD75" s="82"/>
    </row>
    <row r="76" spans="1:30">
      <c r="A76" s="82"/>
      <c r="B76" s="103" t="s">
        <v>258</v>
      </c>
      <c r="C76" s="100">
        <v>0</v>
      </c>
      <c r="D76" s="100">
        <v>0</v>
      </c>
      <c r="E76" s="100">
        <v>0</v>
      </c>
      <c r="F76" s="100">
        <v>0</v>
      </c>
      <c r="G76" s="100">
        <v>0</v>
      </c>
      <c r="H76" s="100">
        <v>0</v>
      </c>
      <c r="I76" s="100">
        <v>0</v>
      </c>
      <c r="J76" s="100">
        <v>53723</v>
      </c>
      <c r="K76" s="100">
        <v>48524</v>
      </c>
      <c r="L76" s="100">
        <v>53723</v>
      </c>
      <c r="M76" s="100">
        <v>51990</v>
      </c>
      <c r="N76" s="100">
        <v>107446</v>
      </c>
      <c r="O76" s="100">
        <v>103980</v>
      </c>
      <c r="P76" s="100">
        <f>汇总!AC10</f>
        <v>45058</v>
      </c>
      <c r="Q76" s="100"/>
      <c r="R76" s="100"/>
      <c r="S76" s="100"/>
      <c r="T76" s="100">
        <f t="shared" si="16"/>
        <v>464444</v>
      </c>
      <c r="U76" s="83"/>
      <c r="V76" s="84"/>
      <c r="W76" s="82"/>
      <c r="X76" s="82"/>
      <c r="Y76" s="82"/>
      <c r="Z76" s="82"/>
      <c r="AA76" s="82"/>
      <c r="AB76" s="82"/>
      <c r="AC76" s="82"/>
      <c r="AD76" s="82"/>
    </row>
    <row r="77" spans="1:30">
      <c r="A77" s="82"/>
      <c r="B77" s="104" t="s">
        <v>259</v>
      </c>
      <c r="C77" s="106">
        <v>0</v>
      </c>
      <c r="D77" s="106">
        <v>6400</v>
      </c>
      <c r="E77" s="106">
        <v>5000</v>
      </c>
      <c r="F77" s="106">
        <v>5800</v>
      </c>
      <c r="G77" s="106">
        <v>0</v>
      </c>
      <c r="H77" s="106">
        <v>0</v>
      </c>
      <c r="I77" s="106">
        <v>0</v>
      </c>
      <c r="J77" s="106">
        <v>0</v>
      </c>
      <c r="K77" s="106">
        <v>0</v>
      </c>
      <c r="L77" s="106">
        <v>0</v>
      </c>
      <c r="M77" s="106">
        <v>0</v>
      </c>
      <c r="N77" s="106">
        <v>0</v>
      </c>
      <c r="O77" s="107">
        <v>0</v>
      </c>
      <c r="P77" s="107">
        <v>0</v>
      </c>
      <c r="Q77" s="107"/>
      <c r="R77" s="107"/>
      <c r="S77" s="107"/>
      <c r="T77" s="100">
        <f t="shared" si="16"/>
        <v>17200</v>
      </c>
      <c r="U77" s="83"/>
      <c r="V77" s="84"/>
      <c r="W77" s="82"/>
      <c r="X77" s="82"/>
      <c r="Y77" s="82"/>
      <c r="Z77" s="82"/>
      <c r="AA77" s="82"/>
      <c r="AB77" s="82"/>
      <c r="AC77" s="82"/>
      <c r="AD77" s="82"/>
    </row>
    <row r="78" spans="1:30">
      <c r="A78" s="82"/>
      <c r="B78" s="104" t="s">
        <v>260</v>
      </c>
      <c r="C78" s="106">
        <v>70512</v>
      </c>
      <c r="D78" s="106">
        <v>55794</v>
      </c>
      <c r="E78" s="106">
        <v>74009</v>
      </c>
      <c r="F78" s="106">
        <v>106358</v>
      </c>
      <c r="G78" s="106">
        <v>74707</v>
      </c>
      <c r="H78" s="106">
        <v>49095</v>
      </c>
      <c r="I78" s="106">
        <v>29901</v>
      </c>
      <c r="J78" s="106">
        <v>9992</v>
      </c>
      <c r="K78" s="106">
        <v>7147</v>
      </c>
      <c r="L78" s="106">
        <v>39316</v>
      </c>
      <c r="M78" s="106">
        <v>16753</v>
      </c>
      <c r="N78" s="106">
        <v>23058</v>
      </c>
      <c r="O78" s="107">
        <v>35166</v>
      </c>
      <c r="P78" s="107"/>
      <c r="Q78" s="107"/>
      <c r="R78" s="107"/>
      <c r="S78" s="107"/>
      <c r="T78" s="100">
        <f t="shared" si="16"/>
        <v>591808</v>
      </c>
      <c r="U78" s="83"/>
      <c r="V78" s="84"/>
      <c r="W78" s="82"/>
      <c r="X78" s="82"/>
      <c r="Y78" s="82"/>
      <c r="Z78" s="82"/>
      <c r="AA78" s="82"/>
      <c r="AB78" s="82"/>
      <c r="AC78" s="82"/>
      <c r="AD78" s="82"/>
    </row>
    <row r="79" spans="1:30">
      <c r="A79" s="82"/>
      <c r="B79" s="104" t="s">
        <v>261</v>
      </c>
      <c r="C79" s="106">
        <v>0</v>
      </c>
      <c r="D79" s="106">
        <v>0</v>
      </c>
      <c r="E79" s="106">
        <v>0</v>
      </c>
      <c r="F79" s="106">
        <v>0</v>
      </c>
      <c r="G79" s="106">
        <v>0</v>
      </c>
      <c r="H79" s="106">
        <v>0</v>
      </c>
      <c r="I79" s="106">
        <v>0</v>
      </c>
      <c r="J79" s="106">
        <v>0</v>
      </c>
      <c r="K79" s="106">
        <v>0</v>
      </c>
      <c r="L79" s="106">
        <v>0</v>
      </c>
      <c r="M79" s="106">
        <v>0</v>
      </c>
      <c r="N79" s="106">
        <v>0</v>
      </c>
      <c r="O79" s="107">
        <v>0</v>
      </c>
      <c r="P79" s="107">
        <v>0</v>
      </c>
      <c r="Q79" s="107"/>
      <c r="R79" s="107"/>
      <c r="S79" s="107"/>
      <c r="T79" s="100">
        <f t="shared" si="16"/>
        <v>0</v>
      </c>
      <c r="U79" s="83"/>
      <c r="V79" s="84"/>
      <c r="W79" s="82"/>
      <c r="X79" s="82"/>
      <c r="Y79" s="82"/>
      <c r="Z79" s="82"/>
      <c r="AA79" s="82"/>
      <c r="AB79" s="82"/>
      <c r="AC79" s="82"/>
      <c r="AD79" s="82"/>
    </row>
    <row r="80" spans="1:30">
      <c r="A80" s="82"/>
      <c r="B80" s="99" t="s">
        <v>262</v>
      </c>
      <c r="C80" s="100">
        <f t="shared" ref="C80:P80" si="17">SUM(C71:C79)</f>
        <v>2080035.7143</v>
      </c>
      <c r="D80" s="100">
        <f t="shared" si="17"/>
        <v>2326105.36205</v>
      </c>
      <c r="E80" s="100">
        <f t="shared" si="17"/>
        <v>2685915.3148</v>
      </c>
      <c r="F80" s="100">
        <f t="shared" si="17"/>
        <v>3168154.9618</v>
      </c>
      <c r="G80" s="100">
        <f t="shared" si="17"/>
        <v>2799877.3536</v>
      </c>
      <c r="H80" s="100">
        <f t="shared" si="17"/>
        <v>2042535.87925</v>
      </c>
      <c r="I80" s="100">
        <f t="shared" si="17"/>
        <v>2143384.65405</v>
      </c>
      <c r="J80" s="100">
        <f t="shared" si="17"/>
        <v>1696836.4715</v>
      </c>
      <c r="K80" s="100">
        <f t="shared" si="17"/>
        <v>1464448.87385</v>
      </c>
      <c r="L80" s="100">
        <f t="shared" si="17"/>
        <v>1785379.47675</v>
      </c>
      <c r="M80" s="100">
        <f t="shared" si="17"/>
        <v>1377719.84665</v>
      </c>
      <c r="N80" s="100">
        <f t="shared" si="17"/>
        <v>1208220.3048</v>
      </c>
      <c r="O80" s="100">
        <f t="shared" si="17"/>
        <v>1506169.81325</v>
      </c>
      <c r="P80" s="100">
        <f t="shared" si="17"/>
        <v>1253952.0049</v>
      </c>
      <c r="Q80" s="100"/>
      <c r="R80" s="100"/>
      <c r="S80" s="100">
        <f>SUM(S71:S79)</f>
        <v>0</v>
      </c>
      <c r="T80" s="100">
        <f t="shared" si="16"/>
        <v>27538736.03155</v>
      </c>
      <c r="U80" s="83"/>
      <c r="V80" s="84"/>
      <c r="W80" s="82"/>
      <c r="X80" s="82"/>
      <c r="Y80" s="82"/>
      <c r="Z80" s="82"/>
      <c r="AA80" s="82"/>
      <c r="AB80" s="82"/>
      <c r="AC80" s="82"/>
      <c r="AD80" s="82"/>
    </row>
    <row r="81" spans="1:30">
      <c r="A81" s="82"/>
      <c r="B81" s="89" t="s">
        <v>263</v>
      </c>
      <c r="C81" s="108">
        <f t="shared" ref="C81:P81" si="18">C70-C80</f>
        <v>-388859.3343</v>
      </c>
      <c r="D81" s="108">
        <f t="shared" si="18"/>
        <v>55657.0679500001</v>
      </c>
      <c r="E81" s="108">
        <f t="shared" si="18"/>
        <v>293182.7652</v>
      </c>
      <c r="F81" s="108">
        <f t="shared" si="18"/>
        <v>733060.3182</v>
      </c>
      <c r="G81" s="108">
        <f t="shared" si="18"/>
        <v>727639.2064</v>
      </c>
      <c r="H81" s="108">
        <f t="shared" si="18"/>
        <v>427135.67075</v>
      </c>
      <c r="I81" s="108">
        <f t="shared" si="18"/>
        <v>1568.37594999978</v>
      </c>
      <c r="J81" s="108">
        <f t="shared" si="18"/>
        <v>-430139.3715</v>
      </c>
      <c r="K81" s="108">
        <f t="shared" si="18"/>
        <v>-785805.363849998</v>
      </c>
      <c r="L81" s="108">
        <f t="shared" si="18"/>
        <v>225631.17325</v>
      </c>
      <c r="M81" s="108">
        <f t="shared" si="18"/>
        <v>-32568.85665</v>
      </c>
      <c r="N81" s="108">
        <f t="shared" si="18"/>
        <v>-29934.0248</v>
      </c>
      <c r="O81" s="108">
        <f t="shared" si="18"/>
        <v>-420602.02325</v>
      </c>
      <c r="P81" s="108">
        <f t="shared" si="18"/>
        <v>-401325.4849</v>
      </c>
      <c r="Q81" s="108"/>
      <c r="R81" s="108"/>
      <c r="S81" s="108">
        <f>S70-S80</f>
        <v>0</v>
      </c>
      <c r="T81" s="108">
        <f t="shared" si="16"/>
        <v>-25359.8815499974</v>
      </c>
      <c r="U81" s="83"/>
      <c r="V81" s="84"/>
      <c r="W81" s="82"/>
      <c r="X81" s="82"/>
      <c r="Y81" s="82"/>
      <c r="Z81" s="82"/>
      <c r="AA81" s="82"/>
      <c r="AB81" s="82"/>
      <c r="AC81" s="82"/>
      <c r="AD81" s="82"/>
    </row>
    <row r="82" spans="1:30">
      <c r="A82" s="82"/>
      <c r="B82" s="89" t="s">
        <v>264</v>
      </c>
      <c r="C82" s="108">
        <f t="shared" ref="C82:P82" si="19">C81/60</f>
        <v>-6480.988905</v>
      </c>
      <c r="D82" s="108">
        <f t="shared" si="19"/>
        <v>927.617799166668</v>
      </c>
      <c r="E82" s="108">
        <f t="shared" si="19"/>
        <v>4886.37942</v>
      </c>
      <c r="F82" s="108">
        <f t="shared" si="19"/>
        <v>12217.67197</v>
      </c>
      <c r="G82" s="108">
        <f t="shared" si="19"/>
        <v>12127.3201066667</v>
      </c>
      <c r="H82" s="108">
        <f t="shared" si="19"/>
        <v>7118.92784583333</v>
      </c>
      <c r="I82" s="108">
        <f t="shared" si="19"/>
        <v>26.1395991666631</v>
      </c>
      <c r="J82" s="108">
        <f t="shared" si="19"/>
        <v>-7168.989525</v>
      </c>
      <c r="K82" s="108">
        <f t="shared" si="19"/>
        <v>-13096.7560641666</v>
      </c>
      <c r="L82" s="108">
        <f t="shared" si="19"/>
        <v>3760.51955416667</v>
      </c>
      <c r="M82" s="108">
        <f t="shared" si="19"/>
        <v>-542.8142775</v>
      </c>
      <c r="N82" s="108">
        <f t="shared" si="19"/>
        <v>-498.900413333334</v>
      </c>
      <c r="O82" s="108">
        <f t="shared" si="19"/>
        <v>-7010.03372083333</v>
      </c>
      <c r="P82" s="108">
        <f t="shared" si="19"/>
        <v>-6688.75808166666</v>
      </c>
      <c r="Q82" s="108"/>
      <c r="R82" s="108"/>
      <c r="S82" s="108">
        <f>S81/57</f>
        <v>0</v>
      </c>
      <c r="T82" s="108">
        <f t="shared" si="16"/>
        <v>-422.664692499898</v>
      </c>
      <c r="U82" s="83"/>
      <c r="V82" s="84"/>
      <c r="W82" s="82"/>
      <c r="X82" s="82"/>
      <c r="Y82" s="82"/>
      <c r="Z82" s="82"/>
      <c r="AA82" s="82"/>
      <c r="AB82" s="82"/>
      <c r="AC82" s="82"/>
      <c r="AD82" s="82"/>
    </row>
    <row r="83" spans="1:30">
      <c r="A83" s="82"/>
      <c r="B83" s="109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1"/>
      <c r="U83" s="83"/>
      <c r="V83" s="84"/>
      <c r="W83" s="82"/>
      <c r="X83" s="82"/>
      <c r="Y83" s="82"/>
      <c r="Z83" s="82"/>
      <c r="AA83" s="82"/>
      <c r="AB83" s="82"/>
      <c r="AC83" s="82"/>
      <c r="AD83" s="82"/>
    </row>
    <row r="84" hidden="1" spans="1:30">
      <c r="A84" s="82"/>
      <c r="B84" s="97" t="s">
        <v>140</v>
      </c>
      <c r="C84" s="46"/>
      <c r="D84" s="46"/>
      <c r="E84" s="46"/>
      <c r="F84" s="46"/>
      <c r="G84" s="46"/>
      <c r="H84" s="46"/>
      <c r="I84" s="98"/>
      <c r="J84" s="98"/>
      <c r="K84" s="98"/>
      <c r="L84" s="98"/>
      <c r="M84" s="46"/>
      <c r="N84" s="46"/>
      <c r="O84" s="46"/>
      <c r="P84" s="46"/>
      <c r="Q84" s="46"/>
      <c r="R84" s="46"/>
      <c r="S84" s="46"/>
      <c r="T84" s="46"/>
      <c r="U84" s="83"/>
      <c r="V84" s="84"/>
      <c r="W84" s="82"/>
      <c r="X84" s="82"/>
      <c r="Y84" s="82"/>
      <c r="Z84" s="82"/>
      <c r="AA84" s="82"/>
      <c r="AB84" s="82"/>
      <c r="AC84" s="82"/>
      <c r="AD84" s="82"/>
    </row>
    <row r="85" hidden="1" spans="1:30">
      <c r="A85" s="82"/>
      <c r="B85" s="89" t="s">
        <v>243</v>
      </c>
      <c r="C85" s="90">
        <v>45812</v>
      </c>
      <c r="D85" s="90">
        <v>45843</v>
      </c>
      <c r="E85" s="90">
        <v>45875</v>
      </c>
      <c r="F85" s="90">
        <v>45907</v>
      </c>
      <c r="G85" s="90">
        <v>45938</v>
      </c>
      <c r="H85" s="90">
        <v>45969</v>
      </c>
      <c r="I85" s="115">
        <v>45999</v>
      </c>
      <c r="J85" s="91">
        <v>46031</v>
      </c>
      <c r="K85" s="91">
        <v>46063</v>
      </c>
      <c r="L85" s="91">
        <v>46092</v>
      </c>
      <c r="M85" s="91">
        <v>46124</v>
      </c>
      <c r="N85" s="91">
        <v>46155</v>
      </c>
      <c r="O85" s="91">
        <v>46187</v>
      </c>
      <c r="P85" s="91">
        <v>46218</v>
      </c>
      <c r="Q85" s="91"/>
      <c r="R85" s="91"/>
      <c r="S85" s="92"/>
      <c r="T85" s="93" t="s">
        <v>244</v>
      </c>
      <c r="U85" s="94" t="s">
        <v>245</v>
      </c>
      <c r="V85" s="95" t="s">
        <v>51</v>
      </c>
      <c r="W85" s="82"/>
      <c r="X85" s="82"/>
      <c r="Y85" s="82"/>
      <c r="Z85" s="82"/>
      <c r="AA85" s="82"/>
      <c r="AB85" s="82"/>
      <c r="AC85" s="82"/>
      <c r="AD85" s="82"/>
    </row>
    <row r="86" hidden="1" spans="1:30">
      <c r="A86" s="82"/>
      <c r="B86" s="99" t="s">
        <v>252</v>
      </c>
      <c r="C86" s="100">
        <v>525093</v>
      </c>
      <c r="D86" s="100">
        <v>1839349</v>
      </c>
      <c r="E86" s="100">
        <v>2028352</v>
      </c>
      <c r="F86" s="100">
        <v>2030664</v>
      </c>
      <c r="G86" s="100">
        <v>1850601</v>
      </c>
      <c r="H86" s="100">
        <v>1792643</v>
      </c>
      <c r="I86" s="100">
        <v>1169031</v>
      </c>
      <c r="J86" s="101">
        <v>821575</v>
      </c>
      <c r="K86" s="100">
        <v>1027958</v>
      </c>
      <c r="L86" s="100">
        <v>1032413</v>
      </c>
      <c r="M86" s="100">
        <v>823555</v>
      </c>
      <c r="N86" s="100">
        <v>1122623</v>
      </c>
      <c r="O86" s="100"/>
      <c r="P86" s="100"/>
      <c r="Q86" s="100"/>
      <c r="R86" s="100"/>
      <c r="S86" s="100"/>
      <c r="T86" s="100">
        <f t="shared" ref="T86:T98" si="20">SUM(C86:P86)</f>
        <v>16063857</v>
      </c>
      <c r="U86" s="94">
        <f>[1]汇总!BR11+[1]汇总!BS11</f>
        <v>0</v>
      </c>
      <c r="V86" s="102">
        <f>T86/T96</f>
        <v>1.16904208865884</v>
      </c>
      <c r="W86" s="82"/>
      <c r="X86" s="82"/>
      <c r="Y86" s="82"/>
      <c r="Z86" s="82"/>
      <c r="AA86" s="82"/>
      <c r="AB86" s="82"/>
      <c r="AC86" s="82"/>
      <c r="AD86" s="82"/>
    </row>
    <row r="87" hidden="1" spans="1:30">
      <c r="A87" s="82"/>
      <c r="B87" s="103" t="s">
        <v>253</v>
      </c>
      <c r="C87" s="101">
        <v>0</v>
      </c>
      <c r="D87" s="101">
        <v>239268.518</v>
      </c>
      <c r="E87" s="101">
        <v>297356.982</v>
      </c>
      <c r="F87" s="101">
        <v>303076.036</v>
      </c>
      <c r="G87" s="101">
        <v>87428.31</v>
      </c>
      <c r="H87" s="101">
        <v>309900.8</v>
      </c>
      <c r="I87" s="101">
        <v>173937.322</v>
      </c>
      <c r="J87" s="101">
        <v>66731.06</v>
      </c>
      <c r="K87" s="101">
        <v>176388.128</v>
      </c>
      <c r="L87" s="101">
        <v>166412.144</v>
      </c>
      <c r="M87" s="101">
        <v>116179.772</v>
      </c>
      <c r="N87" s="101">
        <v>176448.262</v>
      </c>
      <c r="O87" s="100"/>
      <c r="P87" s="100"/>
      <c r="Q87" s="100"/>
      <c r="R87" s="100"/>
      <c r="S87" s="100"/>
      <c r="T87" s="100">
        <f t="shared" si="20"/>
        <v>2113127.334</v>
      </c>
      <c r="U87" s="83"/>
      <c r="V87" s="84"/>
      <c r="W87" s="82"/>
      <c r="X87" s="82"/>
      <c r="Y87" s="82"/>
      <c r="Z87" s="82"/>
      <c r="AA87" s="82"/>
      <c r="AB87" s="82"/>
      <c r="AC87" s="82"/>
      <c r="AD87" s="82"/>
    </row>
    <row r="88" hidden="1" spans="1:30">
      <c r="A88" s="82"/>
      <c r="B88" s="103" t="s">
        <v>254</v>
      </c>
      <c r="C88" s="101">
        <v>409937.08</v>
      </c>
      <c r="D88" s="101">
        <v>416841.285</v>
      </c>
      <c r="E88" s="101">
        <v>414602.685</v>
      </c>
      <c r="F88" s="101">
        <v>431432.54</v>
      </c>
      <c r="G88" s="101">
        <v>446473.37</v>
      </c>
      <c r="H88" s="101">
        <v>322526.715</v>
      </c>
      <c r="I88" s="101">
        <v>330185.135</v>
      </c>
      <c r="J88" s="101">
        <v>295202.215</v>
      </c>
      <c r="K88" s="101">
        <v>308726.95</v>
      </c>
      <c r="L88" s="101">
        <v>344620.115</v>
      </c>
      <c r="M88" s="101">
        <v>329104.16</v>
      </c>
      <c r="N88" s="101">
        <v>318247.895</v>
      </c>
      <c r="O88" s="100"/>
      <c r="P88" s="100"/>
      <c r="Q88" s="100"/>
      <c r="R88" s="100"/>
      <c r="S88" s="100"/>
      <c r="T88" s="100">
        <f t="shared" si="20"/>
        <v>4367900.145</v>
      </c>
      <c r="U88" s="83"/>
      <c r="V88" s="84"/>
      <c r="W88" s="82"/>
      <c r="X88" s="82"/>
      <c r="Y88" s="82"/>
      <c r="Z88" s="82"/>
      <c r="AA88" s="82"/>
      <c r="AB88" s="82"/>
      <c r="AC88" s="82"/>
      <c r="AD88" s="82"/>
    </row>
    <row r="89" hidden="1" spans="1:30">
      <c r="A89" s="82"/>
      <c r="B89" s="103" t="s">
        <v>255</v>
      </c>
      <c r="C89" s="101">
        <v>925330</v>
      </c>
      <c r="D89" s="101">
        <v>982940</v>
      </c>
      <c r="E89" s="101">
        <v>560370</v>
      </c>
      <c r="F89" s="101">
        <v>439130</v>
      </c>
      <c r="G89" s="101">
        <v>477200</v>
      </c>
      <c r="H89" s="101">
        <v>345220</v>
      </c>
      <c r="I89" s="101">
        <v>222840</v>
      </c>
      <c r="J89" s="101">
        <v>177660</v>
      </c>
      <c r="K89" s="101">
        <v>223010</v>
      </c>
      <c r="L89" s="101">
        <v>265470</v>
      </c>
      <c r="M89" s="101">
        <v>317190</v>
      </c>
      <c r="N89" s="101">
        <v>258220</v>
      </c>
      <c r="O89" s="100"/>
      <c r="P89" s="100"/>
      <c r="Q89" s="100"/>
      <c r="R89" s="100"/>
      <c r="S89" s="100"/>
      <c r="T89" s="100">
        <f t="shared" si="20"/>
        <v>5194580</v>
      </c>
      <c r="U89" s="83"/>
      <c r="V89" s="84"/>
      <c r="W89" s="82"/>
      <c r="X89" s="82"/>
      <c r="Y89" s="82"/>
      <c r="Z89" s="82"/>
      <c r="AA89" s="82"/>
      <c r="AB89" s="82"/>
      <c r="AC89" s="82"/>
      <c r="AD89" s="82"/>
    </row>
    <row r="90" hidden="1" spans="1:30">
      <c r="A90" s="82"/>
      <c r="B90" s="104" t="s">
        <v>256</v>
      </c>
      <c r="C90" s="105">
        <v>0</v>
      </c>
      <c r="D90" s="106">
        <v>0</v>
      </c>
      <c r="E90" s="106">
        <v>0</v>
      </c>
      <c r="F90" s="106">
        <v>309</v>
      </c>
      <c r="G90" s="106">
        <v>0</v>
      </c>
      <c r="H90" s="106">
        <v>0</v>
      </c>
      <c r="I90" s="106">
        <v>0</v>
      </c>
      <c r="J90" s="106">
        <v>0</v>
      </c>
      <c r="K90" s="106">
        <v>0</v>
      </c>
      <c r="L90" s="106">
        <v>0</v>
      </c>
      <c r="M90" s="106">
        <v>0</v>
      </c>
      <c r="N90" s="106">
        <v>0</v>
      </c>
      <c r="O90" s="107"/>
      <c r="P90" s="107"/>
      <c r="Q90" s="107"/>
      <c r="R90" s="107"/>
      <c r="S90" s="107"/>
      <c r="T90" s="100">
        <f t="shared" si="20"/>
        <v>309</v>
      </c>
      <c r="U90" s="83"/>
      <c r="V90" s="84"/>
      <c r="W90" s="82"/>
      <c r="X90" s="82"/>
      <c r="Y90" s="82"/>
      <c r="Z90" s="82"/>
      <c r="AA90" s="82"/>
      <c r="AB90" s="82"/>
      <c r="AC90" s="82"/>
      <c r="AD90" s="82"/>
    </row>
    <row r="91" hidden="1" spans="1:30">
      <c r="A91" s="82"/>
      <c r="B91" s="103" t="s">
        <v>257</v>
      </c>
      <c r="C91" s="100">
        <v>297541</v>
      </c>
      <c r="D91" s="100">
        <v>161170</v>
      </c>
      <c r="E91" s="100">
        <v>161169</v>
      </c>
      <c r="F91" s="100">
        <v>155970</v>
      </c>
      <c r="G91" s="100">
        <v>161169</v>
      </c>
      <c r="H91" s="100">
        <v>155970</v>
      </c>
      <c r="I91" s="100">
        <v>135174</v>
      </c>
      <c r="J91" s="100">
        <v>99200</v>
      </c>
      <c r="K91" s="100">
        <v>89600</v>
      </c>
      <c r="L91" s="100">
        <v>99200</v>
      </c>
      <c r="M91" s="100">
        <v>96000</v>
      </c>
      <c r="N91" s="100">
        <v>0</v>
      </c>
      <c r="O91" s="100"/>
      <c r="P91" s="100"/>
      <c r="Q91" s="100"/>
      <c r="R91" s="100"/>
      <c r="S91" s="100"/>
      <c r="T91" s="100">
        <f t="shared" si="20"/>
        <v>1612163</v>
      </c>
      <c r="U91" s="83"/>
      <c r="V91" s="84"/>
      <c r="W91" s="82"/>
      <c r="X91" s="82"/>
      <c r="Y91" s="82"/>
      <c r="Z91" s="82"/>
      <c r="AA91" s="82"/>
      <c r="AB91" s="82"/>
      <c r="AC91" s="82"/>
      <c r="AD91" s="82"/>
    </row>
    <row r="92" hidden="1" spans="1:30">
      <c r="A92" s="82"/>
      <c r="B92" s="103" t="s">
        <v>258</v>
      </c>
      <c r="C92" s="100">
        <v>0</v>
      </c>
      <c r="D92" s="100">
        <v>0</v>
      </c>
      <c r="E92" s="100">
        <v>0</v>
      </c>
      <c r="F92" s="100">
        <v>0</v>
      </c>
      <c r="G92" s="100">
        <v>0</v>
      </c>
      <c r="H92" s="100">
        <v>0</v>
      </c>
      <c r="I92" s="100">
        <v>0</v>
      </c>
      <c r="J92" s="100">
        <v>53723</v>
      </c>
      <c r="K92" s="100">
        <v>48524</v>
      </c>
      <c r="L92" s="100">
        <v>53723</v>
      </c>
      <c r="M92" s="100">
        <v>51990</v>
      </c>
      <c r="N92" s="100">
        <v>0</v>
      </c>
      <c r="O92" s="100"/>
      <c r="P92" s="100"/>
      <c r="Q92" s="100"/>
      <c r="R92" s="100"/>
      <c r="S92" s="100"/>
      <c r="T92" s="100">
        <f t="shared" si="20"/>
        <v>207960</v>
      </c>
      <c r="U92" s="83"/>
      <c r="V92" s="84"/>
      <c r="W92" s="82"/>
      <c r="X92" s="82"/>
      <c r="Y92" s="82"/>
      <c r="Z92" s="82"/>
      <c r="AA92" s="82"/>
      <c r="AB92" s="82"/>
      <c r="AC92" s="82"/>
      <c r="AD92" s="82"/>
    </row>
    <row r="93" hidden="1" spans="1:30">
      <c r="A93" s="82"/>
      <c r="B93" s="104" t="s">
        <v>259</v>
      </c>
      <c r="C93" s="106">
        <v>0</v>
      </c>
      <c r="D93" s="106">
        <v>2400</v>
      </c>
      <c r="E93" s="106">
        <v>800</v>
      </c>
      <c r="F93" s="106">
        <v>1600</v>
      </c>
      <c r="G93" s="106">
        <v>0</v>
      </c>
      <c r="H93" s="106">
        <v>0</v>
      </c>
      <c r="I93" s="106">
        <v>0</v>
      </c>
      <c r="J93" s="106">
        <v>0</v>
      </c>
      <c r="K93" s="106">
        <v>0</v>
      </c>
      <c r="L93" s="106">
        <v>0</v>
      </c>
      <c r="M93" s="106">
        <v>0</v>
      </c>
      <c r="N93" s="106">
        <v>0</v>
      </c>
      <c r="O93" s="107"/>
      <c r="P93" s="107"/>
      <c r="Q93" s="107"/>
      <c r="R93" s="107"/>
      <c r="S93" s="107"/>
      <c r="T93" s="100">
        <f t="shared" si="20"/>
        <v>4800</v>
      </c>
      <c r="U93" s="83"/>
      <c r="V93" s="84"/>
      <c r="W93" s="82"/>
      <c r="X93" s="82"/>
      <c r="Y93" s="82"/>
      <c r="Z93" s="82"/>
      <c r="AA93" s="82"/>
      <c r="AB93" s="82"/>
      <c r="AC93" s="82"/>
      <c r="AD93" s="82"/>
    </row>
    <row r="94" hidden="1" spans="1:30">
      <c r="A94" s="82"/>
      <c r="B94" s="104" t="s">
        <v>260</v>
      </c>
      <c r="C94" s="106">
        <v>46340</v>
      </c>
      <c r="D94" s="106">
        <v>0</v>
      </c>
      <c r="E94" s="106">
        <v>0</v>
      </c>
      <c r="F94" s="106">
        <v>27202</v>
      </c>
      <c r="G94" s="106">
        <v>55133</v>
      </c>
      <c r="H94" s="106">
        <v>19780</v>
      </c>
      <c r="I94" s="106">
        <v>14203</v>
      </c>
      <c r="J94" s="106">
        <v>10991</v>
      </c>
      <c r="K94" s="106">
        <v>14901</v>
      </c>
      <c r="L94" s="106">
        <v>15573</v>
      </c>
      <c r="M94" s="106">
        <v>36080</v>
      </c>
      <c r="N94" s="106">
        <v>0</v>
      </c>
      <c r="O94" s="107"/>
      <c r="P94" s="107"/>
      <c r="Q94" s="107"/>
      <c r="R94" s="107"/>
      <c r="S94" s="107"/>
      <c r="T94" s="100">
        <f t="shared" si="20"/>
        <v>240203</v>
      </c>
      <c r="U94" s="83"/>
      <c r="V94" s="84"/>
      <c r="W94" s="82"/>
      <c r="X94" s="82"/>
      <c r="Y94" s="82"/>
      <c r="Z94" s="82"/>
      <c r="AA94" s="82"/>
      <c r="AB94" s="82"/>
      <c r="AC94" s="82"/>
      <c r="AD94" s="82"/>
    </row>
    <row r="95" hidden="1" spans="1:30">
      <c r="A95" s="82"/>
      <c r="B95" s="104" t="s">
        <v>261</v>
      </c>
      <c r="C95" s="106">
        <v>0</v>
      </c>
      <c r="D95" s="106">
        <v>0</v>
      </c>
      <c r="E95" s="106">
        <v>0</v>
      </c>
      <c r="F95" s="106">
        <v>0</v>
      </c>
      <c r="G95" s="106">
        <v>0</v>
      </c>
      <c r="H95" s="106">
        <v>0</v>
      </c>
      <c r="I95" s="106">
        <v>0</v>
      </c>
      <c r="J95" s="106">
        <v>0</v>
      </c>
      <c r="K95" s="106">
        <v>0</v>
      </c>
      <c r="L95" s="106">
        <v>0</v>
      </c>
      <c r="M95" s="106">
        <v>0</v>
      </c>
      <c r="N95" s="106">
        <v>0</v>
      </c>
      <c r="O95" s="107"/>
      <c r="P95" s="107"/>
      <c r="Q95" s="107"/>
      <c r="R95" s="107"/>
      <c r="S95" s="107"/>
      <c r="T95" s="100">
        <f t="shared" si="20"/>
        <v>0</v>
      </c>
      <c r="U95" s="83"/>
      <c r="V95" s="84"/>
      <c r="W95" s="82"/>
      <c r="X95" s="82"/>
      <c r="Y95" s="82"/>
      <c r="Z95" s="82"/>
      <c r="AA95" s="82"/>
      <c r="AB95" s="82"/>
      <c r="AC95" s="82"/>
      <c r="AD95" s="82"/>
    </row>
    <row r="96" hidden="1" spans="1:30">
      <c r="A96" s="82"/>
      <c r="B96" s="99" t="s">
        <v>262</v>
      </c>
      <c r="C96" s="100">
        <f t="shared" ref="C96:N96" si="21">SUM(C87:C95)</f>
        <v>1679148.08</v>
      </c>
      <c r="D96" s="100">
        <f t="shared" si="21"/>
        <v>1802619.803</v>
      </c>
      <c r="E96" s="100">
        <f t="shared" si="21"/>
        <v>1434298.667</v>
      </c>
      <c r="F96" s="100">
        <f t="shared" si="21"/>
        <v>1358719.576</v>
      </c>
      <c r="G96" s="100">
        <f t="shared" si="21"/>
        <v>1227403.68</v>
      </c>
      <c r="H96" s="100">
        <f t="shared" si="21"/>
        <v>1153397.515</v>
      </c>
      <c r="I96" s="100">
        <f t="shared" si="21"/>
        <v>876339.457</v>
      </c>
      <c r="J96" s="100">
        <f t="shared" si="21"/>
        <v>703507.275</v>
      </c>
      <c r="K96" s="100">
        <f t="shared" si="21"/>
        <v>861150.078</v>
      </c>
      <c r="L96" s="100">
        <f t="shared" si="21"/>
        <v>944998.259</v>
      </c>
      <c r="M96" s="100">
        <f t="shared" si="21"/>
        <v>946543.932</v>
      </c>
      <c r="N96" s="100">
        <f t="shared" si="21"/>
        <v>752916.157</v>
      </c>
      <c r="O96" s="100"/>
      <c r="P96" s="100"/>
      <c r="Q96" s="100"/>
      <c r="R96" s="100"/>
      <c r="S96" s="100">
        <f>SUM(S87:S95)</f>
        <v>0</v>
      </c>
      <c r="T96" s="100">
        <f t="shared" si="20"/>
        <v>13741042.479</v>
      </c>
      <c r="U96" s="83"/>
      <c r="V96" s="84"/>
      <c r="W96" s="82"/>
      <c r="X96" s="82"/>
      <c r="Y96" s="82"/>
      <c r="Z96" s="82"/>
      <c r="AA96" s="82"/>
      <c r="AB96" s="82"/>
      <c r="AC96" s="82"/>
      <c r="AD96" s="82"/>
    </row>
    <row r="97" hidden="1" spans="1:30">
      <c r="A97" s="82"/>
      <c r="B97" s="89" t="s">
        <v>263</v>
      </c>
      <c r="C97" s="108">
        <f t="shared" ref="C97:N97" si="22">C86-C96</f>
        <v>-1154055.08</v>
      </c>
      <c r="D97" s="108">
        <f t="shared" si="22"/>
        <v>36729.1970000002</v>
      </c>
      <c r="E97" s="108">
        <f t="shared" si="22"/>
        <v>594053.333</v>
      </c>
      <c r="F97" s="108">
        <f t="shared" si="22"/>
        <v>671944.424</v>
      </c>
      <c r="G97" s="108">
        <f t="shared" si="22"/>
        <v>623197.32</v>
      </c>
      <c r="H97" s="108">
        <f t="shared" si="22"/>
        <v>639245.485</v>
      </c>
      <c r="I97" s="108">
        <f t="shared" si="22"/>
        <v>292691.543</v>
      </c>
      <c r="J97" s="108">
        <f t="shared" si="22"/>
        <v>118067.725</v>
      </c>
      <c r="K97" s="108">
        <f t="shared" si="22"/>
        <v>166807.922</v>
      </c>
      <c r="L97" s="108">
        <f t="shared" si="22"/>
        <v>87414.741</v>
      </c>
      <c r="M97" s="108">
        <f t="shared" si="22"/>
        <v>-122988.932</v>
      </c>
      <c r="N97" s="108">
        <f t="shared" si="22"/>
        <v>369706.843</v>
      </c>
      <c r="O97" s="108"/>
      <c r="P97" s="108"/>
      <c r="Q97" s="108"/>
      <c r="R97" s="108"/>
      <c r="S97" s="108">
        <f>S86-S96</f>
        <v>0</v>
      </c>
      <c r="T97" s="108">
        <f t="shared" si="20"/>
        <v>2322814.521</v>
      </c>
      <c r="U97" s="83"/>
      <c r="V97" s="84"/>
      <c r="W97" s="82"/>
      <c r="X97" s="82"/>
      <c r="Y97" s="82"/>
      <c r="Z97" s="82"/>
      <c r="AA97" s="82"/>
      <c r="AB97" s="82"/>
      <c r="AC97" s="82"/>
      <c r="AD97" s="82"/>
    </row>
    <row r="98" hidden="1" spans="1:30">
      <c r="A98" s="82"/>
      <c r="B98" s="89" t="s">
        <v>264</v>
      </c>
      <c r="C98" s="108">
        <f t="shared" ref="C98:N98" si="23">C97/57</f>
        <v>-20246.5803508772</v>
      </c>
      <c r="D98" s="108">
        <f t="shared" si="23"/>
        <v>644.371877192985</v>
      </c>
      <c r="E98" s="108">
        <f t="shared" si="23"/>
        <v>10421.9882982456</v>
      </c>
      <c r="F98" s="108">
        <f t="shared" si="23"/>
        <v>11788.4986666667</v>
      </c>
      <c r="G98" s="108">
        <f t="shared" si="23"/>
        <v>10933.2863157895</v>
      </c>
      <c r="H98" s="108">
        <f t="shared" si="23"/>
        <v>11214.8330701754</v>
      </c>
      <c r="I98" s="108">
        <f t="shared" si="23"/>
        <v>5134.93935087719</v>
      </c>
      <c r="J98" s="108">
        <f t="shared" si="23"/>
        <v>2071.36359649123</v>
      </c>
      <c r="K98" s="108">
        <f t="shared" si="23"/>
        <v>2926.45477192982</v>
      </c>
      <c r="L98" s="108">
        <f t="shared" si="23"/>
        <v>1533.59194736842</v>
      </c>
      <c r="M98" s="108">
        <f t="shared" si="23"/>
        <v>-2157.70056140351</v>
      </c>
      <c r="N98" s="108">
        <f t="shared" si="23"/>
        <v>6486.08496491228</v>
      </c>
      <c r="O98" s="108"/>
      <c r="P98" s="108"/>
      <c r="Q98" s="108"/>
      <c r="R98" s="108"/>
      <c r="S98" s="108">
        <f>S97/57</f>
        <v>0</v>
      </c>
      <c r="T98" s="108">
        <f t="shared" si="20"/>
        <v>40751.1319473684</v>
      </c>
      <c r="U98" s="83"/>
      <c r="V98" s="84"/>
      <c r="W98" s="82"/>
      <c r="X98" s="82"/>
      <c r="Y98" s="82"/>
      <c r="Z98" s="82"/>
      <c r="AA98" s="82"/>
      <c r="AB98" s="82"/>
      <c r="AC98" s="82"/>
      <c r="AD98" s="82"/>
    </row>
    <row r="99" hidden="1" spans="1:30">
      <c r="A99" s="82"/>
      <c r="B99" s="109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1"/>
      <c r="U99" s="83"/>
      <c r="V99" s="84"/>
      <c r="W99" s="82"/>
      <c r="X99" s="82"/>
      <c r="Y99" s="82"/>
      <c r="Z99" s="82"/>
      <c r="AA99" s="82"/>
      <c r="AB99" s="82"/>
      <c r="AC99" s="82"/>
      <c r="AD99" s="82"/>
    </row>
    <row r="100" hidden="1" spans="1:30">
      <c r="A100" s="82"/>
      <c r="B100" s="112" t="s">
        <v>147</v>
      </c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4"/>
      <c r="U100" s="83"/>
      <c r="V100" s="84"/>
      <c r="W100" s="82"/>
      <c r="X100" s="82"/>
      <c r="Y100" s="82"/>
      <c r="Z100" s="82"/>
      <c r="AA100" s="82"/>
      <c r="AB100" s="82"/>
      <c r="AC100" s="82"/>
      <c r="AD100" s="82"/>
    </row>
    <row r="101" hidden="1" spans="1:30">
      <c r="A101" s="82"/>
      <c r="B101" s="89" t="s">
        <v>243</v>
      </c>
      <c r="C101" s="90">
        <v>45812</v>
      </c>
      <c r="D101" s="90">
        <v>45843</v>
      </c>
      <c r="E101" s="90">
        <v>45875</v>
      </c>
      <c r="F101" s="90">
        <v>45907</v>
      </c>
      <c r="G101" s="90">
        <v>45938</v>
      </c>
      <c r="H101" s="90">
        <v>45969</v>
      </c>
      <c r="I101" s="115">
        <v>45999</v>
      </c>
      <c r="J101" s="91">
        <v>46031</v>
      </c>
      <c r="K101" s="91">
        <v>46063</v>
      </c>
      <c r="L101" s="91">
        <v>46092</v>
      </c>
      <c r="M101" s="91">
        <v>46124</v>
      </c>
      <c r="N101" s="91">
        <v>46155</v>
      </c>
      <c r="O101" s="91">
        <v>46187</v>
      </c>
      <c r="P101" s="91">
        <v>46218</v>
      </c>
      <c r="Q101" s="91"/>
      <c r="R101" s="91"/>
      <c r="S101" s="92"/>
      <c r="T101" s="93" t="s">
        <v>244</v>
      </c>
      <c r="U101" s="94" t="s">
        <v>245</v>
      </c>
      <c r="V101" s="95" t="s">
        <v>51</v>
      </c>
      <c r="W101" s="82"/>
      <c r="X101" s="82"/>
      <c r="Y101" s="82"/>
      <c r="Z101" s="82"/>
      <c r="AA101" s="82"/>
      <c r="AB101" s="82"/>
      <c r="AC101" s="82"/>
      <c r="AD101" s="82"/>
    </row>
    <row r="102" hidden="1" spans="1:30">
      <c r="A102" s="82"/>
      <c r="B102" s="99" t="s">
        <v>252</v>
      </c>
      <c r="C102" s="100">
        <v>80686</v>
      </c>
      <c r="D102" s="100">
        <v>478745</v>
      </c>
      <c r="E102" s="100">
        <v>551865</v>
      </c>
      <c r="F102" s="100">
        <v>538451</v>
      </c>
      <c r="G102" s="100">
        <v>1056836</v>
      </c>
      <c r="H102" s="100">
        <v>896894</v>
      </c>
      <c r="I102" s="100">
        <v>652511</v>
      </c>
      <c r="J102" s="101">
        <v>-537289</v>
      </c>
      <c r="K102" s="100">
        <v>163771</v>
      </c>
      <c r="L102" s="100">
        <v>1737079</v>
      </c>
      <c r="M102" s="100">
        <v>932706</v>
      </c>
      <c r="N102" s="100">
        <v>1197764</v>
      </c>
      <c r="O102" s="100"/>
      <c r="P102" s="100"/>
      <c r="Q102" s="100"/>
      <c r="R102" s="100"/>
      <c r="S102" s="100"/>
      <c r="T102" s="100">
        <f t="shared" ref="T102:T114" si="24">SUM(C102:N102)</f>
        <v>7750019</v>
      </c>
      <c r="U102" s="94">
        <v>0</v>
      </c>
      <c r="V102" s="102">
        <f>T102/T112</f>
        <v>0.806527843613183</v>
      </c>
      <c r="W102" s="82"/>
      <c r="X102" s="82"/>
      <c r="Y102" s="82"/>
      <c r="Z102" s="82"/>
      <c r="AA102" s="82"/>
      <c r="AB102" s="82"/>
      <c r="AC102" s="82"/>
      <c r="AD102" s="82"/>
    </row>
    <row r="103" hidden="1" spans="1:30">
      <c r="A103" s="82"/>
      <c r="B103" s="103" t="s">
        <v>253</v>
      </c>
      <c r="C103" s="101">
        <v>0</v>
      </c>
      <c r="D103" s="101">
        <v>57416.732</v>
      </c>
      <c r="E103" s="101">
        <v>68021.844</v>
      </c>
      <c r="F103" s="101">
        <v>74655.624</v>
      </c>
      <c r="G103" s="101">
        <v>189723.746</v>
      </c>
      <c r="H103" s="101">
        <v>166016.686</v>
      </c>
      <c r="I103" s="101">
        <v>95074.016</v>
      </c>
      <c r="J103" s="101">
        <v>0</v>
      </c>
      <c r="K103" s="101">
        <v>12376.254</v>
      </c>
      <c r="L103" s="101">
        <v>329668.968</v>
      </c>
      <c r="M103" s="101">
        <v>154657.906</v>
      </c>
      <c r="N103" s="101">
        <v>203610.912</v>
      </c>
      <c r="O103" s="100"/>
      <c r="P103" s="100"/>
      <c r="Q103" s="100"/>
      <c r="R103" s="100"/>
      <c r="S103" s="100"/>
      <c r="T103" s="100">
        <f t="shared" si="24"/>
        <v>1351222.688</v>
      </c>
      <c r="U103" s="83"/>
      <c r="V103" s="84"/>
      <c r="W103" s="82"/>
      <c r="X103" s="82"/>
      <c r="Y103" s="82"/>
      <c r="Z103" s="82"/>
      <c r="AA103" s="82"/>
      <c r="AB103" s="82"/>
      <c r="AC103" s="82"/>
      <c r="AD103" s="82"/>
    </row>
    <row r="104" hidden="1" spans="1:30">
      <c r="A104" s="82"/>
      <c r="B104" s="103" t="s">
        <v>254</v>
      </c>
      <c r="C104" s="101">
        <v>117500.2</v>
      </c>
      <c r="D104" s="101">
        <v>111655.67</v>
      </c>
      <c r="E104" s="101">
        <v>127440.74</v>
      </c>
      <c r="F104" s="101">
        <v>0</v>
      </c>
      <c r="G104" s="101">
        <v>320615.575</v>
      </c>
      <c r="H104" s="101">
        <v>358284.85</v>
      </c>
      <c r="I104" s="101">
        <v>169818.25</v>
      </c>
      <c r="J104" s="101">
        <v>165545.17</v>
      </c>
      <c r="K104" s="101">
        <v>144702.74</v>
      </c>
      <c r="L104" s="101">
        <v>194465.425</v>
      </c>
      <c r="M104" s="101">
        <v>133775.6</v>
      </c>
      <c r="N104" s="101">
        <v>126774.34</v>
      </c>
      <c r="O104" s="100"/>
      <c r="P104" s="100"/>
      <c r="Q104" s="100"/>
      <c r="R104" s="100"/>
      <c r="S104" s="100"/>
      <c r="T104" s="100">
        <f t="shared" si="24"/>
        <v>1970578.56</v>
      </c>
      <c r="U104" s="83"/>
      <c r="V104" s="84"/>
      <c r="W104" s="82"/>
      <c r="X104" s="82"/>
      <c r="Y104" s="82"/>
      <c r="Z104" s="82"/>
      <c r="AA104" s="82"/>
      <c r="AB104" s="82"/>
      <c r="AC104" s="82"/>
      <c r="AD104" s="82"/>
    </row>
    <row r="105" hidden="1" spans="1:30">
      <c r="A105" s="82"/>
      <c r="B105" s="103" t="s">
        <v>255</v>
      </c>
      <c r="C105" s="101">
        <v>353910</v>
      </c>
      <c r="D105" s="101">
        <v>376880</v>
      </c>
      <c r="E105" s="101">
        <v>388890</v>
      </c>
      <c r="F105" s="101">
        <v>549130</v>
      </c>
      <c r="G105" s="101">
        <v>447110</v>
      </c>
      <c r="H105" s="101">
        <v>352780</v>
      </c>
      <c r="I105" s="101">
        <v>313480</v>
      </c>
      <c r="J105" s="101">
        <v>195530</v>
      </c>
      <c r="K105" s="101">
        <v>240130</v>
      </c>
      <c r="L105" s="101">
        <v>249610</v>
      </c>
      <c r="M105" s="101">
        <v>273440</v>
      </c>
      <c r="N105" s="101">
        <v>247660</v>
      </c>
      <c r="O105" s="100"/>
      <c r="P105" s="100"/>
      <c r="Q105" s="100"/>
      <c r="R105" s="100"/>
      <c r="S105" s="100"/>
      <c r="T105" s="100">
        <f t="shared" si="24"/>
        <v>3988550</v>
      </c>
      <c r="U105" s="83"/>
      <c r="V105" s="84"/>
      <c r="W105" s="82"/>
      <c r="X105" s="82"/>
      <c r="Y105" s="82"/>
      <c r="Z105" s="82"/>
      <c r="AA105" s="82"/>
      <c r="AB105" s="82"/>
      <c r="AC105" s="82"/>
      <c r="AD105" s="82"/>
    </row>
    <row r="106" hidden="1" spans="1:30">
      <c r="A106" s="82"/>
      <c r="B106" s="104" t="s">
        <v>256</v>
      </c>
      <c r="C106" s="105">
        <v>0</v>
      </c>
      <c r="D106" s="106">
        <v>0</v>
      </c>
      <c r="E106" s="106">
        <v>0</v>
      </c>
      <c r="F106" s="106">
        <v>0</v>
      </c>
      <c r="G106" s="106">
        <v>0</v>
      </c>
      <c r="H106" s="106">
        <v>0</v>
      </c>
      <c r="I106" s="106">
        <v>0</v>
      </c>
      <c r="J106" s="106">
        <v>0</v>
      </c>
      <c r="K106" s="106">
        <v>0</v>
      </c>
      <c r="L106" s="106">
        <v>0</v>
      </c>
      <c r="M106" s="106">
        <v>0</v>
      </c>
      <c r="N106" s="106">
        <v>0</v>
      </c>
      <c r="O106" s="107"/>
      <c r="P106" s="107"/>
      <c r="Q106" s="107"/>
      <c r="R106" s="107"/>
      <c r="S106" s="107"/>
      <c r="T106" s="100">
        <f t="shared" si="24"/>
        <v>0</v>
      </c>
      <c r="U106" s="83"/>
      <c r="V106" s="84"/>
      <c r="W106" s="82"/>
      <c r="X106" s="82"/>
      <c r="Y106" s="82"/>
      <c r="Z106" s="82"/>
      <c r="AA106" s="82"/>
      <c r="AB106" s="82"/>
      <c r="AC106" s="82"/>
      <c r="AD106" s="82"/>
    </row>
    <row r="107" hidden="1" spans="1:30">
      <c r="A107" s="82"/>
      <c r="B107" s="103" t="s">
        <v>257</v>
      </c>
      <c r="C107" s="100">
        <v>297541</v>
      </c>
      <c r="D107" s="100">
        <v>161170</v>
      </c>
      <c r="E107" s="100">
        <v>161169</v>
      </c>
      <c r="F107" s="100">
        <v>155970</v>
      </c>
      <c r="G107" s="100">
        <v>161169</v>
      </c>
      <c r="H107" s="100">
        <v>155970</v>
      </c>
      <c r="I107" s="100">
        <v>161169</v>
      </c>
      <c r="J107" s="100">
        <v>99200</v>
      </c>
      <c r="K107" s="100">
        <v>89600</v>
      </c>
      <c r="L107" s="100">
        <v>99200</v>
      </c>
      <c r="M107" s="100">
        <v>96000</v>
      </c>
      <c r="N107" s="100">
        <v>99200</v>
      </c>
      <c r="O107" s="100"/>
      <c r="P107" s="100"/>
      <c r="Q107" s="100"/>
      <c r="R107" s="100"/>
      <c r="S107" s="100"/>
      <c r="T107" s="100">
        <f t="shared" si="24"/>
        <v>1737358</v>
      </c>
      <c r="U107" s="83"/>
      <c r="V107" s="84"/>
      <c r="W107" s="82"/>
      <c r="X107" s="82"/>
      <c r="Y107" s="82"/>
      <c r="Z107" s="82"/>
      <c r="AA107" s="82"/>
      <c r="AB107" s="82"/>
      <c r="AC107" s="82"/>
      <c r="AD107" s="82"/>
    </row>
    <row r="108" hidden="1" spans="1:30">
      <c r="A108" s="82"/>
      <c r="B108" s="103" t="s">
        <v>258</v>
      </c>
      <c r="C108" s="100">
        <v>0</v>
      </c>
      <c r="D108" s="100">
        <v>0</v>
      </c>
      <c r="E108" s="100">
        <v>0</v>
      </c>
      <c r="F108" s="100">
        <v>0</v>
      </c>
      <c r="G108" s="100">
        <v>0</v>
      </c>
      <c r="H108" s="100">
        <v>0</v>
      </c>
      <c r="I108" s="100">
        <v>0</v>
      </c>
      <c r="J108" s="100">
        <v>107446</v>
      </c>
      <c r="K108" s="100">
        <v>97048</v>
      </c>
      <c r="L108" s="100">
        <v>107446</v>
      </c>
      <c r="M108" s="100">
        <v>103980</v>
      </c>
      <c r="N108" s="100">
        <v>107446</v>
      </c>
      <c r="O108" s="100"/>
      <c r="P108" s="100"/>
      <c r="Q108" s="100"/>
      <c r="R108" s="100"/>
      <c r="S108" s="100"/>
      <c r="T108" s="100">
        <f t="shared" si="24"/>
        <v>523366</v>
      </c>
      <c r="U108" s="83"/>
      <c r="V108" s="84"/>
      <c r="W108" s="82"/>
      <c r="X108" s="82"/>
      <c r="Y108" s="82"/>
      <c r="Z108" s="82"/>
      <c r="AA108" s="82"/>
      <c r="AB108" s="82"/>
      <c r="AC108" s="82"/>
      <c r="AD108" s="82"/>
    </row>
    <row r="109" hidden="1" spans="1:30">
      <c r="A109" s="82"/>
      <c r="B109" s="104" t="s">
        <v>259</v>
      </c>
      <c r="C109" s="106">
        <v>0</v>
      </c>
      <c r="D109" s="106">
        <v>7200</v>
      </c>
      <c r="E109" s="106">
        <v>2000</v>
      </c>
      <c r="F109" s="106">
        <v>3600</v>
      </c>
      <c r="G109" s="106">
        <v>0</v>
      </c>
      <c r="H109" s="106">
        <v>0</v>
      </c>
      <c r="I109" s="106">
        <v>0</v>
      </c>
      <c r="J109" s="106">
        <v>0</v>
      </c>
      <c r="K109" s="106">
        <v>0</v>
      </c>
      <c r="L109" s="106">
        <v>0</v>
      </c>
      <c r="M109" s="106">
        <v>0</v>
      </c>
      <c r="N109" s="106">
        <v>0</v>
      </c>
      <c r="O109" s="107"/>
      <c r="P109" s="107"/>
      <c r="Q109" s="107"/>
      <c r="R109" s="107"/>
      <c r="S109" s="107"/>
      <c r="T109" s="100">
        <f t="shared" si="24"/>
        <v>12800</v>
      </c>
      <c r="U109" s="83"/>
      <c r="V109" s="84"/>
      <c r="W109" s="82"/>
      <c r="X109" s="82"/>
      <c r="Y109" s="82"/>
      <c r="Z109" s="82"/>
      <c r="AA109" s="82"/>
      <c r="AB109" s="82"/>
      <c r="AC109" s="82"/>
      <c r="AD109" s="82"/>
    </row>
    <row r="110" hidden="1" spans="1:30">
      <c r="A110" s="82"/>
      <c r="B110" s="104" t="s">
        <v>260</v>
      </c>
      <c r="C110" s="106">
        <v>3240</v>
      </c>
      <c r="D110" s="106">
        <v>0</v>
      </c>
      <c r="E110" s="106">
        <v>0</v>
      </c>
      <c r="F110" s="106">
        <v>0</v>
      </c>
      <c r="G110" s="106">
        <v>1000</v>
      </c>
      <c r="H110" s="106">
        <v>0</v>
      </c>
      <c r="I110" s="106">
        <v>0</v>
      </c>
      <c r="J110" s="106">
        <v>0</v>
      </c>
      <c r="K110" s="106">
        <v>20000</v>
      </c>
      <c r="L110" s="106">
        <v>0</v>
      </c>
      <c r="M110" s="106">
        <v>1000</v>
      </c>
      <c r="N110" s="106">
        <v>0</v>
      </c>
      <c r="O110" s="107"/>
      <c r="P110" s="107"/>
      <c r="Q110" s="107"/>
      <c r="R110" s="107"/>
      <c r="S110" s="107"/>
      <c r="T110" s="100">
        <f t="shared" si="24"/>
        <v>25240</v>
      </c>
      <c r="U110" s="83"/>
      <c r="V110" s="84"/>
      <c r="W110" s="82"/>
      <c r="X110" s="82"/>
      <c r="Y110" s="82"/>
      <c r="Z110" s="82"/>
      <c r="AA110" s="82"/>
      <c r="AB110" s="82"/>
      <c r="AC110" s="82"/>
      <c r="AD110" s="82"/>
    </row>
    <row r="111" hidden="1" spans="1:30">
      <c r="A111" s="82"/>
      <c r="B111" s="104" t="s">
        <v>261</v>
      </c>
      <c r="C111" s="106">
        <v>0</v>
      </c>
      <c r="D111" s="106">
        <v>0</v>
      </c>
      <c r="E111" s="106">
        <v>0</v>
      </c>
      <c r="F111" s="106">
        <v>0</v>
      </c>
      <c r="G111" s="106">
        <v>0</v>
      </c>
      <c r="H111" s="106">
        <v>0</v>
      </c>
      <c r="I111" s="106">
        <v>0</v>
      </c>
      <c r="J111" s="106">
        <v>0</v>
      </c>
      <c r="K111" s="106">
        <v>0</v>
      </c>
      <c r="L111" s="106">
        <v>0</v>
      </c>
      <c r="M111" s="106">
        <v>0</v>
      </c>
      <c r="N111" s="106">
        <v>0</v>
      </c>
      <c r="O111" s="107"/>
      <c r="P111" s="107"/>
      <c r="Q111" s="107"/>
      <c r="R111" s="107"/>
      <c r="S111" s="107"/>
      <c r="T111" s="100">
        <f t="shared" si="24"/>
        <v>0</v>
      </c>
      <c r="U111" s="83"/>
      <c r="V111" s="84"/>
      <c r="W111" s="82"/>
      <c r="X111" s="82"/>
      <c r="Y111" s="82"/>
      <c r="Z111" s="82"/>
      <c r="AA111" s="82"/>
      <c r="AB111" s="82"/>
      <c r="AC111" s="82"/>
      <c r="AD111" s="82"/>
    </row>
    <row r="112" hidden="1" spans="1:30">
      <c r="A112" s="82"/>
      <c r="B112" s="99" t="s">
        <v>262</v>
      </c>
      <c r="C112" s="100">
        <f t="shared" ref="C112:N112" si="25">SUM(C103:C111)</f>
        <v>772191.2</v>
      </c>
      <c r="D112" s="100">
        <f t="shared" si="25"/>
        <v>714322.402</v>
      </c>
      <c r="E112" s="100">
        <f t="shared" si="25"/>
        <v>747521.584</v>
      </c>
      <c r="F112" s="100">
        <f t="shared" si="25"/>
        <v>783355.624</v>
      </c>
      <c r="G112" s="100">
        <f t="shared" si="25"/>
        <v>1119618.321</v>
      </c>
      <c r="H112" s="100">
        <f t="shared" si="25"/>
        <v>1033051.536</v>
      </c>
      <c r="I112" s="100">
        <f t="shared" si="25"/>
        <v>739541.266</v>
      </c>
      <c r="J112" s="100">
        <f t="shared" si="25"/>
        <v>567721.17</v>
      </c>
      <c r="K112" s="100">
        <f t="shared" si="25"/>
        <v>603856.994</v>
      </c>
      <c r="L112" s="100">
        <f t="shared" si="25"/>
        <v>980390.393</v>
      </c>
      <c r="M112" s="100">
        <f t="shared" si="25"/>
        <v>762853.506</v>
      </c>
      <c r="N112" s="100">
        <f t="shared" si="25"/>
        <v>784691.252</v>
      </c>
      <c r="O112" s="100"/>
      <c r="P112" s="100"/>
      <c r="Q112" s="100"/>
      <c r="R112" s="100"/>
      <c r="S112" s="100">
        <f>SUM(S103:S111)</f>
        <v>0</v>
      </c>
      <c r="T112" s="100">
        <f t="shared" si="24"/>
        <v>9609115.248</v>
      </c>
      <c r="U112" s="83"/>
      <c r="V112" s="84"/>
      <c r="W112" s="82"/>
      <c r="X112" s="82"/>
      <c r="Y112" s="82"/>
      <c r="Z112" s="82"/>
      <c r="AA112" s="82"/>
      <c r="AB112" s="82"/>
      <c r="AC112" s="82"/>
      <c r="AD112" s="82"/>
    </row>
    <row r="113" hidden="1" spans="1:30">
      <c r="A113" s="82"/>
      <c r="B113" s="89" t="s">
        <v>263</v>
      </c>
      <c r="C113" s="108">
        <f t="shared" ref="C113:N113" si="26">C102-C112</f>
        <v>-691505.2</v>
      </c>
      <c r="D113" s="108">
        <f t="shared" si="26"/>
        <v>-235577.402</v>
      </c>
      <c r="E113" s="108">
        <f t="shared" si="26"/>
        <v>-195656.584</v>
      </c>
      <c r="F113" s="108">
        <f t="shared" si="26"/>
        <v>-244904.624</v>
      </c>
      <c r="G113" s="108">
        <f t="shared" si="26"/>
        <v>-62782.321</v>
      </c>
      <c r="H113" s="108">
        <f t="shared" si="26"/>
        <v>-136157.536</v>
      </c>
      <c r="I113" s="108">
        <f t="shared" si="26"/>
        <v>-87030.2660000001</v>
      </c>
      <c r="J113" s="108">
        <f t="shared" si="26"/>
        <v>-1105010.17</v>
      </c>
      <c r="K113" s="108">
        <f t="shared" si="26"/>
        <v>-440085.994</v>
      </c>
      <c r="L113" s="108">
        <f t="shared" si="26"/>
        <v>756688.607</v>
      </c>
      <c r="M113" s="108">
        <f t="shared" si="26"/>
        <v>169852.494</v>
      </c>
      <c r="N113" s="108">
        <f t="shared" si="26"/>
        <v>413072.748</v>
      </c>
      <c r="O113" s="108"/>
      <c r="P113" s="108"/>
      <c r="Q113" s="108"/>
      <c r="R113" s="108"/>
      <c r="S113" s="108">
        <f>S102-S112</f>
        <v>0</v>
      </c>
      <c r="T113" s="108">
        <f t="shared" si="24"/>
        <v>-1859096.248</v>
      </c>
      <c r="U113" s="83"/>
      <c r="V113" s="84"/>
      <c r="W113" s="82"/>
      <c r="X113" s="82"/>
      <c r="Y113" s="82"/>
      <c r="Z113" s="82"/>
      <c r="AA113" s="82"/>
      <c r="AB113" s="82"/>
      <c r="AC113" s="82"/>
      <c r="AD113" s="82"/>
    </row>
    <row r="114" hidden="1" spans="1:30">
      <c r="A114" s="82"/>
      <c r="B114" s="89" t="s">
        <v>264</v>
      </c>
      <c r="C114" s="108">
        <f t="shared" ref="C114:N114" si="27">C113/57</f>
        <v>-12131.6701754386</v>
      </c>
      <c r="D114" s="108">
        <f t="shared" si="27"/>
        <v>-4132.93687719298</v>
      </c>
      <c r="E114" s="108">
        <f t="shared" si="27"/>
        <v>-3432.57164912281</v>
      </c>
      <c r="F114" s="108">
        <f t="shared" si="27"/>
        <v>-4296.57235087719</v>
      </c>
      <c r="G114" s="108">
        <f t="shared" si="27"/>
        <v>-1101.44422807018</v>
      </c>
      <c r="H114" s="108">
        <f t="shared" si="27"/>
        <v>-2388.72870175439</v>
      </c>
      <c r="I114" s="108">
        <f t="shared" si="27"/>
        <v>-1526.84677192983</v>
      </c>
      <c r="J114" s="108">
        <f t="shared" si="27"/>
        <v>-19386.1433333333</v>
      </c>
      <c r="K114" s="108">
        <f t="shared" si="27"/>
        <v>-7720.8069122807</v>
      </c>
      <c r="L114" s="108">
        <f t="shared" si="27"/>
        <v>13275.2387192982</v>
      </c>
      <c r="M114" s="108">
        <f t="shared" si="27"/>
        <v>2979.86831578947</v>
      </c>
      <c r="N114" s="108">
        <f t="shared" si="27"/>
        <v>7246.89031578947</v>
      </c>
      <c r="O114" s="108"/>
      <c r="P114" s="108"/>
      <c r="Q114" s="108"/>
      <c r="R114" s="108"/>
      <c r="S114" s="108">
        <f>S113/57</f>
        <v>0</v>
      </c>
      <c r="T114" s="108">
        <f t="shared" si="24"/>
        <v>-32615.7236491228</v>
      </c>
      <c r="U114" s="83"/>
      <c r="V114" s="84"/>
      <c r="W114" s="82"/>
      <c r="X114" s="82"/>
      <c r="Y114" s="82"/>
      <c r="Z114" s="82"/>
      <c r="AA114" s="82"/>
      <c r="AB114" s="82"/>
      <c r="AC114" s="82"/>
      <c r="AD114" s="82"/>
    </row>
    <row r="115" hidden="1" spans="1:30">
      <c r="A115" s="82"/>
      <c r="B115" s="109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1"/>
      <c r="U115" s="83"/>
      <c r="V115" s="84"/>
      <c r="W115" s="82"/>
      <c r="X115" s="82"/>
      <c r="Y115" s="82"/>
      <c r="Z115" s="82"/>
      <c r="AA115" s="82"/>
      <c r="AB115" s="82"/>
      <c r="AC115" s="82"/>
      <c r="AD115" s="82"/>
    </row>
    <row r="116" hidden="1" spans="1:30">
      <c r="A116" s="82"/>
      <c r="B116" s="112" t="s">
        <v>151</v>
      </c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4"/>
      <c r="U116" s="83"/>
      <c r="V116" s="84"/>
      <c r="W116" s="82"/>
      <c r="X116" s="82"/>
      <c r="Y116" s="82"/>
      <c r="Z116" s="82"/>
      <c r="AA116" s="82"/>
      <c r="AB116" s="82"/>
      <c r="AC116" s="82"/>
      <c r="AD116" s="82"/>
    </row>
    <row r="117" hidden="1" spans="1:30">
      <c r="A117" s="82"/>
      <c r="B117" s="89" t="s">
        <v>243</v>
      </c>
      <c r="C117" s="90">
        <v>45816</v>
      </c>
      <c r="D117" s="90">
        <v>45843</v>
      </c>
      <c r="E117" s="90">
        <v>45875</v>
      </c>
      <c r="F117" s="90">
        <v>45907</v>
      </c>
      <c r="G117" s="90">
        <v>45938</v>
      </c>
      <c r="H117" s="90">
        <v>45969</v>
      </c>
      <c r="I117" s="115">
        <v>45999</v>
      </c>
      <c r="J117" s="115"/>
      <c r="K117" s="115"/>
      <c r="L117" s="115"/>
      <c r="M117" s="92"/>
      <c r="N117" s="92"/>
      <c r="O117" s="92"/>
      <c r="P117" s="92"/>
      <c r="Q117" s="92"/>
      <c r="R117" s="92"/>
      <c r="S117" s="92"/>
      <c r="T117" s="93" t="s">
        <v>244</v>
      </c>
      <c r="U117" s="94" t="s">
        <v>21</v>
      </c>
      <c r="V117" s="95" t="s">
        <v>51</v>
      </c>
      <c r="W117" s="82"/>
      <c r="X117" s="82"/>
      <c r="Y117" s="82"/>
      <c r="Z117" s="82"/>
      <c r="AA117" s="82"/>
      <c r="AB117" s="82"/>
      <c r="AC117" s="82"/>
      <c r="AD117" s="82"/>
    </row>
    <row r="118" hidden="1" spans="1:30">
      <c r="A118" s="82"/>
      <c r="B118" s="99" t="s">
        <v>252</v>
      </c>
      <c r="C118" s="117"/>
      <c r="D118" s="117"/>
      <c r="E118" s="100">
        <v>34534</v>
      </c>
      <c r="F118" s="117">
        <v>0</v>
      </c>
      <c r="G118" s="117">
        <v>0</v>
      </c>
      <c r="H118" s="117"/>
      <c r="I118" s="117"/>
      <c r="J118" s="117"/>
      <c r="K118" s="117"/>
      <c r="L118" s="117"/>
      <c r="M118" s="100"/>
      <c r="N118" s="100"/>
      <c r="O118" s="100"/>
      <c r="P118" s="100"/>
      <c r="Q118" s="100"/>
      <c r="R118" s="100"/>
      <c r="S118" s="100"/>
      <c r="T118" s="100">
        <f t="shared" ref="T118:T129" si="28">SUM(C118:I118)</f>
        <v>34534</v>
      </c>
      <c r="U118" s="94">
        <f>[1]汇总!LQ14</f>
        <v>1</v>
      </c>
      <c r="V118" s="102">
        <f>T118/T127</f>
        <v>0.192893978858074</v>
      </c>
      <c r="W118" s="82"/>
      <c r="X118" s="82"/>
      <c r="Y118" s="82"/>
      <c r="Z118" s="82"/>
      <c r="AA118" s="82"/>
      <c r="AB118" s="82"/>
      <c r="AC118" s="82"/>
      <c r="AD118" s="82"/>
    </row>
    <row r="119" hidden="1" spans="1:30">
      <c r="A119" s="82"/>
      <c r="B119" s="103" t="s">
        <v>253</v>
      </c>
      <c r="C119" s="101"/>
      <c r="D119" s="117"/>
      <c r="E119" s="101">
        <v>4792.94</v>
      </c>
      <c r="F119" s="117">
        <v>1442.405</v>
      </c>
      <c r="G119" s="117">
        <v>0</v>
      </c>
      <c r="H119" s="117"/>
      <c r="I119" s="117"/>
      <c r="J119" s="117"/>
      <c r="K119" s="117"/>
      <c r="L119" s="117"/>
      <c r="M119" s="100"/>
      <c r="N119" s="100"/>
      <c r="O119" s="100"/>
      <c r="P119" s="100"/>
      <c r="Q119" s="100"/>
      <c r="R119" s="100"/>
      <c r="S119" s="100"/>
      <c r="T119" s="100">
        <f t="shared" si="28"/>
        <v>6235.345</v>
      </c>
      <c r="U119" s="83"/>
      <c r="V119" s="84"/>
      <c r="W119" s="82"/>
      <c r="X119" s="82"/>
      <c r="Y119" s="82"/>
      <c r="Z119" s="82"/>
      <c r="AA119" s="82"/>
      <c r="AB119" s="82"/>
      <c r="AC119" s="82"/>
      <c r="AD119" s="82"/>
    </row>
    <row r="120" hidden="1" spans="1:30">
      <c r="A120" s="82"/>
      <c r="B120" s="103" t="s">
        <v>254</v>
      </c>
      <c r="C120" s="101"/>
      <c r="D120" s="117"/>
      <c r="E120" s="101">
        <v>2675.645</v>
      </c>
      <c r="F120" s="117">
        <v>0</v>
      </c>
      <c r="G120" s="117">
        <v>0</v>
      </c>
      <c r="H120" s="117"/>
      <c r="I120" s="117"/>
      <c r="J120" s="117"/>
      <c r="K120" s="117"/>
      <c r="L120" s="117"/>
      <c r="M120" s="100"/>
      <c r="N120" s="100"/>
      <c r="O120" s="100"/>
      <c r="P120" s="100"/>
      <c r="Q120" s="100"/>
      <c r="R120" s="100"/>
      <c r="S120" s="100"/>
      <c r="T120" s="100">
        <f t="shared" si="28"/>
        <v>2675.645</v>
      </c>
      <c r="U120" s="83"/>
      <c r="V120" s="84"/>
      <c r="W120" s="82"/>
      <c r="X120" s="82"/>
      <c r="Y120" s="82"/>
      <c r="Z120" s="82"/>
      <c r="AA120" s="82"/>
      <c r="AB120" s="82"/>
      <c r="AC120" s="82"/>
      <c r="AD120" s="82"/>
    </row>
    <row r="121" hidden="1" spans="1:30">
      <c r="A121" s="82"/>
      <c r="B121" s="103" t="s">
        <v>255</v>
      </c>
      <c r="C121" s="101"/>
      <c r="D121" s="117"/>
      <c r="E121" s="101">
        <v>7970</v>
      </c>
      <c r="F121" s="117">
        <v>5940</v>
      </c>
      <c r="G121" s="117">
        <v>0</v>
      </c>
      <c r="H121" s="117"/>
      <c r="I121" s="117"/>
      <c r="J121" s="117"/>
      <c r="K121" s="117"/>
      <c r="L121" s="117"/>
      <c r="M121" s="100"/>
      <c r="N121" s="100"/>
      <c r="O121" s="100"/>
      <c r="P121" s="100"/>
      <c r="Q121" s="100"/>
      <c r="R121" s="100"/>
      <c r="S121" s="100"/>
      <c r="T121" s="100">
        <f t="shared" si="28"/>
        <v>13910</v>
      </c>
      <c r="U121" s="83"/>
      <c r="V121" s="84"/>
      <c r="W121" s="82"/>
      <c r="X121" s="82"/>
      <c r="Y121" s="82"/>
      <c r="Z121" s="82"/>
      <c r="AA121" s="82"/>
      <c r="AB121" s="82"/>
      <c r="AC121" s="82"/>
      <c r="AD121" s="82"/>
    </row>
    <row r="122" hidden="1" spans="1:30">
      <c r="A122" s="82"/>
      <c r="B122" s="104" t="s">
        <v>256</v>
      </c>
      <c r="C122" s="106"/>
      <c r="D122" s="106"/>
      <c r="E122" s="106">
        <v>0</v>
      </c>
      <c r="F122" s="106">
        <v>0</v>
      </c>
      <c r="G122" s="106">
        <v>0</v>
      </c>
      <c r="H122" s="106"/>
      <c r="I122" s="106"/>
      <c r="J122" s="106"/>
      <c r="K122" s="106"/>
      <c r="L122" s="106"/>
      <c r="M122" s="107"/>
      <c r="N122" s="107"/>
      <c r="O122" s="107"/>
      <c r="P122" s="107"/>
      <c r="Q122" s="107"/>
      <c r="R122" s="107"/>
      <c r="S122" s="107"/>
      <c r="T122" s="107">
        <f t="shared" si="28"/>
        <v>0</v>
      </c>
      <c r="U122" s="83"/>
      <c r="V122" s="84"/>
      <c r="W122" s="82"/>
      <c r="X122" s="82"/>
      <c r="Y122" s="82"/>
      <c r="Z122" s="82"/>
      <c r="AA122" s="82"/>
      <c r="AB122" s="82"/>
      <c r="AC122" s="82"/>
      <c r="AD122" s="82"/>
    </row>
    <row r="123" hidden="1" spans="1:30">
      <c r="A123" s="82"/>
      <c r="B123" s="103" t="s">
        <v>257</v>
      </c>
      <c r="C123" s="100"/>
      <c r="D123" s="101"/>
      <c r="E123" s="100">
        <v>102487</v>
      </c>
      <c r="F123" s="101">
        <v>0</v>
      </c>
      <c r="G123" s="101">
        <v>53723</v>
      </c>
      <c r="H123" s="101"/>
      <c r="I123" s="101"/>
      <c r="J123" s="101"/>
      <c r="K123" s="101"/>
      <c r="L123" s="101"/>
      <c r="M123" s="100"/>
      <c r="N123" s="100"/>
      <c r="O123" s="100"/>
      <c r="P123" s="100"/>
      <c r="Q123" s="100"/>
      <c r="R123" s="100"/>
      <c r="S123" s="100"/>
      <c r="T123" s="100">
        <f t="shared" si="28"/>
        <v>156210</v>
      </c>
      <c r="U123" s="83"/>
      <c r="V123" s="84"/>
      <c r="W123" s="82"/>
      <c r="X123" s="82"/>
      <c r="Y123" s="82"/>
      <c r="Z123" s="82"/>
      <c r="AA123" s="82"/>
      <c r="AB123" s="82"/>
      <c r="AC123" s="82"/>
      <c r="AD123" s="82"/>
    </row>
    <row r="124" hidden="1" spans="1:30">
      <c r="A124" s="82"/>
      <c r="B124" s="104" t="s">
        <v>259</v>
      </c>
      <c r="C124" s="106"/>
      <c r="D124" s="106"/>
      <c r="E124" s="106">
        <v>0</v>
      </c>
      <c r="F124" s="106">
        <v>0</v>
      </c>
      <c r="G124" s="106">
        <v>0</v>
      </c>
      <c r="H124" s="106"/>
      <c r="I124" s="106"/>
      <c r="J124" s="106"/>
      <c r="K124" s="106"/>
      <c r="L124" s="106"/>
      <c r="M124" s="107"/>
      <c r="N124" s="107"/>
      <c r="O124" s="107"/>
      <c r="P124" s="107"/>
      <c r="Q124" s="107"/>
      <c r="R124" s="107"/>
      <c r="S124" s="107"/>
      <c r="T124" s="107">
        <f t="shared" si="28"/>
        <v>0</v>
      </c>
      <c r="U124" s="83"/>
      <c r="V124" s="84"/>
      <c r="W124" s="82"/>
      <c r="X124" s="82"/>
      <c r="Y124" s="82"/>
      <c r="Z124" s="82"/>
      <c r="AA124" s="82"/>
      <c r="AB124" s="82"/>
      <c r="AC124" s="82"/>
      <c r="AD124" s="82"/>
    </row>
    <row r="125" hidden="1" spans="1:30">
      <c r="A125" s="82"/>
      <c r="B125" s="104" t="s">
        <v>260</v>
      </c>
      <c r="C125" s="106"/>
      <c r="D125" s="106"/>
      <c r="E125" s="106">
        <v>0</v>
      </c>
      <c r="F125" s="106">
        <v>0</v>
      </c>
      <c r="G125" s="106">
        <v>0</v>
      </c>
      <c r="H125" s="106"/>
      <c r="I125" s="106"/>
      <c r="J125" s="106"/>
      <c r="K125" s="106"/>
      <c r="L125" s="106"/>
      <c r="M125" s="107"/>
      <c r="N125" s="107"/>
      <c r="O125" s="107"/>
      <c r="P125" s="107"/>
      <c r="Q125" s="107"/>
      <c r="R125" s="107"/>
      <c r="S125" s="107"/>
      <c r="T125" s="107">
        <f t="shared" si="28"/>
        <v>0</v>
      </c>
      <c r="U125" s="83"/>
      <c r="V125" s="84"/>
      <c r="W125" s="82"/>
      <c r="X125" s="82"/>
      <c r="Y125" s="82"/>
      <c r="Z125" s="82"/>
      <c r="AA125" s="82"/>
      <c r="AB125" s="82"/>
      <c r="AC125" s="82"/>
      <c r="AD125" s="82"/>
    </row>
    <row r="126" hidden="1" spans="1:30">
      <c r="A126" s="82"/>
      <c r="B126" s="104" t="s">
        <v>261</v>
      </c>
      <c r="C126" s="106"/>
      <c r="D126" s="106"/>
      <c r="E126" s="106">
        <v>0</v>
      </c>
      <c r="F126" s="106">
        <v>0</v>
      </c>
      <c r="G126" s="106">
        <v>0</v>
      </c>
      <c r="H126" s="106"/>
      <c r="I126" s="106"/>
      <c r="J126" s="106"/>
      <c r="K126" s="106"/>
      <c r="L126" s="106"/>
      <c r="M126" s="107"/>
      <c r="N126" s="107"/>
      <c r="O126" s="107"/>
      <c r="P126" s="107"/>
      <c r="Q126" s="107"/>
      <c r="R126" s="107"/>
      <c r="S126" s="107"/>
      <c r="T126" s="107">
        <f t="shared" si="28"/>
        <v>0</v>
      </c>
      <c r="U126" s="83"/>
      <c r="V126" s="84"/>
      <c r="W126" s="82"/>
      <c r="X126" s="82"/>
      <c r="Y126" s="82"/>
      <c r="Z126" s="82"/>
      <c r="AA126" s="82"/>
      <c r="AB126" s="82"/>
      <c r="AC126" s="82"/>
      <c r="AD126" s="82"/>
    </row>
    <row r="127" hidden="1" spans="1:30">
      <c r="A127" s="82"/>
      <c r="B127" s="99" t="s">
        <v>262</v>
      </c>
      <c r="C127" s="100">
        <f t="shared" ref="C127:I127" si="29">SUM(C119:C126)</f>
        <v>0</v>
      </c>
      <c r="D127" s="100">
        <f t="shared" si="29"/>
        <v>0</v>
      </c>
      <c r="E127" s="100">
        <f t="shared" si="29"/>
        <v>117925.585</v>
      </c>
      <c r="F127" s="100">
        <f t="shared" si="29"/>
        <v>7382.405</v>
      </c>
      <c r="G127" s="100">
        <f t="shared" si="29"/>
        <v>53723</v>
      </c>
      <c r="H127" s="100">
        <f t="shared" si="29"/>
        <v>0</v>
      </c>
      <c r="I127" s="100">
        <f t="shared" si="29"/>
        <v>0</v>
      </c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>
        <f t="shared" si="28"/>
        <v>179030.99</v>
      </c>
      <c r="U127" s="83"/>
      <c r="V127" s="84"/>
      <c r="W127" s="82"/>
      <c r="X127" s="82"/>
      <c r="Y127" s="82"/>
      <c r="Z127" s="82"/>
      <c r="AA127" s="82"/>
      <c r="AB127" s="82"/>
      <c r="AC127" s="82"/>
      <c r="AD127" s="82"/>
    </row>
    <row r="128" hidden="1" spans="1:30">
      <c r="A128" s="82"/>
      <c r="B128" s="89" t="s">
        <v>263</v>
      </c>
      <c r="C128" s="108">
        <f t="shared" ref="C128:I128" si="30">C118-C127</f>
        <v>0</v>
      </c>
      <c r="D128" s="108">
        <f t="shared" si="30"/>
        <v>0</v>
      </c>
      <c r="E128" s="108">
        <f t="shared" si="30"/>
        <v>-83391.585</v>
      </c>
      <c r="F128" s="108">
        <f t="shared" si="30"/>
        <v>-7382.405</v>
      </c>
      <c r="G128" s="108">
        <f t="shared" si="30"/>
        <v>-53723</v>
      </c>
      <c r="H128" s="108">
        <f t="shared" si="30"/>
        <v>0</v>
      </c>
      <c r="I128" s="108">
        <f t="shared" si="30"/>
        <v>0</v>
      </c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>
        <f t="shared" si="28"/>
        <v>-144496.99</v>
      </c>
      <c r="U128" s="83"/>
      <c r="V128" s="84"/>
      <c r="W128" s="82"/>
      <c r="X128" s="82"/>
      <c r="Y128" s="82"/>
      <c r="Z128" s="82"/>
      <c r="AA128" s="82"/>
      <c r="AB128" s="82"/>
      <c r="AC128" s="82"/>
      <c r="AD128" s="82"/>
    </row>
    <row r="129" hidden="1" spans="1:30">
      <c r="A129" s="82"/>
      <c r="B129" s="89" t="s">
        <v>264</v>
      </c>
      <c r="C129" s="108">
        <f t="shared" ref="C129:I129" si="31">C128/57</f>
        <v>0</v>
      </c>
      <c r="D129" s="108">
        <f t="shared" si="31"/>
        <v>0</v>
      </c>
      <c r="E129" s="108">
        <f t="shared" si="31"/>
        <v>-1463.01026315789</v>
      </c>
      <c r="F129" s="108">
        <f t="shared" si="31"/>
        <v>-129.515877192982</v>
      </c>
      <c r="G129" s="108">
        <f t="shared" si="31"/>
        <v>-942.508771929825</v>
      </c>
      <c r="H129" s="108">
        <f t="shared" si="31"/>
        <v>0</v>
      </c>
      <c r="I129" s="108">
        <f t="shared" si="31"/>
        <v>0</v>
      </c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>
        <f t="shared" si="28"/>
        <v>-2535.0349122807</v>
      </c>
      <c r="U129" s="83"/>
      <c r="V129" s="84"/>
      <c r="W129" s="82"/>
      <c r="X129" s="82"/>
      <c r="Y129" s="82"/>
      <c r="Z129" s="82"/>
      <c r="AA129" s="82"/>
      <c r="AB129" s="82"/>
      <c r="AC129" s="82"/>
      <c r="AD129" s="82"/>
    </row>
    <row r="130" hidden="1" spans="1:30">
      <c r="A130" s="82"/>
      <c r="B130" s="109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1"/>
      <c r="U130" s="83"/>
      <c r="V130" s="84"/>
      <c r="W130" s="82"/>
      <c r="X130" s="82"/>
      <c r="Y130" s="82"/>
      <c r="Z130" s="82"/>
      <c r="AA130" s="82"/>
      <c r="AB130" s="82"/>
      <c r="AC130" s="82"/>
      <c r="AD130" s="82"/>
    </row>
    <row r="131" hidden="1" spans="1:30">
      <c r="A131" s="82"/>
      <c r="B131" s="112" t="s">
        <v>150</v>
      </c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4"/>
      <c r="U131" s="83"/>
      <c r="V131" s="84"/>
      <c r="W131" s="82"/>
      <c r="X131" s="82"/>
      <c r="Y131" s="82"/>
      <c r="Z131" s="82"/>
      <c r="AA131" s="82"/>
      <c r="AB131" s="82"/>
      <c r="AC131" s="82"/>
      <c r="AD131" s="82"/>
    </row>
    <row r="132" hidden="1" spans="1:30">
      <c r="A132" s="82"/>
      <c r="B132" s="89" t="s">
        <v>243</v>
      </c>
      <c r="C132" s="90">
        <v>45812</v>
      </c>
      <c r="D132" s="90">
        <v>45843</v>
      </c>
      <c r="E132" s="90">
        <v>45875</v>
      </c>
      <c r="F132" s="90">
        <v>45907</v>
      </c>
      <c r="G132" s="90">
        <v>45938</v>
      </c>
      <c r="H132" s="90">
        <v>45969</v>
      </c>
      <c r="I132" s="115">
        <v>45999</v>
      </c>
      <c r="J132" s="91">
        <v>46031</v>
      </c>
      <c r="K132" s="91">
        <v>46063</v>
      </c>
      <c r="L132" s="91">
        <v>46092</v>
      </c>
      <c r="M132" s="91">
        <v>46124</v>
      </c>
      <c r="N132" s="91">
        <v>46155</v>
      </c>
      <c r="O132" s="91">
        <v>46187</v>
      </c>
      <c r="P132" s="91">
        <v>46218</v>
      </c>
      <c r="Q132" s="91"/>
      <c r="R132" s="91"/>
      <c r="S132" s="92"/>
      <c r="T132" s="93" t="s">
        <v>244</v>
      </c>
      <c r="U132" s="94" t="s">
        <v>21</v>
      </c>
      <c r="V132" s="95" t="s">
        <v>51</v>
      </c>
      <c r="W132" s="82"/>
      <c r="X132" s="82"/>
      <c r="Y132" s="82"/>
      <c r="Z132" s="82"/>
      <c r="AA132" s="82"/>
      <c r="AB132" s="82"/>
      <c r="AC132" s="82"/>
      <c r="AD132" s="82"/>
    </row>
    <row r="133" hidden="1" spans="1:30">
      <c r="A133" s="82"/>
      <c r="B133" s="99" t="s">
        <v>252</v>
      </c>
      <c r="C133" s="100"/>
      <c r="D133" s="100"/>
      <c r="E133" s="100"/>
      <c r="F133" s="100"/>
      <c r="G133" s="100"/>
      <c r="H133" s="100"/>
      <c r="I133" s="100"/>
      <c r="J133" s="101"/>
      <c r="K133" s="100"/>
      <c r="L133" s="100"/>
      <c r="M133" s="100"/>
      <c r="N133" s="100"/>
      <c r="O133" s="100">
        <v>118489.79</v>
      </c>
      <c r="P133" s="100">
        <f>汇总!W14</f>
        <v>129655</v>
      </c>
      <c r="Q133" s="100"/>
      <c r="R133" s="100"/>
      <c r="S133" s="100"/>
      <c r="T133" s="100">
        <f t="shared" ref="T133:T145" si="32">SUM(C133:R133)</f>
        <v>248144.79</v>
      </c>
      <c r="U133" s="94">
        <f>当日汇总!B12+当日汇总!C12</f>
        <v>1</v>
      </c>
      <c r="V133" s="102">
        <f>T133/T143</f>
        <v>0.523831982566438</v>
      </c>
      <c r="W133" s="82"/>
      <c r="X133" s="82"/>
      <c r="Y133" s="82"/>
      <c r="Z133" s="82"/>
      <c r="AA133" s="82"/>
      <c r="AB133" s="82"/>
      <c r="AC133" s="82"/>
      <c r="AD133" s="82"/>
    </row>
    <row r="134" hidden="1" spans="1:30">
      <c r="A134" s="82"/>
      <c r="B134" s="103" t="s">
        <v>253</v>
      </c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0">
        <v>20804.232</v>
      </c>
      <c r="P134" s="100">
        <f>汇总!AA14</f>
        <v>23949.27</v>
      </c>
      <c r="Q134" s="100"/>
      <c r="R134" s="100"/>
      <c r="S134" s="100"/>
      <c r="T134" s="100">
        <f t="shared" si="32"/>
        <v>44753.502</v>
      </c>
      <c r="U134" s="83"/>
      <c r="V134" s="84"/>
      <c r="W134" s="82"/>
      <c r="X134" s="82"/>
      <c r="Y134" s="82"/>
      <c r="Z134" s="82"/>
      <c r="AA134" s="82"/>
      <c r="AB134" s="82"/>
      <c r="AC134" s="82"/>
      <c r="AD134" s="82"/>
    </row>
    <row r="135" hidden="1" spans="1:30">
      <c r="A135" s="82"/>
      <c r="B135" s="103" t="s">
        <v>254</v>
      </c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0">
        <v>20018.67</v>
      </c>
      <c r="P135" s="100">
        <f>汇总!Z14</f>
        <v>33604.48</v>
      </c>
      <c r="Q135" s="100"/>
      <c r="R135" s="100"/>
      <c r="S135" s="100"/>
      <c r="T135" s="100">
        <f t="shared" si="32"/>
        <v>53623.15</v>
      </c>
      <c r="U135" s="83"/>
      <c r="V135" s="84"/>
      <c r="W135" s="82"/>
      <c r="X135" s="82"/>
      <c r="Y135" s="82"/>
      <c r="Z135" s="82"/>
      <c r="AA135" s="82"/>
      <c r="AB135" s="82"/>
      <c r="AC135" s="82"/>
      <c r="AD135" s="82"/>
    </row>
    <row r="136" hidden="1" spans="1:30">
      <c r="A136" s="82"/>
      <c r="B136" s="103" t="s">
        <v>255</v>
      </c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0">
        <v>45415</v>
      </c>
      <c r="P136" s="100">
        <f>汇总!X14</f>
        <v>150719</v>
      </c>
      <c r="Q136" s="100"/>
      <c r="R136" s="100"/>
      <c r="S136" s="100"/>
      <c r="T136" s="100">
        <f t="shared" si="32"/>
        <v>196134</v>
      </c>
      <c r="U136" s="83"/>
      <c r="V136" s="84"/>
      <c r="W136" s="82"/>
      <c r="X136" s="82"/>
      <c r="Y136" s="82"/>
      <c r="Z136" s="82"/>
      <c r="AA136" s="82"/>
      <c r="AB136" s="82"/>
      <c r="AC136" s="82"/>
      <c r="AD136" s="82"/>
    </row>
    <row r="137" hidden="1" spans="1:30">
      <c r="A137" s="82"/>
      <c r="B137" s="104" t="s">
        <v>256</v>
      </c>
      <c r="C137" s="105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7">
        <v>0</v>
      </c>
      <c r="P137" s="107">
        <v>0</v>
      </c>
      <c r="Q137" s="107"/>
      <c r="R137" s="107"/>
      <c r="S137" s="107"/>
      <c r="T137" s="100">
        <f t="shared" si="32"/>
        <v>0</v>
      </c>
      <c r="U137" s="83"/>
      <c r="V137" s="84"/>
      <c r="W137" s="82"/>
      <c r="X137" s="82"/>
      <c r="Y137" s="82"/>
      <c r="Z137" s="82"/>
      <c r="AA137" s="82"/>
      <c r="AB137" s="82"/>
      <c r="AC137" s="82"/>
      <c r="AD137" s="82"/>
    </row>
    <row r="138" hidden="1" spans="1:30">
      <c r="A138" s="82"/>
      <c r="B138" s="103" t="s">
        <v>257</v>
      </c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>
        <v>96000</v>
      </c>
      <c r="P138" s="100">
        <f>汇总!AB14</f>
        <v>83200</v>
      </c>
      <c r="Q138" s="100"/>
      <c r="R138" s="100"/>
      <c r="S138" s="100"/>
      <c r="T138" s="100">
        <f t="shared" si="32"/>
        <v>179200</v>
      </c>
      <c r="U138" s="83"/>
      <c r="V138" s="84"/>
      <c r="W138" s="82"/>
      <c r="X138" s="82"/>
      <c r="Y138" s="82"/>
      <c r="Z138" s="82"/>
      <c r="AA138" s="82"/>
      <c r="AB138" s="82"/>
      <c r="AC138" s="82"/>
      <c r="AD138" s="82"/>
    </row>
    <row r="139" hidden="1" spans="1:30">
      <c r="A139" s="82"/>
      <c r="B139" s="103" t="s">
        <v>258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>
        <v>0</v>
      </c>
      <c r="P139" s="100">
        <f>汇总!AC14</f>
        <v>0</v>
      </c>
      <c r="Q139" s="100"/>
      <c r="R139" s="100"/>
      <c r="S139" s="100"/>
      <c r="T139" s="100">
        <f t="shared" si="32"/>
        <v>0</v>
      </c>
      <c r="U139" s="83"/>
      <c r="V139" s="84"/>
      <c r="W139" s="82"/>
      <c r="X139" s="82"/>
      <c r="Y139" s="82"/>
      <c r="Z139" s="82"/>
      <c r="AA139" s="82"/>
      <c r="AB139" s="82"/>
      <c r="AC139" s="82"/>
      <c r="AD139" s="82"/>
    </row>
    <row r="140" hidden="1" spans="1:30">
      <c r="A140" s="82"/>
      <c r="B140" s="104" t="s">
        <v>259</v>
      </c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7">
        <v>0</v>
      </c>
      <c r="P140" s="107">
        <v>0</v>
      </c>
      <c r="Q140" s="107"/>
      <c r="R140" s="107"/>
      <c r="S140" s="107"/>
      <c r="T140" s="100">
        <f t="shared" si="32"/>
        <v>0</v>
      </c>
      <c r="U140" s="83"/>
      <c r="V140" s="84"/>
      <c r="W140" s="82"/>
      <c r="X140" s="82"/>
      <c r="Y140" s="82"/>
      <c r="Z140" s="82"/>
      <c r="AA140" s="82"/>
      <c r="AB140" s="82"/>
      <c r="AC140" s="82"/>
      <c r="AD140" s="82"/>
    </row>
    <row r="141" hidden="1" spans="1:30">
      <c r="A141" s="82"/>
      <c r="B141" s="104" t="s">
        <v>260</v>
      </c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7">
        <v>0</v>
      </c>
      <c r="P141" s="107"/>
      <c r="Q141" s="107"/>
      <c r="R141" s="107"/>
      <c r="S141" s="107"/>
      <c r="T141" s="100">
        <f t="shared" si="32"/>
        <v>0</v>
      </c>
      <c r="U141" s="83"/>
      <c r="V141" s="84"/>
      <c r="W141" s="82"/>
      <c r="X141" s="82"/>
      <c r="Y141" s="82"/>
      <c r="Z141" s="82"/>
      <c r="AA141" s="82"/>
      <c r="AB141" s="82"/>
      <c r="AC141" s="82"/>
      <c r="AD141" s="82"/>
    </row>
    <row r="142" hidden="1" spans="1:30">
      <c r="A142" s="82"/>
      <c r="B142" s="104" t="s">
        <v>261</v>
      </c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7">
        <v>0</v>
      </c>
      <c r="P142" s="107">
        <v>0</v>
      </c>
      <c r="Q142" s="107"/>
      <c r="R142" s="107"/>
      <c r="S142" s="107"/>
      <c r="T142" s="100">
        <f t="shared" si="32"/>
        <v>0</v>
      </c>
      <c r="U142" s="83"/>
      <c r="V142" s="84"/>
      <c r="W142" s="82"/>
      <c r="X142" s="82"/>
      <c r="Y142" s="82"/>
      <c r="Z142" s="82"/>
      <c r="AA142" s="82"/>
      <c r="AB142" s="82"/>
      <c r="AC142" s="82"/>
      <c r="AD142" s="82"/>
    </row>
    <row r="143" hidden="1" spans="1:30">
      <c r="A143" s="82"/>
      <c r="B143" s="99" t="s">
        <v>262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>
        <v>182237.902</v>
      </c>
      <c r="P143" s="100">
        <f t="shared" ref="O143:S143" si="33">SUM(P134:P142)</f>
        <v>291472.75</v>
      </c>
      <c r="Q143" s="100"/>
      <c r="R143" s="100"/>
      <c r="S143" s="100">
        <f t="shared" si="33"/>
        <v>0</v>
      </c>
      <c r="T143" s="100">
        <f t="shared" si="32"/>
        <v>473710.652</v>
      </c>
      <c r="U143" s="83"/>
      <c r="V143" s="84"/>
      <c r="W143" s="82"/>
      <c r="X143" s="82"/>
      <c r="Y143" s="82"/>
      <c r="Z143" s="82"/>
      <c r="AA143" s="82"/>
      <c r="AB143" s="82"/>
      <c r="AC143" s="82"/>
      <c r="AD143" s="82"/>
    </row>
    <row r="144" hidden="1" spans="1:30">
      <c r="A144" s="82"/>
      <c r="B144" s="89" t="s">
        <v>263</v>
      </c>
      <c r="C144" s="108">
        <f t="shared" ref="C144:P144" si="34">C133-C143</f>
        <v>0</v>
      </c>
      <c r="D144" s="108">
        <f t="shared" si="34"/>
        <v>0</v>
      </c>
      <c r="E144" s="108">
        <f t="shared" si="34"/>
        <v>0</v>
      </c>
      <c r="F144" s="108">
        <f t="shared" si="34"/>
        <v>0</v>
      </c>
      <c r="G144" s="108">
        <f t="shared" si="34"/>
        <v>0</v>
      </c>
      <c r="H144" s="108">
        <f t="shared" si="34"/>
        <v>0</v>
      </c>
      <c r="I144" s="108">
        <f t="shared" si="34"/>
        <v>0</v>
      </c>
      <c r="J144" s="108">
        <f t="shared" si="34"/>
        <v>0</v>
      </c>
      <c r="K144" s="108">
        <f t="shared" si="34"/>
        <v>0</v>
      </c>
      <c r="L144" s="108">
        <f t="shared" si="34"/>
        <v>0</v>
      </c>
      <c r="M144" s="108">
        <f t="shared" si="34"/>
        <v>0</v>
      </c>
      <c r="N144" s="108">
        <f t="shared" si="34"/>
        <v>0</v>
      </c>
      <c r="O144" s="108">
        <f t="shared" si="34"/>
        <v>-63748.112</v>
      </c>
      <c r="P144" s="108">
        <f t="shared" si="34"/>
        <v>-161817.75</v>
      </c>
      <c r="Q144" s="108"/>
      <c r="R144" s="108"/>
      <c r="S144" s="108">
        <f>S133-S143</f>
        <v>0</v>
      </c>
      <c r="T144" s="108">
        <f t="shared" si="32"/>
        <v>-225565.862</v>
      </c>
      <c r="U144" s="83"/>
      <c r="V144" s="84"/>
      <c r="W144" s="82"/>
      <c r="X144" s="82"/>
      <c r="Y144" s="82"/>
      <c r="Z144" s="82"/>
      <c r="AA144" s="82"/>
      <c r="AB144" s="82"/>
      <c r="AC144" s="82"/>
      <c r="AD144" s="82"/>
    </row>
    <row r="145" hidden="1" spans="1:30">
      <c r="A145" s="82"/>
      <c r="B145" s="89" t="s">
        <v>264</v>
      </c>
      <c r="C145" s="108">
        <f t="shared" ref="C145:P145" si="35">C144/60</f>
        <v>0</v>
      </c>
      <c r="D145" s="108">
        <f t="shared" si="35"/>
        <v>0</v>
      </c>
      <c r="E145" s="108">
        <f t="shared" si="35"/>
        <v>0</v>
      </c>
      <c r="F145" s="108">
        <f t="shared" si="35"/>
        <v>0</v>
      </c>
      <c r="G145" s="108">
        <f t="shared" si="35"/>
        <v>0</v>
      </c>
      <c r="H145" s="108">
        <f t="shared" si="35"/>
        <v>0</v>
      </c>
      <c r="I145" s="108">
        <f t="shared" si="35"/>
        <v>0</v>
      </c>
      <c r="J145" s="108">
        <f t="shared" si="35"/>
        <v>0</v>
      </c>
      <c r="K145" s="108">
        <f t="shared" si="35"/>
        <v>0</v>
      </c>
      <c r="L145" s="108">
        <f t="shared" si="35"/>
        <v>0</v>
      </c>
      <c r="M145" s="108">
        <f t="shared" si="35"/>
        <v>0</v>
      </c>
      <c r="N145" s="108">
        <f t="shared" si="35"/>
        <v>0</v>
      </c>
      <c r="O145" s="108">
        <f t="shared" si="35"/>
        <v>-1062.46853333333</v>
      </c>
      <c r="P145" s="108">
        <f t="shared" si="35"/>
        <v>-2696.9625</v>
      </c>
      <c r="Q145" s="108"/>
      <c r="R145" s="108"/>
      <c r="S145" s="108">
        <f>S144/57</f>
        <v>0</v>
      </c>
      <c r="T145" s="108">
        <f t="shared" si="32"/>
        <v>-3759.43103333333</v>
      </c>
      <c r="U145" s="83"/>
      <c r="V145" s="84"/>
      <c r="W145" s="82"/>
      <c r="X145" s="82"/>
      <c r="Y145" s="82"/>
      <c r="Z145" s="82"/>
      <c r="AA145" s="82"/>
      <c r="AB145" s="82"/>
      <c r="AC145" s="82"/>
      <c r="AD145" s="82"/>
    </row>
    <row r="146" spans="1:30">
      <c r="A146" s="82"/>
      <c r="B146" s="109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1"/>
      <c r="U146" s="83"/>
      <c r="V146" s="84"/>
      <c r="W146" s="82"/>
      <c r="X146" s="82"/>
      <c r="Y146" s="82"/>
      <c r="Z146" s="82"/>
      <c r="AA146" s="82"/>
      <c r="AB146" s="82"/>
      <c r="AC146" s="82"/>
      <c r="AD146" s="82"/>
    </row>
    <row r="147" hidden="1" spans="1:30">
      <c r="A147" s="82"/>
      <c r="B147" s="112" t="s">
        <v>161</v>
      </c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4"/>
      <c r="U147" s="83"/>
      <c r="V147" s="84"/>
      <c r="W147" s="82"/>
      <c r="X147" s="82"/>
      <c r="Y147" s="82"/>
      <c r="Z147" s="82"/>
      <c r="AA147" s="82"/>
      <c r="AB147" s="82"/>
      <c r="AC147" s="82"/>
      <c r="AD147" s="82"/>
    </row>
    <row r="148" hidden="1" spans="1:30">
      <c r="A148" s="82"/>
      <c r="B148" s="89" t="s">
        <v>243</v>
      </c>
      <c r="C148" s="90">
        <v>45812</v>
      </c>
      <c r="D148" s="90">
        <v>45843</v>
      </c>
      <c r="E148" s="90">
        <v>45875</v>
      </c>
      <c r="F148" s="118">
        <v>45907</v>
      </c>
      <c r="G148" s="90">
        <v>45938</v>
      </c>
      <c r="H148" s="90">
        <v>45969</v>
      </c>
      <c r="I148" s="115">
        <v>45999</v>
      </c>
      <c r="J148" s="115"/>
      <c r="K148" s="115"/>
      <c r="L148" s="115"/>
      <c r="M148" s="92"/>
      <c r="N148" s="92"/>
      <c r="O148" s="92"/>
      <c r="P148" s="92"/>
      <c r="Q148" s="92"/>
      <c r="R148" s="92"/>
      <c r="S148" s="92"/>
      <c r="T148" s="93" t="s">
        <v>244</v>
      </c>
      <c r="U148" s="94" t="s">
        <v>21</v>
      </c>
      <c r="V148" s="95" t="s">
        <v>51</v>
      </c>
      <c r="W148" s="82"/>
      <c r="X148" s="82"/>
      <c r="Y148" s="82"/>
      <c r="Z148" s="82"/>
      <c r="AA148" s="82"/>
      <c r="AB148" s="82"/>
      <c r="AC148" s="82"/>
      <c r="AD148" s="82"/>
    </row>
    <row r="149" hidden="1" spans="1:30">
      <c r="A149" s="82"/>
      <c r="B149" s="99" t="s">
        <v>252</v>
      </c>
      <c r="C149" s="117">
        <v>333820</v>
      </c>
      <c r="D149" s="117">
        <v>294683</v>
      </c>
      <c r="E149" s="100">
        <v>341164</v>
      </c>
      <c r="F149" s="117"/>
      <c r="G149" s="117"/>
      <c r="H149" s="117"/>
      <c r="I149" s="117"/>
      <c r="J149" s="117"/>
      <c r="K149" s="117"/>
      <c r="L149" s="117"/>
      <c r="M149" s="100"/>
      <c r="N149" s="100"/>
      <c r="O149" s="100"/>
      <c r="P149" s="100"/>
      <c r="Q149" s="100"/>
      <c r="R149" s="100"/>
      <c r="S149" s="100"/>
      <c r="T149" s="100">
        <f t="shared" ref="T149:T160" si="36">SUM(C149:I149)</f>
        <v>969667</v>
      </c>
      <c r="U149" s="94">
        <f>[1]汇总!LQ19</f>
        <v>0</v>
      </c>
      <c r="V149" s="102">
        <f>T149/T158</f>
        <v>0.749657525815989</v>
      </c>
      <c r="W149" s="82"/>
      <c r="X149" s="82"/>
      <c r="Y149" s="82"/>
      <c r="Z149" s="82"/>
      <c r="AA149" s="82"/>
      <c r="AB149" s="82"/>
      <c r="AC149" s="82"/>
      <c r="AD149" s="82"/>
    </row>
    <row r="150" hidden="1" spans="1:30">
      <c r="A150" s="82"/>
      <c r="B150" s="99" t="s">
        <v>265</v>
      </c>
      <c r="C150" s="101">
        <v>28628.859</v>
      </c>
      <c r="D150" s="101">
        <v>25453.777</v>
      </c>
      <c r="E150" s="101">
        <v>31313.377</v>
      </c>
      <c r="F150" s="101"/>
      <c r="G150" s="101"/>
      <c r="H150" s="101"/>
      <c r="I150" s="101"/>
      <c r="J150" s="101"/>
      <c r="K150" s="101"/>
      <c r="L150" s="101"/>
      <c r="M150" s="100"/>
      <c r="N150" s="100"/>
      <c r="O150" s="100"/>
      <c r="P150" s="100"/>
      <c r="Q150" s="100"/>
      <c r="R150" s="100"/>
      <c r="S150" s="100"/>
      <c r="T150" s="100">
        <f t="shared" si="36"/>
        <v>85396.013</v>
      </c>
      <c r="U150" s="83"/>
      <c r="V150" s="84"/>
      <c r="W150" s="82"/>
      <c r="X150" s="82"/>
      <c r="Y150" s="82"/>
      <c r="Z150" s="82"/>
      <c r="AA150" s="82"/>
      <c r="AB150" s="82"/>
      <c r="AC150" s="82"/>
      <c r="AD150" s="82"/>
    </row>
    <row r="151" hidden="1" spans="1:30">
      <c r="A151" s="82"/>
      <c r="B151" s="99" t="s">
        <v>266</v>
      </c>
      <c r="C151" s="101">
        <v>120495.595</v>
      </c>
      <c r="D151" s="101">
        <v>85969.07</v>
      </c>
      <c r="E151" s="101">
        <v>72658.3</v>
      </c>
      <c r="F151" s="101"/>
      <c r="G151" s="101"/>
      <c r="H151" s="101"/>
      <c r="I151" s="101"/>
      <c r="J151" s="101"/>
      <c r="K151" s="101"/>
      <c r="L151" s="101"/>
      <c r="M151" s="100"/>
      <c r="N151" s="100"/>
      <c r="O151" s="100"/>
      <c r="P151" s="100"/>
      <c r="Q151" s="100"/>
      <c r="R151" s="100"/>
      <c r="S151" s="100"/>
      <c r="T151" s="100">
        <f t="shared" si="36"/>
        <v>279122.965</v>
      </c>
      <c r="U151" s="83"/>
      <c r="V151" s="84"/>
      <c r="W151" s="82"/>
      <c r="X151" s="82"/>
      <c r="Y151" s="82"/>
      <c r="Z151" s="82"/>
      <c r="AA151" s="82"/>
      <c r="AB151" s="82"/>
      <c r="AC151" s="82"/>
      <c r="AD151" s="82"/>
    </row>
    <row r="152" hidden="1" spans="1:30">
      <c r="A152" s="82"/>
      <c r="B152" s="103" t="s">
        <v>255</v>
      </c>
      <c r="C152" s="101">
        <v>14530</v>
      </c>
      <c r="D152" s="101">
        <v>40650</v>
      </c>
      <c r="E152" s="101">
        <v>4300</v>
      </c>
      <c r="F152" s="101"/>
      <c r="G152" s="101"/>
      <c r="H152" s="101"/>
      <c r="I152" s="101"/>
      <c r="J152" s="101"/>
      <c r="K152" s="101"/>
      <c r="L152" s="101"/>
      <c r="M152" s="100"/>
      <c r="N152" s="100"/>
      <c r="O152" s="100"/>
      <c r="P152" s="100"/>
      <c r="Q152" s="100"/>
      <c r="R152" s="100"/>
      <c r="S152" s="100"/>
      <c r="T152" s="100">
        <f t="shared" si="36"/>
        <v>59480</v>
      </c>
      <c r="U152" s="83"/>
      <c r="V152" s="84"/>
      <c r="W152" s="82"/>
      <c r="X152" s="82"/>
      <c r="Y152" s="82"/>
      <c r="Z152" s="82"/>
      <c r="AA152" s="82"/>
      <c r="AB152" s="82"/>
      <c r="AC152" s="82"/>
      <c r="AD152" s="82"/>
    </row>
    <row r="153" hidden="1" spans="1:30">
      <c r="A153" s="82"/>
      <c r="B153" s="104" t="s">
        <v>256</v>
      </c>
      <c r="C153" s="106">
        <v>0</v>
      </c>
      <c r="D153" s="106">
        <v>0</v>
      </c>
      <c r="E153" s="106">
        <v>0</v>
      </c>
      <c r="F153" s="106"/>
      <c r="G153" s="106"/>
      <c r="H153" s="106"/>
      <c r="I153" s="106"/>
      <c r="J153" s="106"/>
      <c r="K153" s="106"/>
      <c r="L153" s="106"/>
      <c r="M153" s="107"/>
      <c r="N153" s="107"/>
      <c r="O153" s="107"/>
      <c r="P153" s="107"/>
      <c r="Q153" s="107"/>
      <c r="R153" s="107"/>
      <c r="S153" s="107"/>
      <c r="T153" s="107">
        <f t="shared" si="36"/>
        <v>0</v>
      </c>
      <c r="U153" s="83"/>
      <c r="V153" s="84"/>
      <c r="W153" s="82"/>
      <c r="X153" s="82"/>
      <c r="Y153" s="82"/>
      <c r="Z153" s="82"/>
      <c r="AA153" s="82"/>
      <c r="AB153" s="82"/>
      <c r="AC153" s="82"/>
      <c r="AD153" s="82"/>
    </row>
    <row r="154" hidden="1" spans="1:30">
      <c r="A154" s="82"/>
      <c r="B154" s="103" t="s">
        <v>257</v>
      </c>
      <c r="C154" s="100">
        <v>396781</v>
      </c>
      <c r="D154" s="101">
        <v>228346</v>
      </c>
      <c r="E154" s="100">
        <v>228346</v>
      </c>
      <c r="F154" s="101"/>
      <c r="G154" s="101"/>
      <c r="H154" s="101"/>
      <c r="I154" s="101"/>
      <c r="J154" s="101"/>
      <c r="K154" s="101"/>
      <c r="L154" s="101"/>
      <c r="M154" s="100"/>
      <c r="N154" s="100"/>
      <c r="O154" s="100"/>
      <c r="P154" s="100"/>
      <c r="Q154" s="100"/>
      <c r="R154" s="100"/>
      <c r="S154" s="100"/>
      <c r="T154" s="100">
        <f t="shared" si="36"/>
        <v>853473</v>
      </c>
      <c r="U154" s="83"/>
      <c r="V154" s="84"/>
      <c r="W154" s="82"/>
      <c r="X154" s="82"/>
      <c r="Y154" s="82"/>
      <c r="Z154" s="82"/>
      <c r="AA154" s="82"/>
      <c r="AB154" s="82"/>
      <c r="AC154" s="82"/>
      <c r="AD154" s="82"/>
    </row>
    <row r="155" hidden="1" spans="1:30">
      <c r="A155" s="82"/>
      <c r="B155" s="104" t="s">
        <v>259</v>
      </c>
      <c r="C155" s="106">
        <v>0</v>
      </c>
      <c r="D155" s="106">
        <v>4250</v>
      </c>
      <c r="E155" s="106">
        <v>3400</v>
      </c>
      <c r="F155" s="106"/>
      <c r="G155" s="106"/>
      <c r="H155" s="106"/>
      <c r="I155" s="106"/>
      <c r="J155" s="106"/>
      <c r="K155" s="106"/>
      <c r="L155" s="106"/>
      <c r="M155" s="107"/>
      <c r="N155" s="107"/>
      <c r="O155" s="107"/>
      <c r="P155" s="107"/>
      <c r="Q155" s="107"/>
      <c r="R155" s="107"/>
      <c r="S155" s="107"/>
      <c r="T155" s="107">
        <f t="shared" si="36"/>
        <v>7650</v>
      </c>
      <c r="U155" s="83"/>
      <c r="V155" s="84"/>
      <c r="W155" s="82"/>
      <c r="X155" s="82"/>
      <c r="Y155" s="82"/>
      <c r="Z155" s="82"/>
      <c r="AA155" s="82"/>
      <c r="AB155" s="82"/>
      <c r="AC155" s="82"/>
      <c r="AD155" s="82"/>
    </row>
    <row r="156" hidden="1" spans="1:30">
      <c r="A156" s="82"/>
      <c r="B156" s="104" t="s">
        <v>260</v>
      </c>
      <c r="C156" s="106">
        <v>8358</v>
      </c>
      <c r="D156" s="106">
        <v>0</v>
      </c>
      <c r="E156" s="106">
        <v>0</v>
      </c>
      <c r="F156" s="106"/>
      <c r="G156" s="106"/>
      <c r="H156" s="106"/>
      <c r="I156" s="106"/>
      <c r="J156" s="106"/>
      <c r="K156" s="106"/>
      <c r="L156" s="106"/>
      <c r="M156" s="107"/>
      <c r="N156" s="107"/>
      <c r="O156" s="107"/>
      <c r="P156" s="107"/>
      <c r="Q156" s="107"/>
      <c r="R156" s="107"/>
      <c r="S156" s="107"/>
      <c r="T156" s="107">
        <f t="shared" si="36"/>
        <v>8358</v>
      </c>
      <c r="U156" s="83"/>
      <c r="V156" s="84"/>
      <c r="W156" s="82"/>
      <c r="X156" s="82"/>
      <c r="Y156" s="82"/>
      <c r="Z156" s="82"/>
      <c r="AA156" s="82"/>
      <c r="AB156" s="82"/>
      <c r="AC156" s="82"/>
      <c r="AD156" s="82"/>
    </row>
    <row r="157" hidden="1" spans="1:30">
      <c r="A157" s="82"/>
      <c r="B157" s="104" t="s">
        <v>261</v>
      </c>
      <c r="C157" s="106">
        <v>0</v>
      </c>
      <c r="D157" s="106">
        <v>0</v>
      </c>
      <c r="E157" s="106">
        <v>0</v>
      </c>
      <c r="F157" s="106"/>
      <c r="G157" s="106"/>
      <c r="H157" s="106"/>
      <c r="I157" s="106"/>
      <c r="J157" s="106"/>
      <c r="K157" s="106"/>
      <c r="L157" s="106"/>
      <c r="M157" s="107"/>
      <c r="N157" s="107"/>
      <c r="O157" s="107"/>
      <c r="P157" s="107"/>
      <c r="Q157" s="107"/>
      <c r="R157" s="107"/>
      <c r="S157" s="107"/>
      <c r="T157" s="107">
        <f t="shared" si="36"/>
        <v>0</v>
      </c>
      <c r="U157" s="83"/>
      <c r="V157" s="84"/>
      <c r="W157" s="82"/>
      <c r="X157" s="82"/>
      <c r="Y157" s="82"/>
      <c r="Z157" s="82"/>
      <c r="AA157" s="82"/>
      <c r="AB157" s="82"/>
      <c r="AC157" s="82"/>
      <c r="AD157" s="82"/>
    </row>
    <row r="158" hidden="1" spans="1:30">
      <c r="A158" s="82"/>
      <c r="B158" s="99" t="s">
        <v>262</v>
      </c>
      <c r="C158" s="100">
        <f t="shared" ref="C158:I158" si="37">SUM(C150:C157)</f>
        <v>568793.454</v>
      </c>
      <c r="D158" s="100">
        <f t="shared" si="37"/>
        <v>384668.847</v>
      </c>
      <c r="E158" s="100">
        <f t="shared" si="37"/>
        <v>340017.677</v>
      </c>
      <c r="F158" s="100">
        <f t="shared" si="37"/>
        <v>0</v>
      </c>
      <c r="G158" s="100">
        <f t="shared" si="37"/>
        <v>0</v>
      </c>
      <c r="H158" s="100">
        <f t="shared" si="37"/>
        <v>0</v>
      </c>
      <c r="I158" s="100">
        <f t="shared" si="37"/>
        <v>0</v>
      </c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>
        <f t="shared" si="36"/>
        <v>1293479.978</v>
      </c>
      <c r="U158" s="83"/>
      <c r="V158" s="84"/>
      <c r="W158" s="82"/>
      <c r="X158" s="82"/>
      <c r="Y158" s="82"/>
      <c r="Z158" s="82"/>
      <c r="AA158" s="82"/>
      <c r="AB158" s="82"/>
      <c r="AC158" s="82"/>
      <c r="AD158" s="82"/>
    </row>
    <row r="159" hidden="1" spans="1:30">
      <c r="A159" s="82"/>
      <c r="B159" s="89" t="s">
        <v>267</v>
      </c>
      <c r="C159" s="108">
        <f t="shared" ref="C159:I159" si="38">C149-C158</f>
        <v>-234973.454</v>
      </c>
      <c r="D159" s="108">
        <f t="shared" si="38"/>
        <v>-89985.847</v>
      </c>
      <c r="E159" s="108">
        <f t="shared" si="38"/>
        <v>1146.32299999997</v>
      </c>
      <c r="F159" s="108">
        <f t="shared" si="38"/>
        <v>0</v>
      </c>
      <c r="G159" s="108">
        <f t="shared" si="38"/>
        <v>0</v>
      </c>
      <c r="H159" s="108">
        <f t="shared" si="38"/>
        <v>0</v>
      </c>
      <c r="I159" s="108">
        <f t="shared" si="38"/>
        <v>0</v>
      </c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>
        <f t="shared" si="36"/>
        <v>-323812.978</v>
      </c>
      <c r="U159" s="83"/>
      <c r="V159" s="84"/>
      <c r="W159" s="82"/>
      <c r="X159" s="82"/>
      <c r="Y159" s="82"/>
      <c r="Z159" s="82"/>
      <c r="AA159" s="82"/>
      <c r="AB159" s="82"/>
      <c r="AC159" s="82"/>
      <c r="AD159" s="82"/>
    </row>
    <row r="160" hidden="1" spans="1:30">
      <c r="A160" s="82"/>
      <c r="B160" s="89" t="s">
        <v>264</v>
      </c>
      <c r="C160" s="108">
        <f t="shared" ref="C160:I160" si="39">C159/123</f>
        <v>-1910.35328455285</v>
      </c>
      <c r="D160" s="108">
        <f t="shared" si="39"/>
        <v>-731.59225203252</v>
      </c>
      <c r="E160" s="108">
        <f t="shared" si="39"/>
        <v>9.31969918699166</v>
      </c>
      <c r="F160" s="108">
        <f t="shared" si="39"/>
        <v>0</v>
      </c>
      <c r="G160" s="108">
        <f t="shared" si="39"/>
        <v>0</v>
      </c>
      <c r="H160" s="108">
        <f t="shared" si="39"/>
        <v>0</v>
      </c>
      <c r="I160" s="108">
        <f t="shared" si="39"/>
        <v>0</v>
      </c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>
        <f t="shared" si="36"/>
        <v>-2632.62583739837</v>
      </c>
      <c r="U160" s="83"/>
      <c r="V160" s="84"/>
      <c r="W160" s="82"/>
      <c r="X160" s="82"/>
      <c r="Y160" s="82"/>
      <c r="Z160" s="82"/>
      <c r="AA160" s="82"/>
      <c r="AB160" s="82"/>
      <c r="AC160" s="82"/>
      <c r="AD160" s="82"/>
    </row>
    <row r="161" hidden="1" spans="1:30">
      <c r="A161" s="82"/>
      <c r="B161" s="109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1"/>
      <c r="U161" s="83"/>
      <c r="V161" s="84"/>
      <c r="W161" s="82"/>
      <c r="X161" s="82"/>
      <c r="Y161" s="82"/>
      <c r="Z161" s="82"/>
      <c r="AA161" s="82"/>
      <c r="AB161" s="82"/>
      <c r="AC161" s="82"/>
      <c r="AD161" s="82"/>
    </row>
    <row r="162" hidden="1" spans="1:30">
      <c r="A162" s="82"/>
      <c r="B162" s="112" t="s">
        <v>165</v>
      </c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4"/>
      <c r="U162" s="83"/>
      <c r="V162" s="84"/>
      <c r="W162" s="82"/>
      <c r="X162" s="82"/>
      <c r="Y162" s="82"/>
      <c r="Z162" s="82"/>
      <c r="AA162" s="82"/>
      <c r="AB162" s="82"/>
      <c r="AC162" s="82"/>
      <c r="AD162" s="82"/>
    </row>
    <row r="163" hidden="1" spans="1:30">
      <c r="A163" s="82"/>
      <c r="B163" s="89" t="s">
        <v>243</v>
      </c>
      <c r="C163" s="90">
        <v>45812</v>
      </c>
      <c r="D163" s="90">
        <v>45843</v>
      </c>
      <c r="E163" s="90">
        <v>45875</v>
      </c>
      <c r="F163" s="90">
        <v>45907</v>
      </c>
      <c r="G163" s="90">
        <v>45938</v>
      </c>
      <c r="H163" s="90">
        <v>45969</v>
      </c>
      <c r="I163" s="115">
        <v>45999</v>
      </c>
      <c r="J163" s="91">
        <v>46031</v>
      </c>
      <c r="K163" s="91">
        <v>46063</v>
      </c>
      <c r="L163" s="91">
        <v>46092</v>
      </c>
      <c r="M163" s="91">
        <v>46124</v>
      </c>
      <c r="N163" s="91">
        <v>46155</v>
      </c>
      <c r="O163" s="91">
        <v>46187</v>
      </c>
      <c r="P163" s="91">
        <v>46218</v>
      </c>
      <c r="Q163" s="91"/>
      <c r="R163" s="91"/>
      <c r="S163" s="92"/>
      <c r="T163" s="93" t="s">
        <v>244</v>
      </c>
      <c r="U163" s="94" t="s">
        <v>245</v>
      </c>
      <c r="V163" s="95" t="s">
        <v>51</v>
      </c>
      <c r="W163" s="82"/>
      <c r="X163" s="82"/>
      <c r="Y163" s="82"/>
      <c r="Z163" s="82"/>
      <c r="AA163" s="82"/>
      <c r="AB163" s="82"/>
      <c r="AC163" s="82"/>
      <c r="AD163" s="82"/>
    </row>
    <row r="164" hidden="1" spans="1:30">
      <c r="A164" s="82"/>
      <c r="B164" s="99" t="s">
        <v>252</v>
      </c>
      <c r="C164" s="100">
        <v>212473</v>
      </c>
      <c r="D164" s="100">
        <v>286548</v>
      </c>
      <c r="E164" s="100">
        <v>453643</v>
      </c>
      <c r="F164" s="100">
        <v>216919</v>
      </c>
      <c r="G164" s="100">
        <v>27369</v>
      </c>
      <c r="H164" s="100">
        <v>-189536</v>
      </c>
      <c r="I164" s="100">
        <v>672619</v>
      </c>
      <c r="J164" s="101">
        <v>140539.9857</v>
      </c>
      <c r="K164" s="100">
        <v>111959.93</v>
      </c>
      <c r="L164" s="100">
        <v>-222290</v>
      </c>
      <c r="M164" s="100">
        <v>169606</v>
      </c>
      <c r="N164" s="100">
        <v>137462</v>
      </c>
      <c r="O164" s="100"/>
      <c r="P164" s="100"/>
      <c r="Q164" s="100"/>
      <c r="R164" s="100"/>
      <c r="S164" s="100"/>
      <c r="T164" s="100">
        <f t="shared" ref="T164:T176" si="40">SUM(C164:N164)</f>
        <v>2017312.9157</v>
      </c>
      <c r="U164" s="94">
        <v>0</v>
      </c>
      <c r="V164" s="102">
        <f>T164/T174</f>
        <v>0.488570594603741</v>
      </c>
      <c r="W164" s="82"/>
      <c r="X164" s="82"/>
      <c r="Y164" s="82"/>
      <c r="Z164" s="82"/>
      <c r="AA164" s="82"/>
      <c r="AB164" s="82"/>
      <c r="AC164" s="82"/>
      <c r="AD164" s="82"/>
    </row>
    <row r="165" hidden="1" spans="1:30">
      <c r="A165" s="82"/>
      <c r="B165" s="103" t="s">
        <v>253</v>
      </c>
      <c r="C165" s="101">
        <v>38577.826</v>
      </c>
      <c r="D165" s="101">
        <v>48698.612</v>
      </c>
      <c r="E165" s="101">
        <v>88250.708</v>
      </c>
      <c r="F165" s="101">
        <v>37630.768</v>
      </c>
      <c r="G165" s="101">
        <v>0</v>
      </c>
      <c r="H165" s="101">
        <v>0</v>
      </c>
      <c r="I165" s="101">
        <v>132400.598</v>
      </c>
      <c r="J165" s="101">
        <v>0</v>
      </c>
      <c r="K165" s="101">
        <v>23798.368</v>
      </c>
      <c r="L165" s="101">
        <v>0</v>
      </c>
      <c r="M165" s="101">
        <v>36103.288</v>
      </c>
      <c r="N165" s="101">
        <v>13018.718</v>
      </c>
      <c r="O165" s="100"/>
      <c r="P165" s="100"/>
      <c r="Q165" s="100"/>
      <c r="R165" s="100"/>
      <c r="S165" s="100"/>
      <c r="T165" s="100">
        <f t="shared" si="40"/>
        <v>418478.886</v>
      </c>
      <c r="U165" s="83"/>
      <c r="V165" s="84"/>
      <c r="W165" s="82"/>
      <c r="X165" s="82"/>
      <c r="Y165" s="82"/>
      <c r="Z165" s="82"/>
      <c r="AA165" s="82"/>
      <c r="AB165" s="82"/>
      <c r="AC165" s="82"/>
      <c r="AD165" s="82"/>
    </row>
    <row r="166" hidden="1" spans="1:30">
      <c r="A166" s="82"/>
      <c r="B166" s="103" t="s">
        <v>268</v>
      </c>
      <c r="C166" s="101">
        <v>63630.05</v>
      </c>
      <c r="D166" s="101">
        <v>77040.81</v>
      </c>
      <c r="E166" s="101">
        <v>110249.7</v>
      </c>
      <c r="F166" s="101">
        <v>70298.305</v>
      </c>
      <c r="G166" s="101">
        <v>90453.825</v>
      </c>
      <c r="H166" s="101">
        <v>111125.74</v>
      </c>
      <c r="I166" s="101">
        <v>120014.95</v>
      </c>
      <c r="J166" s="101">
        <v>86504.35585</v>
      </c>
      <c r="K166" s="101">
        <v>186894.785</v>
      </c>
      <c r="L166" s="101">
        <v>209309.705</v>
      </c>
      <c r="M166" s="101">
        <v>110075.13</v>
      </c>
      <c r="N166" s="101">
        <v>134932.05</v>
      </c>
      <c r="O166" s="100"/>
      <c r="P166" s="100"/>
      <c r="Q166" s="100"/>
      <c r="R166" s="100"/>
      <c r="S166" s="100"/>
      <c r="T166" s="100">
        <f t="shared" si="40"/>
        <v>1370529.40585</v>
      </c>
      <c r="U166" s="83"/>
      <c r="V166" s="84"/>
      <c r="W166" s="82"/>
      <c r="X166" s="82"/>
      <c r="Y166" s="82"/>
      <c r="Z166" s="82"/>
      <c r="AA166" s="82"/>
      <c r="AB166" s="82"/>
      <c r="AC166" s="82"/>
      <c r="AD166" s="82"/>
    </row>
    <row r="167" hidden="1" spans="1:30">
      <c r="A167" s="82"/>
      <c r="B167" s="103" t="s">
        <v>255</v>
      </c>
      <c r="C167" s="101">
        <v>0</v>
      </c>
      <c r="D167" s="101">
        <v>0</v>
      </c>
      <c r="E167" s="101">
        <v>0</v>
      </c>
      <c r="F167" s="101">
        <v>0</v>
      </c>
      <c r="G167" s="101">
        <v>0</v>
      </c>
      <c r="H167" s="101">
        <v>29000</v>
      </c>
      <c r="I167" s="101">
        <v>10999.8</v>
      </c>
      <c r="J167" s="101">
        <v>0</v>
      </c>
      <c r="K167" s="101">
        <v>4167</v>
      </c>
      <c r="L167" s="101">
        <v>9998</v>
      </c>
      <c r="M167" s="101">
        <v>3166</v>
      </c>
      <c r="N167" s="101">
        <v>4832</v>
      </c>
      <c r="O167" s="100"/>
      <c r="P167" s="100"/>
      <c r="Q167" s="100"/>
      <c r="R167" s="100"/>
      <c r="S167" s="100"/>
      <c r="T167" s="100">
        <f t="shared" si="40"/>
        <v>62162.8</v>
      </c>
      <c r="U167" s="83"/>
      <c r="V167" s="84"/>
      <c r="W167" s="82"/>
      <c r="X167" s="82"/>
      <c r="Y167" s="82"/>
      <c r="Z167" s="82"/>
      <c r="AA167" s="82"/>
      <c r="AB167" s="82"/>
      <c r="AC167" s="82"/>
      <c r="AD167" s="82"/>
    </row>
    <row r="168" hidden="1" spans="1:30">
      <c r="A168" s="82"/>
      <c r="B168" s="104" t="s">
        <v>256</v>
      </c>
      <c r="C168" s="105">
        <v>0</v>
      </c>
      <c r="D168" s="106">
        <v>0</v>
      </c>
      <c r="E168" s="106">
        <v>0</v>
      </c>
      <c r="F168" s="106">
        <v>0</v>
      </c>
      <c r="G168" s="106">
        <v>0</v>
      </c>
      <c r="H168" s="106">
        <v>0</v>
      </c>
      <c r="I168" s="106">
        <v>0</v>
      </c>
      <c r="J168" s="106">
        <v>0</v>
      </c>
      <c r="K168" s="106">
        <v>0</v>
      </c>
      <c r="L168" s="106">
        <v>0</v>
      </c>
      <c r="M168" s="106">
        <v>0</v>
      </c>
      <c r="N168" s="106">
        <v>0</v>
      </c>
      <c r="O168" s="107"/>
      <c r="P168" s="107"/>
      <c r="Q168" s="107"/>
      <c r="R168" s="107"/>
      <c r="S168" s="107"/>
      <c r="T168" s="100">
        <f t="shared" si="40"/>
        <v>0</v>
      </c>
      <c r="U168" s="83"/>
      <c r="V168" s="84"/>
      <c r="W168" s="82"/>
      <c r="X168" s="82"/>
      <c r="Y168" s="82"/>
      <c r="Z168" s="82"/>
      <c r="AA168" s="82"/>
      <c r="AB168" s="82"/>
      <c r="AC168" s="82"/>
      <c r="AD168" s="82"/>
    </row>
    <row r="169" hidden="1" spans="1:30">
      <c r="A169" s="82"/>
      <c r="B169" s="103" t="s">
        <v>257</v>
      </c>
      <c r="C169" s="100">
        <v>198391</v>
      </c>
      <c r="D169" s="100">
        <v>202565</v>
      </c>
      <c r="E169" s="100">
        <v>202565</v>
      </c>
      <c r="F169" s="100">
        <v>511937</v>
      </c>
      <c r="G169" s="100">
        <v>228346</v>
      </c>
      <c r="H169" s="100">
        <v>110490</v>
      </c>
      <c r="I169" s="100">
        <v>114173</v>
      </c>
      <c r="J169" s="100">
        <v>210800</v>
      </c>
      <c r="K169" s="100">
        <v>222124</v>
      </c>
      <c r="L169" s="100">
        <v>245923</v>
      </c>
      <c r="M169" s="100">
        <v>0</v>
      </c>
      <c r="N169" s="100">
        <v>0</v>
      </c>
      <c r="O169" s="100"/>
      <c r="P169" s="100"/>
      <c r="Q169" s="100"/>
      <c r="R169" s="100"/>
      <c r="S169" s="100"/>
      <c r="T169" s="100">
        <f t="shared" si="40"/>
        <v>2247314</v>
      </c>
      <c r="U169" s="83"/>
      <c r="V169" s="84"/>
      <c r="W169" s="82"/>
      <c r="X169" s="82"/>
      <c r="Y169" s="82"/>
      <c r="Z169" s="82"/>
      <c r="AA169" s="82"/>
      <c r="AB169" s="82"/>
      <c r="AC169" s="82"/>
      <c r="AD169" s="82"/>
    </row>
    <row r="170" hidden="1" spans="1:30">
      <c r="A170" s="82"/>
      <c r="B170" s="103" t="s">
        <v>258</v>
      </c>
      <c r="C170" s="100">
        <v>0</v>
      </c>
      <c r="D170" s="100">
        <v>0</v>
      </c>
      <c r="E170" s="100">
        <v>0</v>
      </c>
      <c r="F170" s="100">
        <v>0</v>
      </c>
      <c r="G170" s="100">
        <v>0</v>
      </c>
      <c r="H170" s="100">
        <v>0</v>
      </c>
      <c r="I170" s="100">
        <v>0</v>
      </c>
      <c r="J170" s="100">
        <v>0</v>
      </c>
      <c r="K170" s="100">
        <v>0</v>
      </c>
      <c r="L170" s="100">
        <v>0</v>
      </c>
      <c r="M170" s="100">
        <v>0</v>
      </c>
      <c r="N170" s="100">
        <v>0</v>
      </c>
      <c r="O170" s="100"/>
      <c r="P170" s="100"/>
      <c r="Q170" s="100"/>
      <c r="R170" s="100"/>
      <c r="S170" s="100"/>
      <c r="T170" s="100">
        <f t="shared" si="40"/>
        <v>0</v>
      </c>
      <c r="U170" s="83"/>
      <c r="V170" s="84"/>
      <c r="W170" s="82"/>
      <c r="X170" s="82"/>
      <c r="Y170" s="82"/>
      <c r="Z170" s="82"/>
      <c r="AA170" s="82"/>
      <c r="AB170" s="82"/>
      <c r="AC170" s="82"/>
      <c r="AD170" s="82"/>
    </row>
    <row r="171" hidden="1" spans="1:30">
      <c r="A171" s="82"/>
      <c r="B171" s="104" t="s">
        <v>259</v>
      </c>
      <c r="C171" s="106">
        <v>0</v>
      </c>
      <c r="D171" s="106">
        <v>11050</v>
      </c>
      <c r="E171" s="106">
        <v>9350</v>
      </c>
      <c r="F171" s="106">
        <v>5950</v>
      </c>
      <c r="G171" s="106">
        <v>0</v>
      </c>
      <c r="H171" s="106">
        <v>0</v>
      </c>
      <c r="I171" s="106">
        <v>0</v>
      </c>
      <c r="J171" s="106">
        <v>0</v>
      </c>
      <c r="K171" s="106">
        <v>0</v>
      </c>
      <c r="L171" s="106">
        <v>0</v>
      </c>
      <c r="M171" s="106">
        <v>0</v>
      </c>
      <c r="N171" s="106">
        <v>0</v>
      </c>
      <c r="O171" s="107"/>
      <c r="P171" s="107"/>
      <c r="Q171" s="107"/>
      <c r="R171" s="107"/>
      <c r="S171" s="107"/>
      <c r="T171" s="100">
        <f t="shared" si="40"/>
        <v>26350</v>
      </c>
      <c r="U171" s="83"/>
      <c r="V171" s="84"/>
      <c r="W171" s="82"/>
      <c r="X171" s="82"/>
      <c r="Y171" s="82"/>
      <c r="Z171" s="82"/>
      <c r="AA171" s="82"/>
      <c r="AB171" s="82"/>
      <c r="AC171" s="82"/>
      <c r="AD171" s="82"/>
    </row>
    <row r="172" hidden="1" spans="1:30">
      <c r="A172" s="82"/>
      <c r="B172" s="104" t="s">
        <v>260</v>
      </c>
      <c r="C172" s="106">
        <v>1642</v>
      </c>
      <c r="D172" s="106">
        <v>0</v>
      </c>
      <c r="E172" s="106">
        <v>2533</v>
      </c>
      <c r="F172" s="106">
        <v>0</v>
      </c>
      <c r="G172" s="106">
        <v>0</v>
      </c>
      <c r="H172" s="106">
        <v>0</v>
      </c>
      <c r="I172" s="106">
        <v>0</v>
      </c>
      <c r="J172" s="106">
        <v>0</v>
      </c>
      <c r="K172" s="106">
        <v>0</v>
      </c>
      <c r="L172" s="106">
        <v>0</v>
      </c>
      <c r="M172" s="106">
        <v>0</v>
      </c>
      <c r="N172" s="106">
        <v>0</v>
      </c>
      <c r="O172" s="107"/>
      <c r="P172" s="107"/>
      <c r="Q172" s="107"/>
      <c r="R172" s="107"/>
      <c r="S172" s="107"/>
      <c r="T172" s="100">
        <f t="shared" si="40"/>
        <v>4175</v>
      </c>
      <c r="U172" s="83"/>
      <c r="V172" s="84"/>
      <c r="W172" s="82"/>
      <c r="X172" s="82"/>
      <c r="Y172" s="82"/>
      <c r="Z172" s="82"/>
      <c r="AA172" s="82"/>
      <c r="AB172" s="82"/>
      <c r="AC172" s="82"/>
      <c r="AD172" s="82"/>
    </row>
    <row r="173" hidden="1" spans="1:30">
      <c r="A173" s="82"/>
      <c r="B173" s="104" t="s">
        <v>261</v>
      </c>
      <c r="C173" s="106">
        <v>0</v>
      </c>
      <c r="D173" s="106">
        <v>0</v>
      </c>
      <c r="E173" s="106">
        <v>0</v>
      </c>
      <c r="F173" s="106">
        <v>0</v>
      </c>
      <c r="G173" s="106">
        <v>0</v>
      </c>
      <c r="H173" s="106">
        <v>0</v>
      </c>
      <c r="I173" s="106">
        <v>0</v>
      </c>
      <c r="J173" s="106">
        <v>0</v>
      </c>
      <c r="K173" s="106">
        <v>0</v>
      </c>
      <c r="L173" s="106">
        <v>0</v>
      </c>
      <c r="M173" s="106">
        <v>0</v>
      </c>
      <c r="N173" s="106">
        <v>0</v>
      </c>
      <c r="O173" s="107"/>
      <c r="P173" s="107"/>
      <c r="Q173" s="107"/>
      <c r="R173" s="107"/>
      <c r="S173" s="107"/>
      <c r="T173" s="100">
        <f t="shared" si="40"/>
        <v>0</v>
      </c>
      <c r="U173" s="83"/>
      <c r="V173" s="84"/>
      <c r="W173" s="82"/>
      <c r="X173" s="82"/>
      <c r="Y173" s="82"/>
      <c r="Z173" s="82"/>
      <c r="AA173" s="82"/>
      <c r="AB173" s="82"/>
      <c r="AC173" s="82"/>
      <c r="AD173" s="82"/>
    </row>
    <row r="174" hidden="1" spans="1:30">
      <c r="A174" s="82"/>
      <c r="B174" s="99" t="s">
        <v>262</v>
      </c>
      <c r="C174" s="100">
        <f t="shared" ref="C174:N174" si="41">SUM(C165:C173)</f>
        <v>302240.876</v>
      </c>
      <c r="D174" s="100">
        <f t="shared" si="41"/>
        <v>339354.422</v>
      </c>
      <c r="E174" s="100">
        <f t="shared" si="41"/>
        <v>412948.408</v>
      </c>
      <c r="F174" s="100">
        <f t="shared" si="41"/>
        <v>625816.073</v>
      </c>
      <c r="G174" s="100">
        <f t="shared" si="41"/>
        <v>318799.825</v>
      </c>
      <c r="H174" s="100">
        <f t="shared" si="41"/>
        <v>250615.74</v>
      </c>
      <c r="I174" s="100">
        <f t="shared" si="41"/>
        <v>377588.348</v>
      </c>
      <c r="J174" s="100">
        <f t="shared" si="41"/>
        <v>297304.35585</v>
      </c>
      <c r="K174" s="100">
        <f t="shared" si="41"/>
        <v>436984.153</v>
      </c>
      <c r="L174" s="100">
        <f t="shared" si="41"/>
        <v>465230.705</v>
      </c>
      <c r="M174" s="100">
        <f t="shared" si="41"/>
        <v>149344.418</v>
      </c>
      <c r="N174" s="100">
        <f t="shared" si="41"/>
        <v>152782.768</v>
      </c>
      <c r="O174" s="100"/>
      <c r="P174" s="100"/>
      <c r="Q174" s="100"/>
      <c r="R174" s="100"/>
      <c r="S174" s="100">
        <f>SUM(S165:S173)</f>
        <v>0</v>
      </c>
      <c r="T174" s="100">
        <f t="shared" si="40"/>
        <v>4129010.09185</v>
      </c>
      <c r="U174" s="83"/>
      <c r="V174" s="84"/>
      <c r="W174" s="82"/>
      <c r="X174" s="82"/>
      <c r="Y174" s="82"/>
      <c r="Z174" s="82"/>
      <c r="AA174" s="82"/>
      <c r="AB174" s="82"/>
      <c r="AC174" s="82"/>
      <c r="AD174" s="82"/>
    </row>
    <row r="175" hidden="1" spans="1:30">
      <c r="A175" s="82"/>
      <c r="B175" s="89" t="s">
        <v>267</v>
      </c>
      <c r="C175" s="108">
        <f t="shared" ref="C175:N175" si="42">C164-C174</f>
        <v>-89767.876</v>
      </c>
      <c r="D175" s="108">
        <f t="shared" si="42"/>
        <v>-52806.422</v>
      </c>
      <c r="E175" s="108">
        <f t="shared" si="42"/>
        <v>40694.592</v>
      </c>
      <c r="F175" s="108">
        <f t="shared" si="42"/>
        <v>-408897.073</v>
      </c>
      <c r="G175" s="108">
        <f t="shared" si="42"/>
        <v>-291430.825</v>
      </c>
      <c r="H175" s="108">
        <f t="shared" si="42"/>
        <v>-440151.74</v>
      </c>
      <c r="I175" s="108">
        <f t="shared" si="42"/>
        <v>295030.652</v>
      </c>
      <c r="J175" s="108">
        <f t="shared" si="42"/>
        <v>-156764.37015</v>
      </c>
      <c r="K175" s="108">
        <f t="shared" si="42"/>
        <v>-325024.223</v>
      </c>
      <c r="L175" s="108">
        <f t="shared" si="42"/>
        <v>-687520.705</v>
      </c>
      <c r="M175" s="108">
        <f t="shared" si="42"/>
        <v>20261.582</v>
      </c>
      <c r="N175" s="108">
        <f t="shared" si="42"/>
        <v>-15320.768</v>
      </c>
      <c r="O175" s="108"/>
      <c r="P175" s="108"/>
      <c r="Q175" s="108"/>
      <c r="R175" s="108"/>
      <c r="S175" s="108">
        <f>S164-S174</f>
        <v>0</v>
      </c>
      <c r="T175" s="108">
        <f t="shared" si="40"/>
        <v>-2111697.17615</v>
      </c>
      <c r="U175" s="83"/>
      <c r="V175" s="84"/>
      <c r="W175" s="82"/>
      <c r="X175" s="82"/>
      <c r="Y175" s="82"/>
      <c r="Z175" s="82"/>
      <c r="AA175" s="82"/>
      <c r="AB175" s="82"/>
      <c r="AC175" s="82"/>
      <c r="AD175" s="82"/>
    </row>
    <row r="176" hidden="1" spans="1:30">
      <c r="A176" s="82"/>
      <c r="B176" s="89" t="s">
        <v>264</v>
      </c>
      <c r="C176" s="108">
        <f t="shared" ref="C176:N176" si="43">C175/123</f>
        <v>-729.820130081301</v>
      </c>
      <c r="D176" s="108">
        <f t="shared" si="43"/>
        <v>-429.320504065041</v>
      </c>
      <c r="E176" s="108">
        <f t="shared" si="43"/>
        <v>330.850341463415</v>
      </c>
      <c r="F176" s="108">
        <f t="shared" si="43"/>
        <v>-3324.36644715447</v>
      </c>
      <c r="G176" s="108">
        <f t="shared" si="43"/>
        <v>-2369.35630081301</v>
      </c>
      <c r="H176" s="108">
        <f t="shared" si="43"/>
        <v>-3578.46943089431</v>
      </c>
      <c r="I176" s="108">
        <f t="shared" si="43"/>
        <v>2398.62318699187</v>
      </c>
      <c r="J176" s="108">
        <f t="shared" si="43"/>
        <v>-1274.50707439024</v>
      </c>
      <c r="K176" s="108">
        <f t="shared" si="43"/>
        <v>-2642.47335772358</v>
      </c>
      <c r="L176" s="108">
        <f t="shared" si="43"/>
        <v>-5589.59922764228</v>
      </c>
      <c r="M176" s="108">
        <f t="shared" si="43"/>
        <v>164.728308943089</v>
      </c>
      <c r="N176" s="108">
        <f t="shared" si="43"/>
        <v>-124.559089430894</v>
      </c>
      <c r="O176" s="108"/>
      <c r="P176" s="108"/>
      <c r="Q176" s="108"/>
      <c r="R176" s="108"/>
      <c r="S176" s="108">
        <f>S175/120</f>
        <v>0</v>
      </c>
      <c r="T176" s="108">
        <f t="shared" si="40"/>
        <v>-17168.2697247967</v>
      </c>
      <c r="U176" s="83"/>
      <c r="V176" s="84"/>
      <c r="W176" s="82"/>
      <c r="X176" s="82"/>
      <c r="Y176" s="82"/>
      <c r="Z176" s="82"/>
      <c r="AA176" s="82"/>
      <c r="AB176" s="82"/>
      <c r="AC176" s="82"/>
      <c r="AD176" s="82"/>
    </row>
    <row r="177" hidden="1" spans="1:30">
      <c r="A177" s="82"/>
      <c r="B177" s="109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1"/>
      <c r="U177" s="83"/>
      <c r="V177" s="84"/>
      <c r="W177" s="82"/>
      <c r="X177" s="82"/>
      <c r="Y177" s="82"/>
      <c r="Z177" s="82"/>
      <c r="AA177" s="82"/>
      <c r="AB177" s="82"/>
      <c r="AC177" s="82"/>
      <c r="AD177" s="82"/>
    </row>
    <row r="178" hidden="1" spans="1:30">
      <c r="A178" s="82"/>
      <c r="B178" s="112" t="s">
        <v>169</v>
      </c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4"/>
      <c r="U178" s="83"/>
      <c r="V178" s="84"/>
      <c r="W178" s="82"/>
      <c r="X178" s="82"/>
      <c r="Y178" s="82"/>
      <c r="Z178" s="82"/>
      <c r="AA178" s="82"/>
      <c r="AB178" s="82"/>
      <c r="AC178" s="82"/>
      <c r="AD178" s="82"/>
    </row>
    <row r="179" hidden="1" spans="1:30">
      <c r="A179" s="82"/>
      <c r="B179" s="89" t="s">
        <v>243</v>
      </c>
      <c r="C179" s="90">
        <v>45812</v>
      </c>
      <c r="D179" s="90">
        <v>45843</v>
      </c>
      <c r="E179" s="90">
        <v>45875</v>
      </c>
      <c r="F179" s="118">
        <v>45907</v>
      </c>
      <c r="G179" s="90">
        <v>45938</v>
      </c>
      <c r="H179" s="90">
        <v>45969</v>
      </c>
      <c r="I179" s="115">
        <v>45999</v>
      </c>
      <c r="J179" s="115"/>
      <c r="K179" s="115"/>
      <c r="L179" s="115"/>
      <c r="M179" s="92"/>
      <c r="N179" s="92"/>
      <c r="O179" s="92"/>
      <c r="P179" s="92"/>
      <c r="Q179" s="92"/>
      <c r="R179" s="92"/>
      <c r="S179" s="92"/>
      <c r="T179" s="93" t="s">
        <v>244</v>
      </c>
      <c r="U179" s="94" t="s">
        <v>21</v>
      </c>
      <c r="V179" s="95" t="s">
        <v>51</v>
      </c>
      <c r="W179" s="82"/>
      <c r="X179" s="82"/>
      <c r="Y179" s="82"/>
      <c r="Z179" s="82"/>
      <c r="AA179" s="82"/>
      <c r="AB179" s="82"/>
      <c r="AC179" s="82"/>
      <c r="AD179" s="82"/>
    </row>
    <row r="180" hidden="1" spans="1:30">
      <c r="A180" s="82"/>
      <c r="B180" s="99" t="s">
        <v>252</v>
      </c>
      <c r="C180" s="117">
        <v>221458</v>
      </c>
      <c r="D180" s="117">
        <v>283105</v>
      </c>
      <c r="E180" s="100">
        <v>52745</v>
      </c>
      <c r="F180" s="117"/>
      <c r="G180" s="117"/>
      <c r="H180" s="117"/>
      <c r="I180" s="117"/>
      <c r="J180" s="117"/>
      <c r="K180" s="117"/>
      <c r="L180" s="117"/>
      <c r="M180" s="100"/>
      <c r="N180" s="100"/>
      <c r="O180" s="100"/>
      <c r="P180" s="100"/>
      <c r="Q180" s="100"/>
      <c r="R180" s="100"/>
      <c r="S180" s="100"/>
      <c r="T180" s="100">
        <f t="shared" ref="T180:T191" si="44">SUM(C180:I180)</f>
        <v>557308</v>
      </c>
      <c r="U180" s="94">
        <f>[1]汇总!LQ21</f>
        <v>0</v>
      </c>
      <c r="V180" s="102">
        <f>T180/T189</f>
        <v>0.461100333853361</v>
      </c>
      <c r="W180" s="82"/>
      <c r="X180" s="82"/>
      <c r="Y180" s="82"/>
      <c r="Z180" s="82"/>
      <c r="AA180" s="82"/>
      <c r="AB180" s="82"/>
      <c r="AC180" s="82"/>
      <c r="AD180" s="82"/>
    </row>
    <row r="181" hidden="1" spans="1:30">
      <c r="A181" s="82"/>
      <c r="B181" s="99" t="s">
        <v>265</v>
      </c>
      <c r="C181" s="101">
        <v>33521.514</v>
      </c>
      <c r="D181" s="101">
        <v>41111.174</v>
      </c>
      <c r="E181" s="101">
        <v>-5693.98</v>
      </c>
      <c r="F181" s="101"/>
      <c r="G181" s="101"/>
      <c r="H181" s="101"/>
      <c r="I181" s="101"/>
      <c r="J181" s="101"/>
      <c r="K181" s="101"/>
      <c r="L181" s="101"/>
      <c r="M181" s="100"/>
      <c r="N181" s="100"/>
      <c r="O181" s="100"/>
      <c r="P181" s="100"/>
      <c r="Q181" s="100"/>
      <c r="R181" s="100"/>
      <c r="S181" s="100"/>
      <c r="T181" s="100">
        <f t="shared" si="44"/>
        <v>68938.708</v>
      </c>
      <c r="U181" s="83"/>
      <c r="V181" s="84"/>
      <c r="W181" s="82"/>
      <c r="X181" s="82"/>
      <c r="Y181" s="82"/>
      <c r="Z181" s="82"/>
      <c r="AA181" s="82"/>
      <c r="AB181" s="82"/>
      <c r="AC181" s="82"/>
      <c r="AD181" s="82"/>
    </row>
    <row r="182" hidden="1" spans="1:30">
      <c r="A182" s="82"/>
      <c r="B182" s="99" t="s">
        <v>266</v>
      </c>
      <c r="C182" s="101">
        <v>62846.41</v>
      </c>
      <c r="D182" s="101">
        <v>76410.675</v>
      </c>
      <c r="E182" s="101">
        <v>76269.215</v>
      </c>
      <c r="F182" s="101"/>
      <c r="G182" s="101"/>
      <c r="H182" s="101"/>
      <c r="I182" s="101"/>
      <c r="J182" s="101"/>
      <c r="K182" s="101"/>
      <c r="L182" s="101"/>
      <c r="M182" s="100"/>
      <c r="N182" s="100"/>
      <c r="O182" s="100"/>
      <c r="P182" s="100"/>
      <c r="Q182" s="100"/>
      <c r="R182" s="100"/>
      <c r="S182" s="100"/>
      <c r="T182" s="100">
        <f t="shared" si="44"/>
        <v>215526.3</v>
      </c>
      <c r="U182" s="83"/>
      <c r="V182" s="84"/>
      <c r="W182" s="82"/>
      <c r="X182" s="82"/>
      <c r="Y182" s="82"/>
      <c r="Z182" s="82"/>
      <c r="AA182" s="82"/>
      <c r="AB182" s="82"/>
      <c r="AC182" s="82"/>
      <c r="AD182" s="82"/>
    </row>
    <row r="183" hidden="1" spans="1:30">
      <c r="A183" s="82"/>
      <c r="B183" s="103" t="s">
        <v>255</v>
      </c>
      <c r="C183" s="101">
        <v>0</v>
      </c>
      <c r="D183" s="101">
        <v>17780</v>
      </c>
      <c r="E183" s="101">
        <v>22880</v>
      </c>
      <c r="F183" s="101"/>
      <c r="G183" s="101"/>
      <c r="H183" s="101"/>
      <c r="I183" s="101"/>
      <c r="J183" s="101"/>
      <c r="K183" s="101"/>
      <c r="L183" s="101"/>
      <c r="M183" s="100"/>
      <c r="N183" s="100"/>
      <c r="O183" s="100"/>
      <c r="P183" s="100"/>
      <c r="Q183" s="100"/>
      <c r="R183" s="100"/>
      <c r="S183" s="100"/>
      <c r="T183" s="100">
        <f t="shared" si="44"/>
        <v>40660</v>
      </c>
      <c r="U183" s="83"/>
      <c r="V183" s="84"/>
      <c r="W183" s="82"/>
      <c r="X183" s="82"/>
      <c r="Y183" s="82"/>
      <c r="Z183" s="82"/>
      <c r="AA183" s="82"/>
      <c r="AB183" s="82"/>
      <c r="AC183" s="82"/>
      <c r="AD183" s="82"/>
    </row>
    <row r="184" hidden="1" spans="1:30">
      <c r="A184" s="82"/>
      <c r="B184" s="104" t="s">
        <v>256</v>
      </c>
      <c r="C184" s="106">
        <v>0</v>
      </c>
      <c r="D184" s="106">
        <v>0</v>
      </c>
      <c r="E184" s="106">
        <v>0</v>
      </c>
      <c r="F184" s="106"/>
      <c r="G184" s="106"/>
      <c r="H184" s="106"/>
      <c r="I184" s="106"/>
      <c r="J184" s="106"/>
      <c r="K184" s="106"/>
      <c r="L184" s="106"/>
      <c r="M184" s="107"/>
      <c r="N184" s="107"/>
      <c r="O184" s="107"/>
      <c r="P184" s="107"/>
      <c r="Q184" s="107"/>
      <c r="R184" s="107"/>
      <c r="S184" s="107"/>
      <c r="T184" s="107">
        <f t="shared" si="44"/>
        <v>0</v>
      </c>
      <c r="U184" s="83"/>
      <c r="V184" s="84"/>
      <c r="W184" s="82"/>
      <c r="X184" s="82"/>
      <c r="Y184" s="82"/>
      <c r="Z184" s="82"/>
      <c r="AA184" s="82"/>
      <c r="AB184" s="82"/>
      <c r="AC184" s="82"/>
      <c r="AD184" s="82"/>
    </row>
    <row r="185" hidden="1" spans="1:30">
      <c r="A185" s="82"/>
      <c r="B185" s="103" t="s">
        <v>257</v>
      </c>
      <c r="C185" s="100">
        <v>396781</v>
      </c>
      <c r="D185" s="101">
        <v>228346</v>
      </c>
      <c r="E185" s="100">
        <v>228346</v>
      </c>
      <c r="F185" s="101"/>
      <c r="G185" s="101"/>
      <c r="H185" s="101"/>
      <c r="I185" s="101"/>
      <c r="J185" s="101"/>
      <c r="K185" s="101"/>
      <c r="L185" s="101"/>
      <c r="M185" s="100"/>
      <c r="N185" s="100"/>
      <c r="O185" s="100"/>
      <c r="P185" s="100"/>
      <c r="Q185" s="100"/>
      <c r="R185" s="100"/>
      <c r="S185" s="100"/>
      <c r="T185" s="100">
        <f t="shared" si="44"/>
        <v>853473</v>
      </c>
      <c r="U185" s="83"/>
      <c r="V185" s="84"/>
      <c r="W185" s="82"/>
      <c r="X185" s="82"/>
      <c r="Y185" s="82"/>
      <c r="Z185" s="82"/>
      <c r="AA185" s="82"/>
      <c r="AB185" s="82"/>
      <c r="AC185" s="82"/>
      <c r="AD185" s="82"/>
    </row>
    <row r="186" hidden="1" spans="1:30">
      <c r="A186" s="82"/>
      <c r="B186" s="104" t="s">
        <v>259</v>
      </c>
      <c r="C186" s="106">
        <v>0</v>
      </c>
      <c r="D186" s="106">
        <v>14450</v>
      </c>
      <c r="E186" s="106">
        <v>13600</v>
      </c>
      <c r="F186" s="106"/>
      <c r="G186" s="106"/>
      <c r="H186" s="106"/>
      <c r="I186" s="106"/>
      <c r="J186" s="106"/>
      <c r="K186" s="106"/>
      <c r="L186" s="106"/>
      <c r="M186" s="107"/>
      <c r="N186" s="107"/>
      <c r="O186" s="107"/>
      <c r="P186" s="107"/>
      <c r="Q186" s="107"/>
      <c r="R186" s="107"/>
      <c r="S186" s="107"/>
      <c r="T186" s="107">
        <f t="shared" si="44"/>
        <v>28050</v>
      </c>
      <c r="U186" s="83"/>
      <c r="V186" s="84"/>
      <c r="W186" s="82"/>
      <c r="X186" s="82"/>
      <c r="Y186" s="82"/>
      <c r="Z186" s="82"/>
      <c r="AA186" s="82"/>
      <c r="AB186" s="82"/>
      <c r="AC186" s="82"/>
      <c r="AD186" s="82"/>
    </row>
    <row r="187" hidden="1" spans="1:30">
      <c r="A187" s="82"/>
      <c r="B187" s="104" t="s">
        <v>260</v>
      </c>
      <c r="C187" s="106">
        <v>2000</v>
      </c>
      <c r="D187" s="106">
        <v>0</v>
      </c>
      <c r="E187" s="106">
        <v>0</v>
      </c>
      <c r="F187" s="106"/>
      <c r="G187" s="106"/>
      <c r="H187" s="106"/>
      <c r="I187" s="106"/>
      <c r="J187" s="106"/>
      <c r="K187" s="106"/>
      <c r="L187" s="106"/>
      <c r="M187" s="107"/>
      <c r="N187" s="107"/>
      <c r="O187" s="107"/>
      <c r="P187" s="107"/>
      <c r="Q187" s="107"/>
      <c r="R187" s="107"/>
      <c r="S187" s="107"/>
      <c r="T187" s="107">
        <f t="shared" si="44"/>
        <v>2000</v>
      </c>
      <c r="U187" s="83"/>
      <c r="V187" s="84"/>
      <c r="W187" s="82"/>
      <c r="X187" s="82"/>
      <c r="Y187" s="82"/>
      <c r="Z187" s="82"/>
      <c r="AA187" s="82"/>
      <c r="AB187" s="82"/>
      <c r="AC187" s="82"/>
      <c r="AD187" s="82"/>
    </row>
    <row r="188" hidden="1" spans="1:30">
      <c r="A188" s="82"/>
      <c r="B188" s="104" t="s">
        <v>261</v>
      </c>
      <c r="C188" s="106">
        <v>0</v>
      </c>
      <c r="D188" s="106">
        <v>0</v>
      </c>
      <c r="E188" s="106">
        <v>0</v>
      </c>
      <c r="F188" s="106"/>
      <c r="G188" s="106"/>
      <c r="H188" s="106"/>
      <c r="I188" s="106"/>
      <c r="J188" s="106"/>
      <c r="K188" s="106"/>
      <c r="L188" s="106"/>
      <c r="M188" s="107"/>
      <c r="N188" s="107"/>
      <c r="O188" s="107"/>
      <c r="P188" s="107"/>
      <c r="Q188" s="107"/>
      <c r="R188" s="107"/>
      <c r="S188" s="107"/>
      <c r="T188" s="107">
        <f t="shared" si="44"/>
        <v>0</v>
      </c>
      <c r="U188" s="83"/>
      <c r="V188" s="84"/>
      <c r="W188" s="82"/>
      <c r="X188" s="82"/>
      <c r="Y188" s="82"/>
      <c r="Z188" s="82"/>
      <c r="AA188" s="82"/>
      <c r="AB188" s="82"/>
      <c r="AC188" s="82"/>
      <c r="AD188" s="82"/>
    </row>
    <row r="189" hidden="1" spans="1:30">
      <c r="A189" s="82"/>
      <c r="B189" s="99" t="s">
        <v>262</v>
      </c>
      <c r="C189" s="100">
        <f t="shared" ref="C189:I189" si="45">SUM(C181:C188)</f>
        <v>495148.924</v>
      </c>
      <c r="D189" s="100">
        <f t="shared" si="45"/>
        <v>378097.849</v>
      </c>
      <c r="E189" s="100">
        <f t="shared" si="45"/>
        <v>335401.235</v>
      </c>
      <c r="F189" s="100">
        <f t="shared" si="45"/>
        <v>0</v>
      </c>
      <c r="G189" s="100">
        <f t="shared" si="45"/>
        <v>0</v>
      </c>
      <c r="H189" s="100">
        <f t="shared" si="45"/>
        <v>0</v>
      </c>
      <c r="I189" s="100">
        <f t="shared" si="45"/>
        <v>0</v>
      </c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>
        <f t="shared" si="44"/>
        <v>1208648.008</v>
      </c>
      <c r="U189" s="83"/>
      <c r="V189" s="84"/>
      <c r="W189" s="82"/>
      <c r="X189" s="82"/>
      <c r="Y189" s="82"/>
      <c r="Z189" s="82"/>
      <c r="AA189" s="82"/>
      <c r="AB189" s="82"/>
      <c r="AC189" s="82"/>
      <c r="AD189" s="82"/>
    </row>
    <row r="190" hidden="1" spans="1:30">
      <c r="A190" s="82"/>
      <c r="B190" s="89" t="s">
        <v>267</v>
      </c>
      <c r="C190" s="108">
        <f t="shared" ref="C190:I190" si="46">C180-C189</f>
        <v>-273690.924</v>
      </c>
      <c r="D190" s="108">
        <f t="shared" si="46"/>
        <v>-94992.849</v>
      </c>
      <c r="E190" s="108">
        <f t="shared" si="46"/>
        <v>-282656.235</v>
      </c>
      <c r="F190" s="108">
        <f t="shared" si="46"/>
        <v>0</v>
      </c>
      <c r="G190" s="108">
        <f t="shared" si="46"/>
        <v>0</v>
      </c>
      <c r="H190" s="108">
        <f t="shared" si="46"/>
        <v>0</v>
      </c>
      <c r="I190" s="108">
        <f t="shared" si="46"/>
        <v>0</v>
      </c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>
        <f t="shared" si="44"/>
        <v>-651340.008</v>
      </c>
      <c r="U190" s="83"/>
      <c r="V190" s="84"/>
      <c r="W190" s="82"/>
      <c r="X190" s="82"/>
      <c r="Y190" s="82"/>
      <c r="Z190" s="82"/>
      <c r="AA190" s="82"/>
      <c r="AB190" s="82"/>
      <c r="AC190" s="82"/>
      <c r="AD190" s="82"/>
    </row>
    <row r="191" hidden="1" spans="1:30">
      <c r="A191" s="82"/>
      <c r="B191" s="89" t="s">
        <v>264</v>
      </c>
      <c r="C191" s="108">
        <f t="shared" ref="C191:I191" si="47">C190/123</f>
        <v>-2225.12946341463</v>
      </c>
      <c r="D191" s="108">
        <f t="shared" si="47"/>
        <v>-772.299585365854</v>
      </c>
      <c r="E191" s="108">
        <f t="shared" si="47"/>
        <v>-2298.01817073171</v>
      </c>
      <c r="F191" s="108">
        <f t="shared" si="47"/>
        <v>0</v>
      </c>
      <c r="G191" s="108">
        <f t="shared" si="47"/>
        <v>0</v>
      </c>
      <c r="H191" s="108">
        <f t="shared" si="47"/>
        <v>0</v>
      </c>
      <c r="I191" s="108">
        <f t="shared" si="47"/>
        <v>0</v>
      </c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>
        <f t="shared" si="44"/>
        <v>-5295.4472195122</v>
      </c>
      <c r="U191" s="83"/>
      <c r="V191" s="84"/>
      <c r="W191" s="82"/>
      <c r="X191" s="82"/>
      <c r="Y191" s="82"/>
      <c r="Z191" s="82"/>
      <c r="AA191" s="82"/>
      <c r="AB191" s="82"/>
      <c r="AC191" s="82"/>
      <c r="AD191" s="82"/>
    </row>
    <row r="192" hidden="1" spans="1:30">
      <c r="A192" s="82"/>
      <c r="B192" s="109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1"/>
      <c r="U192" s="83"/>
      <c r="V192" s="84"/>
      <c r="W192" s="82"/>
      <c r="X192" s="82"/>
      <c r="Y192" s="82"/>
      <c r="Z192" s="82"/>
      <c r="AA192" s="82"/>
      <c r="AB192" s="82"/>
      <c r="AC192" s="82"/>
      <c r="AD192" s="82"/>
    </row>
    <row r="193" hidden="1" spans="1:30">
      <c r="A193" s="82"/>
      <c r="B193" s="112" t="s">
        <v>172</v>
      </c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4"/>
      <c r="U193" s="83"/>
      <c r="V193" s="84"/>
      <c r="W193" s="82"/>
      <c r="X193" s="82"/>
      <c r="Y193" s="82"/>
      <c r="Z193" s="82"/>
      <c r="AA193" s="82"/>
      <c r="AB193" s="82"/>
      <c r="AC193" s="82"/>
      <c r="AD193" s="82"/>
    </row>
    <row r="194" hidden="1" spans="1:30">
      <c r="A194" s="82"/>
      <c r="B194" s="89" t="s">
        <v>243</v>
      </c>
      <c r="C194" s="90">
        <v>45812</v>
      </c>
      <c r="D194" s="90">
        <v>45843</v>
      </c>
      <c r="E194" s="90">
        <v>45875</v>
      </c>
      <c r="F194" s="118">
        <v>45907</v>
      </c>
      <c r="G194" s="90">
        <v>45938</v>
      </c>
      <c r="H194" s="90">
        <v>45969</v>
      </c>
      <c r="I194" s="115">
        <v>45999</v>
      </c>
      <c r="J194" s="115"/>
      <c r="K194" s="115"/>
      <c r="L194" s="115"/>
      <c r="M194" s="92"/>
      <c r="N194" s="92"/>
      <c r="O194" s="92"/>
      <c r="P194" s="92"/>
      <c r="Q194" s="92"/>
      <c r="R194" s="92"/>
      <c r="S194" s="92"/>
      <c r="T194" s="93" t="s">
        <v>244</v>
      </c>
      <c r="U194" s="94" t="s">
        <v>21</v>
      </c>
      <c r="V194" s="95" t="s">
        <v>51</v>
      </c>
      <c r="W194" s="82"/>
      <c r="X194" s="82"/>
      <c r="Y194" s="82"/>
      <c r="Z194" s="82"/>
      <c r="AA194" s="82"/>
      <c r="AB194" s="82"/>
      <c r="AC194" s="82"/>
      <c r="AD194" s="82"/>
    </row>
    <row r="195" hidden="1" spans="1:30">
      <c r="A195" s="82"/>
      <c r="B195" s="99" t="s">
        <v>252</v>
      </c>
      <c r="C195" s="117">
        <v>233292</v>
      </c>
      <c r="D195" s="117">
        <v>300921</v>
      </c>
      <c r="E195" s="100">
        <v>309047</v>
      </c>
      <c r="F195" s="117"/>
      <c r="G195" s="117"/>
      <c r="H195" s="117"/>
      <c r="I195" s="117"/>
      <c r="J195" s="117"/>
      <c r="K195" s="117"/>
      <c r="L195" s="117"/>
      <c r="M195" s="100"/>
      <c r="N195" s="100"/>
      <c r="O195" s="100"/>
      <c r="P195" s="100"/>
      <c r="Q195" s="100"/>
      <c r="R195" s="100"/>
      <c r="S195" s="100"/>
      <c r="T195" s="100">
        <f t="shared" ref="T195:T206" si="48">SUM(C195:I195)</f>
        <v>843260</v>
      </c>
      <c r="U195" s="94">
        <f>[1]汇总!LQ22</f>
        <v>0</v>
      </c>
      <c r="V195" s="102">
        <f>T195/T204</f>
        <v>0.721581136705671</v>
      </c>
      <c r="W195" s="82"/>
      <c r="X195" s="82"/>
      <c r="Y195" s="82"/>
      <c r="Z195" s="82"/>
      <c r="AA195" s="82"/>
      <c r="AB195" s="82"/>
      <c r="AC195" s="82"/>
      <c r="AD195" s="82"/>
    </row>
    <row r="196" hidden="1" spans="1:30">
      <c r="A196" s="82"/>
      <c r="B196" s="99" t="s">
        <v>265</v>
      </c>
      <c r="C196" s="101">
        <v>28541.634</v>
      </c>
      <c r="D196" s="101">
        <v>46144.49</v>
      </c>
      <c r="E196" s="101">
        <v>54452.916</v>
      </c>
      <c r="F196" s="101"/>
      <c r="G196" s="101"/>
      <c r="H196" s="101"/>
      <c r="I196" s="101"/>
      <c r="J196" s="101"/>
      <c r="K196" s="101"/>
      <c r="L196" s="101"/>
      <c r="M196" s="100"/>
      <c r="N196" s="100"/>
      <c r="O196" s="100"/>
      <c r="P196" s="100"/>
      <c r="Q196" s="100"/>
      <c r="R196" s="100"/>
      <c r="S196" s="100"/>
      <c r="T196" s="100">
        <f t="shared" si="48"/>
        <v>129139.04</v>
      </c>
      <c r="U196" s="83"/>
      <c r="V196" s="84"/>
      <c r="W196" s="82"/>
      <c r="X196" s="82"/>
      <c r="Y196" s="82"/>
      <c r="Z196" s="82"/>
      <c r="AA196" s="82"/>
      <c r="AB196" s="82"/>
      <c r="AC196" s="82"/>
      <c r="AD196" s="82"/>
    </row>
    <row r="197" hidden="1" spans="1:30">
      <c r="A197" s="82"/>
      <c r="B197" s="99" t="s">
        <v>266</v>
      </c>
      <c r="C197" s="101">
        <v>102520.44</v>
      </c>
      <c r="D197" s="101">
        <v>84773.535</v>
      </c>
      <c r="E197" s="101">
        <v>71551.095</v>
      </c>
      <c r="F197" s="101"/>
      <c r="G197" s="101"/>
      <c r="H197" s="101"/>
      <c r="I197" s="101"/>
      <c r="J197" s="101"/>
      <c r="K197" s="101"/>
      <c r="L197" s="101"/>
      <c r="M197" s="100"/>
      <c r="N197" s="100"/>
      <c r="O197" s="100"/>
      <c r="P197" s="100"/>
      <c r="Q197" s="100"/>
      <c r="R197" s="100"/>
      <c r="S197" s="100"/>
      <c r="T197" s="100">
        <f t="shared" si="48"/>
        <v>258845.07</v>
      </c>
      <c r="U197" s="83"/>
      <c r="V197" s="84"/>
      <c r="W197" s="82"/>
      <c r="X197" s="82"/>
      <c r="Y197" s="82"/>
      <c r="Z197" s="82"/>
      <c r="AA197" s="82"/>
      <c r="AB197" s="82"/>
      <c r="AC197" s="82"/>
      <c r="AD197" s="82"/>
    </row>
    <row r="198" hidden="1" spans="1:30">
      <c r="A198" s="82"/>
      <c r="B198" s="103" t="s">
        <v>255</v>
      </c>
      <c r="C198" s="101">
        <v>50879</v>
      </c>
      <c r="D198" s="101">
        <v>43049</v>
      </c>
      <c r="E198" s="101">
        <v>32343</v>
      </c>
      <c r="F198" s="101"/>
      <c r="G198" s="101"/>
      <c r="H198" s="101"/>
      <c r="I198" s="101"/>
      <c r="J198" s="101"/>
      <c r="K198" s="101"/>
      <c r="L198" s="101"/>
      <c r="M198" s="100"/>
      <c r="N198" s="100"/>
      <c r="O198" s="100"/>
      <c r="P198" s="100"/>
      <c r="Q198" s="100"/>
      <c r="R198" s="100"/>
      <c r="S198" s="100"/>
      <c r="T198" s="100">
        <f t="shared" si="48"/>
        <v>126271</v>
      </c>
      <c r="U198" s="83"/>
      <c r="V198" s="84"/>
      <c r="W198" s="82"/>
      <c r="X198" s="82"/>
      <c r="Y198" s="82"/>
      <c r="Z198" s="82"/>
      <c r="AA198" s="82"/>
      <c r="AB198" s="82"/>
      <c r="AC198" s="82"/>
      <c r="AD198" s="82"/>
    </row>
    <row r="199" hidden="1" spans="1:30">
      <c r="A199" s="82"/>
      <c r="B199" s="104" t="s">
        <v>256</v>
      </c>
      <c r="C199" s="106">
        <v>0</v>
      </c>
      <c r="D199" s="106">
        <v>0</v>
      </c>
      <c r="E199" s="106">
        <v>0</v>
      </c>
      <c r="F199" s="106"/>
      <c r="G199" s="106"/>
      <c r="H199" s="106"/>
      <c r="I199" s="106"/>
      <c r="J199" s="106"/>
      <c r="K199" s="106"/>
      <c r="L199" s="106"/>
      <c r="M199" s="107"/>
      <c r="N199" s="107"/>
      <c r="O199" s="107"/>
      <c r="P199" s="107"/>
      <c r="Q199" s="107"/>
      <c r="R199" s="107"/>
      <c r="S199" s="107"/>
      <c r="T199" s="107">
        <f t="shared" si="48"/>
        <v>0</v>
      </c>
      <c r="U199" s="83"/>
      <c r="V199" s="84"/>
      <c r="W199" s="82"/>
      <c r="X199" s="82"/>
      <c r="Y199" s="82"/>
      <c r="Z199" s="82"/>
      <c r="AA199" s="82"/>
      <c r="AB199" s="82"/>
      <c r="AC199" s="82"/>
      <c r="AD199" s="82"/>
    </row>
    <row r="200" hidden="1" spans="1:30">
      <c r="A200" s="82"/>
      <c r="B200" s="103" t="s">
        <v>257</v>
      </c>
      <c r="C200" s="100">
        <v>396781</v>
      </c>
      <c r="D200" s="101">
        <v>114173</v>
      </c>
      <c r="E200" s="100">
        <v>114173</v>
      </c>
      <c r="F200" s="101"/>
      <c r="G200" s="101"/>
      <c r="H200" s="101"/>
      <c r="I200" s="101"/>
      <c r="J200" s="101"/>
      <c r="K200" s="101"/>
      <c r="L200" s="101"/>
      <c r="M200" s="100"/>
      <c r="N200" s="100"/>
      <c r="O200" s="100"/>
      <c r="P200" s="100"/>
      <c r="Q200" s="100"/>
      <c r="R200" s="100"/>
      <c r="S200" s="100"/>
      <c r="T200" s="100">
        <f t="shared" si="48"/>
        <v>625127</v>
      </c>
      <c r="U200" s="83"/>
      <c r="V200" s="84"/>
      <c r="W200" s="82"/>
      <c r="X200" s="82"/>
      <c r="Y200" s="82"/>
      <c r="Z200" s="82"/>
      <c r="AA200" s="82"/>
      <c r="AB200" s="82"/>
      <c r="AC200" s="82"/>
      <c r="AD200" s="82"/>
    </row>
    <row r="201" hidden="1" spans="1:30">
      <c r="A201" s="82"/>
      <c r="B201" s="104" t="s">
        <v>259</v>
      </c>
      <c r="C201" s="106">
        <v>0</v>
      </c>
      <c r="D201" s="106">
        <v>14450</v>
      </c>
      <c r="E201" s="106">
        <v>3825</v>
      </c>
      <c r="F201" s="106"/>
      <c r="G201" s="106"/>
      <c r="H201" s="106"/>
      <c r="I201" s="106"/>
      <c r="J201" s="106"/>
      <c r="K201" s="106"/>
      <c r="L201" s="106"/>
      <c r="M201" s="107"/>
      <c r="N201" s="107"/>
      <c r="O201" s="107"/>
      <c r="P201" s="107"/>
      <c r="Q201" s="107"/>
      <c r="R201" s="107"/>
      <c r="S201" s="107"/>
      <c r="T201" s="107">
        <f t="shared" si="48"/>
        <v>18275</v>
      </c>
      <c r="U201" s="83"/>
      <c r="V201" s="84"/>
      <c r="W201" s="82"/>
      <c r="X201" s="82"/>
      <c r="Y201" s="82"/>
      <c r="Z201" s="82"/>
      <c r="AA201" s="82"/>
      <c r="AB201" s="82"/>
      <c r="AC201" s="82"/>
      <c r="AD201" s="82"/>
    </row>
    <row r="202" hidden="1" spans="1:30">
      <c r="A202" s="82"/>
      <c r="B202" s="104" t="s">
        <v>260</v>
      </c>
      <c r="C202" s="106">
        <v>10971</v>
      </c>
      <c r="D202" s="106">
        <v>0</v>
      </c>
      <c r="E202" s="106">
        <v>0</v>
      </c>
      <c r="F202" s="106"/>
      <c r="G202" s="106"/>
      <c r="H202" s="106"/>
      <c r="I202" s="106"/>
      <c r="J202" s="106"/>
      <c r="K202" s="106"/>
      <c r="L202" s="106"/>
      <c r="M202" s="107"/>
      <c r="N202" s="107"/>
      <c r="O202" s="107"/>
      <c r="P202" s="107"/>
      <c r="Q202" s="107"/>
      <c r="R202" s="107"/>
      <c r="S202" s="107"/>
      <c r="T202" s="107">
        <f t="shared" si="48"/>
        <v>10971</v>
      </c>
      <c r="U202" s="83"/>
      <c r="V202" s="84"/>
      <c r="W202" s="82"/>
      <c r="X202" s="82"/>
      <c r="Y202" s="82"/>
      <c r="Z202" s="82"/>
      <c r="AA202" s="82"/>
      <c r="AB202" s="82"/>
      <c r="AC202" s="82"/>
      <c r="AD202" s="82"/>
    </row>
    <row r="203" hidden="1" spans="1:30">
      <c r="A203" s="82"/>
      <c r="B203" s="104" t="s">
        <v>261</v>
      </c>
      <c r="C203" s="106">
        <v>0</v>
      </c>
      <c r="D203" s="106">
        <v>0</v>
      </c>
      <c r="E203" s="106">
        <v>0</v>
      </c>
      <c r="F203" s="106"/>
      <c r="G203" s="106"/>
      <c r="H203" s="106"/>
      <c r="I203" s="106"/>
      <c r="J203" s="106"/>
      <c r="K203" s="106"/>
      <c r="L203" s="106"/>
      <c r="M203" s="107"/>
      <c r="N203" s="107"/>
      <c r="O203" s="107"/>
      <c r="P203" s="107"/>
      <c r="Q203" s="107"/>
      <c r="R203" s="107"/>
      <c r="S203" s="107"/>
      <c r="T203" s="107">
        <f t="shared" si="48"/>
        <v>0</v>
      </c>
      <c r="U203" s="83"/>
      <c r="V203" s="84"/>
      <c r="W203" s="82"/>
      <c r="X203" s="82"/>
      <c r="Y203" s="82"/>
      <c r="Z203" s="82"/>
      <c r="AA203" s="82"/>
      <c r="AB203" s="82"/>
      <c r="AC203" s="82"/>
      <c r="AD203" s="82"/>
    </row>
    <row r="204" hidden="1" spans="1:30">
      <c r="A204" s="82"/>
      <c r="B204" s="99" t="s">
        <v>262</v>
      </c>
      <c r="C204" s="100">
        <f t="shared" ref="C204:I204" si="49">SUM(C196:C203)</f>
        <v>589693.074</v>
      </c>
      <c r="D204" s="100">
        <f t="shared" si="49"/>
        <v>302590.025</v>
      </c>
      <c r="E204" s="100">
        <f t="shared" si="49"/>
        <v>276345.011</v>
      </c>
      <c r="F204" s="100">
        <f t="shared" si="49"/>
        <v>0</v>
      </c>
      <c r="G204" s="100">
        <f t="shared" si="49"/>
        <v>0</v>
      </c>
      <c r="H204" s="100">
        <f t="shared" si="49"/>
        <v>0</v>
      </c>
      <c r="I204" s="100">
        <f t="shared" si="49"/>
        <v>0</v>
      </c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>
        <f t="shared" si="48"/>
        <v>1168628.11</v>
      </c>
      <c r="U204" s="83"/>
      <c r="V204" s="84"/>
      <c r="W204" s="82"/>
      <c r="X204" s="82"/>
      <c r="Y204" s="82"/>
      <c r="Z204" s="82"/>
      <c r="AA204" s="82"/>
      <c r="AB204" s="82"/>
      <c r="AC204" s="82"/>
      <c r="AD204" s="82"/>
    </row>
    <row r="205" hidden="1" spans="1:30">
      <c r="A205" s="82"/>
      <c r="B205" s="89" t="s">
        <v>267</v>
      </c>
      <c r="C205" s="108">
        <f t="shared" ref="C205:I205" si="50">C195-C204</f>
        <v>-356401.074</v>
      </c>
      <c r="D205" s="108">
        <f t="shared" si="50"/>
        <v>-1669.02500000002</v>
      </c>
      <c r="E205" s="108">
        <f t="shared" si="50"/>
        <v>32701.989</v>
      </c>
      <c r="F205" s="108">
        <f t="shared" si="50"/>
        <v>0</v>
      </c>
      <c r="G205" s="108">
        <f t="shared" si="50"/>
        <v>0</v>
      </c>
      <c r="H205" s="108">
        <f t="shared" si="50"/>
        <v>0</v>
      </c>
      <c r="I205" s="108">
        <f t="shared" si="50"/>
        <v>0</v>
      </c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>
        <f t="shared" si="48"/>
        <v>-325368.11</v>
      </c>
      <c r="U205" s="83"/>
      <c r="V205" s="84"/>
      <c r="W205" s="82"/>
      <c r="X205" s="82"/>
      <c r="Y205" s="82"/>
      <c r="Z205" s="82"/>
      <c r="AA205" s="82"/>
      <c r="AB205" s="82"/>
      <c r="AC205" s="82"/>
      <c r="AD205" s="82"/>
    </row>
    <row r="206" hidden="1" spans="1:30">
      <c r="A206" s="82"/>
      <c r="B206" s="89" t="s">
        <v>264</v>
      </c>
      <c r="C206" s="108">
        <f t="shared" ref="C206:I206" si="51">C205/123</f>
        <v>-2897.56970731707</v>
      </c>
      <c r="D206" s="108">
        <f t="shared" si="51"/>
        <v>-13.5693089430896</v>
      </c>
      <c r="E206" s="108">
        <f t="shared" si="51"/>
        <v>265.869829268293</v>
      </c>
      <c r="F206" s="108">
        <f t="shared" si="51"/>
        <v>0</v>
      </c>
      <c r="G206" s="108">
        <f t="shared" si="51"/>
        <v>0</v>
      </c>
      <c r="H206" s="108">
        <f t="shared" si="51"/>
        <v>0</v>
      </c>
      <c r="I206" s="108">
        <f t="shared" si="51"/>
        <v>0</v>
      </c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>
        <f t="shared" si="48"/>
        <v>-2645.26918699187</v>
      </c>
      <c r="U206" s="83"/>
      <c r="V206" s="84"/>
      <c r="W206" s="82"/>
      <c r="X206" s="82"/>
      <c r="Y206" s="82"/>
      <c r="Z206" s="82"/>
      <c r="AA206" s="82"/>
      <c r="AB206" s="82"/>
      <c r="AC206" s="82"/>
      <c r="AD206" s="82"/>
    </row>
    <row r="207" hidden="1" spans="1:30">
      <c r="A207" s="82"/>
      <c r="B207" s="109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1"/>
      <c r="U207" s="83"/>
      <c r="V207" s="84"/>
      <c r="W207" s="82"/>
      <c r="X207" s="82"/>
      <c r="Y207" s="82"/>
      <c r="Z207" s="82"/>
      <c r="AA207" s="82"/>
      <c r="AB207" s="82"/>
      <c r="AC207" s="82"/>
      <c r="AD207" s="82"/>
    </row>
    <row r="208" hidden="1" spans="1:30">
      <c r="A208" s="82"/>
      <c r="B208" s="112" t="s">
        <v>176</v>
      </c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4"/>
      <c r="U208" s="83"/>
      <c r="V208" s="84"/>
      <c r="W208" s="82"/>
      <c r="X208" s="82"/>
      <c r="Y208" s="82"/>
      <c r="Z208" s="82"/>
      <c r="AA208" s="82"/>
      <c r="AB208" s="82"/>
      <c r="AC208" s="82"/>
      <c r="AD208" s="82"/>
    </row>
    <row r="209" hidden="1" spans="1:30">
      <c r="A209" s="82"/>
      <c r="B209" s="89" t="s">
        <v>243</v>
      </c>
      <c r="C209" s="90">
        <v>45812</v>
      </c>
      <c r="D209" s="90">
        <v>45843</v>
      </c>
      <c r="E209" s="90">
        <v>45875</v>
      </c>
      <c r="F209" s="90">
        <v>45907</v>
      </c>
      <c r="G209" s="90">
        <v>45938</v>
      </c>
      <c r="H209" s="90">
        <v>45969</v>
      </c>
      <c r="I209" s="115">
        <v>45999</v>
      </c>
      <c r="J209" s="91">
        <v>46031</v>
      </c>
      <c r="K209" s="91">
        <v>46063</v>
      </c>
      <c r="L209" s="91">
        <v>46092</v>
      </c>
      <c r="M209" s="91">
        <v>46124</v>
      </c>
      <c r="N209" s="91">
        <v>46155</v>
      </c>
      <c r="O209" s="91">
        <v>46187</v>
      </c>
      <c r="P209" s="91">
        <v>46218</v>
      </c>
      <c r="Q209" s="91"/>
      <c r="R209" s="91"/>
      <c r="S209" s="92"/>
      <c r="T209" s="93" t="s">
        <v>244</v>
      </c>
      <c r="U209" s="94" t="s">
        <v>245</v>
      </c>
      <c r="V209" s="95" t="s">
        <v>51</v>
      </c>
      <c r="W209" s="82"/>
      <c r="X209" s="82"/>
      <c r="Y209" s="82"/>
      <c r="Z209" s="82"/>
      <c r="AA209" s="82"/>
      <c r="AB209" s="82"/>
      <c r="AC209" s="82"/>
      <c r="AD209" s="82"/>
    </row>
    <row r="210" hidden="1" spans="1:30">
      <c r="A210" s="82"/>
      <c r="B210" s="99" t="s">
        <v>252</v>
      </c>
      <c r="C210" s="100">
        <v>308970</v>
      </c>
      <c r="D210" s="100">
        <v>575097</v>
      </c>
      <c r="E210" s="100">
        <v>703542</v>
      </c>
      <c r="F210" s="100">
        <v>404193</v>
      </c>
      <c r="G210" s="100">
        <v>786465</v>
      </c>
      <c r="H210" s="100">
        <v>334790</v>
      </c>
      <c r="I210" s="100">
        <v>243863</v>
      </c>
      <c r="J210" s="101">
        <v>133269.24</v>
      </c>
      <c r="K210" s="100">
        <v>241882.93</v>
      </c>
      <c r="L210" s="100">
        <v>-20843</v>
      </c>
      <c r="M210" s="100">
        <v>380510</v>
      </c>
      <c r="N210" s="100">
        <v>-275</v>
      </c>
      <c r="O210" s="100">
        <v>208845.61</v>
      </c>
      <c r="P210" s="100"/>
      <c r="Q210" s="100"/>
      <c r="R210" s="100"/>
      <c r="S210" s="100"/>
      <c r="T210" s="100">
        <f t="shared" ref="T210:T222" si="52">SUM(C210:P210)</f>
        <v>4300309.78</v>
      </c>
      <c r="U210" s="94">
        <f>[1]汇总!AK23+[1]汇总!AL23</f>
        <v>0</v>
      </c>
      <c r="V210" s="102">
        <f>T210/T220</f>
        <v>0.734425316131461</v>
      </c>
      <c r="W210" s="82"/>
      <c r="X210" s="82"/>
      <c r="Y210" s="82"/>
      <c r="Z210" s="82"/>
      <c r="AA210" s="82"/>
      <c r="AB210" s="82"/>
      <c r="AC210" s="82"/>
      <c r="AD210" s="82"/>
    </row>
    <row r="211" hidden="1" spans="1:30">
      <c r="A211" s="82"/>
      <c r="B211" s="103" t="s">
        <v>253</v>
      </c>
      <c r="C211" s="101">
        <v>46933.092</v>
      </c>
      <c r="D211" s="101">
        <v>87801.196</v>
      </c>
      <c r="E211" s="101">
        <v>121014.386</v>
      </c>
      <c r="F211" s="101">
        <v>60372.208</v>
      </c>
      <c r="G211" s="101">
        <v>134320.526</v>
      </c>
      <c r="H211" s="101">
        <v>49036.088</v>
      </c>
      <c r="I211" s="101">
        <v>32847.182</v>
      </c>
      <c r="J211" s="101">
        <v>4574.782</v>
      </c>
      <c r="K211" s="101">
        <v>33602.304</v>
      </c>
      <c r="L211" s="101">
        <v>0</v>
      </c>
      <c r="M211" s="101">
        <v>67693.892</v>
      </c>
      <c r="N211" s="101">
        <v>0</v>
      </c>
      <c r="O211" s="100">
        <v>30000.634</v>
      </c>
      <c r="P211" s="100"/>
      <c r="Q211" s="100"/>
      <c r="R211" s="100"/>
      <c r="S211" s="100"/>
      <c r="T211" s="100">
        <f t="shared" si="52"/>
        <v>668196.29</v>
      </c>
      <c r="U211" s="83"/>
      <c r="V211" s="84"/>
      <c r="W211" s="82"/>
      <c r="X211" s="82"/>
      <c r="Y211" s="82"/>
      <c r="Z211" s="82"/>
      <c r="AA211" s="82"/>
      <c r="AB211" s="82"/>
      <c r="AC211" s="82"/>
      <c r="AD211" s="82"/>
    </row>
    <row r="212" hidden="1" spans="1:30">
      <c r="A212" s="82"/>
      <c r="B212" s="103" t="s">
        <v>268</v>
      </c>
      <c r="C212" s="101">
        <v>109648.495</v>
      </c>
      <c r="D212" s="101">
        <v>111607.87</v>
      </c>
      <c r="E212" s="101">
        <v>124778.225</v>
      </c>
      <c r="F212" s="101">
        <v>100942.985</v>
      </c>
      <c r="G212" s="101">
        <v>134382.05</v>
      </c>
      <c r="H212" s="101">
        <v>112543.2</v>
      </c>
      <c r="I212" s="101">
        <v>102749.46</v>
      </c>
      <c r="J212" s="101">
        <v>248599.285</v>
      </c>
      <c r="K212" s="101">
        <v>255346.85</v>
      </c>
      <c r="L212" s="101">
        <v>178366.485</v>
      </c>
      <c r="M212" s="101">
        <v>133990.45</v>
      </c>
      <c r="N212" s="101">
        <v>242457.05</v>
      </c>
      <c r="O212" s="100">
        <v>163685.72</v>
      </c>
      <c r="P212" s="100"/>
      <c r="Q212" s="100"/>
      <c r="R212" s="100"/>
      <c r="S212" s="100"/>
      <c r="T212" s="100">
        <f t="shared" si="52"/>
        <v>2019098.125</v>
      </c>
      <c r="U212" s="83"/>
      <c r="V212" s="84"/>
      <c r="W212" s="82"/>
      <c r="X212" s="82"/>
      <c r="Y212" s="82"/>
      <c r="Z212" s="82"/>
      <c r="AA212" s="82"/>
      <c r="AB212" s="82"/>
      <c r="AC212" s="82"/>
      <c r="AD212" s="82"/>
    </row>
    <row r="213" hidden="1" spans="1:30">
      <c r="A213" s="82"/>
      <c r="B213" s="103" t="s">
        <v>255</v>
      </c>
      <c r="C213" s="101">
        <v>5220</v>
      </c>
      <c r="D213" s="101">
        <v>5150</v>
      </c>
      <c r="E213" s="101">
        <v>1000</v>
      </c>
      <c r="F213" s="101">
        <v>12000</v>
      </c>
      <c r="G213" s="101">
        <v>12999.82</v>
      </c>
      <c r="H213" s="101">
        <v>9000</v>
      </c>
      <c r="I213" s="101">
        <v>10000</v>
      </c>
      <c r="J213" s="101">
        <v>23167</v>
      </c>
      <c r="K213" s="101">
        <v>39496.56</v>
      </c>
      <c r="L213" s="101">
        <v>63924</v>
      </c>
      <c r="M213" s="101">
        <v>13498</v>
      </c>
      <c r="N213" s="101">
        <v>25684</v>
      </c>
      <c r="O213" s="100">
        <v>40466</v>
      </c>
      <c r="P213" s="100"/>
      <c r="Q213" s="100"/>
      <c r="R213" s="100"/>
      <c r="S213" s="100"/>
      <c r="T213" s="100">
        <f t="shared" si="52"/>
        <v>261605.38</v>
      </c>
      <c r="U213" s="83"/>
      <c r="V213" s="84"/>
      <c r="W213" s="82"/>
      <c r="X213" s="82"/>
      <c r="Y213" s="82"/>
      <c r="Z213" s="82"/>
      <c r="AA213" s="82"/>
      <c r="AB213" s="82"/>
      <c r="AC213" s="82"/>
      <c r="AD213" s="82"/>
    </row>
    <row r="214" hidden="1" spans="1:30">
      <c r="A214" s="82"/>
      <c r="B214" s="104" t="s">
        <v>256</v>
      </c>
      <c r="C214" s="105">
        <v>0</v>
      </c>
      <c r="D214" s="106">
        <v>0</v>
      </c>
      <c r="E214" s="106">
        <v>0</v>
      </c>
      <c r="F214" s="106">
        <v>0</v>
      </c>
      <c r="G214" s="106">
        <v>0</v>
      </c>
      <c r="H214" s="106">
        <v>0</v>
      </c>
      <c r="I214" s="106">
        <v>0</v>
      </c>
      <c r="J214" s="106">
        <v>0</v>
      </c>
      <c r="K214" s="106">
        <v>0</v>
      </c>
      <c r="L214" s="106">
        <v>0</v>
      </c>
      <c r="M214" s="106">
        <v>0</v>
      </c>
      <c r="N214" s="106">
        <v>0</v>
      </c>
      <c r="O214" s="107">
        <v>0</v>
      </c>
      <c r="P214" s="107"/>
      <c r="Q214" s="107"/>
      <c r="R214" s="107"/>
      <c r="S214" s="107"/>
      <c r="T214" s="100">
        <f t="shared" si="52"/>
        <v>0</v>
      </c>
      <c r="U214" s="83"/>
      <c r="V214" s="84"/>
      <c r="W214" s="82"/>
      <c r="X214" s="82"/>
      <c r="Y214" s="82"/>
      <c r="Z214" s="82"/>
      <c r="AA214" s="82"/>
      <c r="AB214" s="82"/>
      <c r="AC214" s="82"/>
      <c r="AD214" s="82"/>
    </row>
    <row r="215" hidden="1" spans="1:30">
      <c r="A215" s="82"/>
      <c r="B215" s="103" t="s">
        <v>257</v>
      </c>
      <c r="C215" s="100">
        <v>198391</v>
      </c>
      <c r="D215" s="100">
        <v>114173</v>
      </c>
      <c r="E215" s="100">
        <v>114173</v>
      </c>
      <c r="F215" s="100">
        <v>552450</v>
      </c>
      <c r="G215" s="100">
        <v>342519</v>
      </c>
      <c r="H215" s="100">
        <v>220980</v>
      </c>
      <c r="I215" s="100">
        <v>228346</v>
      </c>
      <c r="J215" s="100">
        <v>421600</v>
      </c>
      <c r="K215" s="100">
        <v>222124</v>
      </c>
      <c r="L215" s="100">
        <v>245923</v>
      </c>
      <c r="M215" s="100">
        <v>0</v>
      </c>
      <c r="N215" s="100">
        <v>0</v>
      </c>
      <c r="O215" s="100">
        <v>0</v>
      </c>
      <c r="P215" s="100"/>
      <c r="Q215" s="100"/>
      <c r="R215" s="100"/>
      <c r="S215" s="100"/>
      <c r="T215" s="100">
        <f t="shared" si="52"/>
        <v>2660679</v>
      </c>
      <c r="U215" s="83"/>
      <c r="V215" s="84"/>
      <c r="W215" s="82"/>
      <c r="X215" s="82"/>
      <c r="Y215" s="82"/>
      <c r="Z215" s="82"/>
      <c r="AA215" s="82"/>
      <c r="AB215" s="82"/>
      <c r="AC215" s="82"/>
      <c r="AD215" s="82"/>
    </row>
    <row r="216" hidden="1" spans="1:30">
      <c r="A216" s="82"/>
      <c r="B216" s="103" t="s">
        <v>258</v>
      </c>
      <c r="C216" s="100">
        <v>0</v>
      </c>
      <c r="D216" s="100">
        <v>0</v>
      </c>
      <c r="E216" s="100">
        <v>0</v>
      </c>
      <c r="F216" s="100">
        <v>0</v>
      </c>
      <c r="G216" s="100">
        <v>0</v>
      </c>
      <c r="H216" s="100">
        <v>0</v>
      </c>
      <c r="I216" s="100">
        <v>0</v>
      </c>
      <c r="J216" s="100">
        <v>0</v>
      </c>
      <c r="K216" s="100">
        <v>103124</v>
      </c>
      <c r="L216" s="100">
        <v>114173</v>
      </c>
      <c r="M216" s="100">
        <v>0</v>
      </c>
      <c r="N216" s="100">
        <v>0</v>
      </c>
      <c r="O216" s="100">
        <v>0</v>
      </c>
      <c r="P216" s="100"/>
      <c r="Q216" s="100"/>
      <c r="R216" s="100"/>
      <c r="S216" s="100"/>
      <c r="T216" s="100">
        <f t="shared" si="52"/>
        <v>217297</v>
      </c>
      <c r="U216" s="83"/>
      <c r="V216" s="84"/>
      <c r="W216" s="82"/>
      <c r="X216" s="82"/>
      <c r="Y216" s="82"/>
      <c r="Z216" s="82"/>
      <c r="AA216" s="82"/>
      <c r="AB216" s="82"/>
      <c r="AC216" s="82"/>
      <c r="AD216" s="82"/>
    </row>
    <row r="217" hidden="1" spans="1:30">
      <c r="A217" s="82"/>
      <c r="B217" s="104" t="s">
        <v>259</v>
      </c>
      <c r="C217" s="106">
        <v>0</v>
      </c>
      <c r="D217" s="106">
        <v>0</v>
      </c>
      <c r="E217" s="106">
        <v>0</v>
      </c>
      <c r="F217" s="106">
        <v>850</v>
      </c>
      <c r="G217" s="106">
        <v>0</v>
      </c>
      <c r="H217" s="106">
        <v>0</v>
      </c>
      <c r="I217" s="106">
        <v>0</v>
      </c>
      <c r="J217" s="106">
        <v>0</v>
      </c>
      <c r="K217" s="106">
        <v>0</v>
      </c>
      <c r="L217" s="106">
        <v>0</v>
      </c>
      <c r="M217" s="106">
        <v>0</v>
      </c>
      <c r="N217" s="106">
        <v>0</v>
      </c>
      <c r="O217" s="107">
        <v>0</v>
      </c>
      <c r="P217" s="107"/>
      <c r="Q217" s="107"/>
      <c r="R217" s="107"/>
      <c r="S217" s="107"/>
      <c r="T217" s="100">
        <f t="shared" si="52"/>
        <v>850</v>
      </c>
      <c r="U217" s="83"/>
      <c r="V217" s="84"/>
      <c r="W217" s="82"/>
      <c r="X217" s="82"/>
      <c r="Y217" s="82"/>
      <c r="Z217" s="82"/>
      <c r="AA217" s="82"/>
      <c r="AB217" s="82"/>
      <c r="AC217" s="82"/>
      <c r="AD217" s="82"/>
    </row>
    <row r="218" hidden="1" spans="1:30">
      <c r="A218" s="82"/>
      <c r="B218" s="104" t="s">
        <v>260</v>
      </c>
      <c r="C218" s="106">
        <v>1733</v>
      </c>
      <c r="D218" s="106">
        <v>0</v>
      </c>
      <c r="E218" s="106">
        <v>1231</v>
      </c>
      <c r="F218" s="106">
        <v>4355</v>
      </c>
      <c r="G218" s="106">
        <v>6022</v>
      </c>
      <c r="H218" s="106">
        <v>4197</v>
      </c>
      <c r="I218" s="106">
        <v>5076</v>
      </c>
      <c r="J218" s="106">
        <v>1000</v>
      </c>
      <c r="K218" s="106">
        <v>1000</v>
      </c>
      <c r="L218" s="106">
        <v>2000</v>
      </c>
      <c r="M218" s="106">
        <v>0</v>
      </c>
      <c r="N218" s="106">
        <v>1000</v>
      </c>
      <c r="O218" s="107">
        <v>0</v>
      </c>
      <c r="P218" s="107"/>
      <c r="Q218" s="107"/>
      <c r="R218" s="107"/>
      <c r="S218" s="107"/>
      <c r="T218" s="100">
        <f t="shared" si="52"/>
        <v>27614</v>
      </c>
      <c r="U218" s="83"/>
      <c r="V218" s="84"/>
      <c r="W218" s="82"/>
      <c r="X218" s="82"/>
      <c r="Y218" s="82"/>
      <c r="Z218" s="82"/>
      <c r="AA218" s="82"/>
      <c r="AB218" s="82"/>
      <c r="AC218" s="82"/>
      <c r="AD218" s="82"/>
    </row>
    <row r="219" hidden="1" spans="1:30">
      <c r="A219" s="82"/>
      <c r="B219" s="104" t="s">
        <v>261</v>
      </c>
      <c r="C219" s="106">
        <v>0</v>
      </c>
      <c r="D219" s="106">
        <v>0</v>
      </c>
      <c r="E219" s="106">
        <v>0</v>
      </c>
      <c r="F219" s="106">
        <v>0</v>
      </c>
      <c r="G219" s="106">
        <v>0</v>
      </c>
      <c r="H219" s="106">
        <v>0</v>
      </c>
      <c r="I219" s="106">
        <v>0</v>
      </c>
      <c r="J219" s="106">
        <v>0</v>
      </c>
      <c r="K219" s="106">
        <v>0</v>
      </c>
      <c r="L219" s="106">
        <v>0</v>
      </c>
      <c r="M219" s="106">
        <v>0</v>
      </c>
      <c r="N219" s="106">
        <v>0</v>
      </c>
      <c r="O219" s="107">
        <v>0</v>
      </c>
      <c r="P219" s="107"/>
      <c r="Q219" s="107"/>
      <c r="R219" s="107"/>
      <c r="S219" s="107"/>
      <c r="T219" s="100">
        <f t="shared" si="52"/>
        <v>0</v>
      </c>
      <c r="U219" s="83"/>
      <c r="V219" s="84"/>
      <c r="W219" s="82"/>
      <c r="X219" s="82"/>
      <c r="Y219" s="82"/>
      <c r="Z219" s="82"/>
      <c r="AA219" s="82"/>
      <c r="AB219" s="82"/>
      <c r="AC219" s="82"/>
      <c r="AD219" s="82"/>
    </row>
    <row r="220" hidden="1" spans="1:30">
      <c r="A220" s="82"/>
      <c r="B220" s="99" t="s">
        <v>262</v>
      </c>
      <c r="C220" s="100">
        <f>SUM(C211:C219)</f>
        <v>361925.587</v>
      </c>
      <c r="D220" s="100">
        <f>SUM(D211:D219)</f>
        <v>318732.066</v>
      </c>
      <c r="E220" s="100">
        <f t="shared" ref="C220:O220" si="53">SUM(E211:E219)</f>
        <v>362196.611</v>
      </c>
      <c r="F220" s="100">
        <f t="shared" si="53"/>
        <v>730970.193</v>
      </c>
      <c r="G220" s="100">
        <f t="shared" si="53"/>
        <v>630243.396</v>
      </c>
      <c r="H220" s="100">
        <f t="shared" si="53"/>
        <v>395756.288</v>
      </c>
      <c r="I220" s="100">
        <f t="shared" si="53"/>
        <v>379018.642</v>
      </c>
      <c r="J220" s="100">
        <f t="shared" si="53"/>
        <v>698941.067</v>
      </c>
      <c r="K220" s="100">
        <f t="shared" si="53"/>
        <v>654693.714</v>
      </c>
      <c r="L220" s="100">
        <f t="shared" si="53"/>
        <v>604386.485</v>
      </c>
      <c r="M220" s="100">
        <f t="shared" si="53"/>
        <v>215182.342</v>
      </c>
      <c r="N220" s="100">
        <f t="shared" si="53"/>
        <v>269141.05</v>
      </c>
      <c r="O220" s="100">
        <f t="shared" si="53"/>
        <v>234152.354</v>
      </c>
      <c r="P220" s="100"/>
      <c r="Q220" s="100"/>
      <c r="R220" s="100"/>
      <c r="S220" s="100">
        <f>SUM(S211:S219)</f>
        <v>0</v>
      </c>
      <c r="T220" s="100">
        <f t="shared" si="52"/>
        <v>5855339.795</v>
      </c>
      <c r="U220" s="83"/>
      <c r="V220" s="84"/>
      <c r="W220" s="82"/>
      <c r="X220" s="82"/>
      <c r="Y220" s="82"/>
      <c r="Z220" s="82"/>
      <c r="AA220" s="82"/>
      <c r="AB220" s="82"/>
      <c r="AC220" s="82"/>
      <c r="AD220" s="82"/>
    </row>
    <row r="221" hidden="1" spans="1:30">
      <c r="A221" s="82"/>
      <c r="B221" s="89" t="s">
        <v>267</v>
      </c>
      <c r="C221" s="108">
        <f t="shared" ref="C221:O221" si="54">C210-C220</f>
        <v>-52955.587</v>
      </c>
      <c r="D221" s="108">
        <f t="shared" si="54"/>
        <v>256364.934</v>
      </c>
      <c r="E221" s="108">
        <f t="shared" si="54"/>
        <v>341345.389</v>
      </c>
      <c r="F221" s="108">
        <f t="shared" si="54"/>
        <v>-326777.193</v>
      </c>
      <c r="G221" s="108">
        <f t="shared" si="54"/>
        <v>156221.604</v>
      </c>
      <c r="H221" s="108">
        <f t="shared" si="54"/>
        <v>-60966.288</v>
      </c>
      <c r="I221" s="108">
        <f t="shared" si="54"/>
        <v>-135155.642</v>
      </c>
      <c r="J221" s="108">
        <f t="shared" si="54"/>
        <v>-565671.827</v>
      </c>
      <c r="K221" s="108">
        <f t="shared" si="54"/>
        <v>-412810.784</v>
      </c>
      <c r="L221" s="108">
        <f t="shared" si="54"/>
        <v>-625229.485</v>
      </c>
      <c r="M221" s="108">
        <f t="shared" si="54"/>
        <v>165327.658</v>
      </c>
      <c r="N221" s="108">
        <f t="shared" si="54"/>
        <v>-269416.05</v>
      </c>
      <c r="O221" s="108">
        <f t="shared" si="54"/>
        <v>-25306.744</v>
      </c>
      <c r="P221" s="108"/>
      <c r="Q221" s="108"/>
      <c r="R221" s="108"/>
      <c r="S221" s="108">
        <f>S210-S220</f>
        <v>0</v>
      </c>
      <c r="T221" s="108">
        <f t="shared" si="52"/>
        <v>-1555030.015</v>
      </c>
      <c r="U221" s="83"/>
      <c r="V221" s="84"/>
      <c r="W221" s="82"/>
      <c r="X221" s="82"/>
      <c r="Y221" s="82"/>
      <c r="Z221" s="82"/>
      <c r="AA221" s="82"/>
      <c r="AB221" s="82"/>
      <c r="AC221" s="82"/>
      <c r="AD221" s="82"/>
    </row>
    <row r="222" hidden="1" spans="1:30">
      <c r="A222" s="82"/>
      <c r="B222" s="89" t="s">
        <v>264</v>
      </c>
      <c r="C222" s="108">
        <f t="shared" ref="C222:O222" si="55">C221/123</f>
        <v>-430.533227642276</v>
      </c>
      <c r="D222" s="108">
        <f t="shared" si="55"/>
        <v>2084.26775609756</v>
      </c>
      <c r="E222" s="108">
        <f t="shared" si="55"/>
        <v>2775.16576422764</v>
      </c>
      <c r="F222" s="108">
        <f t="shared" si="55"/>
        <v>-2656.72514634146</v>
      </c>
      <c r="G222" s="108">
        <f t="shared" si="55"/>
        <v>1270.09434146342</v>
      </c>
      <c r="H222" s="108">
        <f t="shared" si="55"/>
        <v>-495.66087804878</v>
      </c>
      <c r="I222" s="108">
        <f t="shared" si="55"/>
        <v>-1098.82635772358</v>
      </c>
      <c r="J222" s="108">
        <f t="shared" si="55"/>
        <v>-4598.95794308943</v>
      </c>
      <c r="K222" s="108">
        <f t="shared" si="55"/>
        <v>-3356.18523577236</v>
      </c>
      <c r="L222" s="108">
        <f t="shared" si="55"/>
        <v>-5083.16654471545</v>
      </c>
      <c r="M222" s="108">
        <f t="shared" si="55"/>
        <v>1344.12730081301</v>
      </c>
      <c r="N222" s="108">
        <f t="shared" si="55"/>
        <v>-2190.3743902439</v>
      </c>
      <c r="O222" s="108">
        <f t="shared" si="55"/>
        <v>-205.745886178862</v>
      </c>
      <c r="P222" s="108"/>
      <c r="Q222" s="108"/>
      <c r="R222" s="108"/>
      <c r="S222" s="108">
        <f>S221/120</f>
        <v>0</v>
      </c>
      <c r="T222" s="108">
        <f t="shared" si="52"/>
        <v>-12642.5204471545</v>
      </c>
      <c r="U222" s="83"/>
      <c r="V222" s="84"/>
      <c r="W222" s="82"/>
      <c r="X222" s="82"/>
      <c r="Y222" s="82"/>
      <c r="Z222" s="82"/>
      <c r="AA222" s="82"/>
      <c r="AB222" s="82"/>
      <c r="AC222" s="82"/>
      <c r="AD222" s="82"/>
    </row>
    <row r="223" hidden="1" spans="1:30">
      <c r="A223" s="82"/>
      <c r="B223" s="109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1"/>
      <c r="U223" s="83"/>
      <c r="V223" s="84"/>
      <c r="W223" s="82"/>
      <c r="X223" s="82"/>
      <c r="Y223" s="82"/>
      <c r="Z223" s="82"/>
      <c r="AA223" s="82"/>
      <c r="AB223" s="82"/>
      <c r="AC223" s="82"/>
      <c r="AD223" s="82"/>
    </row>
    <row r="224" hidden="1" spans="1:30">
      <c r="A224" s="82"/>
      <c r="B224" s="112" t="s">
        <v>183</v>
      </c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4"/>
      <c r="U224" s="83"/>
      <c r="V224" s="84"/>
      <c r="W224" s="82"/>
      <c r="X224" s="82"/>
      <c r="Y224" s="82"/>
      <c r="Z224" s="82"/>
      <c r="AA224" s="82"/>
      <c r="AB224" s="82"/>
      <c r="AC224" s="82"/>
      <c r="AD224" s="82"/>
    </row>
    <row r="225" hidden="1" spans="1:30">
      <c r="A225" s="82"/>
      <c r="B225" s="89" t="s">
        <v>243</v>
      </c>
      <c r="C225" s="90">
        <v>45812</v>
      </c>
      <c r="D225" s="90">
        <v>45843</v>
      </c>
      <c r="E225" s="90">
        <v>45875</v>
      </c>
      <c r="F225" s="90">
        <v>45907</v>
      </c>
      <c r="G225" s="90">
        <v>45938</v>
      </c>
      <c r="H225" s="90">
        <v>45969</v>
      </c>
      <c r="I225" s="115">
        <v>45999</v>
      </c>
      <c r="J225" s="91">
        <v>46031</v>
      </c>
      <c r="K225" s="91">
        <v>46063</v>
      </c>
      <c r="L225" s="91">
        <v>46092</v>
      </c>
      <c r="M225" s="91">
        <v>46124</v>
      </c>
      <c r="N225" s="91">
        <v>46155</v>
      </c>
      <c r="O225" s="91">
        <v>46187</v>
      </c>
      <c r="P225" s="91">
        <v>46218</v>
      </c>
      <c r="Q225" s="91"/>
      <c r="R225" s="91"/>
      <c r="S225" s="92"/>
      <c r="T225" s="93" t="s">
        <v>244</v>
      </c>
      <c r="U225" s="94" t="s">
        <v>245</v>
      </c>
      <c r="V225" s="95" t="s">
        <v>51</v>
      </c>
      <c r="W225" s="82"/>
      <c r="X225" s="82"/>
      <c r="Y225" s="82"/>
      <c r="Z225" s="82"/>
      <c r="AA225" s="82"/>
      <c r="AB225" s="82"/>
      <c r="AC225" s="82"/>
      <c r="AD225" s="82"/>
    </row>
    <row r="226" hidden="1" spans="1:30">
      <c r="A226" s="82"/>
      <c r="B226" s="99" t="s">
        <v>252</v>
      </c>
      <c r="C226" s="100"/>
      <c r="D226" s="100"/>
      <c r="E226" s="100">
        <v>-25.2874999999985</v>
      </c>
      <c r="F226" s="100">
        <v>82403.5875</v>
      </c>
      <c r="G226" s="100">
        <v>84569.2500000001</v>
      </c>
      <c r="H226" s="100">
        <v>140205.7</v>
      </c>
      <c r="I226" s="100">
        <v>59551</v>
      </c>
      <c r="J226" s="101">
        <v>194028.725</v>
      </c>
      <c r="K226" s="100">
        <v>99085.4625</v>
      </c>
      <c r="L226" s="100">
        <v>203404.275</v>
      </c>
      <c r="M226" s="100">
        <v>166209.05</v>
      </c>
      <c r="N226" s="100">
        <v>266530.386231888</v>
      </c>
      <c r="O226" s="100">
        <v>87508.58655914</v>
      </c>
      <c r="P226" s="100"/>
      <c r="Q226" s="100"/>
      <c r="R226" s="100"/>
      <c r="S226" s="100"/>
      <c r="T226" s="100">
        <f t="shared" ref="T226:T238" si="56">SUM(C226:P226)</f>
        <v>1383470.73529103</v>
      </c>
      <c r="U226" s="94">
        <f>[1]汇总!AK29+[1]汇总!AL29</f>
        <v>0</v>
      </c>
      <c r="V226" s="102">
        <f>T226/T236</f>
        <v>1.02525910548508</v>
      </c>
      <c r="W226" s="82"/>
      <c r="X226" s="82"/>
      <c r="Y226" s="82"/>
      <c r="Z226" s="82"/>
      <c r="AA226" s="82"/>
      <c r="AB226" s="82"/>
      <c r="AC226" s="82"/>
      <c r="AD226" s="82"/>
    </row>
    <row r="227" hidden="1" spans="1:30">
      <c r="A227" s="82"/>
      <c r="B227" s="103" t="s">
        <v>253</v>
      </c>
      <c r="C227" s="101"/>
      <c r="D227" s="101"/>
      <c r="E227" s="101">
        <v>0</v>
      </c>
      <c r="F227" s="101">
        <v>13868.74445</v>
      </c>
      <c r="G227" s="101">
        <v>14157.1381</v>
      </c>
      <c r="H227" s="101">
        <v>25236.161925</v>
      </c>
      <c r="I227" s="101">
        <v>7283.34625</v>
      </c>
      <c r="J227" s="101">
        <v>14624.27105</v>
      </c>
      <c r="K227" s="101">
        <v>1719.944</v>
      </c>
      <c r="L227" s="101">
        <v>36459.313525</v>
      </c>
      <c r="M227" s="101">
        <v>27583.516575</v>
      </c>
      <c r="N227" s="101">
        <v>42338.5711333333</v>
      </c>
      <c r="O227" s="100">
        <v>7404.42303333333</v>
      </c>
      <c r="P227" s="100"/>
      <c r="Q227" s="100"/>
      <c r="R227" s="100"/>
      <c r="S227" s="100"/>
      <c r="T227" s="100">
        <f t="shared" si="56"/>
        <v>190675.430041667</v>
      </c>
      <c r="U227" s="83"/>
      <c r="V227" s="84"/>
      <c r="W227" s="82"/>
      <c r="X227" s="82"/>
      <c r="Y227" s="82"/>
      <c r="Z227" s="82"/>
      <c r="AA227" s="82"/>
      <c r="AB227" s="82"/>
      <c r="AC227" s="82"/>
      <c r="AD227" s="82"/>
    </row>
    <row r="228" hidden="1" spans="1:30">
      <c r="A228" s="82"/>
      <c r="B228" s="103" t="s">
        <v>269</v>
      </c>
      <c r="C228" s="101"/>
      <c r="D228" s="101"/>
      <c r="E228" s="101">
        <v>1730.55</v>
      </c>
      <c r="F228" s="101">
        <v>14859.903</v>
      </c>
      <c r="G228" s="101">
        <v>22830.3035</v>
      </c>
      <c r="H228" s="101">
        <v>22413.181</v>
      </c>
      <c r="I228" s="101">
        <v>21099.44</v>
      </c>
      <c r="J228" s="101">
        <v>18385.1725</v>
      </c>
      <c r="K228" s="101">
        <v>1467.9928</v>
      </c>
      <c r="L228" s="101">
        <v>34113.5205</v>
      </c>
      <c r="M228" s="101">
        <v>28326.701</v>
      </c>
      <c r="N228" s="101">
        <v>45463.4986666668</v>
      </c>
      <c r="O228" s="100">
        <v>31578.452</v>
      </c>
      <c r="P228" s="100"/>
      <c r="Q228" s="100"/>
      <c r="R228" s="100"/>
      <c r="S228" s="100"/>
      <c r="T228" s="100">
        <f t="shared" si="56"/>
        <v>242268.714966667</v>
      </c>
      <c r="U228" s="83"/>
      <c r="V228" s="84"/>
      <c r="W228" s="82"/>
      <c r="X228" s="82"/>
      <c r="Y228" s="82"/>
      <c r="Z228" s="82"/>
      <c r="AA228" s="82"/>
      <c r="AB228" s="82"/>
      <c r="AC228" s="82"/>
      <c r="AD228" s="82"/>
    </row>
    <row r="229" hidden="1" spans="1:30">
      <c r="A229" s="82"/>
      <c r="B229" s="103" t="s">
        <v>255</v>
      </c>
      <c r="C229" s="101"/>
      <c r="D229" s="101"/>
      <c r="E229" s="101">
        <v>0</v>
      </c>
      <c r="F229" s="101">
        <v>14275</v>
      </c>
      <c r="G229" s="101">
        <v>15266.6625</v>
      </c>
      <c r="H229" s="101">
        <v>5500</v>
      </c>
      <c r="I229" s="101">
        <v>28875</v>
      </c>
      <c r="J229" s="101">
        <v>0</v>
      </c>
      <c r="K229" s="101">
        <v>7775</v>
      </c>
      <c r="L229" s="101">
        <v>2525</v>
      </c>
      <c r="M229" s="101">
        <v>0</v>
      </c>
      <c r="N229" s="101">
        <v>15298</v>
      </c>
      <c r="O229" s="100">
        <v>19613</v>
      </c>
      <c r="P229" s="100"/>
      <c r="Q229" s="100"/>
      <c r="R229" s="100"/>
      <c r="S229" s="100"/>
      <c r="T229" s="100">
        <f t="shared" si="56"/>
        <v>109127.6625</v>
      </c>
      <c r="U229" s="83"/>
      <c r="V229" s="84"/>
      <c r="W229" s="82"/>
      <c r="X229" s="82"/>
      <c r="Y229" s="82"/>
      <c r="Z229" s="82"/>
      <c r="AA229" s="82"/>
      <c r="AB229" s="82"/>
      <c r="AC229" s="82"/>
      <c r="AD229" s="82"/>
    </row>
    <row r="230" hidden="1" spans="1:30">
      <c r="A230" s="82"/>
      <c r="B230" s="104" t="s">
        <v>256</v>
      </c>
      <c r="C230" s="105"/>
      <c r="D230" s="106"/>
      <c r="E230" s="106">
        <v>0</v>
      </c>
      <c r="F230" s="106">
        <v>0</v>
      </c>
      <c r="G230" s="106">
        <v>0</v>
      </c>
      <c r="H230" s="106">
        <v>0</v>
      </c>
      <c r="I230" s="106">
        <v>0</v>
      </c>
      <c r="J230" s="106">
        <v>0</v>
      </c>
      <c r="K230" s="106">
        <v>0</v>
      </c>
      <c r="L230" s="106">
        <v>0</v>
      </c>
      <c r="M230" s="106">
        <v>0</v>
      </c>
      <c r="N230" s="106">
        <v>0</v>
      </c>
      <c r="O230" s="107">
        <v>0</v>
      </c>
      <c r="P230" s="107"/>
      <c r="Q230" s="107"/>
      <c r="R230" s="107"/>
      <c r="S230" s="107"/>
      <c r="T230" s="100">
        <f t="shared" si="56"/>
        <v>0</v>
      </c>
      <c r="U230" s="83"/>
      <c r="V230" s="84"/>
      <c r="W230" s="82"/>
      <c r="X230" s="82"/>
      <c r="Y230" s="82"/>
      <c r="Z230" s="82"/>
      <c r="AA230" s="82"/>
      <c r="AB230" s="82"/>
      <c r="AC230" s="82"/>
      <c r="AD230" s="82"/>
    </row>
    <row r="231" hidden="1" spans="1:30">
      <c r="A231" s="82"/>
      <c r="B231" s="103" t="s">
        <v>257</v>
      </c>
      <c r="C231" s="100"/>
      <c r="D231" s="100"/>
      <c r="E231" s="100">
        <v>87750</v>
      </c>
      <c r="F231" s="100">
        <v>115375</v>
      </c>
      <c r="G231" s="100">
        <v>151125</v>
      </c>
      <c r="H231" s="100">
        <v>97500</v>
      </c>
      <c r="I231" s="100">
        <v>28875</v>
      </c>
      <c r="J231" s="100">
        <v>0</v>
      </c>
      <c r="K231" s="100">
        <v>0</v>
      </c>
      <c r="L231" s="100">
        <v>0</v>
      </c>
      <c r="M231" s="100">
        <v>0</v>
      </c>
      <c r="N231" s="100">
        <v>0</v>
      </c>
      <c r="O231" s="100">
        <v>0</v>
      </c>
      <c r="P231" s="100"/>
      <c r="Q231" s="100"/>
      <c r="R231" s="100"/>
      <c r="S231" s="100"/>
      <c r="T231" s="100">
        <f t="shared" si="56"/>
        <v>480625</v>
      </c>
      <c r="U231" s="83"/>
      <c r="V231" s="84"/>
      <c r="W231" s="82"/>
      <c r="X231" s="82"/>
      <c r="Y231" s="82"/>
      <c r="Z231" s="82"/>
      <c r="AA231" s="82"/>
      <c r="AB231" s="82"/>
      <c r="AC231" s="82"/>
      <c r="AD231" s="82"/>
    </row>
    <row r="232" hidden="1" spans="1:30">
      <c r="A232" s="82"/>
      <c r="B232" s="103" t="s">
        <v>258</v>
      </c>
      <c r="C232" s="100"/>
      <c r="D232" s="100"/>
      <c r="E232" s="100">
        <v>0</v>
      </c>
      <c r="F232" s="100">
        <v>0</v>
      </c>
      <c r="G232" s="100">
        <v>0</v>
      </c>
      <c r="H232" s="100">
        <v>0</v>
      </c>
      <c r="I232" s="100">
        <v>0</v>
      </c>
      <c r="J232" s="100">
        <v>100750</v>
      </c>
      <c r="K232" s="100">
        <v>68250</v>
      </c>
      <c r="L232" s="100">
        <v>75562.5</v>
      </c>
      <c r="M232" s="100">
        <v>0</v>
      </c>
      <c r="N232" s="100">
        <v>75562.5</v>
      </c>
      <c r="O232" s="100">
        <v>0</v>
      </c>
      <c r="P232" s="100"/>
      <c r="Q232" s="100"/>
      <c r="R232" s="100"/>
      <c r="S232" s="100"/>
      <c r="T232" s="100">
        <f t="shared" si="56"/>
        <v>320125</v>
      </c>
      <c r="U232" s="83"/>
      <c r="V232" s="84"/>
      <c r="W232" s="82"/>
      <c r="X232" s="82"/>
      <c r="Y232" s="82"/>
      <c r="Z232" s="82"/>
      <c r="AA232" s="82"/>
      <c r="AB232" s="82"/>
      <c r="AC232" s="82"/>
      <c r="AD232" s="82"/>
    </row>
    <row r="233" hidden="1" spans="1:30">
      <c r="A233" s="82"/>
      <c r="B233" s="104" t="s">
        <v>259</v>
      </c>
      <c r="C233" s="106"/>
      <c r="D233" s="106"/>
      <c r="E233" s="106">
        <v>0</v>
      </c>
      <c r="F233" s="106">
        <v>0</v>
      </c>
      <c r="G233" s="106">
        <v>0</v>
      </c>
      <c r="H233" s="106">
        <v>0</v>
      </c>
      <c r="I233" s="106">
        <v>0</v>
      </c>
      <c r="J233" s="106">
        <v>0</v>
      </c>
      <c r="K233" s="106">
        <v>0</v>
      </c>
      <c r="L233" s="106">
        <v>0</v>
      </c>
      <c r="M233" s="106">
        <v>0</v>
      </c>
      <c r="N233" s="106">
        <v>0</v>
      </c>
      <c r="O233" s="107">
        <v>0</v>
      </c>
      <c r="P233" s="107"/>
      <c r="Q233" s="107"/>
      <c r="R233" s="107"/>
      <c r="S233" s="107"/>
      <c r="T233" s="100">
        <f t="shared" si="56"/>
        <v>0</v>
      </c>
      <c r="U233" s="83"/>
      <c r="V233" s="84"/>
      <c r="W233" s="82"/>
      <c r="X233" s="82"/>
      <c r="Y233" s="82"/>
      <c r="Z233" s="82"/>
      <c r="AA233" s="82"/>
      <c r="AB233" s="82"/>
      <c r="AC233" s="82"/>
      <c r="AD233" s="82"/>
    </row>
    <row r="234" hidden="1" spans="1:30">
      <c r="A234" s="82"/>
      <c r="B234" s="104" t="s">
        <v>260</v>
      </c>
      <c r="C234" s="106"/>
      <c r="D234" s="106"/>
      <c r="E234" s="106">
        <v>0</v>
      </c>
      <c r="F234" s="106">
        <v>0</v>
      </c>
      <c r="G234" s="106">
        <v>0</v>
      </c>
      <c r="H234" s="106">
        <v>0</v>
      </c>
      <c r="I234" s="106">
        <v>0</v>
      </c>
      <c r="J234" s="106">
        <v>0</v>
      </c>
      <c r="K234" s="106">
        <v>0</v>
      </c>
      <c r="L234" s="106">
        <v>0</v>
      </c>
      <c r="M234" s="106">
        <v>0</v>
      </c>
      <c r="N234" s="106">
        <v>5761.35</v>
      </c>
      <c r="O234" s="107">
        <v>803.283333333333</v>
      </c>
      <c r="P234" s="107"/>
      <c r="Q234" s="107"/>
      <c r="R234" s="107"/>
      <c r="S234" s="107"/>
      <c r="T234" s="100">
        <f t="shared" si="56"/>
        <v>6564.63333333333</v>
      </c>
      <c r="U234" s="83"/>
      <c r="V234" s="84"/>
      <c r="W234" s="82"/>
      <c r="X234" s="82"/>
      <c r="Y234" s="82"/>
      <c r="Z234" s="82"/>
      <c r="AA234" s="82"/>
      <c r="AB234" s="82"/>
      <c r="AC234" s="82"/>
      <c r="AD234" s="82"/>
    </row>
    <row r="235" hidden="1" spans="1:30">
      <c r="A235" s="82"/>
      <c r="B235" s="104" t="s">
        <v>261</v>
      </c>
      <c r="C235" s="106"/>
      <c r="D235" s="106"/>
      <c r="E235" s="106">
        <v>0</v>
      </c>
      <c r="F235" s="106">
        <v>0</v>
      </c>
      <c r="G235" s="106">
        <v>0</v>
      </c>
      <c r="H235" s="106">
        <v>0</v>
      </c>
      <c r="I235" s="106">
        <v>0</v>
      </c>
      <c r="J235" s="106">
        <v>0</v>
      </c>
      <c r="K235" s="106">
        <v>0</v>
      </c>
      <c r="L235" s="106">
        <v>0</v>
      </c>
      <c r="M235" s="106">
        <v>0</v>
      </c>
      <c r="N235" s="106">
        <v>0</v>
      </c>
      <c r="O235" s="107">
        <v>0</v>
      </c>
      <c r="P235" s="107"/>
      <c r="Q235" s="107"/>
      <c r="R235" s="107"/>
      <c r="S235" s="107"/>
      <c r="T235" s="100">
        <f t="shared" si="56"/>
        <v>0</v>
      </c>
      <c r="U235" s="83"/>
      <c r="V235" s="84"/>
      <c r="W235" s="82"/>
      <c r="X235" s="82"/>
      <c r="Y235" s="82"/>
      <c r="Z235" s="82"/>
      <c r="AA235" s="82"/>
      <c r="AB235" s="82"/>
      <c r="AC235" s="82"/>
      <c r="AD235" s="82"/>
    </row>
    <row r="236" hidden="1" spans="1:30">
      <c r="A236" s="82"/>
      <c r="B236" s="99" t="s">
        <v>262</v>
      </c>
      <c r="C236" s="100">
        <f t="shared" ref="C236:O236" si="57">SUM(C227:C235)</f>
        <v>0</v>
      </c>
      <c r="D236" s="100">
        <f t="shared" si="57"/>
        <v>0</v>
      </c>
      <c r="E236" s="100">
        <f t="shared" si="57"/>
        <v>89480.55</v>
      </c>
      <c r="F236" s="100">
        <f t="shared" si="57"/>
        <v>158378.64745</v>
      </c>
      <c r="G236" s="100">
        <f t="shared" si="57"/>
        <v>203379.1041</v>
      </c>
      <c r="H236" s="100">
        <f t="shared" si="57"/>
        <v>150649.342925</v>
      </c>
      <c r="I236" s="100">
        <f t="shared" si="57"/>
        <v>86132.78625</v>
      </c>
      <c r="J236" s="100">
        <f t="shared" si="57"/>
        <v>133759.44355</v>
      </c>
      <c r="K236" s="100">
        <f t="shared" si="57"/>
        <v>79212.9368</v>
      </c>
      <c r="L236" s="100">
        <f t="shared" si="57"/>
        <v>148660.334025</v>
      </c>
      <c r="M236" s="100">
        <f t="shared" si="57"/>
        <v>55910.217575</v>
      </c>
      <c r="N236" s="100">
        <f t="shared" si="57"/>
        <v>184423.9198</v>
      </c>
      <c r="O236" s="100">
        <f t="shared" si="57"/>
        <v>59399.1583666667</v>
      </c>
      <c r="P236" s="100"/>
      <c r="Q236" s="100"/>
      <c r="R236" s="100"/>
      <c r="S236" s="100">
        <f>SUM(S227:S235)</f>
        <v>0</v>
      </c>
      <c r="T236" s="100">
        <f t="shared" si="56"/>
        <v>1349386.44084167</v>
      </c>
      <c r="U236" s="83"/>
      <c r="V236" s="84"/>
      <c r="W236" s="82"/>
      <c r="X236" s="82"/>
      <c r="Y236" s="82"/>
      <c r="Z236" s="82"/>
      <c r="AA236" s="82"/>
      <c r="AB236" s="82"/>
      <c r="AC236" s="82"/>
      <c r="AD236" s="82"/>
    </row>
    <row r="237" hidden="1" spans="1:30">
      <c r="A237" s="82"/>
      <c r="B237" s="119" t="s">
        <v>270</v>
      </c>
      <c r="C237" s="108">
        <f t="shared" ref="C237:O237" si="58">C226-C236</f>
        <v>0</v>
      </c>
      <c r="D237" s="108">
        <f t="shared" si="58"/>
        <v>0</v>
      </c>
      <c r="E237" s="108">
        <f t="shared" si="58"/>
        <v>-89505.8375</v>
      </c>
      <c r="F237" s="108">
        <f t="shared" si="58"/>
        <v>-75975.05995</v>
      </c>
      <c r="G237" s="108">
        <f t="shared" si="58"/>
        <v>-118809.8541</v>
      </c>
      <c r="H237" s="108">
        <f t="shared" si="58"/>
        <v>-10443.642925</v>
      </c>
      <c r="I237" s="108">
        <f t="shared" si="58"/>
        <v>-26581.78625</v>
      </c>
      <c r="J237" s="108">
        <f t="shared" si="58"/>
        <v>60269.28145</v>
      </c>
      <c r="K237" s="108">
        <f t="shared" si="58"/>
        <v>19872.5257</v>
      </c>
      <c r="L237" s="108">
        <f t="shared" si="58"/>
        <v>54743.940975</v>
      </c>
      <c r="M237" s="108">
        <f t="shared" si="58"/>
        <v>110298.832425</v>
      </c>
      <c r="N237" s="108">
        <f t="shared" si="58"/>
        <v>82106.4664318879</v>
      </c>
      <c r="O237" s="108">
        <f t="shared" si="58"/>
        <v>28109.4281924733</v>
      </c>
      <c r="P237" s="108"/>
      <c r="Q237" s="108"/>
      <c r="R237" s="108"/>
      <c r="S237" s="108">
        <f>S226-S236</f>
        <v>0</v>
      </c>
      <c r="T237" s="108">
        <f t="shared" si="56"/>
        <v>34084.2944493614</v>
      </c>
      <c r="U237" s="83"/>
      <c r="V237" s="84"/>
      <c r="W237" s="82"/>
      <c r="X237" s="82"/>
      <c r="Y237" s="82"/>
      <c r="Z237" s="82"/>
      <c r="AA237" s="82"/>
      <c r="AB237" s="82"/>
      <c r="AC237" s="82"/>
      <c r="AD237" s="82"/>
    </row>
    <row r="238" hidden="1" spans="1:30">
      <c r="A238" s="82"/>
      <c r="B238" s="119" t="s">
        <v>271</v>
      </c>
      <c r="C238" s="108">
        <f t="shared" ref="C238:O238" si="59">C237/60</f>
        <v>0</v>
      </c>
      <c r="D238" s="108">
        <f t="shared" si="59"/>
        <v>0</v>
      </c>
      <c r="E238" s="108">
        <f t="shared" si="59"/>
        <v>-1491.76395833333</v>
      </c>
      <c r="F238" s="108">
        <f t="shared" si="59"/>
        <v>-1266.25099916667</v>
      </c>
      <c r="G238" s="108">
        <f t="shared" si="59"/>
        <v>-1980.164235</v>
      </c>
      <c r="H238" s="108">
        <f t="shared" si="59"/>
        <v>-174.060715416667</v>
      </c>
      <c r="I238" s="108">
        <f t="shared" si="59"/>
        <v>-443.029770833333</v>
      </c>
      <c r="J238" s="108">
        <f t="shared" si="59"/>
        <v>1004.48802416667</v>
      </c>
      <c r="K238" s="108">
        <f t="shared" si="59"/>
        <v>331.208761666667</v>
      </c>
      <c r="L238" s="108">
        <f t="shared" si="59"/>
        <v>912.39901625</v>
      </c>
      <c r="M238" s="108">
        <f t="shared" si="59"/>
        <v>1838.31387375</v>
      </c>
      <c r="N238" s="108">
        <f t="shared" si="59"/>
        <v>1368.44110719813</v>
      </c>
      <c r="O238" s="108">
        <f t="shared" si="59"/>
        <v>468.490469874556</v>
      </c>
      <c r="P238" s="108"/>
      <c r="Q238" s="108"/>
      <c r="R238" s="108"/>
      <c r="S238" s="108">
        <f>S237/4680</f>
        <v>0</v>
      </c>
      <c r="T238" s="108">
        <f t="shared" si="56"/>
        <v>568.071574156023</v>
      </c>
      <c r="U238" s="83"/>
      <c r="V238" s="84"/>
      <c r="W238" s="82"/>
      <c r="X238" s="82"/>
      <c r="Y238" s="82"/>
      <c r="Z238" s="82"/>
      <c r="AA238" s="82"/>
      <c r="AB238" s="82"/>
      <c r="AC238" s="82"/>
      <c r="AD238" s="82"/>
    </row>
    <row r="239" hidden="1" spans="1:30">
      <c r="A239" s="82"/>
      <c r="B239" s="109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1"/>
      <c r="U239" s="83"/>
      <c r="V239" s="84"/>
      <c r="W239" s="82"/>
      <c r="X239" s="82"/>
      <c r="Y239" s="82"/>
      <c r="Z239" s="82"/>
      <c r="AA239" s="82"/>
      <c r="AB239" s="82"/>
      <c r="AC239" s="82"/>
      <c r="AD239" s="82"/>
    </row>
    <row r="240" hidden="1" spans="1:30">
      <c r="A240" s="82"/>
      <c r="B240" s="112" t="s">
        <v>272</v>
      </c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4"/>
      <c r="U240" s="83"/>
      <c r="V240" s="84"/>
      <c r="W240" s="82"/>
      <c r="X240" s="82"/>
      <c r="Y240" s="82"/>
      <c r="Z240" s="82"/>
      <c r="AA240" s="82"/>
      <c r="AB240" s="82"/>
      <c r="AC240" s="82"/>
      <c r="AD240" s="82"/>
    </row>
    <row r="241" hidden="1" spans="1:30">
      <c r="A241" s="82"/>
      <c r="B241" s="89" t="s">
        <v>243</v>
      </c>
      <c r="C241" s="90">
        <v>45812</v>
      </c>
      <c r="D241" s="90">
        <v>45843</v>
      </c>
      <c r="E241" s="90">
        <v>45875</v>
      </c>
      <c r="F241" s="90">
        <v>45907</v>
      </c>
      <c r="G241" s="90">
        <v>45938</v>
      </c>
      <c r="H241" s="90">
        <v>45969</v>
      </c>
      <c r="I241" s="115">
        <v>45999</v>
      </c>
      <c r="J241" s="91">
        <v>46031</v>
      </c>
      <c r="K241" s="91">
        <v>46063</v>
      </c>
      <c r="L241" s="91">
        <v>46092</v>
      </c>
      <c r="M241" s="91">
        <v>46124</v>
      </c>
      <c r="N241" s="91">
        <v>46155</v>
      </c>
      <c r="O241" s="92"/>
      <c r="P241" s="92"/>
      <c r="Q241" s="92"/>
      <c r="R241" s="92"/>
      <c r="S241" s="92"/>
      <c r="T241" s="93" t="s">
        <v>244</v>
      </c>
      <c r="U241" s="94" t="s">
        <v>245</v>
      </c>
      <c r="V241" s="95" t="s">
        <v>51</v>
      </c>
      <c r="W241" s="82"/>
      <c r="X241" s="82"/>
      <c r="Y241" s="82"/>
      <c r="Z241" s="82"/>
      <c r="AA241" s="82"/>
      <c r="AB241" s="82"/>
      <c r="AC241" s="82"/>
      <c r="AD241" s="82"/>
    </row>
    <row r="242" hidden="1" spans="1:30">
      <c r="A242" s="82"/>
      <c r="B242" s="99" t="s">
        <v>252</v>
      </c>
      <c r="C242" s="117"/>
      <c r="D242" s="117"/>
      <c r="E242" s="101"/>
      <c r="F242" s="117">
        <v>1603</v>
      </c>
      <c r="G242" s="117">
        <v>22395</v>
      </c>
      <c r="H242" s="117">
        <v>5352</v>
      </c>
      <c r="I242" s="117">
        <v>9333</v>
      </c>
      <c r="J242" s="117">
        <v>2028.91</v>
      </c>
      <c r="K242" s="117">
        <v>9749.91</v>
      </c>
      <c r="L242" s="117">
        <v>0</v>
      </c>
      <c r="M242" s="100">
        <v>0</v>
      </c>
      <c r="N242" s="100">
        <v>0</v>
      </c>
      <c r="O242" s="100"/>
      <c r="P242" s="100"/>
      <c r="Q242" s="100"/>
      <c r="R242" s="100"/>
      <c r="S242" s="100"/>
      <c r="T242" s="100">
        <f t="shared" ref="T242:T254" si="60">SUM(C242:N242)</f>
        <v>50461.82</v>
      </c>
      <c r="U242" s="94">
        <f>[1]汇总!CY34+[1]汇总!CZ34</f>
        <v>1</v>
      </c>
      <c r="V242" s="102">
        <f>T242/T252</f>
        <v>0.0627038577258703</v>
      </c>
      <c r="W242" s="82"/>
      <c r="X242" s="82"/>
      <c r="Y242" s="82"/>
      <c r="Z242" s="82"/>
      <c r="AA242" s="82"/>
      <c r="AB242" s="82"/>
      <c r="AC242" s="82"/>
      <c r="AD242" s="82"/>
    </row>
    <row r="243" hidden="1" spans="1:30">
      <c r="A243" s="82"/>
      <c r="B243" s="103" t="s">
        <v>253</v>
      </c>
      <c r="C243" s="101"/>
      <c r="D243" s="101"/>
      <c r="E243" s="101"/>
      <c r="F243" s="101">
        <v>0</v>
      </c>
      <c r="G243" s="101">
        <v>4370.688</v>
      </c>
      <c r="H243" s="101">
        <v>1823.648</v>
      </c>
      <c r="I243" s="101">
        <v>1553.544</v>
      </c>
      <c r="J243" s="101">
        <v>1430.5</v>
      </c>
      <c r="K243" s="101">
        <v>1719.944</v>
      </c>
      <c r="L243" s="101">
        <v>909.306</v>
      </c>
      <c r="M243" s="101">
        <v>909.306</v>
      </c>
      <c r="N243" s="101">
        <v>0</v>
      </c>
      <c r="O243" s="100"/>
      <c r="P243" s="100"/>
      <c r="Q243" s="100"/>
      <c r="R243" s="100"/>
      <c r="S243" s="100"/>
      <c r="T243" s="100">
        <f t="shared" si="60"/>
        <v>12716.936</v>
      </c>
      <c r="U243" s="83"/>
      <c r="V243" s="84"/>
      <c r="W243" s="82"/>
      <c r="X243" s="82"/>
      <c r="Y243" s="82"/>
      <c r="Z243" s="82"/>
      <c r="AA243" s="82"/>
      <c r="AB243" s="82"/>
      <c r="AC243" s="82"/>
      <c r="AD243" s="82"/>
    </row>
    <row r="244" hidden="1" spans="1:30">
      <c r="A244" s="82"/>
      <c r="B244" s="103" t="s">
        <v>273</v>
      </c>
      <c r="C244" s="101"/>
      <c r="D244" s="101"/>
      <c r="E244" s="101"/>
      <c r="F244" s="101">
        <v>17347.84</v>
      </c>
      <c r="G244" s="101">
        <v>11405.84</v>
      </c>
      <c r="H244" s="101">
        <v>6819.92</v>
      </c>
      <c r="I244" s="101">
        <v>7492.8</v>
      </c>
      <c r="J244" s="101">
        <v>2258.8728</v>
      </c>
      <c r="K244" s="101">
        <v>1467.9928</v>
      </c>
      <c r="L244" s="101">
        <v>0</v>
      </c>
      <c r="M244" s="101">
        <v>0</v>
      </c>
      <c r="N244" s="101">
        <v>0</v>
      </c>
      <c r="O244" s="100"/>
      <c r="P244" s="100"/>
      <c r="Q244" s="100"/>
      <c r="R244" s="100"/>
      <c r="S244" s="100"/>
      <c r="T244" s="100">
        <f t="shared" si="60"/>
        <v>46793.2656</v>
      </c>
      <c r="U244" s="83"/>
      <c r="V244" s="84"/>
      <c r="W244" s="82"/>
      <c r="X244" s="82"/>
      <c r="Y244" s="82"/>
      <c r="Z244" s="82"/>
      <c r="AA244" s="82"/>
      <c r="AB244" s="82"/>
      <c r="AC244" s="82"/>
      <c r="AD244" s="82"/>
    </row>
    <row r="245" hidden="1" spans="1:30">
      <c r="A245" s="82"/>
      <c r="B245" s="103" t="s">
        <v>255</v>
      </c>
      <c r="C245" s="101"/>
      <c r="D245" s="101"/>
      <c r="E245" s="101"/>
      <c r="F245" s="101">
        <v>0</v>
      </c>
      <c r="G245" s="101">
        <v>0</v>
      </c>
      <c r="H245" s="101">
        <v>0</v>
      </c>
      <c r="I245" s="101">
        <v>0</v>
      </c>
      <c r="J245" s="101">
        <v>2200</v>
      </c>
      <c r="K245" s="101">
        <v>0</v>
      </c>
      <c r="L245" s="101">
        <v>0</v>
      </c>
      <c r="M245" s="101">
        <v>0</v>
      </c>
      <c r="N245" s="101">
        <v>0</v>
      </c>
      <c r="O245" s="100"/>
      <c r="P245" s="100"/>
      <c r="Q245" s="100"/>
      <c r="R245" s="100"/>
      <c r="S245" s="100"/>
      <c r="T245" s="100">
        <f t="shared" si="60"/>
        <v>2200</v>
      </c>
      <c r="U245" s="83"/>
      <c r="V245" s="84"/>
      <c r="W245" s="82"/>
      <c r="X245" s="82"/>
      <c r="Y245" s="82"/>
      <c r="Z245" s="82"/>
      <c r="AA245" s="82"/>
      <c r="AB245" s="82"/>
      <c r="AC245" s="82"/>
      <c r="AD245" s="82"/>
    </row>
    <row r="246" hidden="1" spans="1:30">
      <c r="A246" s="82"/>
      <c r="B246" s="104" t="s">
        <v>256</v>
      </c>
      <c r="C246" s="106"/>
      <c r="D246" s="106"/>
      <c r="E246" s="106"/>
      <c r="F246" s="106">
        <v>0</v>
      </c>
      <c r="G246" s="106">
        <v>0</v>
      </c>
      <c r="H246" s="106">
        <v>0</v>
      </c>
      <c r="I246" s="106">
        <v>0</v>
      </c>
      <c r="J246" s="106">
        <v>0</v>
      </c>
      <c r="K246" s="106">
        <v>0</v>
      </c>
      <c r="L246" s="106">
        <v>0</v>
      </c>
      <c r="M246" s="106">
        <v>0</v>
      </c>
      <c r="N246" s="106">
        <v>0</v>
      </c>
      <c r="O246" s="107"/>
      <c r="P246" s="107"/>
      <c r="Q246" s="107"/>
      <c r="R246" s="107"/>
      <c r="S246" s="107"/>
      <c r="T246" s="100">
        <f t="shared" si="60"/>
        <v>0</v>
      </c>
      <c r="U246" s="83"/>
      <c r="V246" s="84"/>
      <c r="W246" s="82"/>
      <c r="X246" s="82"/>
      <c r="Y246" s="82"/>
      <c r="Z246" s="82"/>
      <c r="AA246" s="82"/>
      <c r="AB246" s="82"/>
      <c r="AC246" s="82"/>
      <c r="AD246" s="82"/>
    </row>
    <row r="247" hidden="1" spans="1:30">
      <c r="A247" s="82"/>
      <c r="B247" s="103" t="s">
        <v>257</v>
      </c>
      <c r="C247" s="100"/>
      <c r="D247" s="100"/>
      <c r="E247" s="100"/>
      <c r="F247" s="101">
        <v>126737</v>
      </c>
      <c r="G247" s="101">
        <v>87296</v>
      </c>
      <c r="H247" s="101">
        <v>84480</v>
      </c>
      <c r="I247" s="101">
        <v>87296</v>
      </c>
      <c r="J247" s="101">
        <v>187705</v>
      </c>
      <c r="K247" s="101">
        <v>169540</v>
      </c>
      <c r="L247" s="101">
        <v>0</v>
      </c>
      <c r="M247" s="100">
        <v>0</v>
      </c>
      <c r="N247" s="100">
        <v>0</v>
      </c>
      <c r="O247" s="100"/>
      <c r="P247" s="100"/>
      <c r="Q247" s="100"/>
      <c r="R247" s="100"/>
      <c r="S247" s="100"/>
      <c r="T247" s="100">
        <f t="shared" si="60"/>
        <v>743054</v>
      </c>
      <c r="U247" s="83"/>
      <c r="V247" s="84"/>
      <c r="W247" s="82"/>
      <c r="X247" s="82"/>
      <c r="Y247" s="82"/>
      <c r="Z247" s="82"/>
      <c r="AA247" s="82"/>
      <c r="AB247" s="82"/>
      <c r="AC247" s="82"/>
      <c r="AD247" s="82"/>
    </row>
    <row r="248" hidden="1" spans="1:30">
      <c r="A248" s="82"/>
      <c r="B248" s="103" t="s">
        <v>258</v>
      </c>
      <c r="C248" s="100"/>
      <c r="D248" s="100"/>
      <c r="E248" s="100"/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0">
        <v>0</v>
      </c>
      <c r="N248" s="100">
        <v>0</v>
      </c>
      <c r="O248" s="100"/>
      <c r="P248" s="100"/>
      <c r="Q248" s="100"/>
      <c r="R248" s="100"/>
      <c r="S248" s="100"/>
      <c r="T248" s="100">
        <f t="shared" si="60"/>
        <v>0</v>
      </c>
      <c r="U248" s="83"/>
      <c r="V248" s="84"/>
      <c r="W248" s="82"/>
      <c r="X248" s="82"/>
      <c r="Y248" s="82"/>
      <c r="Z248" s="82"/>
      <c r="AA248" s="82"/>
      <c r="AB248" s="82"/>
      <c r="AC248" s="82"/>
      <c r="AD248" s="82"/>
    </row>
    <row r="249" hidden="1" spans="1:30">
      <c r="A249" s="82"/>
      <c r="B249" s="104" t="s">
        <v>259</v>
      </c>
      <c r="C249" s="106"/>
      <c r="D249" s="106"/>
      <c r="E249" s="106"/>
      <c r="F249" s="106">
        <v>0</v>
      </c>
      <c r="G249" s="106">
        <v>0</v>
      </c>
      <c r="H249" s="106">
        <v>0</v>
      </c>
      <c r="I249" s="106">
        <v>0</v>
      </c>
      <c r="J249" s="106">
        <v>0</v>
      </c>
      <c r="K249" s="106">
        <v>0</v>
      </c>
      <c r="L249" s="106">
        <v>0</v>
      </c>
      <c r="M249" s="106">
        <v>0</v>
      </c>
      <c r="N249" s="106">
        <v>0</v>
      </c>
      <c r="O249" s="107"/>
      <c r="P249" s="107"/>
      <c r="Q249" s="107"/>
      <c r="R249" s="107"/>
      <c r="S249" s="107"/>
      <c r="T249" s="100">
        <f t="shared" si="60"/>
        <v>0</v>
      </c>
      <c r="U249" s="83"/>
      <c r="V249" s="84"/>
      <c r="W249" s="82"/>
      <c r="X249" s="82"/>
      <c r="Y249" s="82"/>
      <c r="Z249" s="82"/>
      <c r="AA249" s="82"/>
      <c r="AB249" s="82"/>
      <c r="AC249" s="82"/>
      <c r="AD249" s="82"/>
    </row>
    <row r="250" hidden="1" spans="1:30">
      <c r="A250" s="82"/>
      <c r="B250" s="104" t="s">
        <v>260</v>
      </c>
      <c r="C250" s="106"/>
      <c r="D250" s="106"/>
      <c r="E250" s="106"/>
      <c r="F250" s="106">
        <v>0</v>
      </c>
      <c r="G250" s="106">
        <v>0</v>
      </c>
      <c r="H250" s="106">
        <v>0</v>
      </c>
      <c r="I250" s="106">
        <v>0</v>
      </c>
      <c r="J250" s="106">
        <v>0</v>
      </c>
      <c r="K250" s="106">
        <v>0</v>
      </c>
      <c r="L250" s="106">
        <v>0</v>
      </c>
      <c r="M250" s="106">
        <v>0</v>
      </c>
      <c r="N250" s="106">
        <v>0</v>
      </c>
      <c r="O250" s="107"/>
      <c r="P250" s="107"/>
      <c r="Q250" s="107"/>
      <c r="R250" s="107"/>
      <c r="S250" s="107"/>
      <c r="T250" s="100">
        <f t="shared" si="60"/>
        <v>0</v>
      </c>
      <c r="U250" s="83"/>
      <c r="V250" s="84"/>
      <c r="W250" s="82"/>
      <c r="X250" s="82"/>
      <c r="Y250" s="82"/>
      <c r="Z250" s="82"/>
      <c r="AA250" s="82"/>
      <c r="AB250" s="82"/>
      <c r="AC250" s="82"/>
      <c r="AD250" s="82"/>
    </row>
    <row r="251" hidden="1" spans="1:30">
      <c r="A251" s="82"/>
      <c r="B251" s="104" t="s">
        <v>261</v>
      </c>
      <c r="C251" s="106"/>
      <c r="D251" s="106"/>
      <c r="E251" s="106"/>
      <c r="F251" s="106">
        <v>0</v>
      </c>
      <c r="G251" s="106">
        <v>0</v>
      </c>
      <c r="H251" s="106">
        <v>0</v>
      </c>
      <c r="I251" s="106">
        <v>0</v>
      </c>
      <c r="J251" s="106">
        <v>0</v>
      </c>
      <c r="K251" s="106">
        <v>0</v>
      </c>
      <c r="L251" s="106">
        <v>0</v>
      </c>
      <c r="M251" s="106">
        <v>0</v>
      </c>
      <c r="N251" s="106">
        <v>0</v>
      </c>
      <c r="O251" s="107"/>
      <c r="P251" s="107"/>
      <c r="Q251" s="107"/>
      <c r="R251" s="107"/>
      <c r="S251" s="107"/>
      <c r="T251" s="100">
        <f t="shared" si="60"/>
        <v>0</v>
      </c>
      <c r="U251" s="83"/>
      <c r="V251" s="84"/>
      <c r="W251" s="82"/>
      <c r="X251" s="82"/>
      <c r="Y251" s="82"/>
      <c r="Z251" s="82"/>
      <c r="AA251" s="82"/>
      <c r="AB251" s="82"/>
      <c r="AC251" s="82"/>
      <c r="AD251" s="82"/>
    </row>
    <row r="252" hidden="1" spans="1:30">
      <c r="A252" s="82"/>
      <c r="B252" s="99" t="s">
        <v>262</v>
      </c>
      <c r="C252" s="100">
        <f t="shared" ref="C252:N252" si="61">SUM(C243:C251)</f>
        <v>0</v>
      </c>
      <c r="D252" s="100">
        <f t="shared" si="61"/>
        <v>0</v>
      </c>
      <c r="E252" s="100">
        <f t="shared" si="61"/>
        <v>0</v>
      </c>
      <c r="F252" s="100">
        <f t="shared" si="61"/>
        <v>144084.84</v>
      </c>
      <c r="G252" s="100">
        <f t="shared" si="61"/>
        <v>103072.528</v>
      </c>
      <c r="H252" s="100">
        <f t="shared" si="61"/>
        <v>93123.568</v>
      </c>
      <c r="I252" s="100">
        <f t="shared" si="61"/>
        <v>96342.344</v>
      </c>
      <c r="J252" s="100">
        <f t="shared" si="61"/>
        <v>193594.3728</v>
      </c>
      <c r="K252" s="100">
        <f t="shared" si="61"/>
        <v>172727.9368</v>
      </c>
      <c r="L252" s="100">
        <f t="shared" si="61"/>
        <v>909.306</v>
      </c>
      <c r="M252" s="100">
        <f t="shared" si="61"/>
        <v>909.306</v>
      </c>
      <c r="N252" s="100">
        <f t="shared" si="61"/>
        <v>0</v>
      </c>
      <c r="O252" s="100"/>
      <c r="P252" s="100"/>
      <c r="Q252" s="100"/>
      <c r="R252" s="100"/>
      <c r="S252" s="100">
        <f>SUM(S243:S251)</f>
        <v>0</v>
      </c>
      <c r="T252" s="100">
        <f t="shared" si="60"/>
        <v>804764.2016</v>
      </c>
      <c r="U252" s="83"/>
      <c r="V252" s="84"/>
      <c r="W252" s="82"/>
      <c r="X252" s="82"/>
      <c r="Y252" s="82"/>
      <c r="Z252" s="82"/>
      <c r="AA252" s="82"/>
      <c r="AB252" s="82"/>
      <c r="AC252" s="82"/>
      <c r="AD252" s="82"/>
    </row>
    <row r="253" hidden="1" spans="1:30">
      <c r="A253" s="82"/>
      <c r="B253" s="119" t="s">
        <v>274</v>
      </c>
      <c r="C253" s="108">
        <f t="shared" ref="C253:N253" si="62">C242-C252</f>
        <v>0</v>
      </c>
      <c r="D253" s="108">
        <f t="shared" si="62"/>
        <v>0</v>
      </c>
      <c r="E253" s="108">
        <f t="shared" si="62"/>
        <v>0</v>
      </c>
      <c r="F253" s="108">
        <f t="shared" si="62"/>
        <v>-142481.84</v>
      </c>
      <c r="G253" s="108">
        <f t="shared" si="62"/>
        <v>-80677.528</v>
      </c>
      <c r="H253" s="108">
        <f t="shared" si="62"/>
        <v>-87771.568</v>
      </c>
      <c r="I253" s="108">
        <f t="shared" si="62"/>
        <v>-87009.344</v>
      </c>
      <c r="J253" s="108">
        <f t="shared" si="62"/>
        <v>-191565.4628</v>
      </c>
      <c r="K253" s="108">
        <f t="shared" si="62"/>
        <v>-162978.0268</v>
      </c>
      <c r="L253" s="108">
        <f t="shared" si="62"/>
        <v>-909.306</v>
      </c>
      <c r="M253" s="108">
        <f t="shared" si="62"/>
        <v>-909.306</v>
      </c>
      <c r="N253" s="108">
        <f t="shared" si="62"/>
        <v>0</v>
      </c>
      <c r="O253" s="108"/>
      <c r="P253" s="108"/>
      <c r="Q253" s="108"/>
      <c r="R253" s="108"/>
      <c r="S253" s="108">
        <f>S242-S252</f>
        <v>0</v>
      </c>
      <c r="T253" s="108">
        <f t="shared" si="60"/>
        <v>-754302.3816</v>
      </c>
      <c r="U253" s="83"/>
      <c r="V253" s="84"/>
      <c r="W253" s="82"/>
      <c r="X253" s="82"/>
      <c r="Y253" s="82"/>
      <c r="Z253" s="82"/>
      <c r="AA253" s="82"/>
      <c r="AB253" s="82"/>
      <c r="AC253" s="82"/>
      <c r="AD253" s="82"/>
    </row>
    <row r="254" hidden="1" spans="1:30">
      <c r="A254" s="82"/>
      <c r="B254" s="119" t="s">
        <v>271</v>
      </c>
      <c r="C254" s="108">
        <f t="shared" ref="C254:L254" si="63">C253/99</f>
        <v>0</v>
      </c>
      <c r="D254" s="108">
        <f t="shared" si="63"/>
        <v>0</v>
      </c>
      <c r="E254" s="108">
        <f t="shared" si="63"/>
        <v>0</v>
      </c>
      <c r="F254" s="108">
        <f t="shared" si="63"/>
        <v>-1439.2105050505</v>
      </c>
      <c r="G254" s="108">
        <f t="shared" si="63"/>
        <v>-814.924525252525</v>
      </c>
      <c r="H254" s="108">
        <f t="shared" si="63"/>
        <v>-886.581494949495</v>
      </c>
      <c r="I254" s="108">
        <f t="shared" si="63"/>
        <v>-878.882262626263</v>
      </c>
      <c r="J254" s="108">
        <f t="shared" si="63"/>
        <v>-1935.00467474747</v>
      </c>
      <c r="K254" s="108">
        <f t="shared" si="63"/>
        <v>-1646.24269494949</v>
      </c>
      <c r="L254" s="108">
        <f t="shared" si="63"/>
        <v>-9.18490909090909</v>
      </c>
      <c r="M254" s="108">
        <f>M253/57</f>
        <v>-15.9527368421053</v>
      </c>
      <c r="N254" s="108">
        <f>N253/57</f>
        <v>0</v>
      </c>
      <c r="O254" s="108"/>
      <c r="P254" s="108"/>
      <c r="Q254" s="108"/>
      <c r="R254" s="108"/>
      <c r="S254" s="108">
        <f>S253/99</f>
        <v>0</v>
      </c>
      <c r="T254" s="108">
        <f t="shared" si="60"/>
        <v>-7625.98380350877</v>
      </c>
      <c r="U254" s="83"/>
      <c r="V254" s="84"/>
      <c r="W254" s="82"/>
      <c r="X254" s="82"/>
      <c r="Y254" s="82"/>
      <c r="Z254" s="82"/>
      <c r="AA254" s="82"/>
      <c r="AB254" s="82"/>
      <c r="AC254" s="82"/>
      <c r="AD254" s="82"/>
    </row>
    <row r="255" hidden="1" spans="1:30">
      <c r="A255" s="82"/>
      <c r="B255" s="109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1"/>
      <c r="U255" s="83"/>
      <c r="V255" s="84"/>
      <c r="W255" s="82"/>
      <c r="X255" s="82"/>
      <c r="Y255" s="82"/>
      <c r="Z255" s="82"/>
      <c r="AA255" s="82"/>
      <c r="AB255" s="82"/>
      <c r="AC255" s="82"/>
      <c r="AD255" s="82"/>
    </row>
    <row r="256" spans="1:30">
      <c r="A256" s="82"/>
      <c r="B256" s="46"/>
      <c r="C256" s="46"/>
      <c r="D256" s="46"/>
      <c r="E256" s="46"/>
      <c r="F256" s="46"/>
      <c r="G256" s="46"/>
      <c r="H256" s="46"/>
      <c r="I256" s="98"/>
      <c r="J256" s="98"/>
      <c r="K256" s="98"/>
      <c r="L256" s="98"/>
      <c r="M256" s="46"/>
      <c r="N256" s="46"/>
      <c r="O256" s="46"/>
      <c r="P256" s="46"/>
      <c r="Q256" s="46"/>
      <c r="R256" s="46"/>
      <c r="S256" s="46"/>
      <c r="T256" s="46"/>
      <c r="U256" s="84"/>
      <c r="V256" s="84"/>
      <c r="W256" s="82"/>
      <c r="X256" s="82"/>
      <c r="Y256" s="82"/>
      <c r="Z256" s="82"/>
      <c r="AA256" s="82"/>
      <c r="AB256" s="82"/>
      <c r="AC256" s="82"/>
      <c r="AD256" s="82"/>
    </row>
    <row r="257" spans="1:30">
      <c r="A257" s="82"/>
      <c r="B257" s="46"/>
      <c r="C257" s="46"/>
      <c r="D257" s="46"/>
      <c r="E257" s="46"/>
      <c r="F257" s="46"/>
      <c r="G257" s="46"/>
      <c r="H257" s="46"/>
      <c r="I257" s="98"/>
      <c r="J257" s="98"/>
      <c r="K257" s="98"/>
      <c r="L257" s="98"/>
      <c r="M257" s="46"/>
      <c r="N257" s="46"/>
      <c r="O257" s="46"/>
      <c r="P257" s="46"/>
      <c r="Q257" s="46"/>
      <c r="R257" s="46"/>
      <c r="S257" s="46"/>
      <c r="T257" s="46"/>
      <c r="U257" s="84"/>
      <c r="V257" s="84"/>
      <c r="W257" s="82"/>
      <c r="X257" s="82"/>
      <c r="Y257" s="82"/>
      <c r="Z257" s="82"/>
      <c r="AA257" s="82"/>
      <c r="AB257" s="82"/>
      <c r="AC257" s="82"/>
      <c r="AD257" s="82"/>
    </row>
    <row r="258" spans="1:30">
      <c r="A258" s="82"/>
      <c r="B258" s="46"/>
      <c r="C258" s="46"/>
      <c r="D258" s="46"/>
      <c r="E258" s="46"/>
      <c r="F258" s="46"/>
      <c r="G258" s="46"/>
      <c r="H258" s="46"/>
      <c r="I258" s="98"/>
      <c r="J258" s="98"/>
      <c r="K258" s="98"/>
      <c r="L258" s="98"/>
      <c r="M258" s="46"/>
      <c r="N258" s="46"/>
      <c r="O258" s="46"/>
      <c r="P258" s="46"/>
      <c r="Q258" s="46"/>
      <c r="R258" s="46"/>
      <c r="S258" s="46"/>
      <c r="T258" s="46"/>
      <c r="U258" s="84"/>
      <c r="V258" s="84"/>
      <c r="W258" s="82"/>
      <c r="X258" s="82"/>
      <c r="Y258" s="82"/>
      <c r="Z258" s="82"/>
      <c r="AA258" s="82"/>
      <c r="AB258" s="82"/>
      <c r="AC258" s="82"/>
      <c r="AD258" s="82"/>
    </row>
    <row r="259" spans="1:30">
      <c r="A259" s="82"/>
      <c r="B259" s="46"/>
      <c r="C259" s="46"/>
      <c r="D259" s="46"/>
      <c r="E259" s="46"/>
      <c r="F259" s="46"/>
      <c r="G259" s="46"/>
      <c r="H259" s="46"/>
      <c r="I259" s="98"/>
      <c r="J259" s="98"/>
      <c r="K259" s="98"/>
      <c r="L259" s="98"/>
      <c r="M259" s="46"/>
      <c r="N259" s="46"/>
      <c r="O259" s="46"/>
      <c r="P259" s="46"/>
      <c r="Q259" s="46"/>
      <c r="R259" s="46"/>
      <c r="S259" s="46"/>
      <c r="T259" s="46"/>
      <c r="U259" s="84"/>
      <c r="V259" s="84"/>
      <c r="W259" s="82"/>
      <c r="X259" s="82"/>
      <c r="Y259" s="82"/>
      <c r="Z259" s="82"/>
      <c r="AA259" s="82"/>
      <c r="AB259" s="82"/>
      <c r="AC259" s="82"/>
      <c r="AD259" s="82"/>
    </row>
    <row r="260" spans="1:30">
      <c r="A260" s="82"/>
      <c r="B260" s="46"/>
      <c r="C260" s="46"/>
      <c r="D260" s="46"/>
      <c r="E260" s="46"/>
      <c r="F260" s="46"/>
      <c r="G260" s="46"/>
      <c r="H260" s="46"/>
      <c r="I260" s="98"/>
      <c r="J260" s="98"/>
      <c r="K260" s="98"/>
      <c r="L260" s="98"/>
      <c r="M260" s="46"/>
      <c r="N260" s="46"/>
      <c r="O260" s="46"/>
      <c r="P260" s="46"/>
      <c r="Q260" s="46"/>
      <c r="R260" s="46"/>
      <c r="S260" s="46"/>
      <c r="T260" s="46"/>
      <c r="U260" s="84"/>
      <c r="V260" s="84"/>
      <c r="W260" s="82"/>
      <c r="X260" s="82"/>
      <c r="Y260" s="82"/>
      <c r="Z260" s="82"/>
      <c r="AA260" s="82"/>
      <c r="AB260" s="82"/>
      <c r="AC260" s="82"/>
      <c r="AD260" s="82"/>
    </row>
    <row r="261" spans="1:30">
      <c r="A261" s="82"/>
      <c r="B261" s="46"/>
      <c r="C261" s="46"/>
      <c r="D261" s="46"/>
      <c r="E261" s="46"/>
      <c r="F261" s="46"/>
      <c r="G261" s="46"/>
      <c r="H261" s="46"/>
      <c r="I261" s="98"/>
      <c r="J261" s="98"/>
      <c r="K261" s="98"/>
      <c r="L261" s="98"/>
      <c r="M261" s="46"/>
      <c r="N261" s="46"/>
      <c r="O261" s="46"/>
      <c r="P261" s="46"/>
      <c r="Q261" s="46"/>
      <c r="R261" s="46"/>
      <c r="S261" s="46"/>
      <c r="T261" s="46"/>
      <c r="U261" s="84"/>
      <c r="V261" s="84"/>
      <c r="W261" s="82"/>
      <c r="X261" s="82"/>
      <c r="Y261" s="82"/>
      <c r="Z261" s="82"/>
      <c r="AA261" s="82"/>
      <c r="AB261" s="82"/>
      <c r="AC261" s="82"/>
      <c r="AD261" s="82"/>
    </row>
    <row r="262" spans="1:30">
      <c r="A262" s="82"/>
      <c r="B262" s="46"/>
      <c r="C262" s="46"/>
      <c r="D262" s="46"/>
      <c r="E262" s="46"/>
      <c r="F262" s="46"/>
      <c r="G262" s="46"/>
      <c r="H262" s="46"/>
      <c r="I262" s="98"/>
      <c r="J262" s="98"/>
      <c r="K262" s="98"/>
      <c r="L262" s="98"/>
      <c r="M262" s="46"/>
      <c r="N262" s="46"/>
      <c r="O262" s="46"/>
      <c r="P262" s="46"/>
      <c r="Q262" s="46"/>
      <c r="R262" s="46"/>
      <c r="S262" s="46"/>
      <c r="T262" s="46"/>
      <c r="U262" s="84"/>
      <c r="V262" s="84"/>
      <c r="W262" s="82"/>
      <c r="X262" s="82"/>
      <c r="Y262" s="82"/>
      <c r="Z262" s="82"/>
      <c r="AA262" s="82"/>
      <c r="AB262" s="82"/>
      <c r="AC262" s="82"/>
      <c r="AD262" s="82"/>
    </row>
    <row r="263" spans="1:30">
      <c r="A263" s="82"/>
      <c r="B263" s="46"/>
      <c r="C263" s="46"/>
      <c r="D263" s="46"/>
      <c r="E263" s="46"/>
      <c r="F263" s="46"/>
      <c r="G263" s="46"/>
      <c r="H263" s="46"/>
      <c r="I263" s="98"/>
      <c r="J263" s="98"/>
      <c r="K263" s="98"/>
      <c r="L263" s="98"/>
      <c r="M263" s="46"/>
      <c r="N263" s="46"/>
      <c r="O263" s="46"/>
      <c r="P263" s="46"/>
      <c r="Q263" s="46"/>
      <c r="R263" s="46"/>
      <c r="S263" s="46"/>
      <c r="T263" s="46"/>
      <c r="U263" s="84"/>
      <c r="V263" s="84"/>
      <c r="W263" s="82"/>
      <c r="X263" s="82"/>
      <c r="Y263" s="82"/>
      <c r="Z263" s="82"/>
      <c r="AA263" s="82"/>
      <c r="AB263" s="82"/>
      <c r="AC263" s="82"/>
      <c r="AD263" s="82"/>
    </row>
    <row r="264" spans="1:30">
      <c r="A264" s="82"/>
      <c r="B264" s="46"/>
      <c r="C264" s="46"/>
      <c r="D264" s="46"/>
      <c r="E264" s="46"/>
      <c r="F264" s="46"/>
      <c r="G264" s="46"/>
      <c r="H264" s="46"/>
      <c r="I264" s="98"/>
      <c r="J264" s="98"/>
      <c r="K264" s="98"/>
      <c r="L264" s="98"/>
      <c r="M264" s="46"/>
      <c r="N264" s="46"/>
      <c r="O264" s="46"/>
      <c r="P264" s="46"/>
      <c r="Q264" s="46"/>
      <c r="R264" s="46"/>
      <c r="S264" s="46"/>
      <c r="T264" s="46"/>
      <c r="U264" s="84"/>
      <c r="V264" s="84"/>
      <c r="W264" s="82"/>
      <c r="X264" s="82"/>
      <c r="Y264" s="82"/>
      <c r="Z264" s="82"/>
      <c r="AA264" s="82"/>
      <c r="AB264" s="82"/>
      <c r="AC264" s="82"/>
      <c r="AD264" s="82"/>
    </row>
    <row r="265" spans="1:30">
      <c r="A265" s="82"/>
      <c r="B265" s="46"/>
      <c r="C265" s="46"/>
      <c r="D265" s="46"/>
      <c r="E265" s="46"/>
      <c r="F265" s="46"/>
      <c r="G265" s="46"/>
      <c r="H265" s="46"/>
      <c r="I265" s="98"/>
      <c r="J265" s="98"/>
      <c r="K265" s="98"/>
      <c r="L265" s="98"/>
      <c r="M265" s="46"/>
      <c r="N265" s="46"/>
      <c r="O265" s="46"/>
      <c r="P265" s="46"/>
      <c r="Q265" s="46"/>
      <c r="R265" s="46"/>
      <c r="S265" s="46"/>
      <c r="T265" s="46"/>
      <c r="U265" s="84"/>
      <c r="V265" s="84"/>
      <c r="W265" s="82"/>
      <c r="X265" s="82"/>
      <c r="Y265" s="82"/>
      <c r="Z265" s="82"/>
      <c r="AA265" s="82"/>
      <c r="AB265" s="82"/>
      <c r="AC265" s="82"/>
      <c r="AD265" s="82"/>
    </row>
    <row r="266" spans="1:30">
      <c r="A266" s="82"/>
      <c r="B266" s="46"/>
      <c r="C266" s="46"/>
      <c r="D266" s="46"/>
      <c r="E266" s="46"/>
      <c r="F266" s="46"/>
      <c r="G266" s="46"/>
      <c r="H266" s="46"/>
      <c r="I266" s="98"/>
      <c r="J266" s="98"/>
      <c r="K266" s="98"/>
      <c r="L266" s="98"/>
      <c r="M266" s="46"/>
      <c r="N266" s="46"/>
      <c r="O266" s="46"/>
      <c r="P266" s="46"/>
      <c r="Q266" s="46"/>
      <c r="R266" s="46"/>
      <c r="S266" s="46"/>
      <c r="T266" s="46"/>
      <c r="U266" s="84"/>
      <c r="V266" s="84"/>
      <c r="W266" s="82"/>
      <c r="X266" s="82"/>
      <c r="Y266" s="82"/>
      <c r="Z266" s="82"/>
      <c r="AA266" s="82"/>
      <c r="AB266" s="82"/>
      <c r="AC266" s="82"/>
      <c r="AD266" s="82"/>
    </row>
    <row r="267" spans="1:30">
      <c r="A267" s="82"/>
      <c r="B267" s="46"/>
      <c r="C267" s="46"/>
      <c r="D267" s="46"/>
      <c r="E267" s="46"/>
      <c r="F267" s="46"/>
      <c r="G267" s="46"/>
      <c r="H267" s="46"/>
      <c r="I267" s="98"/>
      <c r="J267" s="98"/>
      <c r="K267" s="98"/>
      <c r="L267" s="98"/>
      <c r="M267" s="46"/>
      <c r="N267" s="46"/>
      <c r="O267" s="46"/>
      <c r="P267" s="46"/>
      <c r="Q267" s="46"/>
      <c r="R267" s="46"/>
      <c r="S267" s="46"/>
      <c r="T267" s="46"/>
      <c r="U267" s="84"/>
      <c r="V267" s="84"/>
      <c r="W267" s="82"/>
      <c r="X267" s="82"/>
      <c r="Y267" s="82"/>
      <c r="Z267" s="82"/>
      <c r="AA267" s="82"/>
      <c r="AB267" s="82"/>
      <c r="AC267" s="82"/>
      <c r="AD267" s="82"/>
    </row>
    <row r="268" spans="1:30">
      <c r="A268" s="82"/>
      <c r="B268" s="46"/>
      <c r="C268" s="46"/>
      <c r="D268" s="46"/>
      <c r="E268" s="46"/>
      <c r="F268" s="46"/>
      <c r="G268" s="46"/>
      <c r="H268" s="46"/>
      <c r="I268" s="98"/>
      <c r="J268" s="98"/>
      <c r="K268" s="98"/>
      <c r="L268" s="98"/>
      <c r="M268" s="46"/>
      <c r="N268" s="46"/>
      <c r="O268" s="46"/>
      <c r="P268" s="46"/>
      <c r="Q268" s="46"/>
      <c r="R268" s="46"/>
      <c r="S268" s="46"/>
      <c r="T268" s="46"/>
      <c r="U268" s="84"/>
      <c r="V268" s="84"/>
      <c r="W268" s="82"/>
      <c r="X268" s="82"/>
      <c r="Y268" s="82"/>
      <c r="Z268" s="82"/>
      <c r="AA268" s="82"/>
      <c r="AB268" s="82"/>
      <c r="AC268" s="82"/>
      <c r="AD268" s="82"/>
    </row>
  </sheetData>
  <mergeCells count="16">
    <mergeCell ref="B5:T5"/>
    <mergeCell ref="B20:T20"/>
    <mergeCell ref="B36:T36"/>
    <mergeCell ref="B52:T52"/>
    <mergeCell ref="B68:T68"/>
    <mergeCell ref="B84:T84"/>
    <mergeCell ref="B100:T100"/>
    <mergeCell ref="B116:T116"/>
    <mergeCell ref="B131:T131"/>
    <mergeCell ref="B147:T147"/>
    <mergeCell ref="B162:T162"/>
    <mergeCell ref="B178:T178"/>
    <mergeCell ref="B193:T193"/>
    <mergeCell ref="B208:T208"/>
    <mergeCell ref="B224:T224"/>
    <mergeCell ref="B240:T240"/>
  </mergeCells>
  <conditionalFormatting sqref="C50:O50">
    <cfRule type="cellIs" dxfId="2" priority="34" operator="greaterThan">
      <formula>0</formula>
    </cfRule>
    <cfRule type="cellIs" dxfId="3" priority="33" operator="lessThan">
      <formula>0</formula>
    </cfRule>
  </conditionalFormatting>
  <conditionalFormatting sqref="P50">
    <cfRule type="cellIs" dxfId="2" priority="18" operator="greaterThan">
      <formula>0</formula>
    </cfRule>
    <cfRule type="cellIs" dxfId="3" priority="17" operator="lessThan">
      <formula>0</formula>
    </cfRule>
  </conditionalFormatting>
  <conditionalFormatting sqref="C66:O66">
    <cfRule type="cellIs" dxfId="2" priority="32" operator="greaterThan">
      <formula>0</formula>
    </cfRule>
    <cfRule type="cellIs" dxfId="3" priority="31" operator="lessThan">
      <formula>0</formula>
    </cfRule>
  </conditionalFormatting>
  <conditionalFormatting sqref="P66">
    <cfRule type="cellIs" dxfId="2" priority="14" operator="greaterThan">
      <formula>0</formula>
    </cfRule>
    <cfRule type="cellIs" dxfId="3" priority="13" operator="lessThan">
      <formula>0</formula>
    </cfRule>
  </conditionalFormatting>
  <conditionalFormatting sqref="C82:O82">
    <cfRule type="cellIs" dxfId="2" priority="30" operator="greaterThan">
      <formula>0</formula>
    </cfRule>
    <cfRule type="cellIs" dxfId="3" priority="29" operator="lessThan">
      <formula>0</formula>
    </cfRule>
  </conditionalFormatting>
  <conditionalFormatting sqref="P82">
    <cfRule type="cellIs" dxfId="2" priority="10" operator="greaterThan">
      <formula>0</formula>
    </cfRule>
    <cfRule type="cellIs" dxfId="3" priority="9" operator="lessThan">
      <formula>0</formula>
    </cfRule>
  </conditionalFormatting>
  <conditionalFormatting sqref="V130">
    <cfRule type="cellIs" dxfId="0" priority="50" operator="lessThan">
      <formula>1</formula>
    </cfRule>
    <cfRule type="cellIs" dxfId="1" priority="49" operator="greaterThan">
      <formula>0.99</formula>
    </cfRule>
    <cfRule type="cellIs" dxfId="1" priority="48" operator="greaterThan">
      <formula>0</formula>
    </cfRule>
    <cfRule type="cellIs" dxfId="0" priority="47" operator="lessThan">
      <formula>0.01</formula>
    </cfRule>
  </conditionalFormatting>
  <conditionalFormatting sqref="V133">
    <cfRule type="cellIs" dxfId="0" priority="38" operator="lessThan">
      <formula>1</formula>
    </cfRule>
    <cfRule type="cellIs" dxfId="1" priority="37" operator="greaterThan">
      <formula>0.99</formula>
    </cfRule>
    <cfRule type="cellIs" dxfId="1" priority="36" operator="greaterThan">
      <formula>0</formula>
    </cfRule>
    <cfRule type="cellIs" dxfId="0" priority="35" operator="lessThan">
      <formula>0.01</formula>
    </cfRule>
  </conditionalFormatting>
  <conditionalFormatting sqref="C145:N145">
    <cfRule type="cellIs" dxfId="2" priority="28" operator="greaterThan">
      <formula>0</formula>
    </cfRule>
    <cfRule type="cellIs" dxfId="3" priority="27" operator="lessThan">
      <formula>0</formula>
    </cfRule>
  </conditionalFormatting>
  <conditionalFormatting sqref="O145">
    <cfRule type="cellIs" dxfId="2" priority="4" operator="greaterThan">
      <formula>0</formula>
    </cfRule>
    <cfRule type="cellIs" dxfId="3" priority="2" operator="lessThan">
      <formula>0</formula>
    </cfRule>
  </conditionalFormatting>
  <conditionalFormatting sqref="P145">
    <cfRule type="cellIs" dxfId="2" priority="3" operator="greaterThan">
      <formula>0</formula>
    </cfRule>
    <cfRule type="cellIs" dxfId="3" priority="1" operator="lessThan">
      <formula>0</formula>
    </cfRule>
  </conditionalFormatting>
  <conditionalFormatting sqref="V146">
    <cfRule type="cellIs" dxfId="0" priority="46" operator="lessThan">
      <formula>1</formula>
    </cfRule>
    <cfRule type="cellIs" dxfId="1" priority="45" operator="greaterThan">
      <formula>0.99</formula>
    </cfRule>
    <cfRule type="cellIs" dxfId="1" priority="44" operator="greaterThan">
      <formula>0</formula>
    </cfRule>
    <cfRule type="cellIs" dxfId="0" priority="43" operator="lessThan">
      <formula>0.01</formula>
    </cfRule>
  </conditionalFormatting>
  <conditionalFormatting sqref="O143:O144">
    <cfRule type="cellIs" dxfId="2" priority="8" operator="greaterThan">
      <formula>0</formula>
    </cfRule>
    <cfRule type="cellIs" dxfId="3" priority="6" operator="lessThan">
      <formula>0</formula>
    </cfRule>
  </conditionalFormatting>
  <conditionalFormatting sqref="P48:P49">
    <cfRule type="cellIs" dxfId="2" priority="20" operator="greaterThan">
      <formula>0</formula>
    </cfRule>
    <cfRule type="cellIs" dxfId="3" priority="19" operator="lessThan">
      <formula>0</formula>
    </cfRule>
  </conditionalFormatting>
  <conditionalFormatting sqref="P64:P65">
    <cfRule type="cellIs" dxfId="2" priority="16" operator="greaterThan">
      <formula>0</formula>
    </cfRule>
    <cfRule type="cellIs" dxfId="3" priority="15" operator="lessThan">
      <formula>0</formula>
    </cfRule>
  </conditionalFormatting>
  <conditionalFormatting sqref="P80:P81">
    <cfRule type="cellIs" dxfId="2" priority="12" operator="greaterThan">
      <formula>0</formula>
    </cfRule>
    <cfRule type="cellIs" dxfId="3" priority="11" operator="lessThan">
      <formula>0</formula>
    </cfRule>
  </conditionalFormatting>
  <conditionalFormatting sqref="P143:P144">
    <cfRule type="cellIs" dxfId="2" priority="7" operator="greaterThan">
      <formula>0</formula>
    </cfRule>
    <cfRule type="cellIs" dxfId="3" priority="5" operator="lessThan">
      <formula>0</formula>
    </cfRule>
  </conditionalFormatting>
  <conditionalFormatting sqref="T38:T50">
    <cfRule type="cellIs" dxfId="2" priority="26" operator="greaterThan">
      <formula>0</formula>
    </cfRule>
    <cfRule type="cellIs" dxfId="3" priority="25" operator="lessThan">
      <formula>0</formula>
    </cfRule>
  </conditionalFormatting>
  <conditionalFormatting sqref="T54:T66">
    <cfRule type="cellIs" dxfId="2" priority="24" operator="greaterThan">
      <formula>0</formula>
    </cfRule>
    <cfRule type="cellIs" dxfId="3" priority="23" operator="lessThan">
      <formula>0</formula>
    </cfRule>
  </conditionalFormatting>
  <conditionalFormatting sqref="T70:T82">
    <cfRule type="cellIs" dxfId="2" priority="22" operator="greaterThan">
      <formula>0</formula>
    </cfRule>
    <cfRule type="cellIs" dxfId="3" priority="21" operator="lessThan">
      <formula>0</formula>
    </cfRule>
  </conditionalFormatting>
  <conditionalFormatting sqref="T133:T145">
    <cfRule type="cellIs" dxfId="2" priority="40" operator="greaterThan">
      <formula>0</formula>
    </cfRule>
    <cfRule type="cellIs" dxfId="3" priority="39" operator="lessThan">
      <formula>0</formula>
    </cfRule>
  </conditionalFormatting>
  <conditionalFormatting sqref="T210:T222">
    <cfRule type="cellIs" dxfId="2" priority="58" operator="greaterThan">
      <formula>0</formula>
    </cfRule>
    <cfRule type="cellIs" dxfId="3" priority="57" operator="lessThan">
      <formula>0</formula>
    </cfRule>
  </conditionalFormatting>
  <conditionalFormatting sqref="T226:T238">
    <cfRule type="cellIs" dxfId="2" priority="56" operator="greaterThan">
      <formula>0</formula>
    </cfRule>
    <cfRule type="cellIs" dxfId="3" priority="55" operator="lessThan">
      <formula>0</formula>
    </cfRule>
  </conditionalFormatting>
  <conditionalFormatting sqref="V1:V129 V147:V268">
    <cfRule type="cellIs" dxfId="0" priority="82" operator="lessThan">
      <formula>1</formula>
    </cfRule>
    <cfRule type="cellIs" dxfId="1" priority="81" operator="greaterThan">
      <formula>0.99</formula>
    </cfRule>
    <cfRule type="cellIs" dxfId="1" priority="80" operator="greaterThan">
      <formula>0</formula>
    </cfRule>
    <cfRule type="cellIs" dxfId="0" priority="79" operator="lessThan">
      <formula>0.01</formula>
    </cfRule>
  </conditionalFormatting>
  <conditionalFormatting sqref="C6:T18">
    <cfRule type="cellIs" dxfId="2" priority="78" operator="greaterThan">
      <formula>0</formula>
    </cfRule>
    <cfRule type="cellIs" dxfId="3" priority="77" operator="lessThan">
      <formula>0</formula>
    </cfRule>
  </conditionalFormatting>
  <conditionalFormatting sqref="C22:T34">
    <cfRule type="cellIs" dxfId="2" priority="76" operator="greaterThan">
      <formula>0</formula>
    </cfRule>
    <cfRule type="cellIs" dxfId="3" priority="75" operator="lessThan">
      <formula>0</formula>
    </cfRule>
  </conditionalFormatting>
  <conditionalFormatting sqref="C38:S47 C48:O49 Q48:S50">
    <cfRule type="cellIs" dxfId="2" priority="74" operator="greaterThan">
      <formula>0</formula>
    </cfRule>
    <cfRule type="cellIs" dxfId="3" priority="73" operator="lessThan">
      <formula>0</formula>
    </cfRule>
  </conditionalFormatting>
  <conditionalFormatting sqref="C54:S63 C64:O65 Q64:S66">
    <cfRule type="cellIs" dxfId="2" priority="72" operator="greaterThan">
      <formula>0</formula>
    </cfRule>
    <cfRule type="cellIs" dxfId="3" priority="71" operator="lessThan">
      <formula>0</formula>
    </cfRule>
  </conditionalFormatting>
  <conditionalFormatting sqref="C70:S79 C80:O81 Q80:S82">
    <cfRule type="cellIs" dxfId="2" priority="70" operator="greaterThan">
      <formula>0</formula>
    </cfRule>
    <cfRule type="cellIs" dxfId="3" priority="69" operator="lessThan">
      <formula>0</formula>
    </cfRule>
  </conditionalFormatting>
  <conditionalFormatting sqref="C86:T98">
    <cfRule type="cellIs" dxfId="2" priority="68" operator="greaterThan">
      <formula>0</formula>
    </cfRule>
    <cfRule type="cellIs" dxfId="3" priority="67" operator="lessThan">
      <formula>0</formula>
    </cfRule>
  </conditionalFormatting>
  <conditionalFormatting sqref="C102:T114">
    <cfRule type="cellIs" dxfId="2" priority="66" operator="greaterThan">
      <formula>0</formula>
    </cfRule>
    <cfRule type="cellIs" dxfId="3" priority="65" operator="lessThan">
      <formula>0</formula>
    </cfRule>
  </conditionalFormatting>
  <conditionalFormatting sqref="V131:V132 V134:V145">
    <cfRule type="cellIs" dxfId="0" priority="54" operator="lessThan">
      <formula>1</formula>
    </cfRule>
    <cfRule type="cellIs" dxfId="1" priority="53" operator="greaterThan">
      <formula>0.99</formula>
    </cfRule>
    <cfRule type="cellIs" dxfId="1" priority="52" operator="greaterThan">
      <formula>0</formula>
    </cfRule>
    <cfRule type="cellIs" dxfId="0" priority="51" operator="lessThan">
      <formula>0.01</formula>
    </cfRule>
  </conditionalFormatting>
  <conditionalFormatting sqref="C133:S142 C143:N144 Q143:S145">
    <cfRule type="cellIs" dxfId="2" priority="42" operator="greaterThan">
      <formula>0</formula>
    </cfRule>
    <cfRule type="cellIs" dxfId="3" priority="41" operator="lessThan">
      <formula>0</formula>
    </cfRule>
  </conditionalFormatting>
  <conditionalFormatting sqref="C164:T175 O176:T176">
    <cfRule type="cellIs" dxfId="2" priority="64" operator="greaterThan">
      <formula>0</formula>
    </cfRule>
    <cfRule type="cellIs" dxfId="3" priority="63" operator="lessThan">
      <formula>0</formula>
    </cfRule>
  </conditionalFormatting>
  <conditionalFormatting sqref="C210:S221 P222:S222">
    <cfRule type="cellIs" dxfId="2" priority="62" operator="greaterThan">
      <formula>0</formula>
    </cfRule>
    <cfRule type="cellIs" dxfId="3" priority="61" operator="lessThan">
      <formula>0</formula>
    </cfRule>
  </conditionalFormatting>
  <conditionalFormatting sqref="C226:S238">
    <cfRule type="cellIs" dxfId="2" priority="60" operator="greaterThan">
      <formula>0</formula>
    </cfRule>
    <cfRule type="cellIs" dxfId="3" priority="59" operator="lessThan">
      <formula>0</formula>
    </cfRule>
  </conditionalFormatting>
  <pageMargins left="0.75" right="0.75" top="1" bottom="1" header="0.5" footer="0.5"/>
  <headerFooter/>
  <ignoredErrors>
    <ignoredError sqref="F252:N252 E236:O236 C204:I204 C158:I158 C174:N174 C189:I189 C220:O220 C16:P16 C48:P48 C64:P64 C80:P8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3"/>
  <sheetViews>
    <sheetView workbookViewId="0">
      <pane ySplit="4" topLeftCell="A5" activePane="bottomLeft" state="frozen"/>
      <selection/>
      <selection pane="bottomLeft" activeCell="A2" sqref="A2:AB13"/>
    </sheetView>
  </sheetViews>
  <sheetFormatPr defaultColWidth="9.14285714285714" defaultRowHeight="15"/>
  <cols>
    <col min="1" max="15" width="9.14285714285714" style="41"/>
    <col min="16" max="16" width="11.8571428571429" style="41"/>
    <col min="17" max="21" width="9.14285714285714" style="41"/>
    <col min="22" max="22" width="11.8571428571429" style="41"/>
    <col min="23" max="24" width="9.85714285714286" style="41"/>
    <col min="25" max="29" width="9.14285714285714" style="41"/>
  </cols>
  <sheetData>
    <row r="1" hidden="1" spans="1:30">
      <c r="A1" s="42" t="s">
        <v>275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>
        <f ca="1">TODAY()-1</f>
        <v>46229</v>
      </c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5"/>
      <c r="AD1" s="46"/>
    </row>
    <row r="2" spans="1:30">
      <c r="A2" s="47" t="s">
        <v>276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>
        <v>26</v>
      </c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5"/>
      <c r="AD2" s="46"/>
    </row>
    <row r="3" ht="22.5" spans="1:30">
      <c r="A3" s="50" t="s">
        <v>277</v>
      </c>
      <c r="B3" s="50" t="s">
        <v>278</v>
      </c>
      <c r="C3" s="51" t="s">
        <v>279</v>
      </c>
      <c r="D3" s="51" t="s">
        <v>280</v>
      </c>
      <c r="E3" s="51" t="s">
        <v>24</v>
      </c>
      <c r="F3" s="51" t="s">
        <v>281</v>
      </c>
      <c r="G3" s="51" t="s">
        <v>219</v>
      </c>
      <c r="H3" s="52" t="s">
        <v>282</v>
      </c>
      <c r="I3" s="51" t="s">
        <v>33</v>
      </c>
      <c r="J3" s="51" t="s">
        <v>36</v>
      </c>
      <c r="K3" s="51" t="s">
        <v>37</v>
      </c>
      <c r="L3" s="50" t="s">
        <v>283</v>
      </c>
      <c r="M3" s="50" t="s">
        <v>284</v>
      </c>
      <c r="N3" s="52" t="s">
        <v>48</v>
      </c>
      <c r="O3" s="52" t="s">
        <v>61</v>
      </c>
      <c r="P3" s="52" t="s">
        <v>285</v>
      </c>
      <c r="Q3" s="52" t="s">
        <v>34</v>
      </c>
      <c r="R3" s="52" t="s">
        <v>35</v>
      </c>
      <c r="S3" s="52" t="s">
        <v>27</v>
      </c>
      <c r="T3" s="51" t="s">
        <v>56</v>
      </c>
      <c r="U3" s="51" t="s">
        <v>57</v>
      </c>
      <c r="V3" s="51" t="s">
        <v>286</v>
      </c>
      <c r="W3" s="51" t="s">
        <v>287</v>
      </c>
      <c r="X3" s="51" t="s">
        <v>288</v>
      </c>
      <c r="Y3" s="50" t="s">
        <v>289</v>
      </c>
      <c r="Z3" s="50" t="s">
        <v>290</v>
      </c>
      <c r="AA3" s="50" t="s">
        <v>291</v>
      </c>
      <c r="AB3" s="50" t="s">
        <v>292</v>
      </c>
      <c r="AC3" s="45"/>
      <c r="AD3" s="10"/>
    </row>
    <row r="4" ht="56.25" hidden="1" spans="1:30">
      <c r="A4" s="27" t="s">
        <v>293</v>
      </c>
      <c r="B4" s="27" t="s">
        <v>294</v>
      </c>
      <c r="C4" s="28" t="s">
        <v>295</v>
      </c>
      <c r="D4" s="28" t="s">
        <v>296</v>
      </c>
      <c r="E4" s="28" t="s">
        <v>297</v>
      </c>
      <c r="F4" s="28" t="s">
        <v>298</v>
      </c>
      <c r="G4" s="28" t="s">
        <v>299</v>
      </c>
      <c r="H4" s="29" t="s">
        <v>300</v>
      </c>
      <c r="I4" s="28"/>
      <c r="J4" s="28" t="s">
        <v>301</v>
      </c>
      <c r="K4" s="28" t="s">
        <v>302</v>
      </c>
      <c r="L4" s="27" t="s">
        <v>303</v>
      </c>
      <c r="M4" s="27" t="s">
        <v>304</v>
      </c>
      <c r="N4" s="29" t="s">
        <v>305</v>
      </c>
      <c r="O4" s="29" t="s">
        <v>306</v>
      </c>
      <c r="P4" s="29" t="s">
        <v>307</v>
      </c>
      <c r="Q4" s="29"/>
      <c r="R4" s="29"/>
      <c r="S4" s="29" t="s">
        <v>308</v>
      </c>
      <c r="T4" s="28" t="s">
        <v>309</v>
      </c>
      <c r="U4" s="28" t="s">
        <v>310</v>
      </c>
      <c r="V4" s="28" t="s">
        <v>309</v>
      </c>
      <c r="W4" s="28" t="s">
        <v>311</v>
      </c>
      <c r="X4" s="28" t="s">
        <v>312</v>
      </c>
      <c r="Y4" s="27" t="s">
        <v>313</v>
      </c>
      <c r="Z4" s="27" t="s">
        <v>97</v>
      </c>
      <c r="AA4" s="27" t="s">
        <v>98</v>
      </c>
      <c r="AB4" s="27" t="s">
        <v>314</v>
      </c>
      <c r="AC4" s="45"/>
      <c r="AD4" s="53"/>
    </row>
    <row r="5" ht="17.25" spans="1:30">
      <c r="A5" s="54" t="s">
        <v>117</v>
      </c>
      <c r="B5" s="55">
        <f>汇总!D4</f>
        <v>3</v>
      </c>
      <c r="C5" s="55">
        <f>汇总!E4</f>
        <v>2</v>
      </c>
      <c r="D5" s="56" cm="1">
        <f t="array" ref="D5">LOOKUP(2,1/(('PH09'!$A:$A&lt;&gt;"")*((('PH09'!$B:$B&lt;&gt;"")+('PH09'!$C:$C&lt;&gt;"")+('PH09'!$D:$D&lt;&gt;""))&gt;0)),'PH09'!$E:$E)</f>
        <v>217.766666666667</v>
      </c>
      <c r="E5" s="56">
        <f t="shared" ref="E5:E9" si="0">G5/Y5</f>
        <v>3.97777777777778</v>
      </c>
      <c r="F5" s="55" cm="1">
        <f t="array" ref="F5">LOOKUP(2,1/('PH09'!$G:$G&lt;&gt;""),'PH09'!$G:$G)</f>
        <v>310</v>
      </c>
      <c r="G5" s="55" cm="1">
        <f t="array" ref="G5">LOOKUP(2,1/('PH09'!$H:$H&lt;&gt;""),'PH09'!$H:$H)</f>
        <v>179</v>
      </c>
      <c r="H5" s="57">
        <f t="shared" ref="H5:H9" si="1">G5/F5</f>
        <v>0.57741935483871</v>
      </c>
      <c r="I5" s="55" cm="1">
        <f t="array" ref="I5">LOOKUP(2,1/('PH09'!$J:$J&lt;&gt;""),'PH09'!$J:$J)</f>
        <v>126</v>
      </c>
      <c r="J5" s="55" cm="1">
        <f t="array" ref="J5">LOOKUP(2,1/('PH09'!$K:$K&lt;&gt;""),'PH09'!$K:$K)</f>
        <v>1399</v>
      </c>
      <c r="K5" s="56">
        <f t="shared" ref="K5:K9" si="2">J5-G5</f>
        <v>1220</v>
      </c>
      <c r="L5" s="58">
        <f t="shared" ref="L5:L9" si="3">D5/F5</f>
        <v>0.70247311827957</v>
      </c>
      <c r="M5" s="58">
        <f t="shared" ref="M5:M9" si="4">D5/G5</f>
        <v>1.21657355679702</v>
      </c>
      <c r="N5" s="56">
        <f>T5/G5</f>
        <v>228.357541899441</v>
      </c>
      <c r="O5" s="56">
        <f t="shared" ref="O5:O9" si="5">V5/J5</f>
        <v>751.305017869907</v>
      </c>
      <c r="P5" s="55" cm="1">
        <f t="array" ref="P5">LOOKUP(2,1/('PH09'!$Q:$Q&lt;&gt;""),'PH09'!$Q:$Q)</f>
        <v>5384412.67</v>
      </c>
      <c r="Q5" s="55" cm="1">
        <f t="array" ref="Q5">LOOKUP(2,1/('PH09'!$R:$R&lt;&gt;""),'PH09'!$R:$R)</f>
        <v>30605</v>
      </c>
      <c r="R5" s="55" cm="1">
        <f t="array" ref="R5">LOOKUP(2,1/('PH09'!$S:$S&lt;&gt;""),'PH09'!$S:$S)</f>
        <v>25992</v>
      </c>
      <c r="S5" s="55" cm="1">
        <f t="array" ref="S5">LOOKUP(2,1/('PH09'!$T:$T&lt;&gt;""),'PH09'!$T:$T)</f>
        <v>27990</v>
      </c>
      <c r="T5" s="55" cm="1">
        <f t="array" ref="T5">LOOKUP(2,1/('PH09'!$U:$U&lt;&gt;""),'PH09'!$U:$U)</f>
        <v>40876</v>
      </c>
      <c r="U5" s="55" cm="1">
        <f t="array" ref="U5">LOOKUP(2,1/('PH09'!$V:$V&lt;&gt;""),'PH09'!$V:$V)</f>
        <v>39525</v>
      </c>
      <c r="V5" s="55" cm="1">
        <f t="array" ref="V5">LOOKUP(2,1/('PH09'!$W:$W&lt;&gt;""),'PH09'!$W:$W)</f>
        <v>1051075.72</v>
      </c>
      <c r="W5" s="55" cm="1">
        <f t="array" ref="W5">LOOKUP(2,1/('PH09'!$X:$X&lt;&gt;""),'PH09'!$X:$X)</f>
        <v>664280</v>
      </c>
      <c r="X5" s="56">
        <f t="shared" ref="X5:X9" si="6">V5-W5</f>
        <v>386795.72</v>
      </c>
      <c r="Y5" s="59">
        <f>'PH09'!AJ4</f>
        <v>45</v>
      </c>
      <c r="Z5" s="57">
        <f t="shared" ref="Z5:Z9" si="7">(T5/60)/D5</f>
        <v>3.12842491963876</v>
      </c>
      <c r="AA5" s="57">
        <f t="shared" ref="AA5:AA9" si="8">(X5/60)/D5</f>
        <v>29.6032236338589</v>
      </c>
      <c r="AB5" s="60">
        <f t="shared" ref="AB5:AB9" si="9">P5/V5</f>
        <v>5.12276381952767</v>
      </c>
      <c r="AC5" s="61"/>
      <c r="AD5" s="62"/>
    </row>
    <row r="6" ht="17.25" hidden="1" spans="1:30">
      <c r="A6" s="54" t="s">
        <v>120</v>
      </c>
      <c r="B6" s="55">
        <f>汇总!D5</f>
        <v>0</v>
      </c>
      <c r="C6" s="55"/>
      <c r="D6" s="56" cm="1">
        <f t="array" ref="D6">LOOKUP(2,1/(('PH09'!$A:$A&lt;&gt;"")*((('PH09'!$B:$B&lt;&gt;"")+('PH09'!$C:$C&lt;&gt;"")+('PH09'!$D:$D&lt;&gt;""))&gt;0)),'PH09'!$E:$E)</f>
        <v>217.766666666667</v>
      </c>
      <c r="E6" s="56"/>
      <c r="F6" s="55"/>
      <c r="G6" s="55"/>
      <c r="H6" s="57"/>
      <c r="I6" s="55"/>
      <c r="J6" s="55"/>
      <c r="K6" s="56"/>
      <c r="L6" s="58"/>
      <c r="M6" s="58"/>
      <c r="N6" s="56"/>
      <c r="O6" s="56"/>
      <c r="P6" s="55"/>
      <c r="Q6" s="55"/>
      <c r="R6" s="55"/>
      <c r="S6" s="55"/>
      <c r="T6" s="55"/>
      <c r="U6" s="55"/>
      <c r="V6" s="55"/>
      <c r="W6" s="55"/>
      <c r="X6" s="56"/>
      <c r="Y6" s="59"/>
      <c r="Z6" s="57">
        <f t="shared" si="7"/>
        <v>0</v>
      </c>
      <c r="AA6" s="57">
        <f t="shared" si="8"/>
        <v>0</v>
      </c>
      <c r="AB6" s="60"/>
      <c r="AC6" s="61"/>
      <c r="AD6" s="62"/>
    </row>
    <row r="7" ht="17.25" spans="1:30">
      <c r="A7" s="54" t="s">
        <v>124</v>
      </c>
      <c r="B7" s="55">
        <f>汇总!D6</f>
        <v>2</v>
      </c>
      <c r="C7" s="55">
        <f>汇总!E6</f>
        <v>4</v>
      </c>
      <c r="D7" s="56" cm="1">
        <f t="array" ref="D7">LOOKUP(2,1/(('PH25'!$A:$A&lt;&gt;"")*((('PH25'!$B:$B&lt;&gt;"")+('PH25'!$C:$C&lt;&gt;"")+('PH25'!$D:$D&lt;&gt;""))&gt;0)),'PH25'!$E:$E)</f>
        <v>222.2</v>
      </c>
      <c r="E7" s="56">
        <f t="shared" si="0"/>
        <v>1.21621621621622</v>
      </c>
      <c r="F7" s="55" cm="1">
        <f t="array" ref="F7">LOOKUP(2,1/('PH25'!$G:$G&lt;&gt;""),'PH25'!$G:$G)</f>
        <v>124</v>
      </c>
      <c r="G7" s="55" cm="1">
        <f t="array" ref="G7">LOOKUP(2,1/('PH25'!$H:$H&lt;&gt;""),'PH25'!$H:$H)</f>
        <v>45</v>
      </c>
      <c r="H7" s="57">
        <f t="shared" si="1"/>
        <v>0.362903225806452</v>
      </c>
      <c r="I7" s="55" cm="1">
        <f t="array" ref="I7">LOOKUP(2,1/('PH25'!$J:$J&lt;&gt;""),'PH25'!$J:$J)</f>
        <v>42</v>
      </c>
      <c r="J7" s="55" cm="1">
        <f t="array" ref="J7">LOOKUP(2,1/('PH25'!$K:$K&lt;&gt;""),'PH25'!$K:$K)</f>
        <v>291</v>
      </c>
      <c r="K7" s="56">
        <f t="shared" si="2"/>
        <v>246</v>
      </c>
      <c r="L7" s="58">
        <f t="shared" si="3"/>
        <v>1.79193548387097</v>
      </c>
      <c r="M7" s="58">
        <f t="shared" si="4"/>
        <v>4.93777777777778</v>
      </c>
      <c r="N7" s="56">
        <f t="shared" ref="N5:N9" si="10">T7/G7</f>
        <v>188</v>
      </c>
      <c r="O7" s="56">
        <f t="shared" si="5"/>
        <v>415.329896907216</v>
      </c>
      <c r="P7" s="55" cm="1">
        <f t="array" ref="P7">LOOKUP(2,1/('PH25'!$Q:$Q&lt;&gt;""),'PH25'!$Q:$Q)</f>
        <v>789303.09</v>
      </c>
      <c r="Q7" s="55" cm="1">
        <f t="array" ref="Q7">LOOKUP(2,1/('PH25'!$R:$R&lt;&gt;""),'PH25'!$R:$R)</f>
        <v>8160</v>
      </c>
      <c r="R7" s="55" cm="1">
        <f t="array" ref="R7">LOOKUP(2,1/('PH25'!$S:$S&lt;&gt;""),'PH25'!$S:$S)</f>
        <v>12253</v>
      </c>
      <c r="S7" s="55" cm="1">
        <f t="array" ref="S7">LOOKUP(2,1/('PH25'!$T:$T&lt;&gt;""),'PH25'!$T:$T)</f>
        <v>5800</v>
      </c>
      <c r="T7" s="55" cm="1">
        <f t="array" ref="T7">LOOKUP(2,1/('PH25'!$U:$U&lt;&gt;""),'PH25'!$U:$U)</f>
        <v>8460</v>
      </c>
      <c r="U7" s="55" cm="1">
        <f t="array" ref="U7">LOOKUP(2,1/('PH25'!$V:$V&lt;&gt;""),'PH25'!$V:$V)</f>
        <v>12253</v>
      </c>
      <c r="V7" s="55" cm="1">
        <f t="array" ref="V7">LOOKUP(2,1/('PH25'!$W:$W&lt;&gt;""),'PH25'!$W:$W)</f>
        <v>120861</v>
      </c>
      <c r="W7" s="55" cm="1">
        <f t="array" ref="W7">LOOKUP(2,1/('PH25'!$X:$X&lt;&gt;""),'PH25'!$X:$X)</f>
        <v>84964</v>
      </c>
      <c r="X7" s="56">
        <f t="shared" si="6"/>
        <v>35897</v>
      </c>
      <c r="Y7" s="59">
        <f>'PH25'!AJ4</f>
        <v>37</v>
      </c>
      <c r="Z7" s="57">
        <f t="shared" si="7"/>
        <v>0.634563456345635</v>
      </c>
      <c r="AA7" s="57">
        <f t="shared" si="8"/>
        <v>2.69254425442544</v>
      </c>
      <c r="AB7" s="60">
        <f t="shared" si="9"/>
        <v>6.53066820562464</v>
      </c>
      <c r="AC7" s="61"/>
      <c r="AD7" s="62"/>
    </row>
    <row r="8" ht="17.25" spans="1:30">
      <c r="A8" s="54" t="s">
        <v>127</v>
      </c>
      <c r="B8" s="55">
        <f>汇总!D7</f>
        <v>3</v>
      </c>
      <c r="C8" s="55">
        <f>汇总!E7</f>
        <v>2</v>
      </c>
      <c r="D8" s="56" cm="1">
        <f t="array" ref="D8">LOOKUP(2,1/(('PH18'!$A:$A&lt;&gt;"")*((('PH18'!$B:$B&lt;&gt;"")+('PH18'!$C:$C&lt;&gt;"")+('PH18'!$D:$D&lt;&gt;""))&gt;0)),'PH18'!$E:$E)</f>
        <v>217.766666666667</v>
      </c>
      <c r="E8" s="56">
        <f t="shared" si="0"/>
        <v>2.86486486486486</v>
      </c>
      <c r="F8" s="55" cm="1">
        <f t="array" ref="F8">LOOKUP(2,1/('PH18'!$G:$G&lt;&gt;""),'PH18'!$G:$G)</f>
        <v>209</v>
      </c>
      <c r="G8" s="55" cm="1">
        <f t="array" ref="G8">LOOKUP(2,1/('PH18'!$H:$H&lt;&gt;""),'PH18'!$H:$H)</f>
        <v>106</v>
      </c>
      <c r="H8" s="57">
        <f t="shared" si="1"/>
        <v>0.507177033492823</v>
      </c>
      <c r="I8" s="55" cm="1">
        <f t="array" ref="I8">LOOKUP(2,1/('PH18'!$J:$J&lt;&gt;""),'PH18'!$J:$J)</f>
        <v>90</v>
      </c>
      <c r="J8" s="55" cm="1">
        <f t="array" ref="J8">LOOKUP(2,1/('PH18'!$K:$K&lt;&gt;""),'PH18'!$K:$K)</f>
        <v>395</v>
      </c>
      <c r="K8" s="56">
        <f t="shared" si="2"/>
        <v>289</v>
      </c>
      <c r="L8" s="58">
        <f t="shared" si="3"/>
        <v>1.04194577352472</v>
      </c>
      <c r="M8" s="58">
        <f t="shared" si="4"/>
        <v>2.05440251572327</v>
      </c>
      <c r="N8" s="56">
        <f t="shared" si="10"/>
        <v>198.292452830189</v>
      </c>
      <c r="O8" s="56">
        <f t="shared" si="5"/>
        <v>462.918987341772</v>
      </c>
      <c r="P8" s="55" cm="1">
        <f t="array" ref="P8">LOOKUP(2,1/('PH18'!$Q:$Q&lt;&gt;""),'PH18'!$Q:$Q)</f>
        <v>1281523.4</v>
      </c>
      <c r="Q8" s="55" cm="1">
        <f t="array" ref="Q8">LOOKUP(2,1/('PH18'!$R:$R&lt;&gt;""),'PH18'!$R:$R)</f>
        <v>18187</v>
      </c>
      <c r="R8" s="55" cm="1">
        <f t="array" ref="R8">LOOKUP(2,1/('PH18'!$S:$S&lt;&gt;""),'PH18'!$S:$S)</f>
        <v>19499</v>
      </c>
      <c r="S8" s="55" cm="1">
        <f t="array" ref="S8">LOOKUP(2,1/('PH18'!$T:$T&lt;&gt;""),'PH18'!$T:$T)</f>
        <v>15054</v>
      </c>
      <c r="T8" s="55" cm="1">
        <f t="array" ref="T8">LOOKUP(2,1/('PH18'!$U:$U&lt;&gt;""),'PH18'!$U:$U)</f>
        <v>21019</v>
      </c>
      <c r="U8" s="55" cm="1">
        <f t="array" ref="U8">LOOKUP(2,1/('PH18'!$V:$V&lt;&gt;""),'PH18'!$V:$V)</f>
        <v>22914</v>
      </c>
      <c r="V8" s="55" cm="1">
        <f t="array" ref="V8">LOOKUP(2,1/('PH18'!$W:$W&lt;&gt;""),'PH18'!$W:$W)</f>
        <v>182853</v>
      </c>
      <c r="W8" s="55" cm="1">
        <f t="array" ref="W8">LOOKUP(2,1/('PH18'!$X:$X&lt;&gt;""),'PH18'!$X:$X)</f>
        <v>133822.16</v>
      </c>
      <c r="X8" s="56">
        <f t="shared" si="6"/>
        <v>49030.84</v>
      </c>
      <c r="Y8" s="59">
        <f>'PH18'!AJ4</f>
        <v>37</v>
      </c>
      <c r="Z8" s="57">
        <f t="shared" si="7"/>
        <v>1.60867901423542</v>
      </c>
      <c r="AA8" s="57">
        <f t="shared" si="8"/>
        <v>3.75255166079902</v>
      </c>
      <c r="AB8" s="60">
        <f t="shared" si="9"/>
        <v>7.00848987984884</v>
      </c>
      <c r="AC8" s="61"/>
      <c r="AD8" s="62"/>
    </row>
    <row r="9" ht="17.25" spans="1:30">
      <c r="A9" s="54" t="s">
        <v>137</v>
      </c>
      <c r="B9" s="55">
        <f>汇总!D10</f>
        <v>3</v>
      </c>
      <c r="C9" s="55">
        <f>汇总!E10</f>
        <v>1</v>
      </c>
      <c r="D9" s="56" cm="1">
        <f t="array" ref="D9">LOOKUP(2,1/(('PH30'!$A:$A&lt;&gt;"")*((('PH30'!$B:$B&lt;&gt;"")+('PH30'!$C:$C&lt;&gt;"")+('PH30'!$D:$D&lt;&gt;""))&gt;0)),'PH30'!$E:$E)</f>
        <v>325.383333333333</v>
      </c>
      <c r="E9" s="56">
        <f t="shared" si="0"/>
        <v>3.36111111111111</v>
      </c>
      <c r="F9" s="55" cm="1">
        <f t="array" ref="F9">LOOKUP(2,1/('PH30'!$G:$G&lt;&gt;""),'PH30'!$G:$G)</f>
        <v>250</v>
      </c>
      <c r="G9" s="55" cm="1">
        <f t="array" ref="G9">LOOKUP(2,1/('PH30'!$H:$H&lt;&gt;""),'PH30'!$H:$H)</f>
        <v>121</v>
      </c>
      <c r="H9" s="57">
        <f t="shared" si="1"/>
        <v>0.484</v>
      </c>
      <c r="I9" s="55" cm="1">
        <f t="array" ref="I9">LOOKUP(2,1/('PH30'!$J:$J&lt;&gt;""),'PH30'!$J:$J)</f>
        <v>92</v>
      </c>
      <c r="J9" s="55" cm="1">
        <f t="array" ref="J9">LOOKUP(2,1/('PH30'!$K:$K&lt;&gt;""),'PH30'!$K:$K)</f>
        <v>590</v>
      </c>
      <c r="K9" s="56">
        <f t="shared" si="2"/>
        <v>469</v>
      </c>
      <c r="L9" s="58">
        <f t="shared" si="3"/>
        <v>1.30153333333333</v>
      </c>
      <c r="M9" s="58">
        <f t="shared" si="4"/>
        <v>2.68911845730028</v>
      </c>
      <c r="N9" s="56">
        <f t="shared" si="10"/>
        <v>194.644628099174</v>
      </c>
      <c r="O9" s="56">
        <f t="shared" si="5"/>
        <v>357.332203389831</v>
      </c>
      <c r="P9" s="55" cm="1">
        <f t="array" ref="P9">LOOKUP(2,1/('PH30'!$Q:$Q&lt;&gt;""),'PH30'!$Q:$Q)</f>
        <v>1823982.9</v>
      </c>
      <c r="Q9" s="55" cm="1">
        <f t="array" ref="Q9">LOOKUP(2,1/('PH30'!$R:$R&lt;&gt;""),'PH30'!$R:$R)</f>
        <v>18602</v>
      </c>
      <c r="R9" s="55" cm="1">
        <f t="array" ref="R9">LOOKUP(2,1/('PH30'!$S:$S&lt;&gt;""),'PH30'!$S:$S)</f>
        <v>12256</v>
      </c>
      <c r="S9" s="55" cm="1">
        <f t="array" ref="S9">LOOKUP(2,1/('PH30'!$T:$T&lt;&gt;""),'PH30'!$T:$T)</f>
        <v>15898</v>
      </c>
      <c r="T9" s="55" cm="1">
        <f t="array" ref="T9">LOOKUP(2,1/('PH30'!$U:$U&lt;&gt;""),'PH30'!$U:$U)</f>
        <v>23552</v>
      </c>
      <c r="U9" s="55" cm="1">
        <f t="array" ref="U9">LOOKUP(2,1/('PH30'!$V:$V&lt;&gt;""),'PH30'!$V:$V)</f>
        <v>15006</v>
      </c>
      <c r="V9" s="55" cm="1">
        <f t="array" ref="V9">LOOKUP(2,1/('PH30'!$W:$W&lt;&gt;""),'PH30'!$W:$W)</f>
        <v>210826</v>
      </c>
      <c r="W9" s="55" cm="1">
        <f t="array" ref="W9">LOOKUP(2,1/('PH30'!$X:$X&lt;&gt;""),'PH30'!$X:$X)</f>
        <v>150621</v>
      </c>
      <c r="X9" s="56">
        <f t="shared" si="6"/>
        <v>60205</v>
      </c>
      <c r="Y9" s="59">
        <f>'PH30'!AJ4</f>
        <v>36</v>
      </c>
      <c r="Z9" s="57">
        <f t="shared" si="7"/>
        <v>1.20637197152077</v>
      </c>
      <c r="AA9" s="57">
        <f t="shared" si="8"/>
        <v>3.08379859652717</v>
      </c>
      <c r="AB9" s="60">
        <f t="shared" si="9"/>
        <v>8.65160321781943</v>
      </c>
      <c r="AC9" s="61"/>
      <c r="AD9" s="62"/>
    </row>
    <row r="10" ht="17.25" hidden="1" spans="1:30">
      <c r="A10" s="54" t="s">
        <v>140</v>
      </c>
      <c r="B10" s="55"/>
      <c r="C10" s="55"/>
      <c r="D10" s="56"/>
      <c r="E10" s="56"/>
      <c r="F10" s="55"/>
      <c r="G10" s="55"/>
      <c r="H10" s="57"/>
      <c r="I10" s="55"/>
      <c r="J10" s="55"/>
      <c r="K10" s="56"/>
      <c r="L10" s="58"/>
      <c r="M10" s="58"/>
      <c r="N10" s="56"/>
      <c r="O10" s="56"/>
      <c r="P10" s="55"/>
      <c r="Q10" s="55"/>
      <c r="R10" s="55"/>
      <c r="S10" s="55"/>
      <c r="T10" s="55"/>
      <c r="U10" s="55"/>
      <c r="V10" s="55"/>
      <c r="W10" s="55"/>
      <c r="X10" s="56"/>
      <c r="Y10" s="59"/>
      <c r="Z10" s="57"/>
      <c r="AA10" s="57"/>
      <c r="AB10" s="60"/>
      <c r="AC10" s="45"/>
      <c r="AD10" s="63"/>
    </row>
    <row r="11" ht="17.25" hidden="1" spans="1:30">
      <c r="A11" s="54" t="s">
        <v>147</v>
      </c>
      <c r="B11" s="55"/>
      <c r="C11" s="55"/>
      <c r="D11" s="56"/>
      <c r="E11" s="56"/>
      <c r="F11" s="55"/>
      <c r="G11" s="55"/>
      <c r="H11" s="57"/>
      <c r="I11" s="55"/>
      <c r="J11" s="55"/>
      <c r="K11" s="56"/>
      <c r="L11" s="58"/>
      <c r="M11" s="58"/>
      <c r="N11" s="56"/>
      <c r="O11" s="56"/>
      <c r="P11" s="55"/>
      <c r="Q11" s="55"/>
      <c r="R11" s="55"/>
      <c r="S11" s="55"/>
      <c r="T11" s="55"/>
      <c r="U11" s="55"/>
      <c r="V11" s="55"/>
      <c r="W11" s="55"/>
      <c r="X11" s="56"/>
      <c r="Y11" s="59"/>
      <c r="Z11" s="57"/>
      <c r="AA11" s="57"/>
      <c r="AB11" s="60"/>
      <c r="AC11" s="45"/>
      <c r="AD11" s="63"/>
    </row>
    <row r="12" ht="17.25" hidden="1" spans="1:30">
      <c r="A12" s="54" t="s">
        <v>150</v>
      </c>
      <c r="B12" s="55">
        <f>汇总!D14</f>
        <v>1</v>
      </c>
      <c r="C12" s="55">
        <f>汇总!E14</f>
        <v>0</v>
      </c>
      <c r="D12" s="56" cm="1">
        <f t="array" ref="D12">LOOKUP(2,1/(('PH35'!$A:$A&lt;&gt;"")*((('PH35'!$B:$B&lt;&gt;"")+('PH35'!$C:$C&lt;&gt;"")+('PH35'!$D:$D&lt;&gt;""))&gt;0)),'PH35'!$E:$E)</f>
        <v>53.3333333333333</v>
      </c>
      <c r="E12" s="56">
        <f>G12/Y12</f>
        <v>2.94117647058824</v>
      </c>
      <c r="F12" s="55" cm="1">
        <f t="array" ref="F12">LOOKUP(2,1/('PH35'!$G:$G&lt;&gt;""),'PH35'!$G:$G)</f>
        <v>85</v>
      </c>
      <c r="G12" s="55" cm="1">
        <f t="array" ref="G12">LOOKUP(2,1/('PH35'!$H:$H&lt;&gt;""),'PH35'!$H:$H)</f>
        <v>50</v>
      </c>
      <c r="H12" s="57">
        <f>G12/F12</f>
        <v>0.588235294117647</v>
      </c>
      <c r="I12" s="55" cm="1">
        <f t="array" ref="I12">LOOKUP(2,1/('PH35'!$J:$J&lt;&gt;""),'PH35'!$J:$J)</f>
        <v>43</v>
      </c>
      <c r="J12" s="55" cm="1">
        <f t="array" ref="J12">LOOKUP(2,1/('PH35'!$K:$K&lt;&gt;""),'PH35'!$K:$K)</f>
        <v>101</v>
      </c>
      <c r="K12" s="56">
        <f>J12-G12</f>
        <v>51</v>
      </c>
      <c r="L12" s="58">
        <f>D12/F12</f>
        <v>0.627450980392157</v>
      </c>
      <c r="M12" s="58">
        <f>D12/G12</f>
        <v>1.06666666666667</v>
      </c>
      <c r="N12" s="56">
        <f>T12/G12</f>
        <v>277.16</v>
      </c>
      <c r="O12" s="56">
        <f>V12/J12</f>
        <v>479.732673267327</v>
      </c>
      <c r="P12" s="55" cm="1">
        <f t="array" ref="P12">LOOKUP(2,1/('PH35'!$Q:$Q&lt;&gt;""),'PH35'!$Q:$Q)</f>
        <v>365960.15</v>
      </c>
      <c r="Q12" s="55" cm="1">
        <f t="array" ref="Q12">LOOKUP(2,1/('PH35'!$R:$R&lt;&gt;""),'PH35'!$R:$R)</f>
        <v>12808</v>
      </c>
      <c r="R12" s="55" cm="1">
        <f t="array" ref="R12">LOOKUP(2,1/('PH35'!$S:$S&lt;&gt;""),'PH35'!$S:$S)</f>
        <v>29389</v>
      </c>
      <c r="S12" s="55" cm="1">
        <f t="array" ref="S12">LOOKUP(2,1/('PH35'!$T:$T&lt;&gt;""),'PH35'!$T:$T)</f>
        <v>9508</v>
      </c>
      <c r="T12" s="55" cm="1">
        <f t="array" ref="T12">LOOKUP(2,1/('PH35'!$U:$U&lt;&gt;""),'PH35'!$U:$U)</f>
        <v>13858</v>
      </c>
      <c r="U12" s="55" cm="1">
        <f t="array" ref="U12">LOOKUP(2,1/('PH35'!$V:$V&lt;&gt;""),'PH35'!$V:$V)</f>
        <v>30189</v>
      </c>
      <c r="V12" s="55" cm="1">
        <f t="array" ref="V12">LOOKUP(2,1/('PH35'!$W:$W&lt;&gt;""),'PH35'!$W:$W)</f>
        <v>48453</v>
      </c>
      <c r="W12" s="55" cm="1">
        <f t="array" ref="W12">LOOKUP(2,1/('PH35'!$X:$X&lt;&gt;""),'PH35'!$X:$X)</f>
        <v>46441</v>
      </c>
      <c r="X12" s="56">
        <f>V12-W12</f>
        <v>2012</v>
      </c>
      <c r="Y12" s="59">
        <f>'PH35'!AJ4</f>
        <v>17</v>
      </c>
      <c r="Z12" s="57">
        <f>(T12/60)/D12</f>
        <v>4.330625</v>
      </c>
      <c r="AA12" s="57">
        <f>(X12/60)/D12</f>
        <v>0.62875</v>
      </c>
      <c r="AB12" s="60">
        <f>P12/V12</f>
        <v>7.55288939797329</v>
      </c>
      <c r="AC12" s="45"/>
      <c r="AD12" s="63"/>
    </row>
    <row r="13" ht="17.25" spans="1:30">
      <c r="A13" s="64" t="s">
        <v>153</v>
      </c>
      <c r="B13" s="65">
        <f>SUM(B5:B11)</f>
        <v>11</v>
      </c>
      <c r="C13" s="65">
        <f>SUM(C5:C11)</f>
        <v>9</v>
      </c>
      <c r="D13" s="65">
        <f>SUM(D5:D11)</f>
        <v>1200.88333333333</v>
      </c>
      <c r="E13" s="65">
        <f>G13/Y13</f>
        <v>3.23225806451613</v>
      </c>
      <c r="F13" s="65">
        <f t="shared" ref="F13:J13" si="11">SUM(F5:F12)</f>
        <v>978</v>
      </c>
      <c r="G13" s="65">
        <f t="shared" si="11"/>
        <v>501</v>
      </c>
      <c r="H13" s="66">
        <f>G13/F13</f>
        <v>0.512269938650307</v>
      </c>
      <c r="I13" s="65">
        <f t="shared" si="11"/>
        <v>393</v>
      </c>
      <c r="J13" s="65">
        <f t="shared" si="11"/>
        <v>2776</v>
      </c>
      <c r="K13" s="65">
        <f>J13-G13</f>
        <v>2275</v>
      </c>
      <c r="L13" s="67">
        <f>D13/F13</f>
        <v>1.22789706884799</v>
      </c>
      <c r="M13" s="68">
        <f>D13/G13</f>
        <v>2.39697272122422</v>
      </c>
      <c r="N13" s="65">
        <f>T13/G13</f>
        <v>215.099800399202</v>
      </c>
      <c r="O13" s="65">
        <f>V13/J13</f>
        <v>581.436858789625</v>
      </c>
      <c r="P13" s="65">
        <f t="shared" ref="P13:W13" si="12">SUM(P5:P12)</f>
        <v>9645182.21</v>
      </c>
      <c r="Q13" s="65">
        <f t="shared" si="12"/>
        <v>88362</v>
      </c>
      <c r="R13" s="65">
        <f t="shared" si="12"/>
        <v>99389</v>
      </c>
      <c r="S13" s="65">
        <f t="shared" si="12"/>
        <v>74250</v>
      </c>
      <c r="T13" s="65">
        <f t="shared" si="12"/>
        <v>107765</v>
      </c>
      <c r="U13" s="65">
        <f t="shared" si="12"/>
        <v>119887</v>
      </c>
      <c r="V13" s="65">
        <f t="shared" si="12"/>
        <v>1614068.72</v>
      </c>
      <c r="W13" s="65">
        <f t="shared" si="12"/>
        <v>1080128.16</v>
      </c>
      <c r="X13" s="65">
        <f>V13-W13</f>
        <v>533940.56</v>
      </c>
      <c r="Y13" s="65">
        <f>SUM(Y5:Y11)</f>
        <v>155</v>
      </c>
      <c r="Z13" s="66">
        <f>(T13/60)/D13</f>
        <v>1.49563515745354</v>
      </c>
      <c r="AA13" s="66">
        <f>(X13/60)/D13</f>
        <v>7.41038624345967</v>
      </c>
      <c r="AB13" s="69">
        <f>P13/V13</f>
        <v>5.97569489482455</v>
      </c>
      <c r="AC13" s="45"/>
      <c r="AD13" s="63"/>
    </row>
    <row r="14" spans="1:30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61"/>
      <c r="AA14" s="61"/>
      <c r="AB14" s="61"/>
      <c r="AC14" s="61"/>
      <c r="AD14" s="3"/>
    </row>
    <row r="15" hidden="1" spans="1:30">
      <c r="A15" s="71" t="s">
        <v>315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3">
        <f>O2</f>
        <v>26</v>
      </c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4"/>
      <c r="AC15" s="61"/>
      <c r="AD15" s="3"/>
    </row>
    <row r="16" ht="22.5" hidden="1" spans="1:30">
      <c r="A16" s="75" t="s">
        <v>277</v>
      </c>
      <c r="B16" s="14" t="s">
        <v>278</v>
      </c>
      <c r="C16" s="15" t="s">
        <v>279</v>
      </c>
      <c r="D16" s="76" t="s">
        <v>316</v>
      </c>
      <c r="E16" s="76" t="s">
        <v>24</v>
      </c>
      <c r="F16" s="76" t="s">
        <v>281</v>
      </c>
      <c r="G16" s="76" t="s">
        <v>219</v>
      </c>
      <c r="H16" s="17" t="s">
        <v>317</v>
      </c>
      <c r="I16" s="76" t="s">
        <v>33</v>
      </c>
      <c r="J16" s="76" t="s">
        <v>36</v>
      </c>
      <c r="K16" s="76" t="s">
        <v>37</v>
      </c>
      <c r="L16" s="75" t="s">
        <v>318</v>
      </c>
      <c r="M16" s="75" t="s">
        <v>319</v>
      </c>
      <c r="N16" s="17" t="s">
        <v>157</v>
      </c>
      <c r="O16" s="77" t="s">
        <v>61</v>
      </c>
      <c r="P16" s="77" t="s">
        <v>285</v>
      </c>
      <c r="Q16" s="77" t="s">
        <v>34</v>
      </c>
      <c r="R16" s="77" t="s">
        <v>35</v>
      </c>
      <c r="S16" s="77" t="s">
        <v>27</v>
      </c>
      <c r="T16" s="78" t="s">
        <v>56</v>
      </c>
      <c r="U16" s="78" t="s">
        <v>57</v>
      </c>
      <c r="V16" s="78" t="s">
        <v>286</v>
      </c>
      <c r="W16" s="78" t="s">
        <v>287</v>
      </c>
      <c r="X16" s="78" t="s">
        <v>320</v>
      </c>
      <c r="Y16" s="79" t="s">
        <v>289</v>
      </c>
      <c r="Z16" s="79" t="s">
        <v>321</v>
      </c>
      <c r="AA16" s="79" t="s">
        <v>322</v>
      </c>
      <c r="AB16" s="79" t="s">
        <v>292</v>
      </c>
      <c r="AC16" s="45"/>
      <c r="AD16" s="10"/>
    </row>
    <row r="17" ht="17.25" hidden="1" spans="1:30">
      <c r="A17" s="54" t="s">
        <v>165</v>
      </c>
      <c r="B17" s="55"/>
      <c r="C17" s="55"/>
      <c r="D17" s="56"/>
      <c r="E17" s="56"/>
      <c r="F17" s="55"/>
      <c r="G17" s="55"/>
      <c r="H17" s="57"/>
      <c r="I17" s="55"/>
      <c r="J17" s="55"/>
      <c r="K17" s="56"/>
      <c r="L17" s="58"/>
      <c r="M17" s="58"/>
      <c r="N17" s="56"/>
      <c r="O17" s="56"/>
      <c r="P17" s="55"/>
      <c r="Q17" s="55"/>
      <c r="R17" s="55"/>
      <c r="S17" s="55"/>
      <c r="T17" s="55"/>
      <c r="U17" s="55"/>
      <c r="V17" s="55"/>
      <c r="W17" s="55"/>
      <c r="X17" s="56"/>
      <c r="Y17" s="59"/>
      <c r="Z17" s="57"/>
      <c r="AA17" s="57"/>
      <c r="AB17" s="60"/>
      <c r="AC17" s="61"/>
      <c r="AD17" s="62"/>
    </row>
    <row r="18" ht="17.25" hidden="1" spans="1:30">
      <c r="A18" s="54" t="s">
        <v>176</v>
      </c>
      <c r="B18" s="55">
        <f>[1]汇总!AK23</f>
        <v>0</v>
      </c>
      <c r="C18" s="55">
        <f>[1]汇总!AL23</f>
        <v>0</v>
      </c>
      <c r="D18" s="56" t="str" cm="1">
        <f t="array" ref="D18">LOOKUP(2,1/(('[1]BD05'!$A:$A&lt;&gt;"")*((('[1]BD05'!$B:$B&lt;&gt;"")+('[1]BD05'!$C:$C&lt;&gt;"")+('[1]BD05'!$D:$D&lt;&gt;""))&gt;0)),'[1]BD05'!$E:$E)</f>
        <v>INVERSMENT COST</v>
      </c>
      <c r="E18" s="56" t="e">
        <f>G18/Y18</f>
        <v>#VALUE!</v>
      </c>
      <c r="F18" s="55" t="str" cm="1">
        <f t="array" ref="F18">LOOKUP(2,1/('[1]BD05'!$G:$G&lt;&gt;""),'[1]BD05'!$G:$G)</f>
        <v>RST TOTAL PPL</v>
      </c>
      <c r="G18" s="55" t="str" cm="1">
        <f t="array" ref="G18">LOOKUP(2,1/('[1]BD05'!$H:$H&lt;&gt;""),'[1]BD05'!$H:$H)</f>
        <v>FTD TOTAL PPL</v>
      </c>
      <c r="H18" s="57" t="e">
        <f t="shared" ref="H18:H24" si="13">G18/F18</f>
        <v>#VALUE!</v>
      </c>
      <c r="I18" s="55" t="str" cm="1">
        <f t="array" ref="I18">LOOKUP(2,1/('[1]BD05'!$J:$J&lt;&gt;""),'[1]BD05'!$J:$J)</f>
        <v>Level 1 FTD</v>
      </c>
      <c r="J18" s="55" t="str" cm="1">
        <f t="array" ref="J18">LOOKUP(2,1/('[1]BD05'!$K:$K&lt;&gt;""),'[1]BD05'!$K:$K)</f>
        <v>TOTAL DPS PPL</v>
      </c>
      <c r="K18" s="56" t="e">
        <f t="shared" ref="K18:K24" si="14">J18-G18</f>
        <v>#VALUE!</v>
      </c>
      <c r="L18" s="58" t="e">
        <f t="shared" ref="L18:L24" si="15">D18/F18</f>
        <v>#VALUE!</v>
      </c>
      <c r="M18" s="58" t="e">
        <f t="shared" ref="M18:M24" si="16">D18/G18</f>
        <v>#VALUE!</v>
      </c>
      <c r="N18" s="56" t="e">
        <f t="shared" ref="N18:N24" si="17">T18/G18</f>
        <v>#VALUE!</v>
      </c>
      <c r="O18" s="56" t="e">
        <f t="shared" ref="O18:O24" si="18">V18/J18</f>
        <v>#VALUE!</v>
      </c>
      <c r="P18" s="55" t="str" cm="1">
        <f t="array" ref="P18">LOOKUP(2,1/('[1]BD05'!$Q:$Q&lt;&gt;""),'[1]BD05'!$Q:$Q)</f>
        <v>Valid bets</v>
      </c>
      <c r="Q18" s="55" t="str" cm="1">
        <f t="array" ref="Q18">LOOKUP(2,1/('[1]BD05'!$R:$R&lt;&gt;""),'[1]BD05'!$R:$R)</f>
        <v>Level 1 Deposit</v>
      </c>
      <c r="R18" s="55" t="str" cm="1">
        <f t="array" ref="R18">LOOKUP(2,1/('[1]BD05'!$S:$S&lt;&gt;""),'[1]BD05'!$S:$S)</f>
        <v>Level 1 Withdraw</v>
      </c>
      <c r="S18" s="55" t="str" cm="1">
        <f t="array" ref="S18">LOOKUP(2,1/('[1]BD05'!$T:$T&lt;&gt;""),'[1]BD05'!$T:$T)</f>
        <v>FTD DPS AMOUNT</v>
      </c>
      <c r="T18" s="55" t="str" cm="1">
        <f t="array" ref="T18">LOOKUP(2,1/('[1]BD05'!$U:$U&lt;&gt;""),'[1]BD05'!$U:$U)</f>
        <v>TOTAL DPS AMOUNT</v>
      </c>
      <c r="U18" s="55" t="str" cm="1">
        <f t="array" ref="U18">LOOKUP(2,1/('[1]BD05'!$V:$V&lt;&gt;""),'[1]BD05'!$V:$V)</f>
        <v>THE DAY TOTAL WDR AMOUNT</v>
      </c>
      <c r="V18" s="55" t="str" cm="1">
        <f t="array" ref="V18">LOOKUP(2,1/('[1]BD05'!$W:$W&lt;&gt;""),'[1]BD05'!$W:$W)</f>
        <v>TOTAL DPS AMOUNT</v>
      </c>
      <c r="W18" s="55" t="str" cm="1">
        <f t="array" ref="W18">LOOKUP(2,1/('[1]BD05'!$X:$X&lt;&gt;""),'[1]BD05'!$X:$X)</f>
        <v>TOTAL WDR AMOUNT</v>
      </c>
      <c r="X18" s="56" t="e">
        <f t="shared" ref="X18:X24" si="19">V18-W18</f>
        <v>#VALUE!</v>
      </c>
      <c r="Y18" s="59">
        <f>'[1]BD05'!AJ4</f>
        <v>0</v>
      </c>
      <c r="Z18" s="57" t="e">
        <f>(T18/123)/D18</f>
        <v>#VALUE!</v>
      </c>
      <c r="AA18" s="57" t="e">
        <f>(X18/123)/D18</f>
        <v>#VALUE!</v>
      </c>
      <c r="AB18" s="60" t="e">
        <f t="shared" ref="AB18:AB24" si="20">P18/V18</f>
        <v>#VALUE!</v>
      </c>
      <c r="AC18" s="61"/>
      <c r="AD18" s="62"/>
    </row>
    <row r="19" ht="17.25" hidden="1" spans="1:30">
      <c r="A19" s="64" t="s">
        <v>153</v>
      </c>
      <c r="B19" s="65">
        <f t="shared" ref="B19:G19" si="21">SUM(B17:B18)</f>
        <v>0</v>
      </c>
      <c r="C19" s="65">
        <f t="shared" si="21"/>
        <v>0</v>
      </c>
      <c r="D19" s="65">
        <f t="shared" si="21"/>
        <v>0</v>
      </c>
      <c r="E19" s="65" t="e">
        <f>(G19/Y19)</f>
        <v>#DIV/0!</v>
      </c>
      <c r="F19" s="65">
        <f t="shared" si="21"/>
        <v>0</v>
      </c>
      <c r="G19" s="65">
        <f t="shared" si="21"/>
        <v>0</v>
      </c>
      <c r="H19" s="66" t="e">
        <f t="shared" si="13"/>
        <v>#DIV/0!</v>
      </c>
      <c r="I19" s="65">
        <f>SUM(I17:I18)</f>
        <v>0</v>
      </c>
      <c r="J19" s="65">
        <f>SUM(J17:J18)</f>
        <v>0</v>
      </c>
      <c r="K19" s="65">
        <f t="shared" si="14"/>
        <v>0</v>
      </c>
      <c r="L19" s="67" t="e">
        <f t="shared" si="15"/>
        <v>#DIV/0!</v>
      </c>
      <c r="M19" s="68" t="e">
        <f t="shared" si="16"/>
        <v>#DIV/0!</v>
      </c>
      <c r="N19" s="65" t="e">
        <f t="shared" si="17"/>
        <v>#DIV/0!</v>
      </c>
      <c r="O19" s="65" t="e">
        <f t="shared" si="18"/>
        <v>#DIV/0!</v>
      </c>
      <c r="P19" s="65">
        <f t="shared" ref="P19:W19" si="22">SUM(P17:P18)</f>
        <v>0</v>
      </c>
      <c r="Q19" s="65">
        <f t="shared" si="22"/>
        <v>0</v>
      </c>
      <c r="R19" s="65">
        <f t="shared" si="22"/>
        <v>0</v>
      </c>
      <c r="S19" s="65">
        <f t="shared" si="22"/>
        <v>0</v>
      </c>
      <c r="T19" s="65">
        <f t="shared" si="22"/>
        <v>0</v>
      </c>
      <c r="U19" s="65">
        <f t="shared" si="22"/>
        <v>0</v>
      </c>
      <c r="V19" s="65">
        <f t="shared" si="22"/>
        <v>0</v>
      </c>
      <c r="W19" s="65">
        <f t="shared" si="22"/>
        <v>0</v>
      </c>
      <c r="X19" s="65">
        <f t="shared" si="19"/>
        <v>0</v>
      </c>
      <c r="Y19" s="65">
        <f>SUM(Y17:Y18)</f>
        <v>0</v>
      </c>
      <c r="Z19" s="66" t="e">
        <f>(T19/123)/D19</f>
        <v>#DIV/0!</v>
      </c>
      <c r="AA19" s="66" t="e">
        <f>(X19/123)/D19</f>
        <v>#DIV/0!</v>
      </c>
      <c r="AB19" s="69" t="e">
        <f t="shared" si="20"/>
        <v>#DIV/0!</v>
      </c>
      <c r="AC19" s="61"/>
      <c r="AD19" s="62"/>
    </row>
    <row r="20" hidden="1" spans="1:30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61"/>
      <c r="AA20" s="61"/>
      <c r="AB20" s="61"/>
      <c r="AC20" s="61"/>
      <c r="AD20" s="3"/>
    </row>
    <row r="21" hidden="1" spans="1:30">
      <c r="A21" s="71" t="s">
        <v>323</v>
      </c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3">
        <f>O2</f>
        <v>26</v>
      </c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4"/>
      <c r="AC21" s="61"/>
      <c r="AD21" s="3"/>
    </row>
    <row r="22" ht="22.5" hidden="1" spans="1:30">
      <c r="A22" s="75" t="s">
        <v>277</v>
      </c>
      <c r="B22" s="14" t="s">
        <v>278</v>
      </c>
      <c r="C22" s="15" t="s">
        <v>279</v>
      </c>
      <c r="D22" s="76" t="s">
        <v>316</v>
      </c>
      <c r="E22" s="76" t="s">
        <v>24</v>
      </c>
      <c r="F22" s="76" t="s">
        <v>281</v>
      </c>
      <c r="G22" s="76" t="s">
        <v>219</v>
      </c>
      <c r="H22" s="17" t="s">
        <v>317</v>
      </c>
      <c r="I22" s="76" t="s">
        <v>33</v>
      </c>
      <c r="J22" s="76" t="s">
        <v>36</v>
      </c>
      <c r="K22" s="76" t="s">
        <v>37</v>
      </c>
      <c r="L22" s="75" t="s">
        <v>318</v>
      </c>
      <c r="M22" s="75" t="s">
        <v>319</v>
      </c>
      <c r="N22" s="17" t="s">
        <v>157</v>
      </c>
      <c r="O22" s="77" t="s">
        <v>61</v>
      </c>
      <c r="P22" s="77" t="s">
        <v>285</v>
      </c>
      <c r="Q22" s="77" t="s">
        <v>34</v>
      </c>
      <c r="R22" s="77" t="s">
        <v>35</v>
      </c>
      <c r="S22" s="77" t="s">
        <v>27</v>
      </c>
      <c r="T22" s="78" t="s">
        <v>56</v>
      </c>
      <c r="U22" s="78" t="s">
        <v>57</v>
      </c>
      <c r="V22" s="78" t="s">
        <v>286</v>
      </c>
      <c r="W22" s="78" t="s">
        <v>287</v>
      </c>
      <c r="X22" s="78" t="s">
        <v>320</v>
      </c>
      <c r="Y22" s="79" t="s">
        <v>289</v>
      </c>
      <c r="Z22" s="79" t="s">
        <v>321</v>
      </c>
      <c r="AA22" s="79" t="s">
        <v>322</v>
      </c>
      <c r="AB22" s="79" t="s">
        <v>292</v>
      </c>
      <c r="AC22" s="45"/>
      <c r="AD22" s="10"/>
    </row>
    <row r="23" ht="17.25" hidden="1" spans="1:30">
      <c r="A23" s="54" t="s">
        <v>183</v>
      </c>
      <c r="B23" s="55">
        <f>[1]汇总!AK29</f>
        <v>0</v>
      </c>
      <c r="C23" s="55">
        <f>[1]汇总!AL29</f>
        <v>0</v>
      </c>
      <c r="D23" s="56" t="str" cm="1">
        <f t="array" ref="D23">LOOKUP(2,1/(('[1]MM01'!$A:$A&lt;&gt;"")*((('[1]MM01'!$B:$B&lt;&gt;"")+('[1]MM01'!$C:$C&lt;&gt;"")+('[1]MM01'!$D:$D&lt;&gt;""))&gt;0)),'[1]MM01'!$E:$E)</f>
        <v>INVERSMENT COST</v>
      </c>
      <c r="E23" s="56" t="e">
        <f>G23/Y23</f>
        <v>#VALUE!</v>
      </c>
      <c r="F23" s="55" t="str" cm="1">
        <f t="array" ref="F23">LOOKUP(2,1/('[1]MM01'!$G:$G&lt;&gt;""),'[1]MM01'!$G:$G)</f>
        <v>RST TOTAL PPL</v>
      </c>
      <c r="G23" s="55" t="str" cm="1">
        <f t="array" ref="G23">LOOKUP(2,1/('[1]MM01'!$H:$H&lt;&gt;""),'[1]MM01'!$H:$H)</f>
        <v>FTD TOTAL PPL</v>
      </c>
      <c r="H23" s="57" t="e">
        <f t="shared" si="13"/>
        <v>#VALUE!</v>
      </c>
      <c r="I23" s="55" t="str" cm="1">
        <f t="array" ref="I23">LOOKUP(2,1/('[1]MM01'!$J:$J&lt;&gt;""),'[1]MM01'!$J:$J)</f>
        <v>Level 1 FTD</v>
      </c>
      <c r="J23" s="55" t="str" cm="1">
        <f t="array" ref="J23">LOOKUP(2,1/('[1]MM01'!$K:$K&lt;&gt;""),'[1]MM01'!$K:$K)</f>
        <v>TOTAL DPS PPL</v>
      </c>
      <c r="K23" s="56" t="e">
        <f t="shared" si="14"/>
        <v>#VALUE!</v>
      </c>
      <c r="L23" s="58" t="e">
        <f t="shared" si="15"/>
        <v>#VALUE!</v>
      </c>
      <c r="M23" s="58" t="e">
        <f t="shared" si="16"/>
        <v>#VALUE!</v>
      </c>
      <c r="N23" s="56" t="e">
        <f t="shared" si="17"/>
        <v>#VALUE!</v>
      </c>
      <c r="O23" s="56" t="e">
        <f t="shared" si="18"/>
        <v>#VALUE!</v>
      </c>
      <c r="P23" s="55" t="str" cm="1">
        <f t="array" ref="P23">LOOKUP(2,1/('[1]MM01'!$Q:$Q&lt;&gt;""),'[1]MM01'!$Q:$Q)</f>
        <v>Valid bets</v>
      </c>
      <c r="Q23" s="55" t="str" cm="1">
        <f t="array" ref="Q23">LOOKUP(2,1/('[1]MM01'!$R:$R&lt;&gt;""),'[1]MM01'!$R:$R)</f>
        <v>Level 1 Deposit</v>
      </c>
      <c r="R23" s="55" t="str" cm="1">
        <f t="array" ref="R23">LOOKUP(2,1/('[1]MM01'!$S:$S&lt;&gt;""),'[1]MM01'!$S:$S)</f>
        <v>Level 1 Withdraw</v>
      </c>
      <c r="S23" s="55" t="str" cm="1">
        <f t="array" ref="S23">LOOKUP(2,1/('[1]MM01'!$T:$T&lt;&gt;""),'[1]MM01'!$T:$T)</f>
        <v>FTD DPS AMOUNT</v>
      </c>
      <c r="T23" s="55" t="str" cm="1">
        <f t="array" ref="T23">LOOKUP(2,1/('[1]MM01'!$U:$U&lt;&gt;""),'[1]MM01'!$U:$U)</f>
        <v>TOTAL DPS AMOUNT</v>
      </c>
      <c r="U23" s="55" t="str" cm="1">
        <f t="array" ref="U23">LOOKUP(2,1/('[1]MM01'!$V:$V&lt;&gt;""),'[1]MM01'!$V:$V)</f>
        <v>THE DAY TOTAL WDR AMOUNT</v>
      </c>
      <c r="V23" s="55" t="str" cm="1">
        <f t="array" ref="V23">LOOKUP(2,1/('[1]MM01'!$W:$W&lt;&gt;""),'[1]MM01'!$W:$W)</f>
        <v>TOTAL DPS AMOUNT</v>
      </c>
      <c r="W23" s="55" t="str" cm="1">
        <f t="array" ref="W23">LOOKUP(2,1/('[1]MM01'!$X:$X&lt;&gt;""),'[1]MM01'!$X:$X)</f>
        <v>TOTAL WDR AMOUNT</v>
      </c>
      <c r="X23" s="56" t="e">
        <f t="shared" si="19"/>
        <v>#VALUE!</v>
      </c>
      <c r="Y23" s="59">
        <f>'[1]MM01'!AJ4</f>
        <v>0</v>
      </c>
      <c r="Z23" s="57" t="e">
        <f>(T23/60)/D23</f>
        <v>#VALUE!</v>
      </c>
      <c r="AA23" s="57" t="e">
        <f>(X23/60)/D23</f>
        <v>#VALUE!</v>
      </c>
      <c r="AB23" s="60" t="e">
        <f t="shared" si="20"/>
        <v>#VALUE!</v>
      </c>
      <c r="AC23" s="61"/>
      <c r="AD23" s="62"/>
    </row>
    <row r="24" ht="17.25" hidden="1" spans="1:30">
      <c r="A24" s="64" t="s">
        <v>153</v>
      </c>
      <c r="B24" s="65">
        <f t="shared" ref="B24:G24" si="23">SUM(B23)</f>
        <v>0</v>
      </c>
      <c r="C24" s="65">
        <f t="shared" si="23"/>
        <v>0</v>
      </c>
      <c r="D24" s="65">
        <f t="shared" si="23"/>
        <v>0</v>
      </c>
      <c r="E24" s="65" t="e">
        <f>(G24/Y24)</f>
        <v>#DIV/0!</v>
      </c>
      <c r="F24" s="65">
        <f t="shared" si="23"/>
        <v>0</v>
      </c>
      <c r="G24" s="65">
        <f t="shared" si="23"/>
        <v>0</v>
      </c>
      <c r="H24" s="66" t="e">
        <f t="shared" si="13"/>
        <v>#DIV/0!</v>
      </c>
      <c r="I24" s="65">
        <f>SUM(I23)</f>
        <v>0</v>
      </c>
      <c r="J24" s="65">
        <f>SUM(J23)</f>
        <v>0</v>
      </c>
      <c r="K24" s="65">
        <f t="shared" si="14"/>
        <v>0</v>
      </c>
      <c r="L24" s="67" t="e">
        <f t="shared" si="15"/>
        <v>#DIV/0!</v>
      </c>
      <c r="M24" s="68" t="e">
        <f t="shared" si="16"/>
        <v>#DIV/0!</v>
      </c>
      <c r="N24" s="65" t="e">
        <f t="shared" si="17"/>
        <v>#DIV/0!</v>
      </c>
      <c r="O24" s="65" t="e">
        <f t="shared" si="18"/>
        <v>#DIV/0!</v>
      </c>
      <c r="P24" s="65">
        <f t="shared" ref="P24:W24" si="24">SUM(P23)</f>
        <v>0</v>
      </c>
      <c r="Q24" s="65">
        <f t="shared" si="24"/>
        <v>0</v>
      </c>
      <c r="R24" s="65">
        <f t="shared" si="24"/>
        <v>0</v>
      </c>
      <c r="S24" s="65">
        <f t="shared" si="24"/>
        <v>0</v>
      </c>
      <c r="T24" s="65">
        <f t="shared" si="24"/>
        <v>0</v>
      </c>
      <c r="U24" s="65">
        <f t="shared" si="24"/>
        <v>0</v>
      </c>
      <c r="V24" s="65">
        <f t="shared" si="24"/>
        <v>0</v>
      </c>
      <c r="W24" s="65">
        <f t="shared" si="24"/>
        <v>0</v>
      </c>
      <c r="X24" s="65">
        <f t="shared" si="19"/>
        <v>0</v>
      </c>
      <c r="Y24" s="65">
        <f>SUM(Y23)</f>
        <v>0</v>
      </c>
      <c r="Z24" s="66" t="e">
        <f>(T24/60)/D24</f>
        <v>#DIV/0!</v>
      </c>
      <c r="AA24" s="66" t="e">
        <f>(X24/60)/D24</f>
        <v>#DIV/0!</v>
      </c>
      <c r="AB24" s="69" t="e">
        <f t="shared" si="20"/>
        <v>#DIV/0!</v>
      </c>
      <c r="AC24" s="61"/>
      <c r="AD24" s="62"/>
    </row>
    <row r="25" hidden="1" spans="1:30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61"/>
      <c r="AA25" s="61"/>
      <c r="AB25" s="61"/>
      <c r="AC25" s="61"/>
      <c r="AD25" s="3"/>
    </row>
    <row r="26" hidden="1" spans="1:30">
      <c r="A26" s="71" t="s">
        <v>324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3">
        <f>O2</f>
        <v>26</v>
      </c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4"/>
      <c r="AC26" s="61"/>
      <c r="AD26" s="3"/>
    </row>
    <row r="27" ht="22.5" hidden="1" spans="1:30">
      <c r="A27" s="75" t="s">
        <v>277</v>
      </c>
      <c r="B27" s="14" t="s">
        <v>278</v>
      </c>
      <c r="C27" s="15" t="s">
        <v>279</v>
      </c>
      <c r="D27" s="76" t="s">
        <v>316</v>
      </c>
      <c r="E27" s="76" t="s">
        <v>24</v>
      </c>
      <c r="F27" s="76" t="s">
        <v>281</v>
      </c>
      <c r="G27" s="76" t="s">
        <v>219</v>
      </c>
      <c r="H27" s="17" t="s">
        <v>317</v>
      </c>
      <c r="I27" s="76" t="s">
        <v>33</v>
      </c>
      <c r="J27" s="76" t="s">
        <v>36</v>
      </c>
      <c r="K27" s="76" t="s">
        <v>37</v>
      </c>
      <c r="L27" s="75" t="s">
        <v>318</v>
      </c>
      <c r="M27" s="75" t="s">
        <v>319</v>
      </c>
      <c r="N27" s="17" t="s">
        <v>157</v>
      </c>
      <c r="O27" s="77" t="s">
        <v>61</v>
      </c>
      <c r="P27" s="77" t="s">
        <v>285</v>
      </c>
      <c r="Q27" s="77" t="s">
        <v>34</v>
      </c>
      <c r="R27" s="77" t="s">
        <v>35</v>
      </c>
      <c r="S27" s="77" t="s">
        <v>27</v>
      </c>
      <c r="T27" s="78" t="s">
        <v>56</v>
      </c>
      <c r="U27" s="78" t="s">
        <v>57</v>
      </c>
      <c r="V27" s="78" t="s">
        <v>286</v>
      </c>
      <c r="W27" s="78" t="s">
        <v>287</v>
      </c>
      <c r="X27" s="78" t="s">
        <v>320</v>
      </c>
      <c r="Y27" s="79" t="s">
        <v>289</v>
      </c>
      <c r="Z27" s="79" t="s">
        <v>321</v>
      </c>
      <c r="AA27" s="79" t="s">
        <v>322</v>
      </c>
      <c r="AB27" s="79" t="s">
        <v>292</v>
      </c>
      <c r="AC27" s="45"/>
      <c r="AD27" s="10"/>
    </row>
    <row r="28" ht="17.25" hidden="1" spans="1:30">
      <c r="A28" s="54" t="s">
        <v>186</v>
      </c>
      <c r="B28" s="55" t="str">
        <f>[1]汇总!CX34</f>
        <v>IN05</v>
      </c>
      <c r="C28" s="55">
        <f>[1]汇总!CY34</f>
        <v>1</v>
      </c>
      <c r="D28" s="56" t="str" cm="1">
        <f t="array" ref="D28">LOOKUP(2,1/(('[1]IN05'!$A:$A&lt;&gt;"")*((('[1]IN05'!$B:$B&lt;&gt;"")+('[1]IN05'!$C:$C&lt;&gt;"")+('[1]IN05'!$D:$D&lt;&gt;""))&gt;0)),'[1]IN05'!$E:$E)</f>
        <v>INVERSMENT COST</v>
      </c>
      <c r="E28" s="56" t="e">
        <f>G28/Y28</f>
        <v>#VALUE!</v>
      </c>
      <c r="F28" s="55" t="str" cm="1">
        <f t="array" ref="F28">LOOKUP(2,1/('[1]IN05'!$G:$G&lt;&gt;""),'[1]IN05'!$G:$G)</f>
        <v>RST TOTAL PPL</v>
      </c>
      <c r="G28" s="55" t="str" cm="1">
        <f t="array" ref="G28">LOOKUP(2,1/('[1]IN05'!$H:$H&lt;&gt;""),'[1]IN05'!$H:$H)</f>
        <v>FTD TOTAL PPL</v>
      </c>
      <c r="H28" s="57" t="e">
        <f>G28/F28</f>
        <v>#VALUE!</v>
      </c>
      <c r="I28" s="55" t="str" cm="1">
        <f t="array" ref="I28">LOOKUP(2,1/('[1]IN05'!$J:$J&lt;&gt;""),'[1]IN05'!$J:$J)</f>
        <v>Level 1 FTD</v>
      </c>
      <c r="J28" s="55" t="str" cm="1">
        <f t="array" ref="J28">LOOKUP(2,1/('[1]IN05'!$K:$K&lt;&gt;""),'[1]IN05'!$K:$K)</f>
        <v>TOTAL DPS PPL</v>
      </c>
      <c r="K28" s="56" t="e">
        <f>J28-G28</f>
        <v>#VALUE!</v>
      </c>
      <c r="L28" s="58" t="e">
        <f>D28/F28</f>
        <v>#VALUE!</v>
      </c>
      <c r="M28" s="58" t="e">
        <f>D28/G28</f>
        <v>#VALUE!</v>
      </c>
      <c r="N28" s="56" t="e">
        <f>S28/G28</f>
        <v>#VALUE!</v>
      </c>
      <c r="O28" s="56" t="e">
        <f>V28/J28</f>
        <v>#VALUE!</v>
      </c>
      <c r="P28" s="55" t="str" cm="1">
        <f t="array" ref="P28">LOOKUP(2,1/('[1]IN05'!$Q:$Q&lt;&gt;""),'[1]IN05'!$Q:$Q)</f>
        <v>Valid bets</v>
      </c>
      <c r="Q28" s="55" t="str" cm="1">
        <f t="array" ref="Q28">LOOKUP(2,1/('[1]IN05'!$R:$R&lt;&gt;""),'[1]IN05'!$R:$R)</f>
        <v>Level 1 Deposit</v>
      </c>
      <c r="R28" s="55" t="str" cm="1">
        <f t="array" ref="R28">LOOKUP(2,1/('[1]IN05'!$S:$S&lt;&gt;""),'[1]IN05'!$S:$S)</f>
        <v>Level 1 Withdraw</v>
      </c>
      <c r="S28" s="55" t="str" cm="1">
        <f t="array" ref="S28">LOOKUP(2,1/('[1]IN05'!$T:$T&lt;&gt;""),'[1]IN05'!$T:$T)</f>
        <v>FTD DPS AMOUNT</v>
      </c>
      <c r="T28" s="55" t="str" cm="1">
        <f t="array" ref="T28">LOOKUP(2,1/('[1]IN05'!$U:$U&lt;&gt;""),'[1]IN05'!$U:$U)</f>
        <v>TOTAL DPS AMOUNT</v>
      </c>
      <c r="U28" s="55" t="str" cm="1">
        <f t="array" ref="U28">LOOKUP(2,1/('[1]IN05'!$K:$K&lt;&gt;""),'[1]IN05'!$K:$K)</f>
        <v>TOTAL DPS PPL</v>
      </c>
      <c r="V28" s="55" t="str" cm="1">
        <f t="array" ref="V28">LOOKUP(2,1/('[1]IN05'!$W:$W&lt;&gt;""),'[1]IN05'!$W:$W)</f>
        <v>TOTAL DPS AMOUNT</v>
      </c>
      <c r="W28" s="55" t="str" cm="1">
        <f t="array" ref="W28">LOOKUP(2,1/('[1]IN05'!$X:$X&lt;&gt;""),'[1]IN05'!$X:$X)</f>
        <v>TOTAL WDR AMOUNT</v>
      </c>
      <c r="X28" s="56" t="e">
        <f>V28-W28</f>
        <v>#VALUE!</v>
      </c>
      <c r="Y28" s="59" cm="1">
        <f t="array" ref="Y28">LOOKUP(2,1/('[1]IN05'!$AE:$AE&lt;&gt;""),'[1]IN05'!$AE:$AE)</f>
        <v>3</v>
      </c>
      <c r="Z28" s="57" t="e">
        <f>(T28/57)/D28</f>
        <v>#VALUE!</v>
      </c>
      <c r="AA28" s="57" t="e">
        <f>(X28/58)/D28</f>
        <v>#VALUE!</v>
      </c>
      <c r="AB28" s="60" t="e">
        <f>P28/V28</f>
        <v>#VALUE!</v>
      </c>
      <c r="AC28" s="61"/>
      <c r="AD28" s="62"/>
    </row>
    <row r="29" ht="17.25" hidden="1" spans="1:30">
      <c r="A29" s="64" t="s">
        <v>153</v>
      </c>
      <c r="B29" s="65">
        <f t="shared" ref="B29:G29" si="25">SUM(B28)</f>
        <v>0</v>
      </c>
      <c r="C29" s="65">
        <f t="shared" si="25"/>
        <v>1</v>
      </c>
      <c r="D29" s="65">
        <f t="shared" si="25"/>
        <v>0</v>
      </c>
      <c r="E29" s="80">
        <f>(G29/Y29)/O26</f>
        <v>0</v>
      </c>
      <c r="F29" s="65">
        <f t="shared" si="25"/>
        <v>0</v>
      </c>
      <c r="G29" s="65">
        <f t="shared" si="25"/>
        <v>0</v>
      </c>
      <c r="H29" s="66" t="e">
        <f>G29/F29</f>
        <v>#DIV/0!</v>
      </c>
      <c r="I29" s="65">
        <f>SUM(I28)</f>
        <v>0</v>
      </c>
      <c r="J29" s="65">
        <f>SUM(J28)</f>
        <v>0</v>
      </c>
      <c r="K29" s="65">
        <f>J29-G29</f>
        <v>0</v>
      </c>
      <c r="L29" s="65" t="e">
        <f>D29/F29</f>
        <v>#DIV/0!</v>
      </c>
      <c r="M29" s="68" t="e">
        <f>D29/G29</f>
        <v>#DIV/0!</v>
      </c>
      <c r="N29" s="65" t="e">
        <f>T29/G29</f>
        <v>#DIV/0!</v>
      </c>
      <c r="O29" s="65" t="e">
        <f>V29/J29</f>
        <v>#DIV/0!</v>
      </c>
      <c r="P29" s="65">
        <f t="shared" ref="P29:W29" si="26">SUM(P28)</f>
        <v>0</v>
      </c>
      <c r="Q29" s="65">
        <f t="shared" si="26"/>
        <v>0</v>
      </c>
      <c r="R29" s="65">
        <f t="shared" si="26"/>
        <v>0</v>
      </c>
      <c r="S29" s="65">
        <f t="shared" si="26"/>
        <v>0</v>
      </c>
      <c r="T29" s="65">
        <f t="shared" si="26"/>
        <v>0</v>
      </c>
      <c r="U29" s="65">
        <f t="shared" si="26"/>
        <v>0</v>
      </c>
      <c r="V29" s="65">
        <f t="shared" si="26"/>
        <v>0</v>
      </c>
      <c r="W29" s="65">
        <f t="shared" si="26"/>
        <v>0</v>
      </c>
      <c r="X29" s="65">
        <f>V29-W29</f>
        <v>0</v>
      </c>
      <c r="Y29" s="65">
        <f>SUM(Y28)</f>
        <v>3</v>
      </c>
      <c r="Z29" s="66" t="e">
        <f>(T29/99)/D29</f>
        <v>#DIV/0!</v>
      </c>
      <c r="AA29" s="66" t="e">
        <f>(T29/99)/D29</f>
        <v>#DIV/0!</v>
      </c>
      <c r="AB29" s="69" t="e">
        <f>P29/V29</f>
        <v>#DIV/0!</v>
      </c>
      <c r="AC29" s="61"/>
      <c r="AD29" s="62"/>
    </row>
    <row r="30" hidden="1" spans="1:30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61"/>
      <c r="AA30" s="61"/>
      <c r="AB30" s="61"/>
      <c r="AC30" s="61"/>
      <c r="AD30" s="3"/>
    </row>
    <row r="31" spans="1:30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61"/>
      <c r="AA31" s="61"/>
      <c r="AB31" s="61"/>
      <c r="AC31" s="61"/>
      <c r="AD31" s="3"/>
    </row>
    <row r="32" spans="1:30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61"/>
      <c r="AA32" s="61"/>
      <c r="AB32" s="61"/>
      <c r="AC32" s="61"/>
      <c r="AD32" s="3"/>
    </row>
    <row r="33" spans="1:30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61"/>
      <c r="AA33" s="61"/>
      <c r="AB33" s="61"/>
      <c r="AC33" s="61"/>
      <c r="AD33" s="3"/>
    </row>
  </sheetData>
  <mergeCells count="10">
    <mergeCell ref="A1:N1"/>
    <mergeCell ref="O1:AB1"/>
    <mergeCell ref="A2:N2"/>
    <mergeCell ref="O2:AB2"/>
    <mergeCell ref="A15:N15"/>
    <mergeCell ref="O15:AB15"/>
    <mergeCell ref="A21:N21"/>
    <mergeCell ref="O21:AB21"/>
    <mergeCell ref="A26:N26"/>
    <mergeCell ref="O26:AB26"/>
  </mergeCells>
  <conditionalFormatting sqref="Z3">
    <cfRule type="cellIs" dxfId="0" priority="73" operator="lessThan">
      <formula>0</formula>
    </cfRule>
  </conditionalFormatting>
  <conditionalFormatting sqref="AB3">
    <cfRule type="cellIs" dxfId="0" priority="72" operator="lessThan">
      <formula>0</formula>
    </cfRule>
  </conditionalFormatting>
  <conditionalFormatting sqref="X4">
    <cfRule type="cellIs" dxfId="0" priority="76" operator="lessThan">
      <formula>0</formula>
    </cfRule>
  </conditionalFormatting>
  <conditionalFormatting sqref="Z4:AA4">
    <cfRule type="cellIs" dxfId="0" priority="75" operator="lessThan">
      <formula>0</formula>
    </cfRule>
  </conditionalFormatting>
  <conditionalFormatting sqref="AB4">
    <cfRule type="cellIs" dxfId="0" priority="71" operator="lessThan">
      <formula>0</formula>
    </cfRule>
  </conditionalFormatting>
  <conditionalFormatting sqref="Z5">
    <cfRule type="cellIs" dxfId="0" priority="5" operator="lessThan">
      <formula>0</formula>
    </cfRule>
  </conditionalFormatting>
  <conditionalFormatting sqref="AA5">
    <cfRule type="cellIs" dxfId="0" priority="10" operator="lessThan">
      <formula>0</formula>
    </cfRule>
  </conditionalFormatting>
  <conditionalFormatting sqref="AB5">
    <cfRule type="cellIs" dxfId="0" priority="70" operator="lessThan">
      <formula>0</formula>
    </cfRule>
  </conditionalFormatting>
  <conditionalFormatting sqref="Z6">
    <cfRule type="cellIs" dxfId="0" priority="4" operator="lessThan">
      <formula>0</formula>
    </cfRule>
  </conditionalFormatting>
  <conditionalFormatting sqref="AA6">
    <cfRule type="cellIs" dxfId="0" priority="9" operator="lessThan">
      <formula>0</formula>
    </cfRule>
  </conditionalFormatting>
  <conditionalFormatting sqref="AB6">
    <cfRule type="cellIs" dxfId="0" priority="69" operator="lessThan">
      <formula>0</formula>
    </cfRule>
  </conditionalFormatting>
  <conditionalFormatting sqref="Z7">
    <cfRule type="cellIs" dxfId="0" priority="3" operator="lessThan">
      <formula>0</formula>
    </cfRule>
  </conditionalFormatting>
  <conditionalFormatting sqref="AA7">
    <cfRule type="cellIs" dxfId="0" priority="8" operator="lessThan">
      <formula>0</formula>
    </cfRule>
  </conditionalFormatting>
  <conditionalFormatting sqref="AB7">
    <cfRule type="cellIs" dxfId="0" priority="68" operator="lessThan">
      <formula>0</formula>
    </cfRule>
  </conditionalFormatting>
  <conditionalFormatting sqref="Z8">
    <cfRule type="cellIs" dxfId="0" priority="2" operator="lessThan">
      <formula>0</formula>
    </cfRule>
  </conditionalFormatting>
  <conditionalFormatting sqref="AA8">
    <cfRule type="cellIs" dxfId="0" priority="7" operator="lessThan">
      <formula>0</formula>
    </cfRule>
  </conditionalFormatting>
  <conditionalFormatting sqref="AB8">
    <cfRule type="cellIs" dxfId="0" priority="67" operator="lessThan">
      <formula>0</formula>
    </cfRule>
  </conditionalFormatting>
  <conditionalFormatting sqref="Z9">
    <cfRule type="cellIs" dxfId="0" priority="1" operator="lessThan">
      <formula>0</formula>
    </cfRule>
  </conditionalFormatting>
  <conditionalFormatting sqref="AA9">
    <cfRule type="cellIs" dxfId="0" priority="6" operator="lessThan">
      <formula>0</formula>
    </cfRule>
  </conditionalFormatting>
  <conditionalFormatting sqref="AB9">
    <cfRule type="cellIs" dxfId="0" priority="66" operator="lessThan">
      <formula>0</formula>
    </cfRule>
  </conditionalFormatting>
  <conditionalFormatting sqref="Z10">
    <cfRule type="cellIs" dxfId="0" priority="61" operator="lessThan">
      <formula>0</formula>
    </cfRule>
  </conditionalFormatting>
  <conditionalFormatting sqref="AA10">
    <cfRule type="cellIs" dxfId="0" priority="63" operator="lessThan">
      <formula>0</formula>
    </cfRule>
  </conditionalFormatting>
  <conditionalFormatting sqref="AB10">
    <cfRule type="cellIs" dxfId="0" priority="65" operator="lessThan">
      <formula>0</formula>
    </cfRule>
  </conditionalFormatting>
  <conditionalFormatting sqref="Z11">
    <cfRule type="cellIs" dxfId="0" priority="60" operator="lessThan">
      <formula>0</formula>
    </cfRule>
  </conditionalFormatting>
  <conditionalFormatting sqref="AA11">
    <cfRule type="cellIs" dxfId="0" priority="62" operator="lessThan">
      <formula>0</formula>
    </cfRule>
  </conditionalFormatting>
  <conditionalFormatting sqref="AB11">
    <cfRule type="cellIs" dxfId="0" priority="64" operator="lessThan">
      <formula>0</formula>
    </cfRule>
  </conditionalFormatting>
  <conditionalFormatting sqref="X12">
    <cfRule type="cellIs" dxfId="0" priority="11" operator="lessThan">
      <formula>0</formula>
    </cfRule>
  </conditionalFormatting>
  <conditionalFormatting sqref="Z12">
    <cfRule type="cellIs" dxfId="0" priority="12" operator="lessThan">
      <formula>0</formula>
    </cfRule>
  </conditionalFormatting>
  <conditionalFormatting sqref="AA12">
    <cfRule type="cellIs" dxfId="0" priority="13" operator="lessThan">
      <formula>0</formula>
    </cfRule>
  </conditionalFormatting>
  <conditionalFormatting sqref="AB12">
    <cfRule type="cellIs" dxfId="0" priority="14" operator="lessThan">
      <formula>0</formula>
    </cfRule>
  </conditionalFormatting>
  <conditionalFormatting sqref="X13">
    <cfRule type="cellIs" dxfId="0" priority="32" operator="lessThan">
      <formula>0</formula>
    </cfRule>
  </conditionalFormatting>
  <conditionalFormatting sqref="Z13">
    <cfRule type="cellIs" dxfId="0" priority="29" operator="lessThan">
      <formula>0</formula>
    </cfRule>
  </conditionalFormatting>
  <conditionalFormatting sqref="AA13">
    <cfRule type="cellIs" dxfId="0" priority="30" operator="lessThan">
      <formula>0</formula>
    </cfRule>
  </conditionalFormatting>
  <conditionalFormatting sqref="AB13">
    <cfRule type="cellIs" dxfId="0" priority="31" operator="lessThan">
      <formula>0</formula>
    </cfRule>
  </conditionalFormatting>
  <conditionalFormatting sqref="Z16">
    <cfRule type="cellIs" dxfId="0" priority="55" operator="lessThan">
      <formula>0</formula>
    </cfRule>
  </conditionalFormatting>
  <conditionalFormatting sqref="AB16">
    <cfRule type="cellIs" dxfId="0" priority="54" operator="lessThan">
      <formula>0</formula>
    </cfRule>
  </conditionalFormatting>
  <conditionalFormatting sqref="X17">
    <cfRule type="cellIs" dxfId="0" priority="53" operator="lessThan">
      <formula>0</formula>
    </cfRule>
  </conditionalFormatting>
  <conditionalFormatting sqref="Z17">
    <cfRule type="cellIs" dxfId="0" priority="50" operator="lessThan">
      <formula>0</formula>
    </cfRule>
  </conditionalFormatting>
  <conditionalFormatting sqref="AA17">
    <cfRule type="cellIs" dxfId="0" priority="51" operator="lessThan">
      <formula>0</formula>
    </cfRule>
  </conditionalFormatting>
  <conditionalFormatting sqref="AB17">
    <cfRule type="cellIs" dxfId="0" priority="52" operator="lessThan">
      <formula>0</formula>
    </cfRule>
  </conditionalFormatting>
  <conditionalFormatting sqref="X18">
    <cfRule type="cellIs" dxfId="0" priority="15" operator="lessThan">
      <formula>0</formula>
    </cfRule>
  </conditionalFormatting>
  <conditionalFormatting sqref="Z18">
    <cfRule type="cellIs" dxfId="0" priority="33" operator="lessThan">
      <formula>0</formula>
    </cfRule>
  </conditionalFormatting>
  <conditionalFormatting sqref="AA18">
    <cfRule type="cellIs" dxfId="0" priority="34" operator="lessThan">
      <formula>0</formula>
    </cfRule>
  </conditionalFormatting>
  <conditionalFormatting sqref="AB18">
    <cfRule type="cellIs" dxfId="0" priority="35" operator="lessThan">
      <formula>0</formula>
    </cfRule>
  </conditionalFormatting>
  <conditionalFormatting sqref="X19">
    <cfRule type="cellIs" dxfId="0" priority="28" operator="lessThan">
      <formula>0</formula>
    </cfRule>
  </conditionalFormatting>
  <conditionalFormatting sqref="Z19">
    <cfRule type="cellIs" dxfId="0" priority="23" operator="lessThan">
      <formula>0</formula>
    </cfRule>
  </conditionalFormatting>
  <conditionalFormatting sqref="AA19">
    <cfRule type="cellIs" dxfId="0" priority="24" operator="lessThan">
      <formula>0</formula>
    </cfRule>
  </conditionalFormatting>
  <conditionalFormatting sqref="AB19">
    <cfRule type="cellIs" dxfId="0" priority="25" operator="lessThan">
      <formula>0</formula>
    </cfRule>
  </conditionalFormatting>
  <conditionalFormatting sqref="Z22">
    <cfRule type="cellIs" dxfId="0" priority="48" operator="lessThan">
      <formula>0</formula>
    </cfRule>
  </conditionalFormatting>
  <conditionalFormatting sqref="AB22">
    <cfRule type="cellIs" dxfId="0" priority="47" operator="lessThan">
      <formula>0</formula>
    </cfRule>
  </conditionalFormatting>
  <conditionalFormatting sqref="X23">
    <cfRule type="cellIs" dxfId="0" priority="46" operator="lessThan">
      <formula>0</formula>
    </cfRule>
  </conditionalFormatting>
  <conditionalFormatting sqref="Z23">
    <cfRule type="cellIs" dxfId="0" priority="43" operator="lessThan">
      <formula>0</formula>
    </cfRule>
  </conditionalFormatting>
  <conditionalFormatting sqref="AA23">
    <cfRule type="cellIs" dxfId="0" priority="44" operator="lessThan">
      <formula>0</formula>
    </cfRule>
  </conditionalFormatting>
  <conditionalFormatting sqref="AB23">
    <cfRule type="cellIs" dxfId="0" priority="45" operator="lessThan">
      <formula>0</formula>
    </cfRule>
  </conditionalFormatting>
  <conditionalFormatting sqref="X24">
    <cfRule type="cellIs" dxfId="0" priority="27" operator="lessThan">
      <formula>0</formula>
    </cfRule>
  </conditionalFormatting>
  <conditionalFormatting sqref="Z24">
    <cfRule type="cellIs" dxfId="0" priority="20" operator="lessThan">
      <formula>0</formula>
    </cfRule>
  </conditionalFormatting>
  <conditionalFormatting sqref="AA24">
    <cfRule type="cellIs" dxfId="0" priority="21" operator="lessThan">
      <formula>0</formula>
    </cfRule>
  </conditionalFormatting>
  <conditionalFormatting sqref="AB24">
    <cfRule type="cellIs" dxfId="0" priority="22" operator="lessThan">
      <formula>0</formula>
    </cfRule>
  </conditionalFormatting>
  <conditionalFormatting sqref="Z27">
    <cfRule type="cellIs" dxfId="0" priority="41" operator="lessThan">
      <formula>0</formula>
    </cfRule>
  </conditionalFormatting>
  <conditionalFormatting sqref="AB27">
    <cfRule type="cellIs" dxfId="0" priority="40" operator="lessThan">
      <formula>0</formula>
    </cfRule>
  </conditionalFormatting>
  <conditionalFormatting sqref="X28">
    <cfRule type="cellIs" dxfId="0" priority="39" operator="lessThan">
      <formula>0</formula>
    </cfRule>
  </conditionalFormatting>
  <conditionalFormatting sqref="Z28">
    <cfRule type="cellIs" dxfId="0" priority="36" operator="lessThan">
      <formula>0</formula>
    </cfRule>
  </conditionalFormatting>
  <conditionalFormatting sqref="AA28">
    <cfRule type="cellIs" dxfId="0" priority="37" operator="lessThan">
      <formula>0</formula>
    </cfRule>
  </conditionalFormatting>
  <conditionalFormatting sqref="AB28">
    <cfRule type="cellIs" dxfId="0" priority="38" operator="lessThan">
      <formula>0</formula>
    </cfRule>
  </conditionalFormatting>
  <conditionalFormatting sqref="X29">
    <cfRule type="cellIs" dxfId="0" priority="26" operator="lessThan">
      <formula>0</formula>
    </cfRule>
  </conditionalFormatting>
  <conditionalFormatting sqref="Z29">
    <cfRule type="cellIs" dxfId="0" priority="17" operator="lessThan">
      <formula>0</formula>
    </cfRule>
  </conditionalFormatting>
  <conditionalFormatting sqref="AA29">
    <cfRule type="cellIs" dxfId="0" priority="18" operator="lessThan">
      <formula>0</formula>
    </cfRule>
  </conditionalFormatting>
  <conditionalFormatting sqref="AB29">
    <cfRule type="cellIs" dxfId="0" priority="19" operator="lessThan">
      <formula>0</formula>
    </cfRule>
  </conditionalFormatting>
  <conditionalFormatting sqref="X5:X11">
    <cfRule type="cellIs" dxfId="0" priority="16" operator="lessThan">
      <formula>0</formula>
    </cfRule>
  </conditionalFormatting>
  <conditionalFormatting sqref="X3 AA3">
    <cfRule type="cellIs" dxfId="0" priority="74" operator="lessThan">
      <formula>0</formula>
    </cfRule>
  </conditionalFormatting>
  <conditionalFormatting sqref="X16 AA16">
    <cfRule type="cellIs" dxfId="0" priority="56" operator="lessThan">
      <formula>0</formula>
    </cfRule>
  </conditionalFormatting>
  <conditionalFormatting sqref="X22 AA22">
    <cfRule type="cellIs" dxfId="0" priority="49" operator="lessThan">
      <formula>0</formula>
    </cfRule>
  </conditionalFormatting>
  <conditionalFormatting sqref="X27 AA27">
    <cfRule type="cellIs" dxfId="0" priority="42" operator="lessThan">
      <formula>0</formula>
    </cfRule>
  </conditionalFormatting>
  <pageMargins left="0.75" right="0.75" top="1" bottom="1" header="0.5" footer="0.5"/>
  <headerFooter/>
  <ignoredErrors>
    <ignoredError sqref="H1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0"/>
  <sheetViews>
    <sheetView tabSelected="1" zoomScale="75" zoomScaleNormal="75" workbookViewId="0">
      <pane ySplit="5" topLeftCell="A6" activePane="bottomLeft" state="frozen"/>
      <selection/>
      <selection pane="bottomLeft" activeCell="Y31" sqref="Y31"/>
    </sheetView>
  </sheetViews>
  <sheetFormatPr defaultColWidth="9.14285714285714" defaultRowHeight="15"/>
  <cols>
    <col min="17" max="17" width="12.4285714285714" customWidth="1"/>
    <col min="18" max="25" width="11.047619047619" customWidth="1"/>
  </cols>
  <sheetData>
    <row r="1" spans="1:37">
      <c r="A1" s="9" t="s">
        <v>325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3"/>
    </row>
    <row r="2" spans="1:37">
      <c r="A2" s="9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3"/>
    </row>
    <row r="3" ht="31.5" spans="1:37">
      <c r="A3" s="14" t="s">
        <v>277</v>
      </c>
      <c r="B3" s="14" t="s">
        <v>326</v>
      </c>
      <c r="C3" s="15" t="s">
        <v>327</v>
      </c>
      <c r="D3" s="15" t="s">
        <v>328</v>
      </c>
      <c r="E3" s="15" t="s">
        <v>280</v>
      </c>
      <c r="F3" s="15" t="s">
        <v>24</v>
      </c>
      <c r="G3" s="15" t="s">
        <v>281</v>
      </c>
      <c r="H3" s="15" t="s">
        <v>219</v>
      </c>
      <c r="I3" s="16" t="s">
        <v>282</v>
      </c>
      <c r="J3" s="15" t="s">
        <v>33</v>
      </c>
      <c r="K3" s="15" t="s">
        <v>36</v>
      </c>
      <c r="L3" s="15" t="s">
        <v>37</v>
      </c>
      <c r="M3" s="14" t="s">
        <v>283</v>
      </c>
      <c r="N3" s="14" t="s">
        <v>284</v>
      </c>
      <c r="O3" s="17" t="s">
        <v>157</v>
      </c>
      <c r="P3" s="17" t="s">
        <v>61</v>
      </c>
      <c r="Q3" s="16" t="s">
        <v>285</v>
      </c>
      <c r="R3" s="16" t="s">
        <v>34</v>
      </c>
      <c r="S3" s="16" t="s">
        <v>35</v>
      </c>
      <c r="T3" s="16" t="s">
        <v>27</v>
      </c>
      <c r="U3" s="15" t="s">
        <v>56</v>
      </c>
      <c r="V3" s="15" t="s">
        <v>57</v>
      </c>
      <c r="W3" s="15" t="s">
        <v>286</v>
      </c>
      <c r="X3" s="15" t="s">
        <v>287</v>
      </c>
      <c r="Y3" s="15" t="s">
        <v>288</v>
      </c>
      <c r="Z3" s="14" t="s">
        <v>329</v>
      </c>
      <c r="AA3" s="14" t="s">
        <v>330</v>
      </c>
      <c r="AB3" s="14" t="s">
        <v>330</v>
      </c>
      <c r="AC3" s="14" t="s">
        <v>331</v>
      </c>
      <c r="AD3" s="18" t="s">
        <v>332</v>
      </c>
      <c r="AE3" s="14" t="s">
        <v>289</v>
      </c>
      <c r="AF3" s="14" t="s">
        <v>333</v>
      </c>
      <c r="AG3" s="14" t="s">
        <v>290</v>
      </c>
      <c r="AH3" s="14" t="s">
        <v>291</v>
      </c>
      <c r="AI3" s="14" t="s">
        <v>292</v>
      </c>
      <c r="AJ3" s="14" t="s">
        <v>334</v>
      </c>
      <c r="AK3" s="3"/>
    </row>
    <row r="4" ht="28" customHeight="1" spans="1:37">
      <c r="A4" s="19" t="s">
        <v>335</v>
      </c>
      <c r="B4" s="20">
        <f t="shared" ref="B4:H4" si="0">SUM(B6:B35)</f>
        <v>236800</v>
      </c>
      <c r="C4" s="20">
        <f t="shared" si="0"/>
        <v>90116</v>
      </c>
      <c r="D4" s="20">
        <f t="shared" si="0"/>
        <v>981915</v>
      </c>
      <c r="E4" s="20">
        <f t="shared" si="0"/>
        <v>21813.85</v>
      </c>
      <c r="F4" s="21">
        <f>(H4/AJ4)/汇总!S1</f>
        <v>4.68034188034188</v>
      </c>
      <c r="G4" s="20">
        <f t="shared" si="0"/>
        <v>9462</v>
      </c>
      <c r="H4" s="20">
        <f t="shared" si="0"/>
        <v>5476</v>
      </c>
      <c r="I4" s="22">
        <f t="shared" ref="I4:I36" si="1">H4/G4</f>
        <v>0.578735996618051</v>
      </c>
      <c r="J4" s="20">
        <f>SUM(J6:J35)</f>
        <v>4267</v>
      </c>
      <c r="K4" s="20">
        <f>SUM(K6:K35)</f>
        <v>37917</v>
      </c>
      <c r="L4" s="20">
        <f>SUM(L6:L1048575)</f>
        <v>32441</v>
      </c>
      <c r="M4" s="23">
        <f t="shared" ref="M4:M36" si="2">E4/G4</f>
        <v>2.30541640245191</v>
      </c>
      <c r="N4" s="23">
        <f t="shared" ref="N4:N36" si="3">E4/H4</f>
        <v>3.98353725346968</v>
      </c>
      <c r="O4" s="20">
        <f t="shared" ref="O4:O36" si="4">U4/H4</f>
        <v>210.097151205259</v>
      </c>
      <c r="P4" s="20">
        <f t="shared" ref="P4:P36" si="5">W4/K4</f>
        <v>680.004222907931</v>
      </c>
      <c r="Q4" s="20">
        <f t="shared" ref="Q4:AD4" si="6">SUM(Q6:Q1048575)</f>
        <v>160122734.44</v>
      </c>
      <c r="R4" s="20">
        <f t="shared" si="6"/>
        <v>895925</v>
      </c>
      <c r="S4" s="20">
        <f t="shared" si="6"/>
        <v>670308.88</v>
      </c>
      <c r="T4" s="20">
        <f t="shared" si="6"/>
        <v>829366</v>
      </c>
      <c r="U4" s="20">
        <f t="shared" si="6"/>
        <v>1150492</v>
      </c>
      <c r="V4" s="20">
        <f t="shared" si="6"/>
        <v>906620.05</v>
      </c>
      <c r="W4" s="20">
        <f t="shared" si="6"/>
        <v>25783720.12</v>
      </c>
      <c r="X4" s="20">
        <f t="shared" si="6"/>
        <v>21822574.74</v>
      </c>
      <c r="Y4" s="20">
        <f t="shared" si="6"/>
        <v>3961145.38</v>
      </c>
      <c r="Z4" s="20">
        <f t="shared" si="6"/>
        <v>293</v>
      </c>
      <c r="AA4" s="20">
        <f t="shared" si="6"/>
        <v>293</v>
      </c>
      <c r="AB4" s="20">
        <f t="shared" si="6"/>
        <v>87</v>
      </c>
      <c r="AC4" s="20">
        <f t="shared" si="6"/>
        <v>11</v>
      </c>
      <c r="AD4" s="20">
        <f t="shared" si="6"/>
        <v>107</v>
      </c>
      <c r="AE4" s="20">
        <v>76</v>
      </c>
      <c r="AF4" s="20">
        <v>7358</v>
      </c>
      <c r="AG4" s="24">
        <f t="shared" ref="AG4:AG36" si="7">(U4/60)/E4</f>
        <v>0.879022578163262</v>
      </c>
      <c r="AH4" s="25">
        <f t="shared" ref="AH4:AH36" si="8">(Y4/60)/E4</f>
        <v>3.0264758246099</v>
      </c>
      <c r="AI4" s="26">
        <f t="shared" ref="AI4:AI36" si="9">Q4/W4</f>
        <v>6.21022620842814</v>
      </c>
      <c r="AJ4" s="20">
        <v>45</v>
      </c>
      <c r="AK4" s="3"/>
    </row>
    <row r="5" ht="22.5" spans="1:37">
      <c r="A5" s="27" t="s">
        <v>336</v>
      </c>
      <c r="B5" s="27" t="s">
        <v>337</v>
      </c>
      <c r="C5" s="28" t="s">
        <v>338</v>
      </c>
      <c r="D5" s="28" t="s">
        <v>339</v>
      </c>
      <c r="E5" s="28" t="s">
        <v>340</v>
      </c>
      <c r="F5" s="28" t="s">
        <v>71</v>
      </c>
      <c r="G5" s="28" t="s">
        <v>341</v>
      </c>
      <c r="H5" s="28" t="s">
        <v>342</v>
      </c>
      <c r="I5" s="29" t="s">
        <v>343</v>
      </c>
      <c r="J5" s="28" t="s">
        <v>80</v>
      </c>
      <c r="K5" s="28" t="s">
        <v>83</v>
      </c>
      <c r="L5" s="28" t="s">
        <v>84</v>
      </c>
      <c r="M5" s="27" t="s">
        <v>344</v>
      </c>
      <c r="N5" s="27" t="s">
        <v>345</v>
      </c>
      <c r="O5" s="29" t="s">
        <v>95</v>
      </c>
      <c r="P5" s="29" t="s">
        <v>346</v>
      </c>
      <c r="Q5" s="29" t="s">
        <v>347</v>
      </c>
      <c r="R5" s="29" t="s">
        <v>81</v>
      </c>
      <c r="S5" s="29" t="s">
        <v>82</v>
      </c>
      <c r="T5" s="29" t="s">
        <v>74</v>
      </c>
      <c r="U5" s="28" t="s">
        <v>348</v>
      </c>
      <c r="V5" s="28" t="s">
        <v>349</v>
      </c>
      <c r="W5" s="28" t="s">
        <v>350</v>
      </c>
      <c r="X5" s="28" t="s">
        <v>351</v>
      </c>
      <c r="Y5" s="28" t="s">
        <v>352</v>
      </c>
      <c r="Z5" s="27" t="s">
        <v>353</v>
      </c>
      <c r="AA5" s="27" t="s">
        <v>354</v>
      </c>
      <c r="AB5" s="27" t="s">
        <v>355</v>
      </c>
      <c r="AC5" s="27" t="s">
        <v>356</v>
      </c>
      <c r="AD5" s="30" t="s">
        <v>357</v>
      </c>
      <c r="AE5" s="27" t="s">
        <v>358</v>
      </c>
      <c r="AF5" s="27" t="s">
        <v>359</v>
      </c>
      <c r="AG5" s="27" t="s">
        <v>360</v>
      </c>
      <c r="AH5" s="27" t="s">
        <v>361</v>
      </c>
      <c r="AI5" s="27" t="s">
        <v>362</v>
      </c>
      <c r="AJ5" s="27" t="s">
        <v>363</v>
      </c>
      <c r="AK5" s="3"/>
    </row>
    <row r="6" spans="1:37">
      <c r="A6" s="31">
        <v>46204</v>
      </c>
      <c r="B6" s="32">
        <v>6400</v>
      </c>
      <c r="C6" s="32">
        <v>3466</v>
      </c>
      <c r="D6" s="33">
        <v>432397</v>
      </c>
      <c r="E6" s="21">
        <f t="shared" ref="E6:E36" si="10">(B6+C6+D6)/60</f>
        <v>7371.05</v>
      </c>
      <c r="F6" s="21">
        <f t="shared" ref="F6:F36" si="11">H6/AJ6</f>
        <v>3.27118644067797</v>
      </c>
      <c r="G6" s="33">
        <v>307</v>
      </c>
      <c r="H6" s="33">
        <v>193</v>
      </c>
      <c r="I6" s="25">
        <f t="shared" si="1"/>
        <v>0.628664495114006</v>
      </c>
      <c r="J6" s="33">
        <v>147</v>
      </c>
      <c r="K6" s="33">
        <v>1497</v>
      </c>
      <c r="L6" s="34">
        <f t="shared" ref="L6:L36" si="12">K6-H6</f>
        <v>1304</v>
      </c>
      <c r="M6" s="35">
        <f t="shared" si="2"/>
        <v>24.0099348534202</v>
      </c>
      <c r="N6" s="35">
        <f t="shared" si="3"/>
        <v>38.1919689119171</v>
      </c>
      <c r="O6" s="34">
        <f t="shared" si="4"/>
        <v>218.772020725389</v>
      </c>
      <c r="P6" s="34">
        <f t="shared" si="5"/>
        <v>667.065464261857</v>
      </c>
      <c r="Q6" s="33">
        <v>6382057.61</v>
      </c>
      <c r="R6" s="33">
        <v>31464</v>
      </c>
      <c r="S6" s="33">
        <v>18147.7</v>
      </c>
      <c r="T6" s="33">
        <v>28676</v>
      </c>
      <c r="U6" s="33">
        <v>42223</v>
      </c>
      <c r="V6" s="33">
        <v>22447.7</v>
      </c>
      <c r="W6" s="33">
        <v>998597</v>
      </c>
      <c r="X6" s="33">
        <v>1021954.7</v>
      </c>
      <c r="Y6" s="34">
        <f t="shared" ref="Y6:Y36" si="13">W6-X6</f>
        <v>-23357.7</v>
      </c>
      <c r="Z6" s="36">
        <v>12</v>
      </c>
      <c r="AA6" s="36">
        <v>12</v>
      </c>
      <c r="AB6" s="36">
        <v>4</v>
      </c>
      <c r="AC6" s="36">
        <v>0</v>
      </c>
      <c r="AD6" s="36">
        <v>7</v>
      </c>
      <c r="AE6" s="37">
        <f>107+AB6-AC6-AD6</f>
        <v>104</v>
      </c>
      <c r="AF6" s="34">
        <f>7065+Z6</f>
        <v>7077</v>
      </c>
      <c r="AG6" s="25">
        <f t="shared" si="7"/>
        <v>0.0954703423076314</v>
      </c>
      <c r="AH6" s="25">
        <f t="shared" si="8"/>
        <v>-0.0528140495587466</v>
      </c>
      <c r="AI6" s="26">
        <f t="shared" si="9"/>
        <v>6.39102421697642</v>
      </c>
      <c r="AJ6" s="38">
        <v>59</v>
      </c>
      <c r="AK6" s="3"/>
    </row>
    <row r="7" spans="1:37">
      <c r="A7" s="31">
        <v>46205</v>
      </c>
      <c r="B7" s="32">
        <v>6400</v>
      </c>
      <c r="C7" s="32">
        <v>3466</v>
      </c>
      <c r="D7" s="33">
        <v>39324</v>
      </c>
      <c r="E7" s="21">
        <f t="shared" si="10"/>
        <v>819.833333333333</v>
      </c>
      <c r="F7" s="21">
        <f t="shared" si="11"/>
        <v>4</v>
      </c>
      <c r="G7" s="33">
        <f>195+251</f>
        <v>446</v>
      </c>
      <c r="H7" s="33">
        <f>121+143</f>
        <v>264</v>
      </c>
      <c r="I7" s="25">
        <f t="shared" si="1"/>
        <v>0.591928251121076</v>
      </c>
      <c r="J7" s="33">
        <f>82+119</f>
        <v>201</v>
      </c>
      <c r="K7" s="33">
        <f>1208+408</f>
        <v>1616</v>
      </c>
      <c r="L7" s="34">
        <f t="shared" si="12"/>
        <v>1352</v>
      </c>
      <c r="M7" s="35">
        <f t="shared" si="2"/>
        <v>1.8381913303438</v>
      </c>
      <c r="N7" s="35">
        <f t="shared" si="3"/>
        <v>3.10542929292929</v>
      </c>
      <c r="O7" s="34">
        <f t="shared" si="4"/>
        <v>207.185606060606</v>
      </c>
      <c r="P7" s="34">
        <f t="shared" si="5"/>
        <v>796.130569306931</v>
      </c>
      <c r="Q7" s="33">
        <f>5953015.39+1208162.34</f>
        <v>7161177.73</v>
      </c>
      <c r="R7" s="33">
        <f>12939+29048</f>
        <v>41987</v>
      </c>
      <c r="S7" s="33">
        <f>3740+20568</f>
        <v>24308</v>
      </c>
      <c r="T7" s="33">
        <f>16992+24354</f>
        <v>41346</v>
      </c>
      <c r="U7" s="33">
        <f>21832+32865</f>
        <v>54697</v>
      </c>
      <c r="V7" s="33">
        <f>12740+26918</f>
        <v>39658</v>
      </c>
      <c r="W7" s="33">
        <f>1083503+203044</f>
        <v>1286547</v>
      </c>
      <c r="X7" s="33">
        <f>1404570+188974</f>
        <v>1593544</v>
      </c>
      <c r="Y7" s="34">
        <f t="shared" si="13"/>
        <v>-306997</v>
      </c>
      <c r="Z7" s="36">
        <v>12</v>
      </c>
      <c r="AA7" s="36">
        <v>12</v>
      </c>
      <c r="AB7" s="36">
        <v>5</v>
      </c>
      <c r="AC7" s="36">
        <v>0</v>
      </c>
      <c r="AD7" s="36">
        <v>1</v>
      </c>
      <c r="AE7" s="37">
        <f t="shared" ref="AE7:AE36" si="14">AE6+AB7-AC7-AD7</f>
        <v>108</v>
      </c>
      <c r="AF7" s="34">
        <f t="shared" ref="AF7:AF36" si="15">AF6+Z7</f>
        <v>7089</v>
      </c>
      <c r="AG7" s="25">
        <f t="shared" si="7"/>
        <v>1.11195364911567</v>
      </c>
      <c r="AH7" s="25">
        <f t="shared" si="8"/>
        <v>-6.24104492783086</v>
      </c>
      <c r="AI7" s="26">
        <f t="shared" si="9"/>
        <v>5.56619985900243</v>
      </c>
      <c r="AJ7" s="38">
        <v>66</v>
      </c>
      <c r="AK7" s="3"/>
    </row>
    <row r="8" spans="1:37">
      <c r="A8" s="31">
        <v>46206</v>
      </c>
      <c r="B8" s="32">
        <v>6400</v>
      </c>
      <c r="C8" s="32">
        <v>3466</v>
      </c>
      <c r="D8" s="33">
        <v>13817</v>
      </c>
      <c r="E8" s="21">
        <f t="shared" si="10"/>
        <v>394.716666666667</v>
      </c>
      <c r="F8" s="21">
        <f t="shared" si="11"/>
        <v>3.578125</v>
      </c>
      <c r="G8" s="33">
        <f>179+185</f>
        <v>364</v>
      </c>
      <c r="H8" s="33">
        <f>132+97</f>
        <v>229</v>
      </c>
      <c r="I8" s="25">
        <f t="shared" si="1"/>
        <v>0.629120879120879</v>
      </c>
      <c r="J8" s="33">
        <f>96+85</f>
        <v>181</v>
      </c>
      <c r="K8" s="33">
        <f>1154+366</f>
        <v>1520</v>
      </c>
      <c r="L8" s="34">
        <f t="shared" si="12"/>
        <v>1291</v>
      </c>
      <c r="M8" s="35">
        <f t="shared" si="2"/>
        <v>1.08438644688645</v>
      </c>
      <c r="N8" s="35">
        <f t="shared" si="3"/>
        <v>1.72365356622999</v>
      </c>
      <c r="O8" s="34">
        <f t="shared" si="4"/>
        <v>210.973799126638</v>
      </c>
      <c r="P8" s="34">
        <f t="shared" si="5"/>
        <v>722.280263157895</v>
      </c>
      <c r="Q8" s="33">
        <f>6031511.37+1344130.99</f>
        <v>7375642.36</v>
      </c>
      <c r="R8" s="33">
        <f>23730+15157</f>
        <v>38887</v>
      </c>
      <c r="S8" s="33">
        <f>45991.25+12230</f>
        <v>58221.25</v>
      </c>
      <c r="T8" s="33">
        <f>21351+13807</f>
        <v>35158</v>
      </c>
      <c r="U8" s="33">
        <f>31506+16807</f>
        <v>48313</v>
      </c>
      <c r="V8" s="33">
        <f>54243.25+13430</f>
        <v>67673.25</v>
      </c>
      <c r="W8" s="33">
        <f>822157+275709</f>
        <v>1097866</v>
      </c>
      <c r="X8" s="33">
        <f>901207.25+226998</f>
        <v>1128205.25</v>
      </c>
      <c r="Y8" s="34">
        <f t="shared" si="13"/>
        <v>-30339.25</v>
      </c>
      <c r="Z8" s="36">
        <v>11</v>
      </c>
      <c r="AA8" s="36">
        <v>11</v>
      </c>
      <c r="AB8" s="36">
        <v>5</v>
      </c>
      <c r="AC8" s="36">
        <v>0</v>
      </c>
      <c r="AD8" s="36">
        <v>1</v>
      </c>
      <c r="AE8" s="37">
        <f t="shared" si="14"/>
        <v>112</v>
      </c>
      <c r="AF8" s="34">
        <f t="shared" si="15"/>
        <v>7100</v>
      </c>
      <c r="AG8" s="25">
        <f t="shared" si="7"/>
        <v>2.03998648819829</v>
      </c>
      <c r="AH8" s="25">
        <f t="shared" si="8"/>
        <v>-1.28105603175273</v>
      </c>
      <c r="AI8" s="26">
        <f t="shared" si="9"/>
        <v>6.71816265373005</v>
      </c>
      <c r="AJ8" s="38">
        <v>64</v>
      </c>
      <c r="AK8" s="3"/>
    </row>
    <row r="9" spans="1:37">
      <c r="A9" s="31">
        <v>46207</v>
      </c>
      <c r="B9" s="32">
        <v>6400</v>
      </c>
      <c r="C9" s="32">
        <v>3466</v>
      </c>
      <c r="D9" s="33">
        <v>4320</v>
      </c>
      <c r="E9" s="21">
        <f t="shared" si="10"/>
        <v>236.433333333333</v>
      </c>
      <c r="F9" s="21">
        <f t="shared" si="11"/>
        <v>3.34545454545455</v>
      </c>
      <c r="G9" s="33">
        <f>119+192</f>
        <v>311</v>
      </c>
      <c r="H9" s="33">
        <f>95+89</f>
        <v>184</v>
      </c>
      <c r="I9" s="25">
        <f t="shared" si="1"/>
        <v>0.591639871382637</v>
      </c>
      <c r="J9" s="33">
        <f>59+70</f>
        <v>129</v>
      </c>
      <c r="K9" s="33">
        <f>1168+358</f>
        <v>1526</v>
      </c>
      <c r="L9" s="34">
        <f t="shared" si="12"/>
        <v>1342</v>
      </c>
      <c r="M9" s="35">
        <f t="shared" si="2"/>
        <v>0.760235798499464</v>
      </c>
      <c r="N9" s="35">
        <f t="shared" si="3"/>
        <v>1.28496376811594</v>
      </c>
      <c r="O9" s="34">
        <f t="shared" si="4"/>
        <v>278.483695652174</v>
      </c>
      <c r="P9" s="34">
        <f t="shared" si="5"/>
        <v>784.485963302752</v>
      </c>
      <c r="Q9" s="33">
        <f>6454753.95+1430520.04</f>
        <v>7885273.99</v>
      </c>
      <c r="R9" s="33">
        <f>15443+15849</f>
        <v>31292</v>
      </c>
      <c r="S9" s="33">
        <f>6005+4849</f>
        <v>10854</v>
      </c>
      <c r="T9" s="33">
        <f>12913+16060</f>
        <v>28973</v>
      </c>
      <c r="U9" s="33">
        <f>21211+30030</f>
        <v>51241</v>
      </c>
      <c r="V9" s="33">
        <f>8605+26299</f>
        <v>34904</v>
      </c>
      <c r="W9" s="33">
        <f>952888.58+244237</f>
        <v>1197125.58</v>
      </c>
      <c r="X9" s="33">
        <f>1023654+215603</f>
        <v>1239257</v>
      </c>
      <c r="Y9" s="34">
        <f t="shared" si="13"/>
        <v>-42131.4199999999</v>
      </c>
      <c r="Z9" s="36">
        <v>15</v>
      </c>
      <c r="AA9" s="36">
        <v>15</v>
      </c>
      <c r="AB9" s="36">
        <v>3</v>
      </c>
      <c r="AC9" s="36">
        <v>0</v>
      </c>
      <c r="AD9" s="36">
        <v>5</v>
      </c>
      <c r="AE9" s="37">
        <f t="shared" si="14"/>
        <v>110</v>
      </c>
      <c r="AF9" s="34">
        <f t="shared" si="15"/>
        <v>7115</v>
      </c>
      <c r="AG9" s="25">
        <f t="shared" si="7"/>
        <v>3.61208233469618</v>
      </c>
      <c r="AH9" s="25">
        <f t="shared" si="8"/>
        <v>-2.96992950796559</v>
      </c>
      <c r="AI9" s="26">
        <f t="shared" si="9"/>
        <v>6.58683944419599</v>
      </c>
      <c r="AJ9" s="38">
        <v>55</v>
      </c>
      <c r="AK9" s="3"/>
    </row>
    <row r="10" spans="1:37">
      <c r="A10" s="31">
        <v>46208</v>
      </c>
      <c r="B10" s="32">
        <v>9600</v>
      </c>
      <c r="C10" s="32">
        <v>3466</v>
      </c>
      <c r="D10" s="33">
        <v>3667</v>
      </c>
      <c r="E10" s="21">
        <f t="shared" si="10"/>
        <v>278.883333333333</v>
      </c>
      <c r="F10" s="21">
        <f t="shared" si="11"/>
        <v>4.12121212121212</v>
      </c>
      <c r="G10" s="33">
        <f>197+276</f>
        <v>473</v>
      </c>
      <c r="H10" s="33">
        <f>146+126</f>
        <v>272</v>
      </c>
      <c r="I10" s="25">
        <f t="shared" si="1"/>
        <v>0.575052854122622</v>
      </c>
      <c r="J10" s="33">
        <f>99+115</f>
        <v>214</v>
      </c>
      <c r="K10" s="33">
        <f>1177+434</f>
        <v>1611</v>
      </c>
      <c r="L10" s="34">
        <f t="shared" si="12"/>
        <v>1339</v>
      </c>
      <c r="M10" s="35">
        <f t="shared" si="2"/>
        <v>0.589605355884426</v>
      </c>
      <c r="N10" s="35">
        <f t="shared" si="3"/>
        <v>1.02530637254902</v>
      </c>
      <c r="O10" s="34">
        <f t="shared" si="4"/>
        <v>205.647058823529</v>
      </c>
      <c r="P10" s="34">
        <f t="shared" si="5"/>
        <v>642.539416511484</v>
      </c>
      <c r="Q10" s="33">
        <f>5435354.82+1669928.26</f>
        <v>7105283.08</v>
      </c>
      <c r="R10" s="33">
        <f>21951+23890</f>
        <v>45841</v>
      </c>
      <c r="S10" s="33">
        <f>16823+20501.78</f>
        <v>37324.78</v>
      </c>
      <c r="T10" s="33">
        <f>19775+18609</f>
        <v>38384</v>
      </c>
      <c r="U10" s="33">
        <f>30026+25910</f>
        <v>55936</v>
      </c>
      <c r="V10" s="33">
        <f>28931+22101.78</f>
        <v>51032.78</v>
      </c>
      <c r="W10" s="33">
        <f>796194+238937</f>
        <v>1035131</v>
      </c>
      <c r="X10" s="33">
        <f>598941+179967.78</f>
        <v>778908.78</v>
      </c>
      <c r="Y10" s="34">
        <f t="shared" si="13"/>
        <v>256222.22</v>
      </c>
      <c r="Z10" s="36">
        <v>11</v>
      </c>
      <c r="AA10" s="36">
        <v>11</v>
      </c>
      <c r="AB10" s="36">
        <v>5</v>
      </c>
      <c r="AC10" s="36">
        <v>0</v>
      </c>
      <c r="AD10" s="36">
        <v>3</v>
      </c>
      <c r="AE10" s="37">
        <f t="shared" si="14"/>
        <v>112</v>
      </c>
      <c r="AF10" s="34">
        <f t="shared" si="15"/>
        <v>7126</v>
      </c>
      <c r="AG10" s="25">
        <f t="shared" si="7"/>
        <v>3.34285543536724</v>
      </c>
      <c r="AH10" s="25">
        <f t="shared" si="8"/>
        <v>15.3123898882448</v>
      </c>
      <c r="AI10" s="26">
        <f t="shared" si="9"/>
        <v>6.86413901235689</v>
      </c>
      <c r="AJ10" s="38">
        <v>66</v>
      </c>
      <c r="AK10" s="3"/>
    </row>
    <row r="11" spans="1:37">
      <c r="A11" s="31">
        <v>46209</v>
      </c>
      <c r="B11" s="32">
        <v>9600</v>
      </c>
      <c r="C11" s="32">
        <v>3466</v>
      </c>
      <c r="D11" s="33">
        <v>8549</v>
      </c>
      <c r="E11" s="21">
        <f t="shared" si="10"/>
        <v>360.25</v>
      </c>
      <c r="F11" s="21">
        <f t="shared" si="11"/>
        <v>4.07936507936508</v>
      </c>
      <c r="G11" s="33">
        <f>172+258</f>
        <v>430</v>
      </c>
      <c r="H11" s="33">
        <f>134+123</f>
        <v>257</v>
      </c>
      <c r="I11" s="25">
        <f t="shared" si="1"/>
        <v>0.597674418604651</v>
      </c>
      <c r="J11" s="33">
        <f>87+108</f>
        <v>195</v>
      </c>
      <c r="K11" s="33">
        <f>1142+418</f>
        <v>1560</v>
      </c>
      <c r="L11" s="34">
        <f t="shared" si="12"/>
        <v>1303</v>
      </c>
      <c r="M11" s="35">
        <f t="shared" si="2"/>
        <v>0.837790697674419</v>
      </c>
      <c r="N11" s="35">
        <f t="shared" si="3"/>
        <v>1.40175097276265</v>
      </c>
      <c r="O11" s="34">
        <f t="shared" si="4"/>
        <v>217.24513618677</v>
      </c>
      <c r="P11" s="34">
        <f t="shared" si="5"/>
        <v>683.335897435897</v>
      </c>
      <c r="Q11" s="33">
        <f>6396904.24+1053063.17</f>
        <v>7449967.41</v>
      </c>
      <c r="R11" s="33">
        <f>18976+21361</f>
        <v>40337</v>
      </c>
      <c r="S11" s="33">
        <f>6505+10155</f>
        <v>16660</v>
      </c>
      <c r="T11" s="33">
        <f>18837+20651</f>
        <v>39488</v>
      </c>
      <c r="U11" s="33">
        <f>29696+26136</f>
        <v>55832</v>
      </c>
      <c r="V11" s="33">
        <f>20305+10655</f>
        <v>30960</v>
      </c>
      <c r="W11" s="33">
        <f>862423+203581</f>
        <v>1066004</v>
      </c>
      <c r="X11" s="33">
        <f>775046+185276</f>
        <v>960322</v>
      </c>
      <c r="Y11" s="34">
        <f t="shared" si="13"/>
        <v>105682</v>
      </c>
      <c r="Z11" s="36">
        <v>8</v>
      </c>
      <c r="AA11" s="36">
        <v>8</v>
      </c>
      <c r="AB11" s="36">
        <v>3</v>
      </c>
      <c r="AC11" s="36">
        <v>0</v>
      </c>
      <c r="AD11" s="36">
        <v>1</v>
      </c>
      <c r="AE11" s="37">
        <f t="shared" si="14"/>
        <v>114</v>
      </c>
      <c r="AF11" s="34">
        <f t="shared" si="15"/>
        <v>7134</v>
      </c>
      <c r="AG11" s="25">
        <f t="shared" si="7"/>
        <v>2.58302105019662</v>
      </c>
      <c r="AH11" s="25">
        <f t="shared" si="8"/>
        <v>4.88928984501504</v>
      </c>
      <c r="AI11" s="26">
        <f t="shared" si="9"/>
        <v>6.98868616815697</v>
      </c>
      <c r="AJ11" s="38">
        <v>63</v>
      </c>
      <c r="AK11" s="3"/>
    </row>
    <row r="12" spans="1:37">
      <c r="A12" s="31">
        <v>46210</v>
      </c>
      <c r="B12" s="32">
        <v>9600</v>
      </c>
      <c r="C12" s="32">
        <v>3466</v>
      </c>
      <c r="D12" s="33">
        <v>0</v>
      </c>
      <c r="E12" s="21">
        <f t="shared" si="10"/>
        <v>217.766666666667</v>
      </c>
      <c r="F12" s="21">
        <f t="shared" si="11"/>
        <v>3.88333333333333</v>
      </c>
      <c r="G12" s="33">
        <f>156+190</f>
        <v>346</v>
      </c>
      <c r="H12" s="33">
        <f>113+120</f>
        <v>233</v>
      </c>
      <c r="I12" s="25">
        <f t="shared" si="1"/>
        <v>0.673410404624277</v>
      </c>
      <c r="J12" s="33">
        <f>73+99</f>
        <v>172</v>
      </c>
      <c r="K12" s="33">
        <f>1106+409</f>
        <v>1515</v>
      </c>
      <c r="L12" s="34">
        <f t="shared" si="12"/>
        <v>1282</v>
      </c>
      <c r="M12" s="35">
        <f t="shared" si="2"/>
        <v>0.629383429672447</v>
      </c>
      <c r="N12" s="35">
        <f t="shared" si="3"/>
        <v>0.934620886981402</v>
      </c>
      <c r="O12" s="34">
        <f t="shared" si="4"/>
        <v>217.424892703863</v>
      </c>
      <c r="P12" s="34">
        <f t="shared" si="5"/>
        <v>705.16897689769</v>
      </c>
      <c r="Q12" s="33">
        <f>4581107.32+1264327.91</f>
        <v>5845435.23</v>
      </c>
      <c r="R12" s="33">
        <f>19253+19785</f>
        <v>39038</v>
      </c>
      <c r="S12" s="33">
        <f>10443+21228</f>
        <v>31671</v>
      </c>
      <c r="T12" s="33">
        <f>16714+18407</f>
        <v>35121</v>
      </c>
      <c r="U12" s="33">
        <f>27453+23207</f>
        <v>50660</v>
      </c>
      <c r="V12" s="33">
        <f>17543+24628</f>
        <v>42171</v>
      </c>
      <c r="W12" s="33">
        <f>872236+196095</f>
        <v>1068331</v>
      </c>
      <c r="X12" s="33">
        <f>659209+161172</f>
        <v>820381</v>
      </c>
      <c r="Y12" s="34">
        <f t="shared" si="13"/>
        <v>247950</v>
      </c>
      <c r="Z12" s="36">
        <v>7</v>
      </c>
      <c r="AA12" s="36">
        <v>7</v>
      </c>
      <c r="AB12" s="36">
        <v>3</v>
      </c>
      <c r="AC12" s="36">
        <v>0</v>
      </c>
      <c r="AD12" s="36">
        <v>7</v>
      </c>
      <c r="AE12" s="37">
        <f t="shared" si="14"/>
        <v>110</v>
      </c>
      <c r="AF12" s="34">
        <f t="shared" si="15"/>
        <v>7141</v>
      </c>
      <c r="AG12" s="25">
        <f t="shared" si="7"/>
        <v>3.87723863462422</v>
      </c>
      <c r="AH12" s="25">
        <f t="shared" si="8"/>
        <v>18.9767335068116</v>
      </c>
      <c r="AI12" s="26">
        <f t="shared" si="9"/>
        <v>5.47155818749058</v>
      </c>
      <c r="AJ12" s="38">
        <v>60</v>
      </c>
      <c r="AK12" s="3"/>
    </row>
    <row r="13" spans="1:37">
      <c r="A13" s="31">
        <v>46211</v>
      </c>
      <c r="B13" s="32">
        <v>9600</v>
      </c>
      <c r="C13" s="32">
        <v>3466</v>
      </c>
      <c r="D13" s="33">
        <v>1675</v>
      </c>
      <c r="E13" s="21">
        <f t="shared" si="10"/>
        <v>245.683333333333</v>
      </c>
      <c r="F13" s="21">
        <f t="shared" si="11"/>
        <v>3.92424242424242</v>
      </c>
      <c r="G13" s="33">
        <f>180+213</f>
        <v>393</v>
      </c>
      <c r="H13" s="33">
        <f>133+126</f>
        <v>259</v>
      </c>
      <c r="I13" s="25">
        <f t="shared" si="1"/>
        <v>0.659033078880407</v>
      </c>
      <c r="J13" s="33">
        <f>90+107</f>
        <v>197</v>
      </c>
      <c r="K13" s="33">
        <f>1184+397</f>
        <v>1581</v>
      </c>
      <c r="L13" s="34">
        <f t="shared" si="12"/>
        <v>1322</v>
      </c>
      <c r="M13" s="35">
        <f t="shared" si="2"/>
        <v>0.625148430873622</v>
      </c>
      <c r="N13" s="35">
        <f t="shared" si="3"/>
        <v>0.948584298584299</v>
      </c>
      <c r="O13" s="34">
        <f t="shared" si="4"/>
        <v>199.513513513514</v>
      </c>
      <c r="P13" s="34">
        <f t="shared" si="5"/>
        <v>609.808981657179</v>
      </c>
      <c r="Q13" s="33">
        <f>4581107.32+1109249.66</f>
        <v>5690356.98</v>
      </c>
      <c r="R13" s="33">
        <f>13797+23242</f>
        <v>37039</v>
      </c>
      <c r="S13" s="33">
        <f>9088+13527.55</f>
        <v>22615.55</v>
      </c>
      <c r="T13" s="33">
        <f>17646+20867</f>
        <v>38513</v>
      </c>
      <c r="U13" s="33">
        <f>24277+27397</f>
        <v>51674</v>
      </c>
      <c r="V13" s="33">
        <f>18052+15877.55</f>
        <v>33929.55</v>
      </c>
      <c r="W13" s="33">
        <f>768196+195912</f>
        <v>964108</v>
      </c>
      <c r="X13" s="33">
        <f>468337+175127.55</f>
        <v>643464.55</v>
      </c>
      <c r="Y13" s="34">
        <f t="shared" si="13"/>
        <v>320643.45</v>
      </c>
      <c r="Z13" s="36">
        <v>6</v>
      </c>
      <c r="AA13" s="36">
        <v>6</v>
      </c>
      <c r="AB13" s="36">
        <v>1</v>
      </c>
      <c r="AC13" s="36">
        <v>0</v>
      </c>
      <c r="AD13" s="36">
        <v>6</v>
      </c>
      <c r="AE13" s="37">
        <f t="shared" si="14"/>
        <v>105</v>
      </c>
      <c r="AF13" s="34">
        <f t="shared" si="15"/>
        <v>7147</v>
      </c>
      <c r="AG13" s="25">
        <f t="shared" si="7"/>
        <v>3.50546095922936</v>
      </c>
      <c r="AH13" s="25">
        <f t="shared" si="8"/>
        <v>21.7518112746761</v>
      </c>
      <c r="AI13" s="26">
        <f t="shared" si="9"/>
        <v>5.90219869558182</v>
      </c>
      <c r="AJ13" s="38">
        <v>66</v>
      </c>
      <c r="AK13" s="3"/>
    </row>
    <row r="14" spans="1:37">
      <c r="A14" s="31">
        <v>46212</v>
      </c>
      <c r="B14" s="32">
        <v>9600</v>
      </c>
      <c r="C14" s="32">
        <v>3466</v>
      </c>
      <c r="D14" s="33">
        <v>850</v>
      </c>
      <c r="E14" s="21">
        <f t="shared" si="10"/>
        <v>231.933333333333</v>
      </c>
      <c r="F14" s="21">
        <f t="shared" si="11"/>
        <v>3.375</v>
      </c>
      <c r="G14" s="33">
        <f>159+216</f>
        <v>375</v>
      </c>
      <c r="H14" s="33">
        <f>103+113</f>
        <v>216</v>
      </c>
      <c r="I14" s="25">
        <f t="shared" si="1"/>
        <v>0.576</v>
      </c>
      <c r="J14" s="33">
        <f>100+100</f>
        <v>200</v>
      </c>
      <c r="K14" s="33">
        <f>1081+391</f>
        <v>1472</v>
      </c>
      <c r="L14" s="34">
        <f t="shared" si="12"/>
        <v>1256</v>
      </c>
      <c r="M14" s="35">
        <f t="shared" si="2"/>
        <v>0.618488888888889</v>
      </c>
      <c r="N14" s="35">
        <f t="shared" si="3"/>
        <v>1.07376543209877</v>
      </c>
      <c r="O14" s="34">
        <f t="shared" si="4"/>
        <v>257.37037037037</v>
      </c>
      <c r="P14" s="34">
        <f t="shared" si="5"/>
        <v>688.060461956522</v>
      </c>
      <c r="Q14" s="33">
        <f>4108599.68+1181830.35</f>
        <v>5290430.03</v>
      </c>
      <c r="R14" s="33">
        <f>22338+24411</f>
        <v>46749</v>
      </c>
      <c r="S14" s="33">
        <f>6180+28198</f>
        <v>34378</v>
      </c>
      <c r="T14" s="33">
        <f>18862+19770</f>
        <v>38632</v>
      </c>
      <c r="U14" s="33">
        <f>29881+25711</f>
        <v>55592</v>
      </c>
      <c r="V14" s="33">
        <f>13580+29603</f>
        <v>43183</v>
      </c>
      <c r="W14" s="33">
        <f>769163+243662</f>
        <v>1012825</v>
      </c>
      <c r="X14" s="33">
        <f>496099+184212</f>
        <v>680311</v>
      </c>
      <c r="Y14" s="34">
        <f t="shared" si="13"/>
        <v>332514</v>
      </c>
      <c r="Z14" s="36">
        <v>17</v>
      </c>
      <c r="AA14" s="36">
        <v>17</v>
      </c>
      <c r="AB14" s="36">
        <v>8</v>
      </c>
      <c r="AC14" s="36">
        <v>0</v>
      </c>
      <c r="AD14" s="36">
        <v>2</v>
      </c>
      <c r="AE14" s="37">
        <f t="shared" si="14"/>
        <v>111</v>
      </c>
      <c r="AF14" s="34">
        <f t="shared" si="15"/>
        <v>7164</v>
      </c>
      <c r="AG14" s="25">
        <f t="shared" si="7"/>
        <v>3.99482609945387</v>
      </c>
      <c r="AH14" s="25">
        <f t="shared" si="8"/>
        <v>23.8943661971831</v>
      </c>
      <c r="AI14" s="26">
        <f t="shared" si="9"/>
        <v>5.22343941944561</v>
      </c>
      <c r="AJ14" s="38">
        <v>64</v>
      </c>
      <c r="AK14" s="3"/>
    </row>
    <row r="15" spans="1:37">
      <c r="A15" s="31">
        <v>46213</v>
      </c>
      <c r="B15" s="32">
        <v>9600</v>
      </c>
      <c r="C15" s="32">
        <v>3466</v>
      </c>
      <c r="D15" s="33">
        <v>2150</v>
      </c>
      <c r="E15" s="21">
        <f t="shared" si="10"/>
        <v>253.6</v>
      </c>
      <c r="F15" s="21">
        <f t="shared" si="11"/>
        <v>3.66666666666667</v>
      </c>
      <c r="G15" s="33">
        <f>131+233</f>
        <v>364</v>
      </c>
      <c r="H15" s="33">
        <f>114+128</f>
        <v>242</v>
      </c>
      <c r="I15" s="25">
        <f t="shared" si="1"/>
        <v>0.664835164835165</v>
      </c>
      <c r="J15" s="33">
        <f>73+120</f>
        <v>193</v>
      </c>
      <c r="K15" s="33">
        <f>1059+406</f>
        <v>1465</v>
      </c>
      <c r="L15" s="34">
        <f t="shared" si="12"/>
        <v>1223</v>
      </c>
      <c r="M15" s="35">
        <f t="shared" si="2"/>
        <v>0.696703296703297</v>
      </c>
      <c r="N15" s="35">
        <f t="shared" si="3"/>
        <v>1.04793388429752</v>
      </c>
      <c r="O15" s="34">
        <f t="shared" si="4"/>
        <v>217.900826446281</v>
      </c>
      <c r="P15" s="34">
        <f t="shared" si="5"/>
        <v>685.141296928328</v>
      </c>
      <c r="Q15" s="33">
        <f>5637638.61+1510041.48</f>
        <v>7147680.09</v>
      </c>
      <c r="R15" s="33">
        <f>13015+27381</f>
        <v>40396</v>
      </c>
      <c r="S15" s="33">
        <f>8856+18736.5</f>
        <v>27592.5</v>
      </c>
      <c r="T15" s="33">
        <f>16315+21117</f>
        <v>37432</v>
      </c>
      <c r="U15" s="33">
        <f>21065+31667</f>
        <v>52732</v>
      </c>
      <c r="V15" s="33">
        <f>12646+26796.5</f>
        <v>39442.5</v>
      </c>
      <c r="W15" s="33">
        <f>812752+190980</f>
        <v>1003732</v>
      </c>
      <c r="X15" s="33">
        <f>631357+238483.5</f>
        <v>869840.5</v>
      </c>
      <c r="Y15" s="34">
        <f t="shared" si="13"/>
        <v>133891.5</v>
      </c>
      <c r="Z15" s="36">
        <v>10</v>
      </c>
      <c r="AA15" s="36">
        <v>10</v>
      </c>
      <c r="AB15" s="36">
        <v>6</v>
      </c>
      <c r="AC15" s="36">
        <v>0</v>
      </c>
      <c r="AD15" s="36">
        <v>5</v>
      </c>
      <c r="AE15" s="37">
        <f t="shared" si="14"/>
        <v>112</v>
      </c>
      <c r="AF15" s="34">
        <f t="shared" si="15"/>
        <v>7174</v>
      </c>
      <c r="AG15" s="25">
        <f t="shared" si="7"/>
        <v>3.46556256572029</v>
      </c>
      <c r="AH15" s="25">
        <f t="shared" si="8"/>
        <v>8.79938880126183</v>
      </c>
      <c r="AI15" s="26">
        <f t="shared" si="9"/>
        <v>7.12110412938912</v>
      </c>
      <c r="AJ15" s="38">
        <v>66</v>
      </c>
      <c r="AK15" s="3"/>
    </row>
    <row r="16" spans="1:37">
      <c r="A16" s="31">
        <v>46214</v>
      </c>
      <c r="B16" s="32">
        <v>9600</v>
      </c>
      <c r="C16" s="32">
        <v>3466</v>
      </c>
      <c r="D16" s="33">
        <v>0</v>
      </c>
      <c r="E16" s="21">
        <f t="shared" si="10"/>
        <v>217.766666666667</v>
      </c>
      <c r="F16" s="21">
        <f t="shared" si="11"/>
        <v>3.53125</v>
      </c>
      <c r="G16" s="33">
        <f>159+209</f>
        <v>368</v>
      </c>
      <c r="H16" s="33">
        <f>113+113</f>
        <v>226</v>
      </c>
      <c r="I16" s="25">
        <f t="shared" si="1"/>
        <v>0.614130434782609</v>
      </c>
      <c r="J16" s="33">
        <f>82+99</f>
        <v>181</v>
      </c>
      <c r="K16" s="33">
        <f>1206+413</f>
        <v>1619</v>
      </c>
      <c r="L16" s="34">
        <f t="shared" si="12"/>
        <v>1393</v>
      </c>
      <c r="M16" s="35">
        <f t="shared" si="2"/>
        <v>0.591757246376812</v>
      </c>
      <c r="N16" s="35">
        <f t="shared" si="3"/>
        <v>0.963569321533923</v>
      </c>
      <c r="O16" s="34">
        <f t="shared" si="4"/>
        <v>193.318584070796</v>
      </c>
      <c r="P16" s="34">
        <f t="shared" si="5"/>
        <v>784.815318097591</v>
      </c>
      <c r="Q16" s="33">
        <f>7053879.47+1420433.65</f>
        <v>8474313.12</v>
      </c>
      <c r="R16" s="33">
        <f>15684+21341</f>
        <v>37025</v>
      </c>
      <c r="S16" s="33">
        <f>4597+27168.17</f>
        <v>31765.17</v>
      </c>
      <c r="T16" s="33">
        <f>15412+18127</f>
        <v>33539</v>
      </c>
      <c r="U16" s="33">
        <f>20749+22941</f>
        <v>43690</v>
      </c>
      <c r="V16" s="33">
        <f>9637+27618.17</f>
        <v>37255.17</v>
      </c>
      <c r="W16" s="33">
        <f>1016673+253943</f>
        <v>1270616</v>
      </c>
      <c r="X16" s="33">
        <f>976842.49+180489.17</f>
        <v>1157331.66</v>
      </c>
      <c r="Y16" s="34">
        <f t="shared" si="13"/>
        <v>113284.34</v>
      </c>
      <c r="Z16" s="36">
        <v>9</v>
      </c>
      <c r="AA16" s="36">
        <v>9</v>
      </c>
      <c r="AB16" s="36">
        <v>3</v>
      </c>
      <c r="AC16" s="36">
        <v>0</v>
      </c>
      <c r="AD16" s="36">
        <v>1</v>
      </c>
      <c r="AE16" s="37">
        <f t="shared" si="14"/>
        <v>114</v>
      </c>
      <c r="AF16" s="34">
        <f t="shared" si="15"/>
        <v>7183</v>
      </c>
      <c r="AG16" s="25">
        <f t="shared" si="7"/>
        <v>3.34379305066585</v>
      </c>
      <c r="AH16" s="25">
        <f t="shared" si="8"/>
        <v>8.67016225317619</v>
      </c>
      <c r="AI16" s="26">
        <f t="shared" si="9"/>
        <v>6.66945254899985</v>
      </c>
      <c r="AJ16" s="38">
        <v>64</v>
      </c>
      <c r="AK16" s="3"/>
    </row>
    <row r="17" spans="1:37">
      <c r="A17" s="31">
        <v>46215</v>
      </c>
      <c r="B17" s="32">
        <v>9600</v>
      </c>
      <c r="C17" s="32">
        <v>3466</v>
      </c>
      <c r="D17" s="33">
        <v>6258</v>
      </c>
      <c r="E17" s="21">
        <f t="shared" si="10"/>
        <v>322.066666666667</v>
      </c>
      <c r="F17" s="21">
        <f t="shared" si="11"/>
        <v>3.50793650793651</v>
      </c>
      <c r="G17" s="33">
        <f>162+226</f>
        <v>388</v>
      </c>
      <c r="H17" s="33">
        <f>104+117</f>
        <v>221</v>
      </c>
      <c r="I17" s="25">
        <f t="shared" si="1"/>
        <v>0.569587628865979</v>
      </c>
      <c r="J17" s="33">
        <f>59+96</f>
        <v>155</v>
      </c>
      <c r="K17" s="33">
        <f>1199+430</f>
        <v>1629</v>
      </c>
      <c r="L17" s="34">
        <f t="shared" si="12"/>
        <v>1408</v>
      </c>
      <c r="M17" s="35">
        <f t="shared" si="2"/>
        <v>0.830068728522337</v>
      </c>
      <c r="N17" s="35">
        <f t="shared" si="3"/>
        <v>1.45731523378582</v>
      </c>
      <c r="O17" s="34">
        <f t="shared" si="4"/>
        <v>182.325791855204</v>
      </c>
      <c r="P17" s="34">
        <f t="shared" si="5"/>
        <v>751.639533456108</v>
      </c>
      <c r="Q17" s="33">
        <f>5435932.93+1473388.29</f>
        <v>6909321.22</v>
      </c>
      <c r="R17" s="33">
        <f>10110+18861</f>
        <v>28971</v>
      </c>
      <c r="S17" s="33">
        <f>1900+20986</f>
        <v>22886</v>
      </c>
      <c r="T17" s="33">
        <f>13844+17708</f>
        <v>31552</v>
      </c>
      <c r="U17" s="33">
        <f>17144+23150</f>
        <v>40294</v>
      </c>
      <c r="V17" s="33">
        <f>5991+26886</f>
        <v>32877</v>
      </c>
      <c r="W17" s="33">
        <f>960411.8+264009</f>
        <v>1224420.8</v>
      </c>
      <c r="X17" s="33">
        <f>693100.2+232643</f>
        <v>925743.2</v>
      </c>
      <c r="Y17" s="34">
        <f t="shared" si="13"/>
        <v>298677.6</v>
      </c>
      <c r="Z17" s="36">
        <v>16</v>
      </c>
      <c r="AA17" s="36">
        <v>16</v>
      </c>
      <c r="AB17" s="36">
        <v>5</v>
      </c>
      <c r="AC17" s="36">
        <v>0</v>
      </c>
      <c r="AD17" s="36">
        <v>5</v>
      </c>
      <c r="AE17" s="37">
        <f t="shared" si="14"/>
        <v>114</v>
      </c>
      <c r="AF17" s="34">
        <f t="shared" si="15"/>
        <v>7199</v>
      </c>
      <c r="AG17" s="25">
        <f t="shared" si="7"/>
        <v>2.08517905195612</v>
      </c>
      <c r="AH17" s="25">
        <f t="shared" si="8"/>
        <v>15.4563030428483</v>
      </c>
      <c r="AI17" s="26">
        <f t="shared" si="9"/>
        <v>5.64293028997874</v>
      </c>
      <c r="AJ17" s="38">
        <v>63</v>
      </c>
      <c r="AK17" s="3"/>
    </row>
    <row r="18" spans="1:37">
      <c r="A18" s="31">
        <v>46216</v>
      </c>
      <c r="B18" s="32">
        <v>9600</v>
      </c>
      <c r="C18" s="32">
        <v>3466</v>
      </c>
      <c r="D18" s="33">
        <v>19442</v>
      </c>
      <c r="E18" s="21">
        <f t="shared" si="10"/>
        <v>541.8</v>
      </c>
      <c r="F18" s="21">
        <f t="shared" si="11"/>
        <v>3.72307692307692</v>
      </c>
      <c r="G18" s="33">
        <f>175+234</f>
        <v>409</v>
      </c>
      <c r="H18" s="33">
        <f>116+126</f>
        <v>242</v>
      </c>
      <c r="I18" s="25">
        <f t="shared" si="1"/>
        <v>0.591687041564792</v>
      </c>
      <c r="J18" s="33">
        <f>84+112</f>
        <v>196</v>
      </c>
      <c r="K18" s="33">
        <f>1106+445</f>
        <v>1551</v>
      </c>
      <c r="L18" s="34">
        <f t="shared" si="12"/>
        <v>1309</v>
      </c>
      <c r="M18" s="35">
        <f t="shared" si="2"/>
        <v>1.32469437652812</v>
      </c>
      <c r="N18" s="35">
        <f t="shared" si="3"/>
        <v>2.23884297520661</v>
      </c>
      <c r="O18" s="34">
        <f t="shared" si="4"/>
        <v>198.830578512397</v>
      </c>
      <c r="P18" s="34">
        <f t="shared" si="5"/>
        <v>604.239200515796</v>
      </c>
      <c r="Q18" s="33">
        <f>4413835.27+1307171.58</f>
        <v>5721006.85</v>
      </c>
      <c r="R18" s="33">
        <f>22664+17342</f>
        <v>40006</v>
      </c>
      <c r="S18" s="33">
        <f>20215+8844</f>
        <v>29059</v>
      </c>
      <c r="T18" s="33">
        <f>20485+15935</f>
        <v>36420</v>
      </c>
      <c r="U18" s="33">
        <f>28422+19695</f>
        <v>48117</v>
      </c>
      <c r="V18" s="33">
        <f>25176+12130</f>
        <v>37306</v>
      </c>
      <c r="W18" s="33">
        <f>718026+219149</f>
        <v>937175</v>
      </c>
      <c r="X18" s="33">
        <f>597906+239696</f>
        <v>837602</v>
      </c>
      <c r="Y18" s="34">
        <f t="shared" si="13"/>
        <v>99573</v>
      </c>
      <c r="Z18" s="36">
        <v>14</v>
      </c>
      <c r="AA18" s="36">
        <v>14</v>
      </c>
      <c r="AB18" s="36">
        <v>2</v>
      </c>
      <c r="AC18" s="36">
        <v>1</v>
      </c>
      <c r="AD18" s="36">
        <v>5</v>
      </c>
      <c r="AE18" s="37">
        <f t="shared" si="14"/>
        <v>110</v>
      </c>
      <c r="AF18" s="34">
        <f t="shared" si="15"/>
        <v>7213</v>
      </c>
      <c r="AG18" s="25">
        <f t="shared" si="7"/>
        <v>1.48015873015873</v>
      </c>
      <c r="AH18" s="25">
        <f t="shared" si="8"/>
        <v>3.06303063861203</v>
      </c>
      <c r="AI18" s="26">
        <f t="shared" si="9"/>
        <v>6.10452354149438</v>
      </c>
      <c r="AJ18" s="38">
        <v>65</v>
      </c>
      <c r="AK18" s="3"/>
    </row>
    <row r="19" spans="1:37">
      <c r="A19" s="31">
        <v>46217</v>
      </c>
      <c r="B19" s="32">
        <v>9600</v>
      </c>
      <c r="C19" s="32">
        <v>3466</v>
      </c>
      <c r="D19" s="33">
        <v>0</v>
      </c>
      <c r="E19" s="21">
        <f t="shared" si="10"/>
        <v>217.766666666667</v>
      </c>
      <c r="F19" s="21">
        <f t="shared" si="11"/>
        <v>4.515625</v>
      </c>
      <c r="G19" s="33">
        <f>231+256</f>
        <v>487</v>
      </c>
      <c r="H19" s="33">
        <f>140+149</f>
        <v>289</v>
      </c>
      <c r="I19" s="25">
        <f t="shared" si="1"/>
        <v>0.593429158110883</v>
      </c>
      <c r="J19" s="33">
        <f>108+125</f>
        <v>233</v>
      </c>
      <c r="K19" s="33">
        <f>1110+441</f>
        <v>1551</v>
      </c>
      <c r="L19" s="34">
        <f t="shared" si="12"/>
        <v>1262</v>
      </c>
      <c r="M19" s="35">
        <f t="shared" si="2"/>
        <v>0.44715947980835</v>
      </c>
      <c r="N19" s="35">
        <f t="shared" si="3"/>
        <v>0.753517877739331</v>
      </c>
      <c r="O19" s="34">
        <f t="shared" si="4"/>
        <v>200.498269896194</v>
      </c>
      <c r="P19" s="34">
        <f t="shared" si="5"/>
        <v>650.402321083172</v>
      </c>
      <c r="Q19" s="33">
        <f>6818711.01+1178674.19</f>
        <v>7997385.2</v>
      </c>
      <c r="R19" s="33">
        <f>23025+24294</f>
        <v>47319</v>
      </c>
      <c r="S19" s="33">
        <f>49000+17479</f>
        <v>66479</v>
      </c>
      <c r="T19" s="33">
        <f>21715+19975</f>
        <v>41690</v>
      </c>
      <c r="U19" s="33">
        <f>28845+29099</f>
        <v>57944</v>
      </c>
      <c r="V19" s="33">
        <f>60210+20415</f>
        <v>80625</v>
      </c>
      <c r="W19" s="33">
        <f>852887+155887</f>
        <v>1008774</v>
      </c>
      <c r="X19" s="33">
        <f>1352575+162911</f>
        <v>1515486</v>
      </c>
      <c r="Y19" s="34">
        <f t="shared" si="13"/>
        <v>-506712</v>
      </c>
      <c r="Z19" s="36">
        <v>13</v>
      </c>
      <c r="AA19" s="36">
        <v>13</v>
      </c>
      <c r="AB19" s="36">
        <v>7</v>
      </c>
      <c r="AC19" s="36">
        <v>0</v>
      </c>
      <c r="AD19" s="36">
        <v>2</v>
      </c>
      <c r="AE19" s="37">
        <f t="shared" si="14"/>
        <v>115</v>
      </c>
      <c r="AF19" s="34">
        <f t="shared" si="15"/>
        <v>7226</v>
      </c>
      <c r="AG19" s="25">
        <f t="shared" si="7"/>
        <v>4.43471605694168</v>
      </c>
      <c r="AH19" s="25">
        <f t="shared" si="8"/>
        <v>-38.7809582121537</v>
      </c>
      <c r="AI19" s="26">
        <f t="shared" si="9"/>
        <v>7.92782645072137</v>
      </c>
      <c r="AJ19" s="38">
        <v>64</v>
      </c>
      <c r="AK19" s="3"/>
    </row>
    <row r="20" spans="1:37">
      <c r="A20" s="31">
        <v>46218</v>
      </c>
      <c r="B20" s="32">
        <v>9600</v>
      </c>
      <c r="C20" s="32">
        <v>3466</v>
      </c>
      <c r="D20" s="33">
        <v>15405</v>
      </c>
      <c r="E20" s="21">
        <f t="shared" si="10"/>
        <v>474.516666666667</v>
      </c>
      <c r="F20" s="21">
        <f t="shared" si="11"/>
        <v>4.765625</v>
      </c>
      <c r="G20" s="33">
        <f>250+238</f>
        <v>488</v>
      </c>
      <c r="H20" s="33">
        <f>165+140</f>
        <v>305</v>
      </c>
      <c r="I20" s="25">
        <f t="shared" si="1"/>
        <v>0.625</v>
      </c>
      <c r="J20" s="33">
        <f>141+110</f>
        <v>251</v>
      </c>
      <c r="K20" s="33">
        <f>1197+459</f>
        <v>1656</v>
      </c>
      <c r="L20" s="34">
        <f t="shared" si="12"/>
        <v>1351</v>
      </c>
      <c r="M20" s="35">
        <f t="shared" si="2"/>
        <v>0.972370218579235</v>
      </c>
      <c r="N20" s="35">
        <f t="shared" si="3"/>
        <v>1.55579234972678</v>
      </c>
      <c r="O20" s="34">
        <f t="shared" si="4"/>
        <v>166.622950819672</v>
      </c>
      <c r="P20" s="34">
        <f t="shared" si="5"/>
        <v>554.73309178744</v>
      </c>
      <c r="Q20" s="33">
        <f>5935749.13+1015553.38</f>
        <v>6951302.51</v>
      </c>
      <c r="R20" s="33">
        <f>21557+19337</f>
        <v>40894</v>
      </c>
      <c r="S20" s="33">
        <f>16579+13176</f>
        <v>29755</v>
      </c>
      <c r="T20" s="33">
        <f>20873+19666</f>
        <v>40539</v>
      </c>
      <c r="U20" s="33">
        <f>25204+25616</f>
        <v>50820</v>
      </c>
      <c r="V20" s="33">
        <f>20929+18276</f>
        <v>39205</v>
      </c>
      <c r="W20" s="33">
        <f>751878+166760</f>
        <v>918638</v>
      </c>
      <c r="X20" s="33">
        <f>577495+148716</f>
        <v>726211</v>
      </c>
      <c r="Y20" s="34">
        <f t="shared" si="13"/>
        <v>192427</v>
      </c>
      <c r="Z20" s="36">
        <v>18</v>
      </c>
      <c r="AA20" s="36">
        <v>18</v>
      </c>
      <c r="AB20" s="36">
        <v>4</v>
      </c>
      <c r="AC20" s="36">
        <v>1</v>
      </c>
      <c r="AD20" s="36">
        <v>1</v>
      </c>
      <c r="AE20" s="37">
        <f t="shared" si="14"/>
        <v>117</v>
      </c>
      <c r="AF20" s="34">
        <f t="shared" si="15"/>
        <v>7244</v>
      </c>
      <c r="AG20" s="25">
        <f t="shared" si="7"/>
        <v>1.78497418425767</v>
      </c>
      <c r="AH20" s="25">
        <f t="shared" si="8"/>
        <v>6.7587018369569</v>
      </c>
      <c r="AI20" s="26">
        <f t="shared" si="9"/>
        <v>7.56696599748758</v>
      </c>
      <c r="AJ20" s="38">
        <v>64</v>
      </c>
      <c r="AK20" s="3"/>
    </row>
    <row r="21" spans="1:37">
      <c r="A21" s="31">
        <v>46219</v>
      </c>
      <c r="B21" s="32">
        <v>9600</v>
      </c>
      <c r="C21" s="32">
        <v>3466</v>
      </c>
      <c r="D21" s="33">
        <v>0</v>
      </c>
      <c r="E21" s="21">
        <f t="shared" si="10"/>
        <v>217.766666666667</v>
      </c>
      <c r="F21" s="21">
        <f t="shared" si="11"/>
        <v>3.70833333333333</v>
      </c>
      <c r="G21" s="33">
        <f>140+209</f>
        <v>349</v>
      </c>
      <c r="H21" s="33">
        <f>86+92</f>
        <v>178</v>
      </c>
      <c r="I21" s="25">
        <f t="shared" si="1"/>
        <v>0.510028653295129</v>
      </c>
      <c r="J21" s="33">
        <f>59+83</f>
        <v>142</v>
      </c>
      <c r="K21" s="33">
        <f>1034+400</f>
        <v>1434</v>
      </c>
      <c r="L21" s="34">
        <f t="shared" si="12"/>
        <v>1256</v>
      </c>
      <c r="M21" s="35">
        <f t="shared" si="2"/>
        <v>0.623973256924546</v>
      </c>
      <c r="N21" s="35">
        <f t="shared" si="3"/>
        <v>1.22340823970037</v>
      </c>
      <c r="O21" s="34">
        <f t="shared" si="4"/>
        <v>269.275280898876</v>
      </c>
      <c r="P21" s="34">
        <f t="shared" si="5"/>
        <v>742.168758716876</v>
      </c>
      <c r="Q21" s="33">
        <f>4442643.39+1203311.58</f>
        <v>5645954.97</v>
      </c>
      <c r="R21" s="33">
        <f>12620+29576</f>
        <v>42196</v>
      </c>
      <c r="S21" s="33">
        <f>11550+16373</f>
        <v>27923</v>
      </c>
      <c r="T21" s="33">
        <f>12820+13778</f>
        <v>26598</v>
      </c>
      <c r="U21" s="33">
        <f>16908+31023</f>
        <v>47931</v>
      </c>
      <c r="V21" s="33">
        <f>17450.17+16373</f>
        <v>33823.17</v>
      </c>
      <c r="W21" s="33">
        <f>834474+229796</f>
        <v>1064270</v>
      </c>
      <c r="X21" s="33">
        <f>494902.17+200996</f>
        <v>695898.17</v>
      </c>
      <c r="Y21" s="34">
        <f t="shared" si="13"/>
        <v>368371.83</v>
      </c>
      <c r="Z21" s="36">
        <v>17</v>
      </c>
      <c r="AA21" s="36">
        <v>17</v>
      </c>
      <c r="AB21" s="36">
        <v>3</v>
      </c>
      <c r="AC21" s="36">
        <v>1</v>
      </c>
      <c r="AD21" s="36">
        <v>9</v>
      </c>
      <c r="AE21" s="37">
        <f t="shared" si="14"/>
        <v>110</v>
      </c>
      <c r="AF21" s="34">
        <f t="shared" si="15"/>
        <v>7261</v>
      </c>
      <c r="AG21" s="25">
        <f t="shared" si="7"/>
        <v>3.66837593754783</v>
      </c>
      <c r="AH21" s="25">
        <f t="shared" si="8"/>
        <v>28.1931601102097</v>
      </c>
      <c r="AI21" s="26">
        <f t="shared" si="9"/>
        <v>5.30500246178131</v>
      </c>
      <c r="AJ21" s="38">
        <v>48</v>
      </c>
      <c r="AK21" s="3"/>
    </row>
    <row r="22" spans="1:37">
      <c r="A22" s="31">
        <v>46220</v>
      </c>
      <c r="B22" s="32">
        <v>9600</v>
      </c>
      <c r="C22" s="32">
        <v>3466</v>
      </c>
      <c r="D22" s="33">
        <v>384446</v>
      </c>
      <c r="E22" s="21">
        <f t="shared" si="10"/>
        <v>6625.2</v>
      </c>
      <c r="F22" s="21">
        <f t="shared" si="11"/>
        <v>2.77551020408163</v>
      </c>
      <c r="G22" s="33">
        <f>112+127</f>
        <v>239</v>
      </c>
      <c r="H22" s="33">
        <f>59+77</f>
        <v>136</v>
      </c>
      <c r="I22" s="25">
        <f t="shared" si="1"/>
        <v>0.569037656903766</v>
      </c>
      <c r="J22" s="33">
        <f>46+60</f>
        <v>106</v>
      </c>
      <c r="K22" s="33">
        <f>1012+368</f>
        <v>1380</v>
      </c>
      <c r="L22" s="34">
        <f t="shared" si="12"/>
        <v>1244</v>
      </c>
      <c r="M22" s="35">
        <f t="shared" si="2"/>
        <v>27.7205020920502</v>
      </c>
      <c r="N22" s="35">
        <f t="shared" si="3"/>
        <v>48.7147058823529</v>
      </c>
      <c r="O22" s="34">
        <f t="shared" si="4"/>
        <v>185.073529411765</v>
      </c>
      <c r="P22" s="34">
        <f t="shared" si="5"/>
        <v>650.128985507246</v>
      </c>
      <c r="Q22" s="33">
        <f>4320748.13+976257.97</f>
        <v>5297006.1</v>
      </c>
      <c r="R22" s="33">
        <f>9115+9385</f>
        <v>18500</v>
      </c>
      <c r="S22" s="33">
        <f>8990.23+2595</f>
        <v>11585.23</v>
      </c>
      <c r="T22" s="33">
        <f>8020+11015</f>
        <v>19035</v>
      </c>
      <c r="U22" s="33">
        <f>11815+13355</f>
        <v>25170</v>
      </c>
      <c r="V22" s="33">
        <f>12190.23+7235</f>
        <v>19425.23</v>
      </c>
      <c r="W22" s="33">
        <f>726911+170267</f>
        <v>897178</v>
      </c>
      <c r="X22" s="33">
        <f>523705.23+92140</f>
        <v>615845.23</v>
      </c>
      <c r="Y22" s="34">
        <f t="shared" si="13"/>
        <v>281332.77</v>
      </c>
      <c r="Z22" s="36">
        <v>5</v>
      </c>
      <c r="AA22" s="36">
        <v>5</v>
      </c>
      <c r="AB22" s="36">
        <v>4</v>
      </c>
      <c r="AC22" s="36">
        <v>0</v>
      </c>
      <c r="AD22" s="36">
        <v>5</v>
      </c>
      <c r="AE22" s="37">
        <f t="shared" si="14"/>
        <v>109</v>
      </c>
      <c r="AF22" s="34">
        <f t="shared" si="15"/>
        <v>7266</v>
      </c>
      <c r="AG22" s="25">
        <f t="shared" si="7"/>
        <v>0.0633188432047334</v>
      </c>
      <c r="AH22" s="25">
        <f t="shared" si="8"/>
        <v>0.707734030670772</v>
      </c>
      <c r="AI22" s="26">
        <f t="shared" si="9"/>
        <v>5.90407488814929</v>
      </c>
      <c r="AJ22" s="38">
        <v>49</v>
      </c>
      <c r="AK22" s="3"/>
    </row>
    <row r="23" spans="1:37">
      <c r="A23" s="31">
        <v>46221</v>
      </c>
      <c r="B23" s="32">
        <v>9600</v>
      </c>
      <c r="C23" s="32">
        <v>3466</v>
      </c>
      <c r="D23" s="33">
        <v>7400</v>
      </c>
      <c r="E23" s="21">
        <f t="shared" si="10"/>
        <v>341.1</v>
      </c>
      <c r="F23" s="21">
        <f t="shared" si="11"/>
        <v>3.37735849056604</v>
      </c>
      <c r="G23" s="33">
        <f>142+148</f>
        <v>290</v>
      </c>
      <c r="H23" s="33">
        <f>99+80</f>
        <v>179</v>
      </c>
      <c r="I23" s="25">
        <f t="shared" si="1"/>
        <v>0.617241379310345</v>
      </c>
      <c r="J23" s="33">
        <f>77+64</f>
        <v>141</v>
      </c>
      <c r="K23" s="33">
        <f>1087+387</f>
        <v>1474</v>
      </c>
      <c r="L23" s="34">
        <f t="shared" si="12"/>
        <v>1295</v>
      </c>
      <c r="M23" s="35">
        <f t="shared" si="2"/>
        <v>1.17620689655172</v>
      </c>
      <c r="N23" s="35">
        <f t="shared" si="3"/>
        <v>1.90558659217877</v>
      </c>
      <c r="O23" s="34">
        <f t="shared" si="4"/>
        <v>180.949720670391</v>
      </c>
      <c r="P23" s="34">
        <f t="shared" si="5"/>
        <v>667.611261872456</v>
      </c>
      <c r="Q23" s="33">
        <f>4368298.85+758782.72</f>
        <v>5127081.57</v>
      </c>
      <c r="R23" s="33">
        <f>11905+12445</f>
        <v>24350</v>
      </c>
      <c r="S23" s="33">
        <f>5595+7702</f>
        <v>13297</v>
      </c>
      <c r="T23" s="33">
        <f>12275+11495</f>
        <v>23770</v>
      </c>
      <c r="U23" s="33">
        <f>15705+16685</f>
        <v>32390</v>
      </c>
      <c r="V23" s="33">
        <f>9991+9302</f>
        <v>19293</v>
      </c>
      <c r="W23" s="33">
        <f>824401+159658</f>
        <v>984059</v>
      </c>
      <c r="X23" s="33">
        <f>508818+141451</f>
        <v>650269</v>
      </c>
      <c r="Y23" s="34">
        <f t="shared" si="13"/>
        <v>333790</v>
      </c>
      <c r="Z23" s="36">
        <v>11</v>
      </c>
      <c r="AA23" s="36">
        <v>11</v>
      </c>
      <c r="AB23" s="36">
        <v>1</v>
      </c>
      <c r="AC23" s="36">
        <v>3</v>
      </c>
      <c r="AD23" s="36">
        <v>15</v>
      </c>
      <c r="AE23" s="37">
        <f t="shared" si="14"/>
        <v>92</v>
      </c>
      <c r="AF23" s="34">
        <f t="shared" si="15"/>
        <v>7277</v>
      </c>
      <c r="AG23" s="25">
        <f t="shared" si="7"/>
        <v>1.58262484120004</v>
      </c>
      <c r="AH23" s="25">
        <f t="shared" si="8"/>
        <v>16.3094889084335</v>
      </c>
      <c r="AI23" s="26">
        <f t="shared" si="9"/>
        <v>5.21013635361294</v>
      </c>
      <c r="AJ23" s="38">
        <v>53</v>
      </c>
      <c r="AK23" s="3"/>
    </row>
    <row r="24" spans="1:37">
      <c r="A24" s="31">
        <v>46222</v>
      </c>
      <c r="B24" s="32">
        <v>9600</v>
      </c>
      <c r="C24" s="32">
        <v>3466</v>
      </c>
      <c r="D24" s="33">
        <v>0</v>
      </c>
      <c r="E24" s="21">
        <f t="shared" si="10"/>
        <v>217.766666666667</v>
      </c>
      <c r="F24" s="21">
        <f t="shared" si="11"/>
        <v>3.35714285714286</v>
      </c>
      <c r="G24" s="33">
        <f>133+162</f>
        <v>295</v>
      </c>
      <c r="H24" s="33">
        <f>76+65</f>
        <v>141</v>
      </c>
      <c r="I24" s="25">
        <f t="shared" si="1"/>
        <v>0.477966101694915</v>
      </c>
      <c r="J24" s="33">
        <f>56+56</f>
        <v>112</v>
      </c>
      <c r="K24" s="33">
        <f>977+333</f>
        <v>1310</v>
      </c>
      <c r="L24" s="34">
        <f t="shared" si="12"/>
        <v>1169</v>
      </c>
      <c r="M24" s="35">
        <f t="shared" si="2"/>
        <v>0.73819209039548</v>
      </c>
      <c r="N24" s="35">
        <f t="shared" si="3"/>
        <v>1.54444444444444</v>
      </c>
      <c r="O24" s="34">
        <f t="shared" si="4"/>
        <v>196.063829787234</v>
      </c>
      <c r="P24" s="34">
        <f t="shared" si="5"/>
        <v>849.770992366412</v>
      </c>
      <c r="Q24" s="33">
        <f>4717549.42+747252.05</f>
        <v>5464801.47</v>
      </c>
      <c r="R24" s="33">
        <f>14414+8485</f>
        <v>22899</v>
      </c>
      <c r="S24" s="33">
        <f>16075+9730</f>
        <v>25805</v>
      </c>
      <c r="T24" s="33">
        <f>12848+8087</f>
        <v>20935</v>
      </c>
      <c r="U24" s="33">
        <f>17548+10097</f>
        <v>27645</v>
      </c>
      <c r="V24" s="33">
        <f>17575+9930</f>
        <v>27505</v>
      </c>
      <c r="W24" s="33">
        <f>982389+130811</f>
        <v>1113200</v>
      </c>
      <c r="X24" s="33">
        <f>479923+68731</f>
        <v>548654</v>
      </c>
      <c r="Y24" s="34">
        <f t="shared" si="13"/>
        <v>564546</v>
      </c>
      <c r="Z24" s="36">
        <v>10</v>
      </c>
      <c r="AA24" s="36">
        <v>10</v>
      </c>
      <c r="AB24" s="36">
        <v>1</v>
      </c>
      <c r="AC24" s="36">
        <v>1</v>
      </c>
      <c r="AD24" s="36">
        <v>5</v>
      </c>
      <c r="AE24" s="37">
        <f t="shared" si="14"/>
        <v>87</v>
      </c>
      <c r="AF24" s="34">
        <f t="shared" si="15"/>
        <v>7287</v>
      </c>
      <c r="AG24" s="25">
        <f t="shared" si="7"/>
        <v>2.11579672432267</v>
      </c>
      <c r="AH24" s="25">
        <f t="shared" si="8"/>
        <v>43.207255472218</v>
      </c>
      <c r="AI24" s="26">
        <f t="shared" si="9"/>
        <v>4.90909222960834</v>
      </c>
      <c r="AJ24" s="38">
        <v>42</v>
      </c>
      <c r="AK24" s="3"/>
    </row>
    <row r="25" spans="1:37">
      <c r="A25" s="31">
        <v>46223</v>
      </c>
      <c r="B25" s="32">
        <v>9600</v>
      </c>
      <c r="C25" s="32">
        <v>3466</v>
      </c>
      <c r="D25" s="33">
        <v>0</v>
      </c>
      <c r="E25" s="21">
        <f t="shared" si="10"/>
        <v>217.766666666667</v>
      </c>
      <c r="F25" s="21">
        <f t="shared" si="11"/>
        <v>4.06382978723404</v>
      </c>
      <c r="G25" s="33">
        <f>176+195</f>
        <v>371</v>
      </c>
      <c r="H25" s="33">
        <f>99+92</f>
        <v>191</v>
      </c>
      <c r="I25" s="25">
        <f t="shared" si="1"/>
        <v>0.514824797843666</v>
      </c>
      <c r="J25" s="33">
        <f>74+77</f>
        <v>151</v>
      </c>
      <c r="K25" s="33">
        <f>978+352</f>
        <v>1330</v>
      </c>
      <c r="L25" s="34">
        <f t="shared" si="12"/>
        <v>1139</v>
      </c>
      <c r="M25" s="35">
        <f t="shared" si="2"/>
        <v>0.586972147349506</v>
      </c>
      <c r="N25" s="35">
        <f t="shared" si="3"/>
        <v>1.14013961605585</v>
      </c>
      <c r="O25" s="34">
        <f t="shared" si="4"/>
        <v>162.34554973822</v>
      </c>
      <c r="P25" s="34">
        <f t="shared" si="5"/>
        <v>601.770676691729</v>
      </c>
      <c r="Q25" s="33">
        <f>3901242.81+746054.3</f>
        <v>4647297.11</v>
      </c>
      <c r="R25" s="33">
        <f>11882+12897</f>
        <v>24779</v>
      </c>
      <c r="S25" s="33">
        <f>7035+4444</f>
        <v>11479</v>
      </c>
      <c r="T25" s="33">
        <f>13432+12426</f>
        <v>25858</v>
      </c>
      <c r="U25" s="33">
        <f>15432+15576</f>
        <v>31008</v>
      </c>
      <c r="V25" s="33">
        <f>9015+5594</f>
        <v>14609</v>
      </c>
      <c r="W25" s="33">
        <f>662341+138014</f>
        <v>800355</v>
      </c>
      <c r="X25" s="33">
        <f>452395+104913</f>
        <v>557308</v>
      </c>
      <c r="Y25" s="34">
        <f t="shared" si="13"/>
        <v>243047</v>
      </c>
      <c r="Z25" s="36">
        <v>12</v>
      </c>
      <c r="AA25" s="36">
        <v>12</v>
      </c>
      <c r="AB25" s="36">
        <v>3</v>
      </c>
      <c r="AC25" s="36">
        <v>1</v>
      </c>
      <c r="AD25" s="36">
        <v>3</v>
      </c>
      <c r="AE25" s="37">
        <f t="shared" si="14"/>
        <v>86</v>
      </c>
      <c r="AF25" s="34">
        <f t="shared" si="15"/>
        <v>7299</v>
      </c>
      <c r="AG25" s="25">
        <f t="shared" si="7"/>
        <v>2.37318230521965</v>
      </c>
      <c r="AH25" s="25">
        <f t="shared" si="8"/>
        <v>18.6014847696311</v>
      </c>
      <c r="AI25" s="26">
        <f t="shared" si="9"/>
        <v>5.80654473327461</v>
      </c>
      <c r="AJ25" s="38">
        <v>47</v>
      </c>
      <c r="AK25" s="3"/>
    </row>
    <row r="26" spans="1:37">
      <c r="A26" s="31">
        <v>46224</v>
      </c>
      <c r="B26" s="32">
        <v>9600</v>
      </c>
      <c r="C26" s="32">
        <v>3466</v>
      </c>
      <c r="D26" s="33">
        <v>19503</v>
      </c>
      <c r="E26" s="21">
        <f t="shared" si="10"/>
        <v>542.816666666667</v>
      </c>
      <c r="F26" s="21">
        <f t="shared" si="11"/>
        <v>3.81818181818182</v>
      </c>
      <c r="G26" s="33">
        <f>180+160</f>
        <v>340</v>
      </c>
      <c r="H26" s="33">
        <f>92+76</f>
        <v>168</v>
      </c>
      <c r="I26" s="25">
        <f t="shared" si="1"/>
        <v>0.494117647058824</v>
      </c>
      <c r="J26" s="33">
        <f>73+69</f>
        <v>142</v>
      </c>
      <c r="K26" s="33">
        <f>956+324</f>
        <v>1280</v>
      </c>
      <c r="L26" s="34">
        <f t="shared" si="12"/>
        <v>1112</v>
      </c>
      <c r="M26" s="35">
        <f t="shared" si="2"/>
        <v>1.59651960784314</v>
      </c>
      <c r="N26" s="35">
        <f t="shared" si="3"/>
        <v>3.23105158730159</v>
      </c>
      <c r="O26" s="34">
        <f t="shared" si="4"/>
        <v>223.083333333333</v>
      </c>
      <c r="P26" s="34">
        <f t="shared" si="5"/>
        <v>519.8671875</v>
      </c>
      <c r="Q26" s="33">
        <f>3531505.3+934233.52</f>
        <v>4465738.82</v>
      </c>
      <c r="R26" s="33">
        <f>18279+14289</f>
        <v>32568</v>
      </c>
      <c r="S26" s="33">
        <f>10149+18017</f>
        <v>28166</v>
      </c>
      <c r="T26" s="33">
        <f>16089+12489</f>
        <v>28578</v>
      </c>
      <c r="U26" s="33">
        <f>21589+15889</f>
        <v>37478</v>
      </c>
      <c r="V26" s="33">
        <f>13151+19317</f>
        <v>32468</v>
      </c>
      <c r="W26" s="33">
        <f>527398+138032</f>
        <v>665430</v>
      </c>
      <c r="X26" s="33">
        <f>487486+113251</f>
        <v>600737</v>
      </c>
      <c r="Y26" s="34">
        <f t="shared" si="13"/>
        <v>64693</v>
      </c>
      <c r="Z26" s="36">
        <v>9</v>
      </c>
      <c r="AA26" s="36">
        <v>9</v>
      </c>
      <c r="AB26" s="36">
        <v>1</v>
      </c>
      <c r="AC26" s="36">
        <v>0</v>
      </c>
      <c r="AD26" s="36">
        <v>7</v>
      </c>
      <c r="AE26" s="37">
        <f t="shared" si="14"/>
        <v>80</v>
      </c>
      <c r="AF26" s="34">
        <f t="shared" si="15"/>
        <v>7308</v>
      </c>
      <c r="AG26" s="25">
        <f t="shared" si="7"/>
        <v>1.15072615063404</v>
      </c>
      <c r="AH26" s="25">
        <f t="shared" si="8"/>
        <v>1.98633670054346</v>
      </c>
      <c r="AI26" s="26">
        <f t="shared" si="9"/>
        <v>6.71105724118239</v>
      </c>
      <c r="AJ26" s="38">
        <v>44</v>
      </c>
      <c r="AK26" s="3"/>
    </row>
    <row r="27" spans="1:37">
      <c r="A27" s="31">
        <v>46225</v>
      </c>
      <c r="B27" s="32">
        <v>9600</v>
      </c>
      <c r="C27" s="32">
        <v>3466</v>
      </c>
      <c r="D27" s="33">
        <v>2210</v>
      </c>
      <c r="E27" s="21">
        <f t="shared" si="10"/>
        <v>254.6</v>
      </c>
      <c r="F27" s="21">
        <f t="shared" si="11"/>
        <v>3.90697674418605</v>
      </c>
      <c r="G27" s="33">
        <f>186+164</f>
        <v>350</v>
      </c>
      <c r="H27" s="33">
        <f>113+55</f>
        <v>168</v>
      </c>
      <c r="I27" s="25">
        <f t="shared" si="1"/>
        <v>0.48</v>
      </c>
      <c r="J27" s="33">
        <f>84+51</f>
        <v>135</v>
      </c>
      <c r="K27" s="33">
        <f>911+291</f>
        <v>1202</v>
      </c>
      <c r="L27" s="34">
        <f t="shared" si="12"/>
        <v>1034</v>
      </c>
      <c r="M27" s="35">
        <f t="shared" si="2"/>
        <v>0.727428571428571</v>
      </c>
      <c r="N27" s="35">
        <f t="shared" si="3"/>
        <v>1.51547619047619</v>
      </c>
      <c r="O27" s="34">
        <f t="shared" si="4"/>
        <v>225</v>
      </c>
      <c r="P27" s="34">
        <f t="shared" si="5"/>
        <v>615.658901830283</v>
      </c>
      <c r="Q27" s="33">
        <f>3346959.04+1001946.35</f>
        <v>4348905.39</v>
      </c>
      <c r="R27" s="33">
        <f>23231+8330</f>
        <v>31561</v>
      </c>
      <c r="S27" s="33">
        <f>3400+6520</f>
        <v>9920</v>
      </c>
      <c r="T27" s="33">
        <f>19863+7950</f>
        <v>27813</v>
      </c>
      <c r="U27" s="33">
        <f>29050+8750</f>
        <v>37800</v>
      </c>
      <c r="V27" s="33">
        <f>5459+6520</f>
        <v>11979</v>
      </c>
      <c r="W27" s="33">
        <f>576610+163412</f>
        <v>740022</v>
      </c>
      <c r="X27" s="33">
        <f>381814+148894</f>
        <v>530708</v>
      </c>
      <c r="Y27" s="34">
        <f t="shared" si="13"/>
        <v>209314</v>
      </c>
      <c r="Z27" s="36">
        <v>12</v>
      </c>
      <c r="AA27" s="36">
        <v>12</v>
      </c>
      <c r="AB27" s="36">
        <v>1</v>
      </c>
      <c r="AC27" s="36">
        <v>2</v>
      </c>
      <c r="AD27" s="36">
        <v>3</v>
      </c>
      <c r="AE27" s="37">
        <f t="shared" si="14"/>
        <v>76</v>
      </c>
      <c r="AF27" s="34">
        <f t="shared" si="15"/>
        <v>7320</v>
      </c>
      <c r="AG27" s="25">
        <f t="shared" si="7"/>
        <v>2.47446975648075</v>
      </c>
      <c r="AH27" s="25">
        <f t="shared" si="8"/>
        <v>13.7021471589421</v>
      </c>
      <c r="AI27" s="26">
        <f t="shared" si="9"/>
        <v>5.87672446224572</v>
      </c>
      <c r="AJ27" s="38">
        <v>43</v>
      </c>
      <c r="AK27" s="3"/>
    </row>
    <row r="28" spans="1:37">
      <c r="A28" s="31">
        <v>46226</v>
      </c>
      <c r="B28" s="32">
        <v>9600</v>
      </c>
      <c r="C28" s="32">
        <v>3466</v>
      </c>
      <c r="D28" s="33">
        <v>0</v>
      </c>
      <c r="E28" s="21">
        <f t="shared" si="10"/>
        <v>217.766666666667</v>
      </c>
      <c r="F28" s="21">
        <f t="shared" si="11"/>
        <v>4.71428571428571</v>
      </c>
      <c r="G28" s="33">
        <f>208+152</f>
        <v>360</v>
      </c>
      <c r="H28" s="33">
        <f>115+50</f>
        <v>165</v>
      </c>
      <c r="I28" s="25">
        <f t="shared" si="1"/>
        <v>0.458333333333333</v>
      </c>
      <c r="J28" s="33">
        <f>86+40</f>
        <v>126</v>
      </c>
      <c r="K28" s="33">
        <f>903+274</f>
        <v>1177</v>
      </c>
      <c r="L28" s="34">
        <f t="shared" si="12"/>
        <v>1012</v>
      </c>
      <c r="M28" s="35">
        <f t="shared" si="2"/>
        <v>0.604907407407407</v>
      </c>
      <c r="N28" s="35">
        <f t="shared" si="3"/>
        <v>1.31979797979798</v>
      </c>
      <c r="O28" s="34">
        <f t="shared" si="4"/>
        <v>243.721212121212</v>
      </c>
      <c r="P28" s="34">
        <f t="shared" si="5"/>
        <v>619.714528462192</v>
      </c>
      <c r="Q28" s="33">
        <f>3965850.46+912869.92</f>
        <v>4878720.38</v>
      </c>
      <c r="R28" s="33">
        <f>22463+10480</f>
        <v>32943</v>
      </c>
      <c r="S28" s="33">
        <f>22279+2200</f>
        <v>24479</v>
      </c>
      <c r="T28" s="33">
        <f>21483+8431</f>
        <v>29914</v>
      </c>
      <c r="U28" s="33">
        <f>27133+13081</f>
        <v>40214</v>
      </c>
      <c r="V28" s="33">
        <f>26987+2850</f>
        <v>29837</v>
      </c>
      <c r="W28" s="33">
        <f>567614+161790</f>
        <v>729404</v>
      </c>
      <c r="X28" s="33">
        <f>547503+100169</f>
        <v>647672</v>
      </c>
      <c r="Y28" s="34">
        <f t="shared" si="13"/>
        <v>81732</v>
      </c>
      <c r="Z28" s="36">
        <v>11</v>
      </c>
      <c r="AA28" s="36">
        <v>11</v>
      </c>
      <c r="AB28" s="36">
        <v>4</v>
      </c>
      <c r="AC28" s="36">
        <v>1</v>
      </c>
      <c r="AD28" s="36">
        <v>6</v>
      </c>
      <c r="AE28" s="37">
        <f t="shared" si="14"/>
        <v>73</v>
      </c>
      <c r="AF28" s="34">
        <f t="shared" si="15"/>
        <v>7331</v>
      </c>
      <c r="AG28" s="25">
        <f t="shared" si="7"/>
        <v>3.07775906934027</v>
      </c>
      <c r="AH28" s="25">
        <f t="shared" si="8"/>
        <v>6.25531914893617</v>
      </c>
      <c r="AI28" s="26">
        <f t="shared" si="9"/>
        <v>6.68863946454914</v>
      </c>
      <c r="AJ28" s="38">
        <v>35</v>
      </c>
      <c r="AK28" s="3"/>
    </row>
    <row r="29" spans="1:37">
      <c r="A29" s="31">
        <v>46227</v>
      </c>
      <c r="B29" s="32">
        <v>9600</v>
      </c>
      <c r="C29" s="32">
        <v>3466</v>
      </c>
      <c r="D29" s="33">
        <v>20502</v>
      </c>
      <c r="E29" s="21">
        <f t="shared" si="10"/>
        <v>559.466666666667</v>
      </c>
      <c r="F29" s="21">
        <f t="shared" si="11"/>
        <v>3.83720930232558</v>
      </c>
      <c r="G29" s="33">
        <f>129+159</f>
        <v>288</v>
      </c>
      <c r="H29" s="33">
        <f>93+72</f>
        <v>165</v>
      </c>
      <c r="I29" s="25">
        <f t="shared" si="1"/>
        <v>0.572916666666667</v>
      </c>
      <c r="J29" s="33">
        <f>58+58</f>
        <v>116</v>
      </c>
      <c r="K29" s="33">
        <f>941+318</f>
        <v>1259</v>
      </c>
      <c r="L29" s="34">
        <f t="shared" si="12"/>
        <v>1094</v>
      </c>
      <c r="M29" s="35">
        <f t="shared" si="2"/>
        <v>1.94259259259259</v>
      </c>
      <c r="N29" s="35">
        <f t="shared" si="3"/>
        <v>3.39070707070707</v>
      </c>
      <c r="O29" s="34">
        <f t="shared" si="4"/>
        <v>219.90303030303</v>
      </c>
      <c r="P29" s="34">
        <f t="shared" si="5"/>
        <v>617.334900714853</v>
      </c>
      <c r="Q29" s="33">
        <f>4694978.67+878540.58</f>
        <v>5573519.25</v>
      </c>
      <c r="R29" s="33">
        <f>13088+11241</f>
        <v>24329</v>
      </c>
      <c r="S29" s="33">
        <f>6552.7+12865</f>
        <v>19417.7</v>
      </c>
      <c r="T29" s="33">
        <f>15850+9932</f>
        <v>25782</v>
      </c>
      <c r="U29" s="33">
        <f>20553+15731</f>
        <v>36284</v>
      </c>
      <c r="V29" s="33">
        <f>14842.7+15265</f>
        <v>30107.7</v>
      </c>
      <c r="W29" s="33">
        <f>644810.64+132414</f>
        <v>777224.64</v>
      </c>
      <c r="X29" s="33">
        <f>588095.7+88433</f>
        <v>676528.7</v>
      </c>
      <c r="Y29" s="34">
        <f t="shared" si="13"/>
        <v>100695.94</v>
      </c>
      <c r="Z29" s="36">
        <v>12</v>
      </c>
      <c r="AA29" s="36">
        <v>12</v>
      </c>
      <c r="AB29" s="36">
        <v>2</v>
      </c>
      <c r="AC29" s="36">
        <v>0</v>
      </c>
      <c r="AD29" s="36">
        <v>0</v>
      </c>
      <c r="AE29" s="37">
        <f t="shared" si="14"/>
        <v>75</v>
      </c>
      <c r="AF29" s="34">
        <f t="shared" si="15"/>
        <v>7343</v>
      </c>
      <c r="AG29" s="25">
        <f t="shared" si="7"/>
        <v>1.08091039084843</v>
      </c>
      <c r="AH29" s="25">
        <f t="shared" si="8"/>
        <v>2.99975989037178</v>
      </c>
      <c r="AI29" s="26">
        <f t="shared" si="9"/>
        <v>7.17105321056214</v>
      </c>
      <c r="AJ29" s="38">
        <v>43</v>
      </c>
      <c r="AK29" s="3"/>
    </row>
    <row r="30" spans="1:37">
      <c r="A30" s="31">
        <v>46228</v>
      </c>
      <c r="B30" s="32">
        <v>9600</v>
      </c>
      <c r="C30" s="32">
        <v>3466</v>
      </c>
      <c r="D30" s="33">
        <v>0</v>
      </c>
      <c r="E30" s="21">
        <f t="shared" si="10"/>
        <v>217.766666666667</v>
      </c>
      <c r="F30" s="21">
        <f t="shared" si="11"/>
        <v>3.86666666666667</v>
      </c>
      <c r="G30" s="33">
        <f>136+185</f>
        <v>321</v>
      </c>
      <c r="H30" s="33">
        <f>97+77</f>
        <v>174</v>
      </c>
      <c r="I30" s="25">
        <f t="shared" si="1"/>
        <v>0.542056074766355</v>
      </c>
      <c r="J30" s="33">
        <f>61+64</f>
        <v>125</v>
      </c>
      <c r="K30" s="33">
        <f>970+333</f>
        <v>1303</v>
      </c>
      <c r="L30" s="34">
        <f t="shared" si="12"/>
        <v>1129</v>
      </c>
      <c r="M30" s="35">
        <f t="shared" si="2"/>
        <v>0.678400830737279</v>
      </c>
      <c r="N30" s="35">
        <f t="shared" si="3"/>
        <v>1.25153256704981</v>
      </c>
      <c r="O30" s="34">
        <f t="shared" si="4"/>
        <v>195.005747126437</v>
      </c>
      <c r="P30" s="34">
        <f t="shared" si="5"/>
        <v>668.926615502686</v>
      </c>
      <c r="Q30" s="33">
        <f>4935744.93+966918.37</f>
        <v>5902663.3</v>
      </c>
      <c r="R30" s="33">
        <f>13842+10108</f>
        <v>23950</v>
      </c>
      <c r="S30" s="33">
        <f>4880+5648</f>
        <v>10528</v>
      </c>
      <c r="T30" s="33">
        <f>16522+11108</f>
        <v>27630</v>
      </c>
      <c r="U30" s="33">
        <f>20223+13708</f>
        <v>33931</v>
      </c>
      <c r="V30" s="33">
        <f>7980+7398</f>
        <v>15378</v>
      </c>
      <c r="W30" s="33">
        <f>686992.38+184619</f>
        <v>871611.38</v>
      </c>
      <c r="X30" s="33">
        <f>523974+212138</f>
        <v>736112</v>
      </c>
      <c r="Y30" s="34">
        <f t="shared" si="13"/>
        <v>135499.38</v>
      </c>
      <c r="Z30" s="36">
        <v>15</v>
      </c>
      <c r="AA30" s="36">
        <v>15</v>
      </c>
      <c r="AB30" s="36">
        <v>3</v>
      </c>
      <c r="AC30" s="36">
        <v>0</v>
      </c>
      <c r="AD30" s="36">
        <v>2</v>
      </c>
      <c r="AE30" s="37">
        <f t="shared" si="14"/>
        <v>76</v>
      </c>
      <c r="AF30" s="34">
        <f t="shared" si="15"/>
        <v>7358</v>
      </c>
      <c r="AG30" s="25">
        <f t="shared" si="7"/>
        <v>2.59689269860707</v>
      </c>
      <c r="AH30" s="25">
        <f t="shared" si="8"/>
        <v>10.3703796112047</v>
      </c>
      <c r="AI30" s="26">
        <f t="shared" si="9"/>
        <v>6.77212739007607</v>
      </c>
      <c r="AJ30" s="38">
        <v>45</v>
      </c>
      <c r="AK30" s="3"/>
    </row>
    <row r="31" spans="1:37">
      <c r="A31" s="31">
        <v>46229</v>
      </c>
      <c r="B31" s="32">
        <v>9600</v>
      </c>
      <c r="C31" s="32">
        <v>3466</v>
      </c>
      <c r="D31" s="33"/>
      <c r="E31" s="21">
        <f t="shared" si="10"/>
        <v>217.766666666667</v>
      </c>
      <c r="F31" s="21" t="e">
        <f t="shared" si="11"/>
        <v>#DIV/0!</v>
      </c>
      <c r="G31" s="33">
        <f>144+166</f>
        <v>310</v>
      </c>
      <c r="H31" s="33">
        <f>102+77</f>
        <v>179</v>
      </c>
      <c r="I31" s="25">
        <f t="shared" si="1"/>
        <v>0.57741935483871</v>
      </c>
      <c r="J31" s="33">
        <f>60+66</f>
        <v>126</v>
      </c>
      <c r="K31" s="33">
        <f>1047+352</f>
        <v>1399</v>
      </c>
      <c r="L31" s="34">
        <f t="shared" si="12"/>
        <v>1220</v>
      </c>
      <c r="M31" s="35">
        <f t="shared" si="2"/>
        <v>0.70247311827957</v>
      </c>
      <c r="N31" s="35">
        <f t="shared" si="3"/>
        <v>1.21657355679702</v>
      </c>
      <c r="O31" s="34">
        <f t="shared" si="4"/>
        <v>228.357541899441</v>
      </c>
      <c r="P31" s="34">
        <f t="shared" si="5"/>
        <v>751.305017869907</v>
      </c>
      <c r="Q31" s="33">
        <f>4302350.17+1082062.5</f>
        <v>5384412.67</v>
      </c>
      <c r="R31" s="33">
        <f>17859+12746</f>
        <v>30605</v>
      </c>
      <c r="S31" s="33">
        <f>11432+14560</f>
        <v>25992</v>
      </c>
      <c r="T31" s="33">
        <f>17827+10163</f>
        <v>27990</v>
      </c>
      <c r="U31" s="33">
        <f>26180+14696</f>
        <v>40876</v>
      </c>
      <c r="V31" s="33">
        <f>22965+16560</f>
        <v>39525</v>
      </c>
      <c r="W31" s="33">
        <f>889035.72+162040</f>
        <v>1051075.72</v>
      </c>
      <c r="X31" s="33">
        <f>544449+119831</f>
        <v>664280</v>
      </c>
      <c r="Y31" s="34">
        <f t="shared" si="13"/>
        <v>386795.72</v>
      </c>
      <c r="Z31" s="36"/>
      <c r="AA31" s="36"/>
      <c r="AB31" s="36"/>
      <c r="AC31" s="36"/>
      <c r="AD31" s="36"/>
      <c r="AE31" s="37">
        <f t="shared" si="14"/>
        <v>76</v>
      </c>
      <c r="AF31" s="34">
        <f t="shared" si="15"/>
        <v>7358</v>
      </c>
      <c r="AG31" s="25">
        <f t="shared" si="7"/>
        <v>3.12842491963876</v>
      </c>
      <c r="AH31" s="25">
        <f t="shared" si="8"/>
        <v>29.6032236338589</v>
      </c>
      <c r="AI31" s="26">
        <f t="shared" si="9"/>
        <v>5.12276381952767</v>
      </c>
      <c r="AJ31" s="38"/>
      <c r="AK31" s="3"/>
    </row>
    <row r="32" spans="1:37">
      <c r="A32" s="31">
        <v>46230</v>
      </c>
      <c r="B32" s="32"/>
      <c r="C32" s="32"/>
      <c r="D32" s="33"/>
      <c r="E32" s="21">
        <f t="shared" si="10"/>
        <v>0</v>
      </c>
      <c r="F32" s="21" t="e">
        <f t="shared" si="11"/>
        <v>#DIV/0!</v>
      </c>
      <c r="G32" s="33"/>
      <c r="H32" s="33"/>
      <c r="I32" s="25" t="e">
        <f t="shared" si="1"/>
        <v>#DIV/0!</v>
      </c>
      <c r="J32" s="33"/>
      <c r="K32" s="33"/>
      <c r="L32" s="34">
        <f t="shared" si="12"/>
        <v>0</v>
      </c>
      <c r="M32" s="35" t="e">
        <f t="shared" si="2"/>
        <v>#DIV/0!</v>
      </c>
      <c r="N32" s="35" t="e">
        <f t="shared" si="3"/>
        <v>#DIV/0!</v>
      </c>
      <c r="O32" s="34" t="e">
        <f t="shared" si="4"/>
        <v>#DIV/0!</v>
      </c>
      <c r="P32" s="34" t="e">
        <f t="shared" si="5"/>
        <v>#DIV/0!</v>
      </c>
      <c r="Q32" s="33"/>
      <c r="R32" s="33"/>
      <c r="S32" s="33"/>
      <c r="T32" s="33"/>
      <c r="U32" s="33"/>
      <c r="V32" s="33"/>
      <c r="W32" s="33"/>
      <c r="X32" s="33"/>
      <c r="Y32" s="34">
        <f t="shared" si="13"/>
        <v>0</v>
      </c>
      <c r="Z32" s="36"/>
      <c r="AA32" s="36"/>
      <c r="AB32" s="36"/>
      <c r="AC32" s="36"/>
      <c r="AD32" s="36"/>
      <c r="AE32" s="37">
        <f t="shared" si="14"/>
        <v>76</v>
      </c>
      <c r="AF32" s="34">
        <f t="shared" si="15"/>
        <v>7358</v>
      </c>
      <c r="AG32" s="25" t="e">
        <f t="shared" si="7"/>
        <v>#DIV/0!</v>
      </c>
      <c r="AH32" s="25" t="e">
        <f t="shared" si="8"/>
        <v>#DIV/0!</v>
      </c>
      <c r="AI32" s="26" t="e">
        <f t="shared" si="9"/>
        <v>#DIV/0!</v>
      </c>
      <c r="AJ32" s="38"/>
      <c r="AK32" s="3"/>
    </row>
    <row r="33" spans="1:37">
      <c r="A33" s="31">
        <v>46231</v>
      </c>
      <c r="B33" s="32"/>
      <c r="C33" s="32"/>
      <c r="D33" s="33"/>
      <c r="E33" s="21">
        <f t="shared" si="10"/>
        <v>0</v>
      </c>
      <c r="F33" s="21" t="e">
        <f t="shared" si="11"/>
        <v>#DIV/0!</v>
      </c>
      <c r="G33" s="33"/>
      <c r="H33" s="33"/>
      <c r="I33" s="25" t="e">
        <f t="shared" si="1"/>
        <v>#DIV/0!</v>
      </c>
      <c r="J33" s="33"/>
      <c r="K33" s="33"/>
      <c r="L33" s="34">
        <f t="shared" si="12"/>
        <v>0</v>
      </c>
      <c r="M33" s="35" t="e">
        <f t="shared" si="2"/>
        <v>#DIV/0!</v>
      </c>
      <c r="N33" s="35" t="e">
        <f t="shared" si="3"/>
        <v>#DIV/0!</v>
      </c>
      <c r="O33" s="34" t="e">
        <f t="shared" si="4"/>
        <v>#DIV/0!</v>
      </c>
      <c r="P33" s="34" t="e">
        <f t="shared" si="5"/>
        <v>#DIV/0!</v>
      </c>
      <c r="Q33" s="33"/>
      <c r="R33" s="33"/>
      <c r="S33" s="33"/>
      <c r="T33" s="33"/>
      <c r="U33" s="33"/>
      <c r="V33" s="33"/>
      <c r="W33" s="33"/>
      <c r="X33" s="33"/>
      <c r="Y33" s="34">
        <f t="shared" si="13"/>
        <v>0</v>
      </c>
      <c r="Z33" s="36"/>
      <c r="AA33" s="36"/>
      <c r="AB33" s="36"/>
      <c r="AC33" s="36"/>
      <c r="AD33" s="36"/>
      <c r="AE33" s="37">
        <f t="shared" si="14"/>
        <v>76</v>
      </c>
      <c r="AF33" s="34">
        <f t="shared" si="15"/>
        <v>7358</v>
      </c>
      <c r="AG33" s="25" t="e">
        <f t="shared" si="7"/>
        <v>#DIV/0!</v>
      </c>
      <c r="AH33" s="25" t="e">
        <f t="shared" si="8"/>
        <v>#DIV/0!</v>
      </c>
      <c r="AI33" s="26" t="e">
        <f t="shared" si="9"/>
        <v>#DIV/0!</v>
      </c>
      <c r="AJ33" s="38"/>
      <c r="AK33" s="3"/>
    </row>
    <row r="34" spans="1:37">
      <c r="A34" s="31">
        <v>46232</v>
      </c>
      <c r="B34" s="32"/>
      <c r="C34" s="32"/>
      <c r="D34" s="33"/>
      <c r="E34" s="21">
        <f t="shared" si="10"/>
        <v>0</v>
      </c>
      <c r="F34" s="21" t="e">
        <f t="shared" si="11"/>
        <v>#DIV/0!</v>
      </c>
      <c r="G34" s="33"/>
      <c r="H34" s="33"/>
      <c r="I34" s="25" t="e">
        <f t="shared" si="1"/>
        <v>#DIV/0!</v>
      </c>
      <c r="J34" s="33"/>
      <c r="K34" s="33"/>
      <c r="L34" s="34">
        <f t="shared" si="12"/>
        <v>0</v>
      </c>
      <c r="M34" s="35" t="e">
        <f t="shared" si="2"/>
        <v>#DIV/0!</v>
      </c>
      <c r="N34" s="35" t="e">
        <f t="shared" si="3"/>
        <v>#DIV/0!</v>
      </c>
      <c r="O34" s="34" t="e">
        <f t="shared" si="4"/>
        <v>#DIV/0!</v>
      </c>
      <c r="P34" s="34" t="e">
        <f t="shared" si="5"/>
        <v>#DIV/0!</v>
      </c>
      <c r="Q34" s="33"/>
      <c r="R34" s="33"/>
      <c r="S34" s="33"/>
      <c r="T34" s="33"/>
      <c r="U34" s="33"/>
      <c r="V34" s="33"/>
      <c r="W34" s="33"/>
      <c r="X34" s="33"/>
      <c r="Y34" s="34">
        <f t="shared" si="13"/>
        <v>0</v>
      </c>
      <c r="Z34" s="36"/>
      <c r="AA34" s="36"/>
      <c r="AB34" s="36"/>
      <c r="AC34" s="36"/>
      <c r="AD34" s="36"/>
      <c r="AE34" s="37">
        <f t="shared" si="14"/>
        <v>76</v>
      </c>
      <c r="AF34" s="34">
        <f t="shared" si="15"/>
        <v>7358</v>
      </c>
      <c r="AG34" s="25" t="e">
        <f t="shared" si="7"/>
        <v>#DIV/0!</v>
      </c>
      <c r="AH34" s="25" t="e">
        <f t="shared" si="8"/>
        <v>#DIV/0!</v>
      </c>
      <c r="AI34" s="26" t="e">
        <f t="shared" si="9"/>
        <v>#DIV/0!</v>
      </c>
      <c r="AJ34" s="38"/>
      <c r="AK34" s="39"/>
    </row>
    <row r="35" spans="1:37">
      <c r="A35" s="31">
        <v>46233</v>
      </c>
      <c r="B35" s="32"/>
      <c r="C35" s="32"/>
      <c r="D35" s="33"/>
      <c r="E35" s="21">
        <f t="shared" si="10"/>
        <v>0</v>
      </c>
      <c r="F35" s="21" t="e">
        <f t="shared" si="11"/>
        <v>#DIV/0!</v>
      </c>
      <c r="G35" s="33"/>
      <c r="H35" s="33"/>
      <c r="I35" s="25" t="e">
        <f t="shared" si="1"/>
        <v>#DIV/0!</v>
      </c>
      <c r="J35" s="33"/>
      <c r="K35" s="33"/>
      <c r="L35" s="34">
        <f t="shared" si="12"/>
        <v>0</v>
      </c>
      <c r="M35" s="35" t="e">
        <f t="shared" si="2"/>
        <v>#DIV/0!</v>
      </c>
      <c r="N35" s="35" t="e">
        <f t="shared" si="3"/>
        <v>#DIV/0!</v>
      </c>
      <c r="O35" s="34" t="e">
        <f t="shared" si="4"/>
        <v>#DIV/0!</v>
      </c>
      <c r="P35" s="34" t="e">
        <f t="shared" si="5"/>
        <v>#DIV/0!</v>
      </c>
      <c r="Q35" s="33"/>
      <c r="R35" s="33"/>
      <c r="S35" s="33"/>
      <c r="T35" s="33"/>
      <c r="U35" s="33"/>
      <c r="V35" s="33"/>
      <c r="W35" s="33"/>
      <c r="X35" s="33"/>
      <c r="Y35" s="34">
        <f t="shared" si="13"/>
        <v>0</v>
      </c>
      <c r="Z35" s="36"/>
      <c r="AA35" s="36"/>
      <c r="AB35" s="36"/>
      <c r="AC35" s="36"/>
      <c r="AD35" s="36"/>
      <c r="AE35" s="37">
        <f t="shared" si="14"/>
        <v>76</v>
      </c>
      <c r="AF35" s="34">
        <f t="shared" si="15"/>
        <v>7358</v>
      </c>
      <c r="AG35" s="25" t="e">
        <f t="shared" si="7"/>
        <v>#DIV/0!</v>
      </c>
      <c r="AH35" s="25" t="e">
        <f t="shared" si="8"/>
        <v>#DIV/0!</v>
      </c>
      <c r="AI35" s="26" t="e">
        <f t="shared" si="9"/>
        <v>#DIV/0!</v>
      </c>
      <c r="AJ35" s="38"/>
      <c r="AK35" s="39"/>
    </row>
    <row r="36" spans="1:37">
      <c r="A36" s="31">
        <v>46234</v>
      </c>
      <c r="B36" s="32"/>
      <c r="C36" s="32"/>
      <c r="D36" s="33"/>
      <c r="E36" s="21">
        <f t="shared" si="10"/>
        <v>0</v>
      </c>
      <c r="F36" s="21" t="e">
        <f t="shared" si="11"/>
        <v>#DIV/0!</v>
      </c>
      <c r="G36" s="33"/>
      <c r="H36" s="33"/>
      <c r="I36" s="25" t="e">
        <f t="shared" si="1"/>
        <v>#DIV/0!</v>
      </c>
      <c r="J36" s="33"/>
      <c r="K36" s="33"/>
      <c r="L36" s="34">
        <f t="shared" si="12"/>
        <v>0</v>
      </c>
      <c r="M36" s="35" t="e">
        <f t="shared" si="2"/>
        <v>#DIV/0!</v>
      </c>
      <c r="N36" s="35" t="e">
        <f t="shared" si="3"/>
        <v>#DIV/0!</v>
      </c>
      <c r="O36" s="34" t="e">
        <f t="shared" si="4"/>
        <v>#DIV/0!</v>
      </c>
      <c r="P36" s="34" t="e">
        <f t="shared" si="5"/>
        <v>#DIV/0!</v>
      </c>
      <c r="Q36" s="33"/>
      <c r="R36" s="33"/>
      <c r="S36" s="33"/>
      <c r="T36" s="33"/>
      <c r="U36" s="33"/>
      <c r="V36" s="33"/>
      <c r="W36" s="33"/>
      <c r="X36" s="33"/>
      <c r="Y36" s="34">
        <f t="shared" si="13"/>
        <v>0</v>
      </c>
      <c r="Z36" s="36"/>
      <c r="AA36" s="36"/>
      <c r="AB36" s="36"/>
      <c r="AC36" s="36"/>
      <c r="AD36" s="36"/>
      <c r="AE36" s="37">
        <f t="shared" si="14"/>
        <v>76</v>
      </c>
      <c r="AF36" s="34">
        <f t="shared" si="15"/>
        <v>7358</v>
      </c>
      <c r="AG36" s="25" t="e">
        <f t="shared" si="7"/>
        <v>#DIV/0!</v>
      </c>
      <c r="AH36" s="25" t="e">
        <f t="shared" si="8"/>
        <v>#DIV/0!</v>
      </c>
      <c r="AI36" s="26" t="e">
        <f t="shared" si="9"/>
        <v>#DIV/0!</v>
      </c>
      <c r="AJ36" s="38"/>
      <c r="AK36" s="39"/>
    </row>
    <row r="37" spans="1:37">
      <c r="A37" s="10"/>
      <c r="B37" s="10">
        <v>3</v>
      </c>
      <c r="C37" s="10">
        <v>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1"/>
      <c r="AJ37" s="40"/>
      <c r="AK37" s="39"/>
    </row>
    <row r="38" spans="1:37">
      <c r="A38" s="10"/>
      <c r="B38" s="2" t="s">
        <v>364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1"/>
      <c r="AJ38" s="40"/>
      <c r="AK38" s="39"/>
    </row>
    <row r="39" spans="1:37">
      <c r="A39" s="10"/>
      <c r="B39" s="2" t="s">
        <v>365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1"/>
      <c r="AJ39" s="40"/>
      <c r="AK39" s="39"/>
    </row>
    <row r="40" spans="1:3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1"/>
      <c r="AJ40" s="40"/>
      <c r="AK40" s="39"/>
    </row>
  </sheetData>
  <mergeCells count="1">
    <mergeCell ref="A1:AJ2"/>
  </mergeCells>
  <conditionalFormatting sqref="AG3">
    <cfRule type="cellIs" dxfId="0" priority="107" operator="lessThan">
      <formula>0</formula>
    </cfRule>
  </conditionalFormatting>
  <conditionalFormatting sqref="AI3">
    <cfRule type="cellIs" dxfId="0" priority="106" operator="lessThan">
      <formula>0</formula>
    </cfRule>
  </conditionalFormatting>
  <conditionalFormatting sqref="AJ3">
    <cfRule type="cellIs" dxfId="0" priority="39" operator="lessThan">
      <formula>0</formula>
    </cfRule>
  </conditionalFormatting>
  <conditionalFormatting sqref="AG4">
    <cfRule type="cellIs" dxfId="0" priority="40" operator="lessThan">
      <formula>0</formula>
    </cfRule>
  </conditionalFormatting>
  <conditionalFormatting sqref="AH4">
    <cfRule type="cellIs" dxfId="0" priority="104" operator="lessThan">
      <formula>0</formula>
    </cfRule>
  </conditionalFormatting>
  <conditionalFormatting sqref="AI4">
    <cfRule type="cellIs" dxfId="0" priority="105" operator="lessThan">
      <formula>0</formula>
    </cfRule>
  </conditionalFormatting>
  <conditionalFormatting sqref="Y5">
    <cfRule type="cellIs" dxfId="0" priority="43" operator="lessThan">
      <formula>0</formula>
    </cfRule>
  </conditionalFormatting>
  <conditionalFormatting sqref="AG5:AH5">
    <cfRule type="cellIs" dxfId="0" priority="42" operator="lessThan">
      <formula>0</formula>
    </cfRule>
  </conditionalFormatting>
  <conditionalFormatting sqref="AI5">
    <cfRule type="cellIs" dxfId="0" priority="41" operator="lessThan">
      <formula>0</formula>
    </cfRule>
  </conditionalFormatting>
  <conditionalFormatting sqref="AJ5">
    <cfRule type="cellIs" dxfId="0" priority="8" operator="lessThan">
      <formula>0</formula>
    </cfRule>
  </conditionalFormatting>
  <conditionalFormatting sqref="Y6">
    <cfRule type="cellIs" dxfId="0" priority="103" operator="lessThan">
      <formula>0</formula>
    </cfRule>
  </conditionalFormatting>
  <conditionalFormatting sqref="AI6">
    <cfRule type="cellIs" dxfId="0" priority="80" operator="lessThan">
      <formula>0</formula>
    </cfRule>
  </conditionalFormatting>
  <conditionalFormatting sqref="AJ6">
    <cfRule type="cellIs" dxfId="0" priority="38" operator="lessThan">
      <formula>0</formula>
    </cfRule>
  </conditionalFormatting>
  <conditionalFormatting sqref="Y7">
    <cfRule type="cellIs" dxfId="0" priority="102" operator="lessThan">
      <formula>0</formula>
    </cfRule>
  </conditionalFormatting>
  <conditionalFormatting sqref="AI7">
    <cfRule type="cellIs" dxfId="0" priority="79" operator="lessThan">
      <formula>0</formula>
    </cfRule>
  </conditionalFormatting>
  <conditionalFormatting sqref="AJ7">
    <cfRule type="cellIs" dxfId="0" priority="37" operator="lessThan">
      <formula>0</formula>
    </cfRule>
  </conditionalFormatting>
  <conditionalFormatting sqref="Y8">
    <cfRule type="cellIs" dxfId="0" priority="101" operator="lessThan">
      <formula>0</formula>
    </cfRule>
  </conditionalFormatting>
  <conditionalFormatting sqref="AI8">
    <cfRule type="cellIs" dxfId="0" priority="78" operator="lessThan">
      <formula>0</formula>
    </cfRule>
  </conditionalFormatting>
  <conditionalFormatting sqref="AJ8">
    <cfRule type="cellIs" dxfId="0" priority="36" operator="lessThan">
      <formula>0</formula>
    </cfRule>
  </conditionalFormatting>
  <conditionalFormatting sqref="Y9">
    <cfRule type="cellIs" dxfId="0" priority="57" operator="lessThan">
      <formula>0</formula>
    </cfRule>
  </conditionalFormatting>
  <conditionalFormatting sqref="AI9">
    <cfRule type="cellIs" dxfId="0" priority="53" operator="lessThan">
      <formula>0</formula>
    </cfRule>
  </conditionalFormatting>
  <conditionalFormatting sqref="AJ9">
    <cfRule type="cellIs" dxfId="0" priority="15" operator="lessThan">
      <formula>0</formula>
    </cfRule>
  </conditionalFormatting>
  <conditionalFormatting sqref="Y10">
    <cfRule type="cellIs" dxfId="0" priority="56" operator="lessThan">
      <formula>0</formula>
    </cfRule>
  </conditionalFormatting>
  <conditionalFormatting sqref="AI10">
    <cfRule type="cellIs" dxfId="0" priority="52" operator="lessThan">
      <formula>0</formula>
    </cfRule>
  </conditionalFormatting>
  <conditionalFormatting sqref="AJ10">
    <cfRule type="cellIs" dxfId="0" priority="14" operator="lessThan">
      <formula>0</formula>
    </cfRule>
  </conditionalFormatting>
  <conditionalFormatting sqref="Y11">
    <cfRule type="cellIs" dxfId="0" priority="55" operator="lessThan">
      <formula>0</formula>
    </cfRule>
  </conditionalFormatting>
  <conditionalFormatting sqref="AI11">
    <cfRule type="cellIs" dxfId="0" priority="51" operator="lessThan">
      <formula>0</formula>
    </cfRule>
  </conditionalFormatting>
  <conditionalFormatting sqref="AJ11">
    <cfRule type="cellIs" dxfId="0" priority="13" operator="lessThan">
      <formula>0</formula>
    </cfRule>
  </conditionalFormatting>
  <conditionalFormatting sqref="Y12">
    <cfRule type="cellIs" dxfId="0" priority="54" operator="lessThan">
      <formula>0</formula>
    </cfRule>
  </conditionalFormatting>
  <conditionalFormatting sqref="AI12">
    <cfRule type="cellIs" dxfId="0" priority="50" operator="lessThan">
      <formula>0</formula>
    </cfRule>
  </conditionalFormatting>
  <conditionalFormatting sqref="AJ12">
    <cfRule type="cellIs" dxfId="0" priority="12" operator="lessThan">
      <formula>0</formula>
    </cfRule>
  </conditionalFormatting>
  <conditionalFormatting sqref="Y13">
    <cfRule type="cellIs" dxfId="0" priority="100" operator="lessThan">
      <formula>0</formula>
    </cfRule>
  </conditionalFormatting>
  <conditionalFormatting sqref="AI13">
    <cfRule type="cellIs" dxfId="0" priority="77" operator="lessThan">
      <formula>0</formula>
    </cfRule>
  </conditionalFormatting>
  <conditionalFormatting sqref="AJ13">
    <cfRule type="cellIs" dxfId="0" priority="35" operator="lessThan">
      <formula>0</formula>
    </cfRule>
  </conditionalFormatting>
  <conditionalFormatting sqref="Y14">
    <cfRule type="cellIs" dxfId="0" priority="99" operator="lessThan">
      <formula>0</formula>
    </cfRule>
  </conditionalFormatting>
  <conditionalFormatting sqref="AI14">
    <cfRule type="cellIs" dxfId="0" priority="76" operator="lessThan">
      <formula>0</formula>
    </cfRule>
  </conditionalFormatting>
  <conditionalFormatting sqref="AJ14">
    <cfRule type="cellIs" dxfId="0" priority="34" operator="lessThan">
      <formula>0</formula>
    </cfRule>
  </conditionalFormatting>
  <conditionalFormatting sqref="Y15">
    <cfRule type="cellIs" dxfId="0" priority="98" operator="lessThan">
      <formula>0</formula>
    </cfRule>
  </conditionalFormatting>
  <conditionalFormatting sqref="AI15">
    <cfRule type="cellIs" dxfId="0" priority="75" operator="lessThan">
      <formula>0</formula>
    </cfRule>
  </conditionalFormatting>
  <conditionalFormatting sqref="AJ15">
    <cfRule type="cellIs" dxfId="0" priority="33" operator="lessThan">
      <formula>0</formula>
    </cfRule>
  </conditionalFormatting>
  <conditionalFormatting sqref="Y16">
    <cfRule type="cellIs" dxfId="0" priority="97" operator="lessThan">
      <formula>0</formula>
    </cfRule>
  </conditionalFormatting>
  <conditionalFormatting sqref="AI16">
    <cfRule type="cellIs" dxfId="0" priority="74" operator="lessThan">
      <formula>0</formula>
    </cfRule>
  </conditionalFormatting>
  <conditionalFormatting sqref="AJ16">
    <cfRule type="cellIs" dxfId="0" priority="32" operator="lessThan">
      <formula>0</formula>
    </cfRule>
  </conditionalFormatting>
  <conditionalFormatting sqref="Y17">
    <cfRule type="cellIs" dxfId="0" priority="96" operator="lessThan">
      <formula>0</formula>
    </cfRule>
  </conditionalFormatting>
  <conditionalFormatting sqref="AI17">
    <cfRule type="cellIs" dxfId="0" priority="73" operator="lessThan">
      <formula>0</formula>
    </cfRule>
  </conditionalFormatting>
  <conditionalFormatting sqref="AJ17">
    <cfRule type="cellIs" dxfId="0" priority="31" operator="lessThan">
      <formula>0</formula>
    </cfRule>
  </conditionalFormatting>
  <conditionalFormatting sqref="Y18">
    <cfRule type="cellIs" dxfId="0" priority="95" operator="lessThan">
      <formula>0</formula>
    </cfRule>
  </conditionalFormatting>
  <conditionalFormatting sqref="AI18">
    <cfRule type="cellIs" dxfId="0" priority="72" operator="lessThan">
      <formula>0</formula>
    </cfRule>
  </conditionalFormatting>
  <conditionalFormatting sqref="AJ18">
    <cfRule type="cellIs" dxfId="0" priority="30" operator="lessThan">
      <formula>0</formula>
    </cfRule>
  </conditionalFormatting>
  <conditionalFormatting sqref="Y19">
    <cfRule type="cellIs" dxfId="0" priority="94" operator="lessThan">
      <formula>0</formula>
    </cfRule>
  </conditionalFormatting>
  <conditionalFormatting sqref="AI19">
    <cfRule type="cellIs" dxfId="0" priority="71" operator="lessThan">
      <formula>0</formula>
    </cfRule>
  </conditionalFormatting>
  <conditionalFormatting sqref="AJ19">
    <cfRule type="cellIs" dxfId="0" priority="29" operator="lessThan">
      <formula>0</formula>
    </cfRule>
  </conditionalFormatting>
  <conditionalFormatting sqref="Y20">
    <cfRule type="cellIs" dxfId="0" priority="93" operator="lessThan">
      <formula>0</formula>
    </cfRule>
  </conditionalFormatting>
  <conditionalFormatting sqref="AI20">
    <cfRule type="cellIs" dxfId="0" priority="70" operator="lessThan">
      <formula>0</formula>
    </cfRule>
  </conditionalFormatting>
  <conditionalFormatting sqref="AJ20">
    <cfRule type="cellIs" dxfId="0" priority="28" operator="lessThan">
      <formula>0</formula>
    </cfRule>
  </conditionalFormatting>
  <conditionalFormatting sqref="Y21">
    <cfRule type="cellIs" dxfId="0" priority="92" operator="lessThan">
      <formula>0</formula>
    </cfRule>
  </conditionalFormatting>
  <conditionalFormatting sqref="AI21">
    <cfRule type="cellIs" dxfId="0" priority="69" operator="lessThan">
      <formula>0</formula>
    </cfRule>
  </conditionalFormatting>
  <conditionalFormatting sqref="AJ21">
    <cfRule type="cellIs" dxfId="0" priority="27" operator="lessThan">
      <formula>0</formula>
    </cfRule>
  </conditionalFormatting>
  <conditionalFormatting sqref="Y22">
    <cfRule type="cellIs" dxfId="0" priority="91" operator="lessThan">
      <formula>0</formula>
    </cfRule>
  </conditionalFormatting>
  <conditionalFormatting sqref="AI22">
    <cfRule type="cellIs" dxfId="0" priority="68" operator="lessThan">
      <formula>0</formula>
    </cfRule>
  </conditionalFormatting>
  <conditionalFormatting sqref="AJ22">
    <cfRule type="cellIs" dxfId="0" priority="26" operator="lessThan">
      <formula>0</formula>
    </cfRule>
  </conditionalFormatting>
  <conditionalFormatting sqref="Y23">
    <cfRule type="cellIs" dxfId="0" priority="90" operator="lessThan">
      <formula>0</formula>
    </cfRule>
  </conditionalFormatting>
  <conditionalFormatting sqref="AI23">
    <cfRule type="cellIs" dxfId="0" priority="67" operator="lessThan">
      <formula>0</formula>
    </cfRule>
  </conditionalFormatting>
  <conditionalFormatting sqref="AJ23">
    <cfRule type="cellIs" dxfId="0" priority="25" operator="lessThan">
      <formula>0</formula>
    </cfRule>
  </conditionalFormatting>
  <conditionalFormatting sqref="Y24">
    <cfRule type="cellIs" dxfId="0" priority="89" operator="lessThan">
      <formula>0</formula>
    </cfRule>
  </conditionalFormatting>
  <conditionalFormatting sqref="AI24">
    <cfRule type="cellIs" dxfId="0" priority="66" operator="lessThan">
      <formula>0</formula>
    </cfRule>
  </conditionalFormatting>
  <conditionalFormatting sqref="AJ24">
    <cfRule type="cellIs" dxfId="0" priority="24" operator="lessThan">
      <formula>0</formula>
    </cfRule>
  </conditionalFormatting>
  <conditionalFormatting sqref="Y25">
    <cfRule type="cellIs" dxfId="0" priority="88" operator="lessThan">
      <formula>0</formula>
    </cfRule>
  </conditionalFormatting>
  <conditionalFormatting sqref="AI25">
    <cfRule type="cellIs" dxfId="0" priority="65" operator="lessThan">
      <formula>0</formula>
    </cfRule>
  </conditionalFormatting>
  <conditionalFormatting sqref="AJ25">
    <cfRule type="cellIs" dxfId="0" priority="23" operator="lessThan">
      <formula>0</formula>
    </cfRule>
  </conditionalFormatting>
  <conditionalFormatting sqref="Y26">
    <cfRule type="cellIs" dxfId="0" priority="87" operator="lessThan">
      <formula>0</formula>
    </cfRule>
  </conditionalFormatting>
  <conditionalFormatting sqref="AI26">
    <cfRule type="cellIs" dxfId="0" priority="64" operator="lessThan">
      <formula>0</formula>
    </cfRule>
  </conditionalFormatting>
  <conditionalFormatting sqref="AJ26">
    <cfRule type="cellIs" dxfId="0" priority="22" operator="lessThan">
      <formula>0</formula>
    </cfRule>
  </conditionalFormatting>
  <conditionalFormatting sqref="Y27">
    <cfRule type="cellIs" dxfId="0" priority="86" operator="lessThan">
      <formula>0</formula>
    </cfRule>
  </conditionalFormatting>
  <conditionalFormatting sqref="AI27">
    <cfRule type="cellIs" dxfId="0" priority="63" operator="lessThan">
      <formula>0</formula>
    </cfRule>
  </conditionalFormatting>
  <conditionalFormatting sqref="AJ27">
    <cfRule type="cellIs" dxfId="0" priority="21" operator="lessThan">
      <formula>0</formula>
    </cfRule>
  </conditionalFormatting>
  <conditionalFormatting sqref="Y28">
    <cfRule type="cellIs" dxfId="0" priority="85" operator="lessThan">
      <formula>0</formula>
    </cfRule>
  </conditionalFormatting>
  <conditionalFormatting sqref="AI28">
    <cfRule type="cellIs" dxfId="0" priority="62" operator="lessThan">
      <formula>0</formula>
    </cfRule>
  </conditionalFormatting>
  <conditionalFormatting sqref="AJ28">
    <cfRule type="cellIs" dxfId="0" priority="20" operator="lessThan">
      <formula>0</formula>
    </cfRule>
  </conditionalFormatting>
  <conditionalFormatting sqref="Y29">
    <cfRule type="cellIs" dxfId="0" priority="84" operator="lessThan">
      <formula>0</formula>
    </cfRule>
  </conditionalFormatting>
  <conditionalFormatting sqref="AI29">
    <cfRule type="cellIs" dxfId="0" priority="61" operator="lessThan">
      <formula>0</formula>
    </cfRule>
  </conditionalFormatting>
  <conditionalFormatting sqref="AJ29">
    <cfRule type="cellIs" dxfId="0" priority="19" operator="lessThan">
      <formula>0</formula>
    </cfRule>
  </conditionalFormatting>
  <conditionalFormatting sqref="Y30">
    <cfRule type="cellIs" dxfId="0" priority="83" operator="lessThan">
      <formula>0</formula>
    </cfRule>
  </conditionalFormatting>
  <conditionalFormatting sqref="AI30">
    <cfRule type="cellIs" dxfId="0" priority="60" operator="lessThan">
      <formula>0</formula>
    </cfRule>
  </conditionalFormatting>
  <conditionalFormatting sqref="AJ30">
    <cfRule type="cellIs" dxfId="0" priority="18" operator="lessThan">
      <formula>0</formula>
    </cfRule>
  </conditionalFormatting>
  <conditionalFormatting sqref="Y31">
    <cfRule type="cellIs" dxfId="0" priority="82" operator="lessThan">
      <formula>0</formula>
    </cfRule>
  </conditionalFormatting>
  <conditionalFormatting sqref="AI31">
    <cfRule type="cellIs" dxfId="0" priority="59" operator="lessThan">
      <formula>0</formula>
    </cfRule>
  </conditionalFormatting>
  <conditionalFormatting sqref="AJ31">
    <cfRule type="cellIs" dxfId="0" priority="17" operator="lessThan">
      <formula>0</formula>
    </cfRule>
  </conditionalFormatting>
  <conditionalFormatting sqref="Y32">
    <cfRule type="cellIs" dxfId="0" priority="81" operator="lessThan">
      <formula>0</formula>
    </cfRule>
  </conditionalFormatting>
  <conditionalFormatting sqref="AI32">
    <cfRule type="cellIs" dxfId="0" priority="58" operator="lessThan">
      <formula>0</formula>
    </cfRule>
  </conditionalFormatting>
  <conditionalFormatting sqref="AJ32">
    <cfRule type="cellIs" dxfId="0" priority="16" operator="lessThan">
      <formula>0</formula>
    </cfRule>
  </conditionalFormatting>
  <conditionalFormatting sqref="Y33">
    <cfRule type="cellIs" dxfId="0" priority="49" operator="lessThan">
      <formula>0</formula>
    </cfRule>
  </conditionalFormatting>
  <conditionalFormatting sqref="AI33">
    <cfRule type="cellIs" dxfId="0" priority="46" operator="lessThan">
      <formula>0</formula>
    </cfRule>
  </conditionalFormatting>
  <conditionalFormatting sqref="AJ33">
    <cfRule type="cellIs" dxfId="0" priority="11" operator="lessThan">
      <formula>0</formula>
    </cfRule>
  </conditionalFormatting>
  <conditionalFormatting sqref="Y34">
    <cfRule type="cellIs" dxfId="0" priority="48" operator="lessThan">
      <formula>0</formula>
    </cfRule>
  </conditionalFormatting>
  <conditionalFormatting sqref="AI34">
    <cfRule type="cellIs" dxfId="0" priority="45" operator="lessThan">
      <formula>0</formula>
    </cfRule>
  </conditionalFormatting>
  <conditionalFormatting sqref="AJ34">
    <cfRule type="cellIs" dxfId="0" priority="10" operator="lessThan">
      <formula>0</formula>
    </cfRule>
  </conditionalFormatting>
  <conditionalFormatting sqref="Y35">
    <cfRule type="cellIs" dxfId="0" priority="47" operator="lessThan">
      <formula>0</formula>
    </cfRule>
  </conditionalFormatting>
  <conditionalFormatting sqref="AI35">
    <cfRule type="cellIs" dxfId="0" priority="44" operator="lessThan">
      <formula>0</formula>
    </cfRule>
  </conditionalFormatting>
  <conditionalFormatting sqref="AJ35">
    <cfRule type="cellIs" dxfId="0" priority="9" operator="lessThan">
      <formula>0</formula>
    </cfRule>
  </conditionalFormatting>
  <conditionalFormatting sqref="Y36">
    <cfRule type="cellIs" dxfId="0" priority="5" operator="lessThan">
      <formula>0</formula>
    </cfRule>
  </conditionalFormatting>
  <conditionalFormatting sqref="AG36">
    <cfRule type="cellIs" dxfId="0" priority="2" operator="lessThan">
      <formula>0</formula>
    </cfRule>
  </conditionalFormatting>
  <conditionalFormatting sqref="AH36">
    <cfRule type="cellIs" dxfId="0" priority="1" operator="lessThan">
      <formula>0</formula>
    </cfRule>
  </conditionalFormatting>
  <conditionalFormatting sqref="AI36">
    <cfRule type="cellIs" dxfId="0" priority="4" operator="lessThan">
      <formula>0</formula>
    </cfRule>
  </conditionalFormatting>
  <conditionalFormatting sqref="AJ36">
    <cfRule type="cellIs" dxfId="0" priority="3" operator="lessThan">
      <formula>0</formula>
    </cfRule>
  </conditionalFormatting>
  <conditionalFormatting sqref="AG6:AG35">
    <cfRule type="cellIs" dxfId="0" priority="7" operator="lessThan">
      <formula>0</formula>
    </cfRule>
  </conditionalFormatting>
  <conditionalFormatting sqref="AH6:AH35">
    <cfRule type="cellIs" dxfId="0" priority="6" operator="lessThan">
      <formula>0</formula>
    </cfRule>
  </conditionalFormatting>
  <conditionalFormatting sqref="Y3 AH3">
    <cfRule type="cellIs" dxfId="0" priority="108" operator="lessThan">
      <formula>0</formula>
    </cfRule>
  </conditionalFormatting>
  <pageMargins left="0.75" right="0.75" top="1" bottom="1" header="0.5" footer="0.5"/>
  <headerFooter/>
  <ignoredErrors>
    <ignoredError sqref="F4:I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1"/>
  <sheetViews>
    <sheetView zoomScale="75" zoomScaleNormal="75" workbookViewId="0">
      <pane ySplit="5" topLeftCell="A6" activePane="bottomLeft" state="frozen"/>
      <selection/>
      <selection pane="bottomLeft" activeCell="Y31" sqref="Y31"/>
    </sheetView>
  </sheetViews>
  <sheetFormatPr defaultColWidth="9.14285714285714" defaultRowHeight="15"/>
  <cols>
    <col min="4" max="4" width="10.4761904761905" customWidth="1"/>
    <col min="17" max="17" width="12" customWidth="1"/>
    <col min="18" max="25" width="10.8571428571429" customWidth="1"/>
  </cols>
  <sheetData>
    <row r="1" spans="1:37">
      <c r="A1" s="9" t="s">
        <v>366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1"/>
      <c r="AJ1" s="12"/>
      <c r="AK1" s="3"/>
    </row>
    <row r="2" spans="1:37">
      <c r="A2" s="1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12"/>
      <c r="AK2" s="3"/>
    </row>
    <row r="3" ht="31.5" spans="1:37">
      <c r="A3" s="14" t="s">
        <v>277</v>
      </c>
      <c r="B3" s="14" t="s">
        <v>326</v>
      </c>
      <c r="C3" s="15" t="s">
        <v>327</v>
      </c>
      <c r="D3" s="15" t="s">
        <v>328</v>
      </c>
      <c r="E3" s="15" t="s">
        <v>280</v>
      </c>
      <c r="F3" s="15" t="s">
        <v>24</v>
      </c>
      <c r="G3" s="15" t="s">
        <v>281</v>
      </c>
      <c r="H3" s="15" t="s">
        <v>219</v>
      </c>
      <c r="I3" s="16" t="s">
        <v>282</v>
      </c>
      <c r="J3" s="15" t="s">
        <v>33</v>
      </c>
      <c r="K3" s="15" t="s">
        <v>36</v>
      </c>
      <c r="L3" s="15" t="s">
        <v>37</v>
      </c>
      <c r="M3" s="14" t="s">
        <v>283</v>
      </c>
      <c r="N3" s="14" t="s">
        <v>284</v>
      </c>
      <c r="O3" s="17" t="s">
        <v>157</v>
      </c>
      <c r="P3" s="17" t="s">
        <v>61</v>
      </c>
      <c r="Q3" s="16" t="s">
        <v>285</v>
      </c>
      <c r="R3" s="16" t="s">
        <v>34</v>
      </c>
      <c r="S3" s="16" t="s">
        <v>35</v>
      </c>
      <c r="T3" s="16" t="s">
        <v>27</v>
      </c>
      <c r="U3" s="15" t="s">
        <v>56</v>
      </c>
      <c r="V3" s="15" t="s">
        <v>57</v>
      </c>
      <c r="W3" s="15" t="s">
        <v>286</v>
      </c>
      <c r="X3" s="15" t="s">
        <v>287</v>
      </c>
      <c r="Y3" s="15" t="s">
        <v>288</v>
      </c>
      <c r="Z3" s="14" t="s">
        <v>329</v>
      </c>
      <c r="AA3" s="14" t="s">
        <v>330</v>
      </c>
      <c r="AB3" s="14" t="s">
        <v>330</v>
      </c>
      <c r="AC3" s="14" t="s">
        <v>331</v>
      </c>
      <c r="AD3" s="18" t="s">
        <v>332</v>
      </c>
      <c r="AE3" s="14" t="s">
        <v>289</v>
      </c>
      <c r="AF3" s="14" t="s">
        <v>333</v>
      </c>
      <c r="AG3" s="14" t="s">
        <v>290</v>
      </c>
      <c r="AH3" s="14" t="s">
        <v>291</v>
      </c>
      <c r="AI3" s="14" t="s">
        <v>292</v>
      </c>
      <c r="AJ3" s="14" t="s">
        <v>334</v>
      </c>
      <c r="AK3" s="3"/>
    </row>
    <row r="4" ht="28" customHeight="1" spans="1:37">
      <c r="A4" s="19" t="s">
        <v>335</v>
      </c>
      <c r="B4" s="20">
        <f t="shared" ref="B4:H4" si="0">SUM(B6:B1048575)</f>
        <v>153602</v>
      </c>
      <c r="C4" s="20">
        <f t="shared" si="0"/>
        <v>180236</v>
      </c>
      <c r="D4" s="20">
        <f t="shared" si="0"/>
        <v>456003</v>
      </c>
      <c r="E4" s="20">
        <f t="shared" si="0"/>
        <v>13163.9166666667</v>
      </c>
      <c r="F4" s="21">
        <f>(H4/AJ4)/汇总!S1</f>
        <v>2.63201663201663</v>
      </c>
      <c r="G4" s="20">
        <f t="shared" si="0"/>
        <v>5130</v>
      </c>
      <c r="H4" s="20">
        <f t="shared" si="0"/>
        <v>2532</v>
      </c>
      <c r="I4" s="22">
        <f t="shared" ref="I4:I36" si="1">H4/G4</f>
        <v>0.493567251461988</v>
      </c>
      <c r="J4" s="20">
        <f t="shared" ref="J4:L4" si="2">SUM(J6:J1048575)</f>
        <v>2220</v>
      </c>
      <c r="K4" s="20">
        <f t="shared" si="2"/>
        <v>9423</v>
      </c>
      <c r="L4" s="20">
        <f t="shared" si="2"/>
        <v>6891</v>
      </c>
      <c r="M4" s="23">
        <f t="shared" ref="M4:M36" si="3">E4/G4</f>
        <v>2.56606562703054</v>
      </c>
      <c r="N4" s="23">
        <f t="shared" ref="N4:N36" si="4">E4/H4</f>
        <v>5.19901922064244</v>
      </c>
      <c r="O4" s="20">
        <f t="shared" ref="O4:O36" si="5">U4/H4</f>
        <v>225.833333333333</v>
      </c>
      <c r="P4" s="20">
        <f t="shared" ref="P4:P36" si="6">W4/K4</f>
        <v>438.035763557254</v>
      </c>
      <c r="Q4" s="20">
        <f t="shared" ref="Q4:AD4" si="7">SUM(Q6:Q1048575)</f>
        <v>31195993.42</v>
      </c>
      <c r="R4" s="20">
        <f t="shared" si="7"/>
        <v>493879</v>
      </c>
      <c r="S4" s="20">
        <f t="shared" si="7"/>
        <v>312594.8</v>
      </c>
      <c r="T4" s="20">
        <f t="shared" si="7"/>
        <v>395999</v>
      </c>
      <c r="U4" s="20">
        <f t="shared" si="7"/>
        <v>571810</v>
      </c>
      <c r="V4" s="20">
        <f t="shared" si="7"/>
        <v>367848.8</v>
      </c>
      <c r="W4" s="20">
        <f t="shared" si="7"/>
        <v>4127611</v>
      </c>
      <c r="X4" s="20">
        <f t="shared" si="7"/>
        <v>3335808.49</v>
      </c>
      <c r="Y4" s="20">
        <f t="shared" si="7"/>
        <v>791802.51</v>
      </c>
      <c r="Z4" s="20">
        <f t="shared" si="7"/>
        <v>282</v>
      </c>
      <c r="AA4" s="20">
        <f t="shared" si="7"/>
        <v>282</v>
      </c>
      <c r="AB4" s="20">
        <f t="shared" si="7"/>
        <v>80</v>
      </c>
      <c r="AC4" s="20">
        <f t="shared" si="7"/>
        <v>3</v>
      </c>
      <c r="AD4" s="20">
        <f t="shared" si="7"/>
        <v>79</v>
      </c>
      <c r="AE4" s="20">
        <v>125</v>
      </c>
      <c r="AF4" s="20">
        <v>4053</v>
      </c>
      <c r="AG4" s="24">
        <f t="shared" ref="AG4:AG36" si="8">(U4/60)/E4</f>
        <v>0.723961333696278</v>
      </c>
      <c r="AH4" s="25">
        <f t="shared" ref="AH4:AH36" si="9">(Y4/60)/E4</f>
        <v>1.0024910392677</v>
      </c>
      <c r="AI4" s="26">
        <f t="shared" ref="AI4:AI36" si="10">Q4/W4</f>
        <v>7.55788116176646</v>
      </c>
      <c r="AJ4" s="20">
        <v>37</v>
      </c>
      <c r="AK4" s="3"/>
    </row>
    <row r="5" ht="22.5" spans="1:37">
      <c r="A5" s="27" t="s">
        <v>336</v>
      </c>
      <c r="B5" s="27" t="s">
        <v>337</v>
      </c>
      <c r="C5" s="28" t="s">
        <v>338</v>
      </c>
      <c r="D5" s="28" t="s">
        <v>339</v>
      </c>
      <c r="E5" s="28" t="s">
        <v>340</v>
      </c>
      <c r="F5" s="28" t="s">
        <v>71</v>
      </c>
      <c r="G5" s="28" t="s">
        <v>341</v>
      </c>
      <c r="H5" s="28" t="s">
        <v>342</v>
      </c>
      <c r="I5" s="29" t="s">
        <v>343</v>
      </c>
      <c r="J5" s="28" t="s">
        <v>80</v>
      </c>
      <c r="K5" s="28" t="s">
        <v>83</v>
      </c>
      <c r="L5" s="28" t="s">
        <v>84</v>
      </c>
      <c r="M5" s="27" t="s">
        <v>344</v>
      </c>
      <c r="N5" s="27" t="s">
        <v>345</v>
      </c>
      <c r="O5" s="29" t="s">
        <v>95</v>
      </c>
      <c r="P5" s="29" t="s">
        <v>346</v>
      </c>
      <c r="Q5" s="29" t="s">
        <v>347</v>
      </c>
      <c r="R5" s="29" t="s">
        <v>81</v>
      </c>
      <c r="S5" s="29" t="s">
        <v>82</v>
      </c>
      <c r="T5" s="29" t="s">
        <v>74</v>
      </c>
      <c r="U5" s="28" t="s">
        <v>348</v>
      </c>
      <c r="V5" s="28" t="s">
        <v>349</v>
      </c>
      <c r="W5" s="28" t="s">
        <v>350</v>
      </c>
      <c r="X5" s="28" t="s">
        <v>351</v>
      </c>
      <c r="Y5" s="28" t="s">
        <v>352</v>
      </c>
      <c r="Z5" s="27" t="s">
        <v>353</v>
      </c>
      <c r="AA5" s="27" t="s">
        <v>354</v>
      </c>
      <c r="AB5" s="27" t="s">
        <v>355</v>
      </c>
      <c r="AC5" s="27" t="s">
        <v>356</v>
      </c>
      <c r="AD5" s="30" t="s">
        <v>357</v>
      </c>
      <c r="AE5" s="27" t="s">
        <v>358</v>
      </c>
      <c r="AF5" s="27" t="s">
        <v>359</v>
      </c>
      <c r="AG5" s="27" t="s">
        <v>360</v>
      </c>
      <c r="AH5" s="27" t="s">
        <v>361</v>
      </c>
      <c r="AI5" s="27" t="s">
        <v>362</v>
      </c>
      <c r="AJ5" s="27" t="s">
        <v>363</v>
      </c>
      <c r="AK5" s="3"/>
    </row>
    <row r="6" spans="1:37">
      <c r="A6" s="31">
        <v>46204</v>
      </c>
      <c r="B6" s="32">
        <v>3200</v>
      </c>
      <c r="C6" s="32">
        <v>6932</v>
      </c>
      <c r="D6" s="33">
        <v>146227</v>
      </c>
      <c r="E6" s="21">
        <f t="shared" ref="E6:E36" si="11">(B6+C6+D6)/60</f>
        <v>2605.98333333333</v>
      </c>
      <c r="F6" s="21">
        <f t="shared" ref="F6:F36" si="12">H6/AJ6</f>
        <v>2.3</v>
      </c>
      <c r="G6" s="33">
        <v>219</v>
      </c>
      <c r="H6" s="33">
        <v>115</v>
      </c>
      <c r="I6" s="25">
        <f t="shared" si="1"/>
        <v>0.525114155251142</v>
      </c>
      <c r="J6" s="33">
        <v>97</v>
      </c>
      <c r="K6" s="33">
        <v>412</v>
      </c>
      <c r="L6" s="34">
        <f t="shared" ref="L6:L36" si="13">K6-H6</f>
        <v>297</v>
      </c>
      <c r="M6" s="35">
        <f t="shared" si="3"/>
        <v>11.8994672754947</v>
      </c>
      <c r="N6" s="35">
        <f t="shared" si="4"/>
        <v>22.6607246376812</v>
      </c>
      <c r="O6" s="34">
        <f t="shared" si="5"/>
        <v>286.721739130435</v>
      </c>
      <c r="P6" s="34">
        <f t="shared" si="6"/>
        <v>418.058252427184</v>
      </c>
      <c r="Q6" s="33">
        <v>1307192.39</v>
      </c>
      <c r="R6" s="33">
        <v>24254</v>
      </c>
      <c r="S6" s="33">
        <v>30275.65</v>
      </c>
      <c r="T6" s="33">
        <v>19321</v>
      </c>
      <c r="U6" s="33">
        <v>32973</v>
      </c>
      <c r="V6" s="33">
        <v>39625.65</v>
      </c>
      <c r="W6" s="33">
        <v>172240</v>
      </c>
      <c r="X6" s="33">
        <v>119944.65</v>
      </c>
      <c r="Y6" s="34">
        <f t="shared" ref="Y6:Y36" si="14">W6-X6</f>
        <v>52295.35</v>
      </c>
      <c r="Z6" s="36">
        <v>6</v>
      </c>
      <c r="AA6" s="36">
        <v>6</v>
      </c>
      <c r="AB6" s="36">
        <v>7</v>
      </c>
      <c r="AC6" s="36">
        <v>0</v>
      </c>
      <c r="AD6" s="36">
        <v>14</v>
      </c>
      <c r="AE6" s="37">
        <f>127+AB6-AC6-AD6</f>
        <v>120</v>
      </c>
      <c r="AF6" s="34">
        <f>3771+Z6</f>
        <v>3777</v>
      </c>
      <c r="AG6" s="25">
        <f t="shared" si="8"/>
        <v>0.210880090049182</v>
      </c>
      <c r="AH6" s="25">
        <f t="shared" si="9"/>
        <v>0.334456922850619</v>
      </c>
      <c r="AI6" s="26">
        <f t="shared" si="10"/>
        <v>7.58936594287041</v>
      </c>
      <c r="AJ6" s="38">
        <v>50</v>
      </c>
      <c r="AK6" s="3"/>
    </row>
    <row r="7" spans="1:37">
      <c r="A7" s="31">
        <v>46205</v>
      </c>
      <c r="B7" s="32">
        <v>3200</v>
      </c>
      <c r="C7" s="32">
        <v>6932</v>
      </c>
      <c r="D7" s="33">
        <v>3400</v>
      </c>
      <c r="E7" s="21">
        <f t="shared" si="11"/>
        <v>225.533333333333</v>
      </c>
      <c r="F7" s="21">
        <f t="shared" si="12"/>
        <v>2.57142857142857</v>
      </c>
      <c r="G7" s="33">
        <f>43+245</f>
        <v>288</v>
      </c>
      <c r="H7" s="33">
        <f>9+135</f>
        <v>144</v>
      </c>
      <c r="I7" s="25">
        <f t="shared" si="1"/>
        <v>0.5</v>
      </c>
      <c r="J7" s="33">
        <f>6+112</f>
        <v>118</v>
      </c>
      <c r="K7" s="33">
        <f>139+315</f>
        <v>454</v>
      </c>
      <c r="L7" s="34">
        <f t="shared" si="13"/>
        <v>310</v>
      </c>
      <c r="M7" s="35">
        <f t="shared" si="3"/>
        <v>0.783101851851852</v>
      </c>
      <c r="N7" s="35">
        <f t="shared" si="4"/>
        <v>1.5662037037037</v>
      </c>
      <c r="O7" s="34">
        <f t="shared" si="5"/>
        <v>202.472222222222</v>
      </c>
      <c r="P7" s="34">
        <f t="shared" si="6"/>
        <v>379.638766519824</v>
      </c>
      <c r="Q7" s="33">
        <f>617071.29+798480.36</f>
        <v>1415551.65</v>
      </c>
      <c r="R7" s="33">
        <f>1800+24355</f>
        <v>26155</v>
      </c>
      <c r="S7" s="33">
        <f>0+16363</f>
        <v>16363</v>
      </c>
      <c r="T7" s="33">
        <f>1800+20636</f>
        <v>22436</v>
      </c>
      <c r="U7" s="33">
        <f>2600+26556</f>
        <v>29156</v>
      </c>
      <c r="V7" s="33">
        <f>0+17745</f>
        <v>17745</v>
      </c>
      <c r="W7" s="33">
        <f>54196+118160</f>
        <v>172356</v>
      </c>
      <c r="X7" s="33">
        <f>63067+96308</f>
        <v>159375</v>
      </c>
      <c r="Y7" s="34">
        <f t="shared" si="14"/>
        <v>12981</v>
      </c>
      <c r="Z7" s="36">
        <v>12</v>
      </c>
      <c r="AA7" s="36">
        <v>12</v>
      </c>
      <c r="AB7" s="36">
        <v>2</v>
      </c>
      <c r="AC7" s="36">
        <v>0</v>
      </c>
      <c r="AD7" s="36">
        <v>3</v>
      </c>
      <c r="AE7" s="37">
        <f t="shared" ref="AE7:AE36" si="15">AE6+AB7-AC7-AD7</f>
        <v>119</v>
      </c>
      <c r="AF7" s="34">
        <f t="shared" ref="AF7:AF36" si="16">AF6+Z7</f>
        <v>3789</v>
      </c>
      <c r="AG7" s="25">
        <f t="shared" si="8"/>
        <v>2.15459651197162</v>
      </c>
      <c r="AH7" s="25">
        <f t="shared" si="9"/>
        <v>0.959281702630801</v>
      </c>
      <c r="AI7" s="26">
        <f t="shared" si="10"/>
        <v>8.21295255169533</v>
      </c>
      <c r="AJ7" s="38">
        <v>56</v>
      </c>
      <c r="AK7" s="3"/>
    </row>
    <row r="8" spans="1:37">
      <c r="A8" s="31">
        <v>46206</v>
      </c>
      <c r="B8" s="32">
        <v>3200</v>
      </c>
      <c r="C8" s="32">
        <v>6932</v>
      </c>
      <c r="D8" s="33">
        <v>5006</v>
      </c>
      <c r="E8" s="21">
        <f t="shared" si="11"/>
        <v>252.3</v>
      </c>
      <c r="F8" s="21">
        <f t="shared" si="12"/>
        <v>2.66666666666667</v>
      </c>
      <c r="G8" s="33">
        <f>26+202</f>
        <v>228</v>
      </c>
      <c r="H8" s="33">
        <f>10+110</f>
        <v>120</v>
      </c>
      <c r="I8" s="25">
        <f t="shared" si="1"/>
        <v>0.526315789473684</v>
      </c>
      <c r="J8" s="33">
        <f>8+96</f>
        <v>104</v>
      </c>
      <c r="K8" s="33">
        <f>145+290</f>
        <v>435</v>
      </c>
      <c r="L8" s="34">
        <f t="shared" si="13"/>
        <v>315</v>
      </c>
      <c r="M8" s="35">
        <f t="shared" si="3"/>
        <v>1.10657894736842</v>
      </c>
      <c r="N8" s="35">
        <f t="shared" si="4"/>
        <v>2.1025</v>
      </c>
      <c r="O8" s="34">
        <f t="shared" si="5"/>
        <v>270.458333333333</v>
      </c>
      <c r="P8" s="34">
        <f t="shared" si="6"/>
        <v>440.622988505747</v>
      </c>
      <c r="Q8" s="33">
        <f>494117.13+785476.08</f>
        <v>1279593.21</v>
      </c>
      <c r="R8" s="33">
        <f>2055+26249</f>
        <v>28304</v>
      </c>
      <c r="S8" s="33">
        <f>1400+16118</f>
        <v>17518</v>
      </c>
      <c r="T8" s="33">
        <f>1855+17850</f>
        <v>19705</v>
      </c>
      <c r="U8" s="33">
        <f>2455+30000</f>
        <v>32455</v>
      </c>
      <c r="V8" s="33">
        <f>1400+18568</f>
        <v>19968</v>
      </c>
      <c r="W8" s="33">
        <f>78207+113464</f>
        <v>191671</v>
      </c>
      <c r="X8" s="33">
        <f>58046+76555</f>
        <v>134601</v>
      </c>
      <c r="Y8" s="34">
        <f t="shared" si="14"/>
        <v>57070</v>
      </c>
      <c r="Z8" s="36">
        <v>8</v>
      </c>
      <c r="AA8" s="36">
        <v>8</v>
      </c>
      <c r="AB8" s="36">
        <v>1</v>
      </c>
      <c r="AC8" s="36">
        <v>0</v>
      </c>
      <c r="AD8" s="36">
        <v>1</v>
      </c>
      <c r="AE8" s="37">
        <f t="shared" si="15"/>
        <v>119</v>
      </c>
      <c r="AF8" s="34">
        <f t="shared" si="16"/>
        <v>3797</v>
      </c>
      <c r="AG8" s="25">
        <f t="shared" si="8"/>
        <v>2.14394239661778</v>
      </c>
      <c r="AH8" s="25">
        <f t="shared" si="9"/>
        <v>3.76998282467961</v>
      </c>
      <c r="AI8" s="26">
        <f t="shared" si="10"/>
        <v>6.67598755158579</v>
      </c>
      <c r="AJ8" s="38">
        <v>45</v>
      </c>
      <c r="AK8" s="3"/>
    </row>
    <row r="9" spans="1:37">
      <c r="A9" s="31">
        <v>46207</v>
      </c>
      <c r="B9" s="32">
        <v>3200</v>
      </c>
      <c r="C9" s="32">
        <v>6932</v>
      </c>
      <c r="D9" s="33">
        <v>13389</v>
      </c>
      <c r="E9" s="21">
        <f t="shared" si="11"/>
        <v>392.016666666667</v>
      </c>
      <c r="F9" s="21">
        <f t="shared" si="12"/>
        <v>2.42307692307692</v>
      </c>
      <c r="G9" s="33">
        <f>23+232</f>
        <v>255</v>
      </c>
      <c r="H9" s="33">
        <f>9+117</f>
        <v>126</v>
      </c>
      <c r="I9" s="25">
        <f t="shared" si="1"/>
        <v>0.494117647058824</v>
      </c>
      <c r="J9" s="33">
        <f>6+106</f>
        <v>112</v>
      </c>
      <c r="K9" s="33">
        <f>136+279</f>
        <v>415</v>
      </c>
      <c r="L9" s="34">
        <f t="shared" si="13"/>
        <v>289</v>
      </c>
      <c r="M9" s="35">
        <f t="shared" si="3"/>
        <v>1.53732026143791</v>
      </c>
      <c r="N9" s="35">
        <f t="shared" si="4"/>
        <v>3.11124338624339</v>
      </c>
      <c r="O9" s="34">
        <f t="shared" si="5"/>
        <v>189.68253968254</v>
      </c>
      <c r="P9" s="34">
        <f t="shared" si="6"/>
        <v>352.913253012048</v>
      </c>
      <c r="Q9" s="33">
        <f>416762.25+660662.81</f>
        <v>1077425.06</v>
      </c>
      <c r="R9" s="33">
        <f>1400+20480</f>
        <v>21880</v>
      </c>
      <c r="S9" s="33">
        <f>808+8665.75</f>
        <v>9473.75</v>
      </c>
      <c r="T9" s="33">
        <f>900+20280</f>
        <v>21180</v>
      </c>
      <c r="U9" s="33">
        <f>1800+22100</f>
        <v>23900</v>
      </c>
      <c r="V9" s="33">
        <f>808+8665.75</f>
        <v>9473.75</v>
      </c>
      <c r="W9" s="33">
        <f>54207+92252</f>
        <v>146459</v>
      </c>
      <c r="X9" s="33">
        <f>42895+63153.75</f>
        <v>106048.75</v>
      </c>
      <c r="Y9" s="34">
        <f t="shared" si="14"/>
        <v>40410.25</v>
      </c>
      <c r="Z9" s="36">
        <v>10</v>
      </c>
      <c r="AA9" s="36">
        <v>10</v>
      </c>
      <c r="AB9" s="36">
        <v>4</v>
      </c>
      <c r="AC9" s="36">
        <v>0</v>
      </c>
      <c r="AD9" s="36">
        <v>0</v>
      </c>
      <c r="AE9" s="37">
        <f t="shared" si="15"/>
        <v>123</v>
      </c>
      <c r="AF9" s="34">
        <f t="shared" si="16"/>
        <v>3807</v>
      </c>
      <c r="AG9" s="25">
        <f t="shared" si="8"/>
        <v>1.01611326049063</v>
      </c>
      <c r="AH9" s="25">
        <f t="shared" si="9"/>
        <v>1.71804982781344</v>
      </c>
      <c r="AI9" s="26">
        <f t="shared" si="10"/>
        <v>7.35649608422835</v>
      </c>
      <c r="AJ9" s="38">
        <v>52</v>
      </c>
      <c r="AK9" s="3"/>
    </row>
    <row r="10" spans="1:37">
      <c r="A10" s="31">
        <v>46208</v>
      </c>
      <c r="B10" s="32">
        <v>6400</v>
      </c>
      <c r="C10" s="32">
        <v>6932</v>
      </c>
      <c r="D10" s="33">
        <v>5823</v>
      </c>
      <c r="E10" s="21">
        <f t="shared" si="11"/>
        <v>319.25</v>
      </c>
      <c r="F10" s="21">
        <f t="shared" si="12"/>
        <v>2.25531914893617</v>
      </c>
      <c r="G10" s="33">
        <f>16+207</f>
        <v>223</v>
      </c>
      <c r="H10" s="33">
        <f>11+95</f>
        <v>106</v>
      </c>
      <c r="I10" s="25">
        <f t="shared" si="1"/>
        <v>0.475336322869955</v>
      </c>
      <c r="J10" s="33">
        <f>9+83</f>
        <v>92</v>
      </c>
      <c r="K10" s="33">
        <f>149+239</f>
        <v>388</v>
      </c>
      <c r="L10" s="34">
        <f t="shared" si="13"/>
        <v>282</v>
      </c>
      <c r="M10" s="35">
        <f t="shared" si="3"/>
        <v>1.43161434977578</v>
      </c>
      <c r="N10" s="35">
        <f t="shared" si="4"/>
        <v>3.01179245283019</v>
      </c>
      <c r="O10" s="34">
        <f t="shared" si="5"/>
        <v>188.943396226415</v>
      </c>
      <c r="P10" s="34">
        <f t="shared" si="6"/>
        <v>373.005154639175</v>
      </c>
      <c r="Q10" s="33">
        <f>410920.93+635003.38</f>
        <v>1045924.31</v>
      </c>
      <c r="R10" s="33">
        <f>1600+14628</f>
        <v>16228</v>
      </c>
      <c r="S10" s="33">
        <f>1350+2570</f>
        <v>3920</v>
      </c>
      <c r="T10" s="33">
        <f>1600+12708</f>
        <v>14308</v>
      </c>
      <c r="U10" s="33">
        <f>2200+17828</f>
        <v>20028</v>
      </c>
      <c r="V10" s="33">
        <f>2050+3122</f>
        <v>5172</v>
      </c>
      <c r="W10" s="33">
        <f>60764+83962</f>
        <v>144726</v>
      </c>
      <c r="X10" s="33">
        <f>51252+65132</f>
        <v>116384</v>
      </c>
      <c r="Y10" s="34">
        <f t="shared" si="14"/>
        <v>28342</v>
      </c>
      <c r="Z10" s="36">
        <v>7</v>
      </c>
      <c r="AA10" s="36">
        <v>7</v>
      </c>
      <c r="AB10" s="36">
        <v>1</v>
      </c>
      <c r="AC10" s="36">
        <v>0</v>
      </c>
      <c r="AD10" s="36">
        <v>1</v>
      </c>
      <c r="AE10" s="37">
        <f t="shared" si="15"/>
        <v>123</v>
      </c>
      <c r="AF10" s="34">
        <f t="shared" si="16"/>
        <v>3814</v>
      </c>
      <c r="AG10" s="25">
        <f t="shared" si="8"/>
        <v>1.04557556773688</v>
      </c>
      <c r="AH10" s="25">
        <f t="shared" si="9"/>
        <v>1.47961367789089</v>
      </c>
      <c r="AI10" s="26">
        <f t="shared" si="10"/>
        <v>7.2269275043876</v>
      </c>
      <c r="AJ10" s="38">
        <v>47</v>
      </c>
      <c r="AK10" s="3"/>
    </row>
    <row r="11" spans="1:37">
      <c r="A11" s="31">
        <v>46209</v>
      </c>
      <c r="B11" s="32">
        <v>6400</v>
      </c>
      <c r="C11" s="32">
        <v>6932</v>
      </c>
      <c r="D11" s="33">
        <v>24932</v>
      </c>
      <c r="E11" s="21">
        <f t="shared" si="11"/>
        <v>637.733333333333</v>
      </c>
      <c r="F11" s="21">
        <f t="shared" si="12"/>
        <v>2.22448979591837</v>
      </c>
      <c r="G11" s="33">
        <f>20+284</f>
        <v>304</v>
      </c>
      <c r="H11" s="33">
        <f>10+99</f>
        <v>109</v>
      </c>
      <c r="I11" s="25">
        <f t="shared" si="1"/>
        <v>0.358552631578947</v>
      </c>
      <c r="J11" s="33">
        <f>9+83</f>
        <v>92</v>
      </c>
      <c r="K11" s="33">
        <f>133+227</f>
        <v>360</v>
      </c>
      <c r="L11" s="34">
        <f t="shared" si="13"/>
        <v>251</v>
      </c>
      <c r="M11" s="35">
        <f t="shared" si="3"/>
        <v>2.09780701754386</v>
      </c>
      <c r="N11" s="35">
        <f t="shared" si="4"/>
        <v>5.85076452599388</v>
      </c>
      <c r="O11" s="34">
        <f t="shared" si="5"/>
        <v>185.688073394495</v>
      </c>
      <c r="P11" s="34">
        <f t="shared" si="6"/>
        <v>329.816666666667</v>
      </c>
      <c r="Q11" s="33">
        <f>273074.2+838451.92</f>
        <v>1111526.12</v>
      </c>
      <c r="R11" s="33">
        <f>1000+16240</f>
        <v>17240</v>
      </c>
      <c r="S11" s="33">
        <f>500+2726</f>
        <v>3226</v>
      </c>
      <c r="T11" s="33">
        <f>1100+14190</f>
        <v>15290</v>
      </c>
      <c r="U11" s="33">
        <f>1100+19140</f>
        <v>20240</v>
      </c>
      <c r="V11" s="33">
        <f>500+13726</f>
        <v>14226</v>
      </c>
      <c r="W11" s="33">
        <f>42548+76186</f>
        <v>118734</v>
      </c>
      <c r="X11" s="33">
        <f>32453+69377</f>
        <v>101830</v>
      </c>
      <c r="Y11" s="34">
        <f t="shared" si="14"/>
        <v>16904</v>
      </c>
      <c r="Z11" s="36">
        <v>8</v>
      </c>
      <c r="AA11" s="36">
        <v>8</v>
      </c>
      <c r="AB11" s="36">
        <v>0</v>
      </c>
      <c r="AC11" s="36">
        <v>0</v>
      </c>
      <c r="AD11" s="36">
        <v>0</v>
      </c>
      <c r="AE11" s="37">
        <f t="shared" si="15"/>
        <v>123</v>
      </c>
      <c r="AF11" s="34">
        <f t="shared" si="16"/>
        <v>3822</v>
      </c>
      <c r="AG11" s="25">
        <f t="shared" si="8"/>
        <v>0.528956721722768</v>
      </c>
      <c r="AH11" s="25">
        <f t="shared" si="9"/>
        <v>0.441772945849885</v>
      </c>
      <c r="AI11" s="26">
        <f t="shared" si="10"/>
        <v>9.36148129432176</v>
      </c>
      <c r="AJ11" s="38">
        <v>49</v>
      </c>
      <c r="AK11" s="3"/>
    </row>
    <row r="12" spans="1:37">
      <c r="A12" s="31">
        <v>46210</v>
      </c>
      <c r="B12" s="32">
        <v>6400</v>
      </c>
      <c r="C12" s="32">
        <v>6932</v>
      </c>
      <c r="D12" s="33">
        <v>1737</v>
      </c>
      <c r="E12" s="21">
        <f t="shared" si="11"/>
        <v>251.15</v>
      </c>
      <c r="F12" s="21">
        <f t="shared" si="12"/>
        <v>2.19047619047619</v>
      </c>
      <c r="G12" s="33">
        <f>18+184</f>
        <v>202</v>
      </c>
      <c r="H12" s="33">
        <f>8+84</f>
        <v>92</v>
      </c>
      <c r="I12" s="25">
        <f t="shared" si="1"/>
        <v>0.455445544554455</v>
      </c>
      <c r="J12" s="33">
        <f>8+79</f>
        <v>87</v>
      </c>
      <c r="K12" s="33">
        <f>112+247</f>
        <v>359</v>
      </c>
      <c r="L12" s="34">
        <f t="shared" si="13"/>
        <v>267</v>
      </c>
      <c r="M12" s="35">
        <f t="shared" si="3"/>
        <v>1.24331683168317</v>
      </c>
      <c r="N12" s="35">
        <f t="shared" si="4"/>
        <v>2.72989130434783</v>
      </c>
      <c r="O12" s="34">
        <f t="shared" si="5"/>
        <v>251.032608695652</v>
      </c>
      <c r="P12" s="34">
        <f t="shared" si="6"/>
        <v>364.275766016713</v>
      </c>
      <c r="Q12" s="33">
        <f>356064.42+928835.61</f>
        <v>1284900.03</v>
      </c>
      <c r="R12" s="33">
        <f>2735+18260</f>
        <v>20995</v>
      </c>
      <c r="S12" s="33">
        <f>3366+7100</f>
        <v>10466</v>
      </c>
      <c r="T12" s="33">
        <f>2235+15186</f>
        <v>17421</v>
      </c>
      <c r="U12" s="33">
        <f>2735+20360</f>
        <v>23095</v>
      </c>
      <c r="V12" s="33">
        <f>3366+15600</f>
        <v>18966</v>
      </c>
      <c r="W12" s="33">
        <f>51800+78975</f>
        <v>130775</v>
      </c>
      <c r="X12" s="33">
        <f>36725+59863.32</f>
        <v>96588.32</v>
      </c>
      <c r="Y12" s="34">
        <f t="shared" si="14"/>
        <v>34186.68</v>
      </c>
      <c r="Z12" s="36">
        <v>8</v>
      </c>
      <c r="AA12" s="36">
        <v>8</v>
      </c>
      <c r="AB12" s="36">
        <v>5</v>
      </c>
      <c r="AC12" s="36">
        <v>1</v>
      </c>
      <c r="AD12" s="36">
        <v>4</v>
      </c>
      <c r="AE12" s="37">
        <f t="shared" si="15"/>
        <v>123</v>
      </c>
      <c r="AF12" s="34">
        <f t="shared" si="16"/>
        <v>3830</v>
      </c>
      <c r="AG12" s="25">
        <f t="shared" si="8"/>
        <v>1.53261663016789</v>
      </c>
      <c r="AH12" s="25">
        <f t="shared" si="9"/>
        <v>2.26867608998606</v>
      </c>
      <c r="AI12" s="26">
        <f t="shared" si="10"/>
        <v>9.82527264385395</v>
      </c>
      <c r="AJ12" s="38">
        <v>42</v>
      </c>
      <c r="AK12" s="3"/>
    </row>
    <row r="13" spans="1:37">
      <c r="A13" s="31">
        <v>46211</v>
      </c>
      <c r="B13" s="32">
        <v>6400</v>
      </c>
      <c r="C13" s="32">
        <v>6932</v>
      </c>
      <c r="D13" s="33">
        <v>593</v>
      </c>
      <c r="E13" s="21">
        <f t="shared" si="11"/>
        <v>232.083333333333</v>
      </c>
      <c r="F13" s="21">
        <f t="shared" si="12"/>
        <v>2.37254901960784</v>
      </c>
      <c r="G13" s="33">
        <f>16+232</f>
        <v>248</v>
      </c>
      <c r="H13" s="33">
        <f>8+113</f>
        <v>121</v>
      </c>
      <c r="I13" s="25">
        <f t="shared" si="1"/>
        <v>0.487903225806452</v>
      </c>
      <c r="J13" s="33">
        <f>7+103</f>
        <v>110</v>
      </c>
      <c r="K13" s="33">
        <f>117+243</f>
        <v>360</v>
      </c>
      <c r="L13" s="34">
        <f t="shared" si="13"/>
        <v>239</v>
      </c>
      <c r="M13" s="35">
        <f t="shared" si="3"/>
        <v>0.935819892473118</v>
      </c>
      <c r="N13" s="35">
        <f t="shared" si="4"/>
        <v>1.91804407713499</v>
      </c>
      <c r="O13" s="34">
        <f t="shared" si="5"/>
        <v>288.132231404959</v>
      </c>
      <c r="P13" s="34">
        <f t="shared" si="6"/>
        <v>410.722222222222</v>
      </c>
      <c r="Q13" s="33">
        <f>350251.23+702218.15</f>
        <v>1052469.38</v>
      </c>
      <c r="R13" s="33">
        <f>1405+31809</f>
        <v>33214</v>
      </c>
      <c r="S13" s="33">
        <f>0+13195</f>
        <v>13195</v>
      </c>
      <c r="T13" s="33">
        <f>1105+17578</f>
        <v>18683</v>
      </c>
      <c r="U13" s="33">
        <f>1505+33359</f>
        <v>34864</v>
      </c>
      <c r="V13" s="33">
        <f>0+14135</f>
        <v>14135</v>
      </c>
      <c r="W13" s="33">
        <f>42858+105002</f>
        <v>147860</v>
      </c>
      <c r="X13" s="33">
        <f>29012+87765</f>
        <v>116777</v>
      </c>
      <c r="Y13" s="34">
        <f t="shared" si="14"/>
        <v>31083</v>
      </c>
      <c r="Z13" s="36">
        <v>16</v>
      </c>
      <c r="AA13" s="36">
        <v>16</v>
      </c>
      <c r="AB13" s="36">
        <v>4</v>
      </c>
      <c r="AC13" s="36">
        <v>0</v>
      </c>
      <c r="AD13" s="36">
        <v>6</v>
      </c>
      <c r="AE13" s="37">
        <f t="shared" si="15"/>
        <v>121</v>
      </c>
      <c r="AF13" s="34">
        <f t="shared" si="16"/>
        <v>3846</v>
      </c>
      <c r="AG13" s="25">
        <f t="shared" si="8"/>
        <v>2.50369838420108</v>
      </c>
      <c r="AH13" s="25">
        <f t="shared" si="9"/>
        <v>2.2321723518851</v>
      </c>
      <c r="AI13" s="26">
        <f t="shared" si="10"/>
        <v>7.11801284999324</v>
      </c>
      <c r="AJ13" s="38">
        <v>51</v>
      </c>
      <c r="AK13" s="3"/>
    </row>
    <row r="14" spans="1:37">
      <c r="A14" s="31">
        <v>46212</v>
      </c>
      <c r="B14" s="32">
        <v>6400</v>
      </c>
      <c r="C14" s="32">
        <v>6932</v>
      </c>
      <c r="D14" s="33">
        <v>15575</v>
      </c>
      <c r="E14" s="21">
        <f t="shared" si="11"/>
        <v>481.783333333333</v>
      </c>
      <c r="F14" s="21">
        <f t="shared" si="12"/>
        <v>2.64583333333333</v>
      </c>
      <c r="G14" s="33">
        <f>16+202</f>
        <v>218</v>
      </c>
      <c r="H14" s="33">
        <f>12+115</f>
        <v>127</v>
      </c>
      <c r="I14" s="25">
        <f t="shared" si="1"/>
        <v>0.582568807339449</v>
      </c>
      <c r="J14" s="33">
        <f>9+104</f>
        <v>113</v>
      </c>
      <c r="K14" s="33">
        <f>112+269</f>
        <v>381</v>
      </c>
      <c r="L14" s="34">
        <f t="shared" si="13"/>
        <v>254</v>
      </c>
      <c r="M14" s="35">
        <f t="shared" si="3"/>
        <v>2.21001529051988</v>
      </c>
      <c r="N14" s="35">
        <f t="shared" si="4"/>
        <v>3.79356955380577</v>
      </c>
      <c r="O14" s="34">
        <f t="shared" si="5"/>
        <v>169.417322834646</v>
      </c>
      <c r="P14" s="34">
        <f t="shared" si="6"/>
        <v>415.233595800525</v>
      </c>
      <c r="Q14" s="33">
        <f>412691.43+771110.05</f>
        <v>1183801.48</v>
      </c>
      <c r="R14" s="33">
        <f>2590+15726</f>
        <v>18316</v>
      </c>
      <c r="S14" s="33">
        <f>989+13579.35</f>
        <v>14568.35</v>
      </c>
      <c r="T14" s="33">
        <f>1910+14894</f>
        <v>16804</v>
      </c>
      <c r="U14" s="33">
        <f>4390+17126</f>
        <v>21516</v>
      </c>
      <c r="V14" s="33">
        <f>2089+13579.35</f>
        <v>15668.35</v>
      </c>
      <c r="W14" s="33">
        <f>56681+101523</f>
        <v>158204</v>
      </c>
      <c r="X14" s="33">
        <f>29539.37+66982.35</f>
        <v>96521.72</v>
      </c>
      <c r="Y14" s="34">
        <f t="shared" si="14"/>
        <v>61682.28</v>
      </c>
      <c r="Z14" s="36">
        <v>17</v>
      </c>
      <c r="AA14" s="36">
        <v>17</v>
      </c>
      <c r="AB14" s="36">
        <v>4</v>
      </c>
      <c r="AC14" s="36">
        <v>0</v>
      </c>
      <c r="AD14" s="36">
        <v>6</v>
      </c>
      <c r="AE14" s="37">
        <f t="shared" si="15"/>
        <v>119</v>
      </c>
      <c r="AF14" s="34">
        <f t="shared" si="16"/>
        <v>3863</v>
      </c>
      <c r="AG14" s="25">
        <f t="shared" si="8"/>
        <v>0.744317985263085</v>
      </c>
      <c r="AH14" s="25">
        <f t="shared" si="9"/>
        <v>2.13381810634102</v>
      </c>
      <c r="AI14" s="26">
        <f t="shared" si="10"/>
        <v>7.48275315415539</v>
      </c>
      <c r="AJ14" s="38">
        <v>48</v>
      </c>
      <c r="AK14" s="3"/>
    </row>
    <row r="15" spans="1:37">
      <c r="A15" s="31">
        <v>46213</v>
      </c>
      <c r="B15" s="32">
        <v>6400</v>
      </c>
      <c r="C15" s="32">
        <v>6932</v>
      </c>
      <c r="D15" s="33">
        <v>5180</v>
      </c>
      <c r="E15" s="21">
        <f t="shared" si="11"/>
        <v>308.533333333333</v>
      </c>
      <c r="F15" s="21">
        <f t="shared" si="12"/>
        <v>2.26530612244898</v>
      </c>
      <c r="G15" s="33">
        <f>17+191</f>
        <v>208</v>
      </c>
      <c r="H15" s="33">
        <f>8+103</f>
        <v>111</v>
      </c>
      <c r="I15" s="25">
        <f t="shared" si="1"/>
        <v>0.533653846153846</v>
      </c>
      <c r="J15" s="33">
        <f>8+96</f>
        <v>104</v>
      </c>
      <c r="K15" s="33">
        <f>116+278</f>
        <v>394</v>
      </c>
      <c r="L15" s="34">
        <f t="shared" si="13"/>
        <v>283</v>
      </c>
      <c r="M15" s="35">
        <f t="shared" si="3"/>
        <v>1.48333333333333</v>
      </c>
      <c r="N15" s="35">
        <f t="shared" si="4"/>
        <v>2.77957957957958</v>
      </c>
      <c r="O15" s="34">
        <f t="shared" si="5"/>
        <v>184.504504504504</v>
      </c>
      <c r="P15" s="34">
        <f t="shared" si="6"/>
        <v>413.416243654822</v>
      </c>
      <c r="Q15" s="33">
        <f>327800+773510.3</f>
        <v>1101310.3</v>
      </c>
      <c r="R15" s="33">
        <f>1510+17885</f>
        <v>19395</v>
      </c>
      <c r="S15" s="33">
        <f>600+6261</f>
        <v>6861</v>
      </c>
      <c r="T15" s="33">
        <f>1200+15185</f>
        <v>16385</v>
      </c>
      <c r="U15" s="33">
        <f>1510+18970</f>
        <v>20480</v>
      </c>
      <c r="V15" s="33">
        <f>600+6461</f>
        <v>7061</v>
      </c>
      <c r="W15" s="33">
        <f>56476+106410</f>
        <v>162886</v>
      </c>
      <c r="X15" s="33">
        <f>10930+83970</f>
        <v>94900</v>
      </c>
      <c r="Y15" s="34">
        <f t="shared" si="14"/>
        <v>67986</v>
      </c>
      <c r="Z15" s="36">
        <v>14</v>
      </c>
      <c r="AA15" s="36">
        <v>14</v>
      </c>
      <c r="AB15" s="36">
        <v>1</v>
      </c>
      <c r="AC15" s="36">
        <v>0</v>
      </c>
      <c r="AD15" s="36">
        <v>2</v>
      </c>
      <c r="AE15" s="37">
        <f t="shared" si="15"/>
        <v>118</v>
      </c>
      <c r="AF15" s="34">
        <f t="shared" si="16"/>
        <v>3877</v>
      </c>
      <c r="AG15" s="25">
        <f t="shared" si="8"/>
        <v>1.10630942091616</v>
      </c>
      <c r="AH15" s="25">
        <f t="shared" si="9"/>
        <v>3.67253673292999</v>
      </c>
      <c r="AI15" s="26">
        <f t="shared" si="10"/>
        <v>6.76123362351583</v>
      </c>
      <c r="AJ15" s="38">
        <v>49</v>
      </c>
      <c r="AK15" s="3"/>
    </row>
    <row r="16" spans="1:37">
      <c r="A16" s="31">
        <v>46214</v>
      </c>
      <c r="B16" s="32">
        <v>6400</v>
      </c>
      <c r="C16" s="32">
        <v>6932</v>
      </c>
      <c r="D16" s="33">
        <v>16761</v>
      </c>
      <c r="E16" s="21">
        <f t="shared" si="11"/>
        <v>501.55</v>
      </c>
      <c r="F16" s="21">
        <f t="shared" si="12"/>
        <v>2</v>
      </c>
      <c r="G16" s="33">
        <f>22+153</f>
        <v>175</v>
      </c>
      <c r="H16" s="33">
        <f>10+78</f>
        <v>88</v>
      </c>
      <c r="I16" s="25">
        <f t="shared" si="1"/>
        <v>0.502857142857143</v>
      </c>
      <c r="J16" s="33">
        <f>9+69</f>
        <v>78</v>
      </c>
      <c r="K16" s="33">
        <f>140+269</f>
        <v>409</v>
      </c>
      <c r="L16" s="34">
        <f t="shared" si="13"/>
        <v>321</v>
      </c>
      <c r="M16" s="35">
        <f t="shared" si="3"/>
        <v>2.866</v>
      </c>
      <c r="N16" s="35">
        <f t="shared" si="4"/>
        <v>5.69943181818182</v>
      </c>
      <c r="O16" s="34">
        <f t="shared" si="5"/>
        <v>395.704545454545</v>
      </c>
      <c r="P16" s="34">
        <f t="shared" si="6"/>
        <v>463.19315403423</v>
      </c>
      <c r="Q16" s="33">
        <f>569564.26+1424111.75</f>
        <v>1993676.01</v>
      </c>
      <c r="R16" s="33">
        <f>1100+29622</f>
        <v>30722</v>
      </c>
      <c r="S16" s="33">
        <f>300+27771.05</f>
        <v>28071.05</v>
      </c>
      <c r="T16" s="33">
        <f>1100+15574</f>
        <v>16674</v>
      </c>
      <c r="U16" s="33">
        <f>1200+33622</f>
        <v>34822</v>
      </c>
      <c r="V16" s="33">
        <f>300+27771.05</f>
        <v>28071.05</v>
      </c>
      <c r="W16" s="33">
        <f>64935+124511</f>
        <v>189446</v>
      </c>
      <c r="X16" s="33">
        <f>69235+114260.05</f>
        <v>183495.05</v>
      </c>
      <c r="Y16" s="34">
        <f t="shared" si="14"/>
        <v>5950.95000000001</v>
      </c>
      <c r="Z16" s="36">
        <v>19</v>
      </c>
      <c r="AA16" s="36">
        <v>19</v>
      </c>
      <c r="AB16" s="36">
        <v>5</v>
      </c>
      <c r="AC16" s="36">
        <v>0</v>
      </c>
      <c r="AD16" s="36">
        <v>4</v>
      </c>
      <c r="AE16" s="37">
        <f t="shared" si="15"/>
        <v>119</v>
      </c>
      <c r="AF16" s="34">
        <f t="shared" si="16"/>
        <v>3896</v>
      </c>
      <c r="AG16" s="25">
        <f t="shared" si="8"/>
        <v>1.15714618017479</v>
      </c>
      <c r="AH16" s="25">
        <f t="shared" si="9"/>
        <v>0.197751968896421</v>
      </c>
      <c r="AI16" s="26">
        <f t="shared" si="10"/>
        <v>10.5237165735883</v>
      </c>
      <c r="AJ16" s="38">
        <v>44</v>
      </c>
      <c r="AK16" s="3"/>
    </row>
    <row r="17" spans="1:37">
      <c r="A17" s="31">
        <v>46215</v>
      </c>
      <c r="B17" s="32">
        <v>6400</v>
      </c>
      <c r="C17" s="32">
        <v>6932</v>
      </c>
      <c r="D17" s="33">
        <v>3854</v>
      </c>
      <c r="E17" s="21">
        <f t="shared" si="11"/>
        <v>286.433333333333</v>
      </c>
      <c r="F17" s="21">
        <f t="shared" si="12"/>
        <v>2.13793103448276</v>
      </c>
      <c r="G17" s="33">
        <f>10+213</f>
        <v>223</v>
      </c>
      <c r="H17" s="33">
        <f>8+116</f>
        <v>124</v>
      </c>
      <c r="I17" s="25">
        <f t="shared" si="1"/>
        <v>0.556053811659193</v>
      </c>
      <c r="J17" s="33">
        <f>6+104</f>
        <v>110</v>
      </c>
      <c r="K17" s="33">
        <f>110+299</f>
        <v>409</v>
      </c>
      <c r="L17" s="34">
        <f t="shared" si="13"/>
        <v>285</v>
      </c>
      <c r="M17" s="35">
        <f t="shared" si="3"/>
        <v>1.28445440956652</v>
      </c>
      <c r="N17" s="35">
        <f t="shared" si="4"/>
        <v>2.30994623655914</v>
      </c>
      <c r="O17" s="34">
        <f t="shared" si="5"/>
        <v>195.693548387097</v>
      </c>
      <c r="P17" s="34">
        <f t="shared" si="6"/>
        <v>379.298288508557</v>
      </c>
      <c r="Q17" s="33">
        <f>662248.96+1506797.99</f>
        <v>2169046.95</v>
      </c>
      <c r="R17" s="33">
        <f>1928+20139</f>
        <v>22067</v>
      </c>
      <c r="S17" s="33">
        <f>2300+13928</f>
        <v>16228</v>
      </c>
      <c r="T17" s="33">
        <f>1300+16662</f>
        <v>17962</v>
      </c>
      <c r="U17" s="33">
        <f>2328+21938</f>
        <v>24266</v>
      </c>
      <c r="V17" s="33">
        <f>2300+17428</f>
        <v>19728</v>
      </c>
      <c r="W17" s="33">
        <f>60393+94740</f>
        <v>155133</v>
      </c>
      <c r="X17" s="33">
        <f>92824+91797</f>
        <v>184621</v>
      </c>
      <c r="Y17" s="34">
        <f t="shared" si="14"/>
        <v>-29488</v>
      </c>
      <c r="Z17" s="36">
        <v>13</v>
      </c>
      <c r="AA17" s="36">
        <v>13</v>
      </c>
      <c r="AB17" s="36">
        <v>7</v>
      </c>
      <c r="AC17" s="36">
        <v>1</v>
      </c>
      <c r="AD17" s="36">
        <v>1</v>
      </c>
      <c r="AE17" s="37">
        <f t="shared" si="15"/>
        <v>124</v>
      </c>
      <c r="AF17" s="34">
        <f t="shared" si="16"/>
        <v>3909</v>
      </c>
      <c r="AG17" s="25">
        <f t="shared" si="8"/>
        <v>1.41196322588153</v>
      </c>
      <c r="AH17" s="25">
        <f t="shared" si="9"/>
        <v>-1.71581519841732</v>
      </c>
      <c r="AI17" s="26">
        <f t="shared" si="10"/>
        <v>13.9818539575719</v>
      </c>
      <c r="AJ17" s="38">
        <v>58</v>
      </c>
      <c r="AK17" s="3"/>
    </row>
    <row r="18" spans="1:37">
      <c r="A18" s="31">
        <v>46216</v>
      </c>
      <c r="B18" s="32">
        <v>6400</v>
      </c>
      <c r="C18" s="32">
        <v>6932</v>
      </c>
      <c r="D18" s="33">
        <v>3050</v>
      </c>
      <c r="E18" s="21">
        <f t="shared" si="11"/>
        <v>273.033333333333</v>
      </c>
      <c r="F18" s="21">
        <f t="shared" si="12"/>
        <v>2.29166666666667</v>
      </c>
      <c r="G18" s="33">
        <f>12+208</f>
        <v>220</v>
      </c>
      <c r="H18" s="33">
        <f>7+103</f>
        <v>110</v>
      </c>
      <c r="I18" s="25">
        <f t="shared" si="1"/>
        <v>0.5</v>
      </c>
      <c r="J18" s="33">
        <f>7+90</f>
        <v>97</v>
      </c>
      <c r="K18" s="33">
        <f>101+268</f>
        <v>369</v>
      </c>
      <c r="L18" s="34">
        <f t="shared" si="13"/>
        <v>259</v>
      </c>
      <c r="M18" s="35">
        <f t="shared" si="3"/>
        <v>1.24106060606061</v>
      </c>
      <c r="N18" s="35">
        <f t="shared" si="4"/>
        <v>2.48212121212121</v>
      </c>
      <c r="O18" s="34">
        <f t="shared" si="5"/>
        <v>193</v>
      </c>
      <c r="P18" s="34">
        <f t="shared" si="6"/>
        <v>497.720867208672</v>
      </c>
      <c r="Q18" s="33">
        <f>559829.46+809223.92</f>
        <v>1369053.38</v>
      </c>
      <c r="R18" s="33">
        <f>1633+16885</f>
        <v>18518</v>
      </c>
      <c r="S18" s="33">
        <f>0+10585</f>
        <v>10585</v>
      </c>
      <c r="T18" s="33">
        <f>1633+14894</f>
        <v>16527</v>
      </c>
      <c r="U18" s="33">
        <f>1633+19597</f>
        <v>21230</v>
      </c>
      <c r="V18" s="33">
        <f>0+10685</f>
        <v>10685</v>
      </c>
      <c r="W18" s="33">
        <f>76329+107330</f>
        <v>183659</v>
      </c>
      <c r="X18" s="33">
        <f>29626+96588</f>
        <v>126214</v>
      </c>
      <c r="Y18" s="34">
        <f t="shared" si="14"/>
        <v>57445</v>
      </c>
      <c r="Z18" s="36">
        <v>19</v>
      </c>
      <c r="AA18" s="36">
        <v>19</v>
      </c>
      <c r="AB18" s="36">
        <v>4</v>
      </c>
      <c r="AC18" s="36">
        <v>0</v>
      </c>
      <c r="AD18" s="36">
        <v>10</v>
      </c>
      <c r="AE18" s="37">
        <f t="shared" si="15"/>
        <v>118</v>
      </c>
      <c r="AF18" s="34">
        <f t="shared" si="16"/>
        <v>3928</v>
      </c>
      <c r="AG18" s="25">
        <f t="shared" si="8"/>
        <v>1.2959345623245</v>
      </c>
      <c r="AH18" s="25">
        <f t="shared" si="9"/>
        <v>3.50659260163594</v>
      </c>
      <c r="AI18" s="26">
        <f t="shared" si="10"/>
        <v>7.45432230383482</v>
      </c>
      <c r="AJ18" s="38">
        <v>48</v>
      </c>
      <c r="AK18" s="3"/>
    </row>
    <row r="19" spans="1:37">
      <c r="A19" s="31">
        <v>46217</v>
      </c>
      <c r="B19" s="32">
        <v>6400</v>
      </c>
      <c r="C19" s="32">
        <v>6932</v>
      </c>
      <c r="D19" s="33">
        <v>16246</v>
      </c>
      <c r="E19" s="21">
        <f t="shared" si="11"/>
        <v>492.966666666667</v>
      </c>
      <c r="F19" s="21">
        <f t="shared" si="12"/>
        <v>1.76595744680851</v>
      </c>
      <c r="G19" s="33">
        <f>17+160</f>
        <v>177</v>
      </c>
      <c r="H19" s="33">
        <f>6+77</f>
        <v>83</v>
      </c>
      <c r="I19" s="25">
        <f t="shared" si="1"/>
        <v>0.468926553672316</v>
      </c>
      <c r="J19" s="33">
        <f>5+69</f>
        <v>74</v>
      </c>
      <c r="K19" s="33">
        <f>117+250</f>
        <v>367</v>
      </c>
      <c r="L19" s="34">
        <f t="shared" si="13"/>
        <v>284</v>
      </c>
      <c r="M19" s="35">
        <f t="shared" si="3"/>
        <v>2.78512241054614</v>
      </c>
      <c r="N19" s="35">
        <f t="shared" si="4"/>
        <v>5.93935742971887</v>
      </c>
      <c r="O19" s="34">
        <f t="shared" si="5"/>
        <v>214.265060240964</v>
      </c>
      <c r="P19" s="34">
        <f t="shared" si="6"/>
        <v>337.182561307902</v>
      </c>
      <c r="Q19" s="33">
        <f>354651.74+522108.66</f>
        <v>876760.4</v>
      </c>
      <c r="R19" s="33">
        <f>1000+15321</f>
        <v>16321</v>
      </c>
      <c r="S19" s="33">
        <f>0+2955</f>
        <v>2955</v>
      </c>
      <c r="T19" s="33">
        <f>803+12131</f>
        <v>12934</v>
      </c>
      <c r="U19" s="33">
        <f>1103+16681</f>
        <v>17784</v>
      </c>
      <c r="V19" s="33">
        <f>0+3955</f>
        <v>3955</v>
      </c>
      <c r="W19" s="33">
        <f>46219+77527</f>
        <v>123746</v>
      </c>
      <c r="X19" s="33">
        <f>27453+56422</f>
        <v>83875</v>
      </c>
      <c r="Y19" s="34">
        <f t="shared" si="14"/>
        <v>39871</v>
      </c>
      <c r="Z19" s="36">
        <v>14</v>
      </c>
      <c r="AA19" s="36">
        <v>14</v>
      </c>
      <c r="AB19" s="36">
        <v>6</v>
      </c>
      <c r="AC19" s="36">
        <v>0</v>
      </c>
      <c r="AD19" s="36">
        <v>0</v>
      </c>
      <c r="AE19" s="37">
        <f t="shared" si="15"/>
        <v>124</v>
      </c>
      <c r="AF19" s="34">
        <f t="shared" si="16"/>
        <v>3942</v>
      </c>
      <c r="AG19" s="25">
        <f t="shared" si="8"/>
        <v>0.601257691527487</v>
      </c>
      <c r="AH19" s="25">
        <f t="shared" si="9"/>
        <v>1.34799513151667</v>
      </c>
      <c r="AI19" s="26">
        <f t="shared" si="10"/>
        <v>7.08516154057505</v>
      </c>
      <c r="AJ19" s="38">
        <v>47</v>
      </c>
      <c r="AK19" s="3"/>
    </row>
    <row r="20" spans="1:37">
      <c r="A20" s="31">
        <v>46218</v>
      </c>
      <c r="B20" s="32">
        <v>6400</v>
      </c>
      <c r="C20" s="32">
        <v>6932</v>
      </c>
      <c r="D20" s="33">
        <v>16712</v>
      </c>
      <c r="E20" s="21">
        <f t="shared" si="11"/>
        <v>500.733333333333</v>
      </c>
      <c r="F20" s="21">
        <f t="shared" si="12"/>
        <v>2.91836734693878</v>
      </c>
      <c r="G20" s="33">
        <f>11+216</f>
        <v>227</v>
      </c>
      <c r="H20" s="33">
        <f>9+134</f>
        <v>143</v>
      </c>
      <c r="I20" s="25">
        <f t="shared" si="1"/>
        <v>0.629955947136564</v>
      </c>
      <c r="J20" s="33">
        <f>5+125</f>
        <v>130</v>
      </c>
      <c r="K20" s="33">
        <f>108+294</f>
        <v>402</v>
      </c>
      <c r="L20" s="34">
        <f t="shared" si="13"/>
        <v>259</v>
      </c>
      <c r="M20" s="35">
        <f t="shared" si="3"/>
        <v>2.20587371512482</v>
      </c>
      <c r="N20" s="35">
        <f t="shared" si="4"/>
        <v>3.5016317016317</v>
      </c>
      <c r="O20" s="34">
        <f t="shared" si="5"/>
        <v>149.503496503497</v>
      </c>
      <c r="P20" s="34">
        <f t="shared" si="6"/>
        <v>323.296019900498</v>
      </c>
      <c r="Q20" s="33">
        <f>366983.47+541916.63</f>
        <v>908900.1</v>
      </c>
      <c r="R20" s="33">
        <f>1102+18327</f>
        <v>19429</v>
      </c>
      <c r="S20" s="33">
        <f>0+15650</f>
        <v>15650</v>
      </c>
      <c r="T20" s="33">
        <f>1702+17144</f>
        <v>18846</v>
      </c>
      <c r="U20" s="33">
        <f>1702+19677</f>
        <v>21379</v>
      </c>
      <c r="V20" s="33">
        <f>0+16950</f>
        <v>16950</v>
      </c>
      <c r="W20" s="33">
        <f>43932+86033</f>
        <v>129965</v>
      </c>
      <c r="X20" s="33">
        <f>80127+75882</f>
        <v>156009</v>
      </c>
      <c r="Y20" s="34">
        <f t="shared" si="14"/>
        <v>-26044</v>
      </c>
      <c r="Z20" s="36">
        <v>14</v>
      </c>
      <c r="AA20" s="36">
        <v>14</v>
      </c>
      <c r="AB20" s="36">
        <v>4</v>
      </c>
      <c r="AC20" s="36">
        <v>0</v>
      </c>
      <c r="AD20" s="36">
        <v>4</v>
      </c>
      <c r="AE20" s="37">
        <f t="shared" si="15"/>
        <v>124</v>
      </c>
      <c r="AF20" s="34">
        <f t="shared" si="16"/>
        <v>3956</v>
      </c>
      <c r="AG20" s="25">
        <f t="shared" si="8"/>
        <v>0.71158966848622</v>
      </c>
      <c r="AH20" s="25">
        <f t="shared" si="9"/>
        <v>-0.866861935827453</v>
      </c>
      <c r="AI20" s="26">
        <f t="shared" si="10"/>
        <v>6.99342207517409</v>
      </c>
      <c r="AJ20" s="38">
        <v>49</v>
      </c>
      <c r="AK20" s="3"/>
    </row>
    <row r="21" spans="1:37">
      <c r="A21" s="31">
        <v>46219</v>
      </c>
      <c r="B21" s="32">
        <v>6400</v>
      </c>
      <c r="C21" s="32">
        <v>6932</v>
      </c>
      <c r="D21" s="33">
        <v>104736</v>
      </c>
      <c r="E21" s="21">
        <f t="shared" si="11"/>
        <v>1967.8</v>
      </c>
      <c r="F21" s="21">
        <f t="shared" si="12"/>
        <v>2.11904761904762</v>
      </c>
      <c r="G21" s="33">
        <f>13+182</f>
        <v>195</v>
      </c>
      <c r="H21" s="33">
        <f>7+82</f>
        <v>89</v>
      </c>
      <c r="I21" s="25">
        <f t="shared" si="1"/>
        <v>0.456410256410256</v>
      </c>
      <c r="J21" s="33">
        <f>6+71</f>
        <v>77</v>
      </c>
      <c r="K21" s="33">
        <f>112+254</f>
        <v>366</v>
      </c>
      <c r="L21" s="34">
        <f t="shared" si="13"/>
        <v>277</v>
      </c>
      <c r="M21" s="35">
        <f t="shared" si="3"/>
        <v>10.0912820512821</v>
      </c>
      <c r="N21" s="35">
        <f t="shared" si="4"/>
        <v>22.1101123595506</v>
      </c>
      <c r="O21" s="34">
        <f t="shared" si="5"/>
        <v>220.741573033708</v>
      </c>
      <c r="P21" s="34">
        <f t="shared" si="6"/>
        <v>435.418032786885</v>
      </c>
      <c r="Q21" s="33">
        <f>373214.09+602565.59</f>
        <v>975779.68</v>
      </c>
      <c r="R21" s="33">
        <f>1030+13866</f>
        <v>14896</v>
      </c>
      <c r="S21" s="33">
        <f>1500+5620</f>
        <v>7120</v>
      </c>
      <c r="T21" s="33">
        <f>930+13691</f>
        <v>14621</v>
      </c>
      <c r="U21" s="33">
        <f>1130+18516</f>
        <v>19646</v>
      </c>
      <c r="V21" s="33">
        <f>1500+6870</f>
        <v>8370</v>
      </c>
      <c r="W21" s="33">
        <f>63912+95451</f>
        <v>159363</v>
      </c>
      <c r="X21" s="33">
        <f>63903+97395</f>
        <v>161298</v>
      </c>
      <c r="Y21" s="34">
        <f t="shared" si="14"/>
        <v>-1935</v>
      </c>
      <c r="Z21" s="36">
        <v>15</v>
      </c>
      <c r="AA21" s="36">
        <v>15</v>
      </c>
      <c r="AB21" s="36">
        <v>5</v>
      </c>
      <c r="AC21" s="36">
        <v>0</v>
      </c>
      <c r="AD21" s="36">
        <v>3</v>
      </c>
      <c r="AE21" s="37">
        <f t="shared" si="15"/>
        <v>126</v>
      </c>
      <c r="AF21" s="34">
        <f t="shared" si="16"/>
        <v>3971</v>
      </c>
      <c r="AG21" s="25">
        <f t="shared" si="8"/>
        <v>0.166395636412915</v>
      </c>
      <c r="AH21" s="25">
        <f t="shared" si="9"/>
        <v>-0.0163888606565708</v>
      </c>
      <c r="AI21" s="26">
        <f t="shared" si="10"/>
        <v>6.12300019452445</v>
      </c>
      <c r="AJ21" s="38">
        <v>42</v>
      </c>
      <c r="AK21" s="3"/>
    </row>
    <row r="22" spans="1:37">
      <c r="A22" s="31">
        <v>46220</v>
      </c>
      <c r="B22" s="32">
        <v>6400</v>
      </c>
      <c r="C22" s="32">
        <v>6932</v>
      </c>
      <c r="D22" s="33">
        <v>13380</v>
      </c>
      <c r="E22" s="21">
        <f t="shared" si="11"/>
        <v>445.2</v>
      </c>
      <c r="F22" s="21">
        <f t="shared" si="12"/>
        <v>1.92105263157895</v>
      </c>
      <c r="G22" s="33">
        <f>10+143</f>
        <v>153</v>
      </c>
      <c r="H22" s="33">
        <f>5+68</f>
        <v>73</v>
      </c>
      <c r="I22" s="25">
        <f t="shared" si="1"/>
        <v>0.477124183006536</v>
      </c>
      <c r="J22" s="33">
        <f>5+56</f>
        <v>61</v>
      </c>
      <c r="K22" s="33">
        <f>98+238</f>
        <v>336</v>
      </c>
      <c r="L22" s="34">
        <f t="shared" si="13"/>
        <v>263</v>
      </c>
      <c r="M22" s="35">
        <f t="shared" si="3"/>
        <v>2.90980392156863</v>
      </c>
      <c r="N22" s="35">
        <f t="shared" si="4"/>
        <v>6.0986301369863</v>
      </c>
      <c r="O22" s="34">
        <f t="shared" si="5"/>
        <v>197.547945205479</v>
      </c>
      <c r="P22" s="34">
        <f t="shared" si="6"/>
        <v>856.205357142857</v>
      </c>
      <c r="Q22" s="33">
        <f>1219332.35+591156.74</f>
        <v>1810489.09</v>
      </c>
      <c r="R22" s="33">
        <f>700+11671</f>
        <v>12371</v>
      </c>
      <c r="S22" s="33">
        <f>0+5000</f>
        <v>5000</v>
      </c>
      <c r="T22" s="33">
        <f>700+9896</f>
        <v>10596</v>
      </c>
      <c r="U22" s="33">
        <f>700+13721</f>
        <v>14421</v>
      </c>
      <c r="V22" s="33">
        <f>0+6000</f>
        <v>6000</v>
      </c>
      <c r="W22" s="33">
        <f>188956+98729</f>
        <v>287685</v>
      </c>
      <c r="X22" s="33">
        <f>128040+61808</f>
        <v>189848</v>
      </c>
      <c r="Y22" s="34">
        <f t="shared" si="14"/>
        <v>97837</v>
      </c>
      <c r="Z22" s="36">
        <v>6</v>
      </c>
      <c r="AA22" s="36">
        <v>6</v>
      </c>
      <c r="AB22" s="36">
        <v>4</v>
      </c>
      <c r="AC22" s="36">
        <v>1</v>
      </c>
      <c r="AD22" s="36">
        <v>8</v>
      </c>
      <c r="AE22" s="37">
        <f t="shared" si="15"/>
        <v>121</v>
      </c>
      <c r="AF22" s="34">
        <f t="shared" si="16"/>
        <v>3977</v>
      </c>
      <c r="AG22" s="25">
        <f t="shared" si="8"/>
        <v>0.539869721473495</v>
      </c>
      <c r="AH22" s="25">
        <f t="shared" si="9"/>
        <v>3.66266097634022</v>
      </c>
      <c r="AI22" s="26">
        <f t="shared" si="10"/>
        <v>6.29330375236804</v>
      </c>
      <c r="AJ22" s="38">
        <v>38</v>
      </c>
      <c r="AK22" s="3"/>
    </row>
    <row r="23" spans="1:37">
      <c r="A23" s="31">
        <v>46221</v>
      </c>
      <c r="B23" s="32">
        <v>6400</v>
      </c>
      <c r="C23" s="32">
        <v>6932</v>
      </c>
      <c r="D23" s="33">
        <v>15133</v>
      </c>
      <c r="E23" s="21">
        <f t="shared" si="11"/>
        <v>474.416666666667</v>
      </c>
      <c r="F23" s="21">
        <f t="shared" si="12"/>
        <v>2.46153846153846</v>
      </c>
      <c r="G23" s="33">
        <f>10+158</f>
        <v>168</v>
      </c>
      <c r="H23" s="33">
        <f>5+91</f>
        <v>96</v>
      </c>
      <c r="I23" s="25">
        <f t="shared" si="1"/>
        <v>0.571428571428571</v>
      </c>
      <c r="J23" s="33">
        <f>4+81</f>
        <v>85</v>
      </c>
      <c r="K23" s="33">
        <f>116+244</f>
        <v>360</v>
      </c>
      <c r="L23" s="34">
        <f t="shared" si="13"/>
        <v>264</v>
      </c>
      <c r="M23" s="35">
        <f t="shared" si="3"/>
        <v>2.82390873015873</v>
      </c>
      <c r="N23" s="35">
        <f t="shared" si="4"/>
        <v>4.94184027777778</v>
      </c>
      <c r="O23" s="34">
        <f t="shared" si="5"/>
        <v>235.114583333333</v>
      </c>
      <c r="P23" s="34">
        <f t="shared" si="6"/>
        <v>697.472222222222</v>
      </c>
      <c r="Q23" s="33">
        <f>590672.65+656419.89</f>
        <v>1247092.54</v>
      </c>
      <c r="R23" s="33">
        <f>1720+14951</f>
        <v>16671</v>
      </c>
      <c r="S23" s="33">
        <f>2752+10702</f>
        <v>13454</v>
      </c>
      <c r="T23" s="33">
        <f>1100+15501</f>
        <v>16601</v>
      </c>
      <c r="U23" s="33">
        <f>1920+20651</f>
        <v>22571</v>
      </c>
      <c r="V23" s="33">
        <f>3052+10702</f>
        <v>13754</v>
      </c>
      <c r="W23" s="33">
        <f>114903+136187</f>
        <v>251090</v>
      </c>
      <c r="X23" s="33">
        <f>71649+111802</f>
        <v>183451</v>
      </c>
      <c r="Y23" s="34">
        <f t="shared" si="14"/>
        <v>67639</v>
      </c>
      <c r="Z23" s="36">
        <v>6</v>
      </c>
      <c r="AA23" s="36">
        <v>6</v>
      </c>
      <c r="AB23" s="36">
        <v>2</v>
      </c>
      <c r="AC23" s="36">
        <v>0</v>
      </c>
      <c r="AD23" s="36">
        <v>2</v>
      </c>
      <c r="AE23" s="37">
        <f t="shared" si="15"/>
        <v>121</v>
      </c>
      <c r="AF23" s="34">
        <f t="shared" si="16"/>
        <v>3983</v>
      </c>
      <c r="AG23" s="25">
        <f t="shared" si="8"/>
        <v>0.792938696645003</v>
      </c>
      <c r="AH23" s="25">
        <f t="shared" si="9"/>
        <v>2.37621640611277</v>
      </c>
      <c r="AI23" s="26">
        <f t="shared" si="10"/>
        <v>4.96671528137321</v>
      </c>
      <c r="AJ23" s="38">
        <v>39</v>
      </c>
      <c r="AK23" s="3"/>
    </row>
    <row r="24" spans="1:37">
      <c r="A24" s="31">
        <v>46222</v>
      </c>
      <c r="B24" s="32">
        <v>6400</v>
      </c>
      <c r="C24" s="32">
        <v>6932</v>
      </c>
      <c r="D24" s="33">
        <v>2430</v>
      </c>
      <c r="E24" s="21">
        <f t="shared" si="11"/>
        <v>262.7</v>
      </c>
      <c r="F24" s="21">
        <f t="shared" si="12"/>
        <v>2.64705882352941</v>
      </c>
      <c r="G24" s="33">
        <f>20+147</f>
        <v>167</v>
      </c>
      <c r="H24" s="33">
        <f>15+75</f>
        <v>90</v>
      </c>
      <c r="I24" s="25">
        <f t="shared" si="1"/>
        <v>0.538922155688623</v>
      </c>
      <c r="J24" s="33">
        <f>13+64</f>
        <v>77</v>
      </c>
      <c r="K24" s="33">
        <f>111+224</f>
        <v>335</v>
      </c>
      <c r="L24" s="34">
        <f t="shared" si="13"/>
        <v>245</v>
      </c>
      <c r="M24" s="35">
        <f t="shared" si="3"/>
        <v>1.57305389221557</v>
      </c>
      <c r="N24" s="35">
        <f t="shared" si="4"/>
        <v>2.91888888888889</v>
      </c>
      <c r="O24" s="34">
        <f t="shared" si="5"/>
        <v>306.644444444444</v>
      </c>
      <c r="P24" s="34">
        <f t="shared" si="6"/>
        <v>411.540298507463</v>
      </c>
      <c r="Q24" s="33">
        <f>301116.9+909290.29</f>
        <v>1210407.19</v>
      </c>
      <c r="R24" s="33">
        <f>1450+21098</f>
        <v>22548</v>
      </c>
      <c r="S24" s="33">
        <f>400+26150</f>
        <v>26550</v>
      </c>
      <c r="T24" s="33">
        <f>1850+11959</f>
        <v>13809</v>
      </c>
      <c r="U24" s="33">
        <f>1850+25748</f>
        <v>27598</v>
      </c>
      <c r="V24" s="33">
        <f>400+29580</f>
        <v>29980</v>
      </c>
      <c r="W24" s="33">
        <f>45805+92061</f>
        <v>137866</v>
      </c>
      <c r="X24" s="33">
        <f>35758+80767</f>
        <v>116525</v>
      </c>
      <c r="Y24" s="34">
        <f t="shared" si="14"/>
        <v>21341</v>
      </c>
      <c r="Z24" s="36">
        <v>8</v>
      </c>
      <c r="AA24" s="36">
        <v>8</v>
      </c>
      <c r="AB24" s="36">
        <v>3</v>
      </c>
      <c r="AC24" s="36">
        <v>0</v>
      </c>
      <c r="AD24" s="36">
        <v>3</v>
      </c>
      <c r="AE24" s="37">
        <f t="shared" si="15"/>
        <v>121</v>
      </c>
      <c r="AF24" s="34">
        <f t="shared" si="16"/>
        <v>3991</v>
      </c>
      <c r="AG24" s="25">
        <f t="shared" si="8"/>
        <v>1.75091993401853</v>
      </c>
      <c r="AH24" s="25">
        <f t="shared" si="9"/>
        <v>1.35395254409339</v>
      </c>
      <c r="AI24" s="26">
        <f t="shared" si="10"/>
        <v>8.7795917049889</v>
      </c>
      <c r="AJ24" s="38">
        <v>34</v>
      </c>
      <c r="AK24" s="3"/>
    </row>
    <row r="25" spans="1:37">
      <c r="A25" s="31">
        <v>46223</v>
      </c>
      <c r="B25" s="32">
        <v>6400</v>
      </c>
      <c r="C25" s="32">
        <v>6932</v>
      </c>
      <c r="D25" s="33">
        <v>2690</v>
      </c>
      <c r="E25" s="21">
        <f t="shared" si="11"/>
        <v>267.033333333333</v>
      </c>
      <c r="F25" s="21">
        <f t="shared" si="12"/>
        <v>2.075</v>
      </c>
      <c r="G25" s="33">
        <f>11+138</f>
        <v>149</v>
      </c>
      <c r="H25" s="33">
        <f>8+75</f>
        <v>83</v>
      </c>
      <c r="I25" s="25">
        <f t="shared" si="1"/>
        <v>0.557046979865772</v>
      </c>
      <c r="J25" s="33">
        <f>6+67</f>
        <v>73</v>
      </c>
      <c r="K25" s="33">
        <f>104+210</f>
        <v>314</v>
      </c>
      <c r="L25" s="34">
        <f t="shared" si="13"/>
        <v>231</v>
      </c>
      <c r="M25" s="35">
        <f t="shared" si="3"/>
        <v>1.79217002237136</v>
      </c>
      <c r="N25" s="35">
        <f t="shared" si="4"/>
        <v>3.21726907630522</v>
      </c>
      <c r="O25" s="34">
        <f t="shared" si="5"/>
        <v>171.060240963855</v>
      </c>
      <c r="P25" s="34">
        <f t="shared" si="6"/>
        <v>425.595541401274</v>
      </c>
      <c r="Q25" s="33">
        <f>252584.8+748589.53</f>
        <v>1001174.33</v>
      </c>
      <c r="R25" s="33">
        <f>1100+11994</f>
        <v>13094</v>
      </c>
      <c r="S25" s="33">
        <f>900+10180</f>
        <v>11080</v>
      </c>
      <c r="T25" s="33">
        <f>904+10239</f>
        <v>11143</v>
      </c>
      <c r="U25" s="33">
        <f>1304+12894</f>
        <v>14198</v>
      </c>
      <c r="V25" s="33">
        <f>900+11380</f>
        <v>12280</v>
      </c>
      <c r="W25" s="33">
        <f>35826+97811</f>
        <v>133637</v>
      </c>
      <c r="X25" s="33">
        <f>31830+92828</f>
        <v>124658</v>
      </c>
      <c r="Y25" s="34">
        <f t="shared" si="14"/>
        <v>8979</v>
      </c>
      <c r="Z25" s="36">
        <v>8</v>
      </c>
      <c r="AA25" s="36">
        <v>8</v>
      </c>
      <c r="AB25" s="36">
        <v>2</v>
      </c>
      <c r="AC25" s="36">
        <v>0</v>
      </c>
      <c r="AD25" s="36">
        <v>1</v>
      </c>
      <c r="AE25" s="37">
        <f t="shared" si="15"/>
        <v>122</v>
      </c>
      <c r="AF25" s="34">
        <f t="shared" si="16"/>
        <v>3999</v>
      </c>
      <c r="AG25" s="25">
        <f t="shared" si="8"/>
        <v>0.886156534764698</v>
      </c>
      <c r="AH25" s="25">
        <f t="shared" si="9"/>
        <v>0.560416926725752</v>
      </c>
      <c r="AI25" s="26">
        <f t="shared" si="10"/>
        <v>7.49174502570396</v>
      </c>
      <c r="AJ25" s="38">
        <v>40</v>
      </c>
      <c r="AK25" s="3"/>
    </row>
    <row r="26" spans="1:37">
      <c r="A26" s="31">
        <v>46224</v>
      </c>
      <c r="B26" s="32">
        <v>6400</v>
      </c>
      <c r="C26" s="32">
        <v>6932</v>
      </c>
      <c r="D26" s="33">
        <v>11746</v>
      </c>
      <c r="E26" s="21">
        <f t="shared" si="11"/>
        <v>417.966666666667</v>
      </c>
      <c r="F26" s="21">
        <f t="shared" si="12"/>
        <v>2</v>
      </c>
      <c r="G26" s="33">
        <f>8+149</f>
        <v>157</v>
      </c>
      <c r="H26" s="33">
        <f>4+62</f>
        <v>66</v>
      </c>
      <c r="I26" s="25">
        <f t="shared" si="1"/>
        <v>0.420382165605096</v>
      </c>
      <c r="J26" s="33">
        <f>4+58</f>
        <v>62</v>
      </c>
      <c r="K26" s="33">
        <f>120+193</f>
        <v>313</v>
      </c>
      <c r="L26" s="34">
        <f t="shared" si="13"/>
        <v>247</v>
      </c>
      <c r="M26" s="35">
        <f t="shared" si="3"/>
        <v>2.66220806794055</v>
      </c>
      <c r="N26" s="35">
        <f t="shared" si="4"/>
        <v>6.33282828282828</v>
      </c>
      <c r="O26" s="34">
        <f t="shared" si="5"/>
        <v>161.909090909091</v>
      </c>
      <c r="P26" s="34">
        <f t="shared" si="6"/>
        <v>423.325878594249</v>
      </c>
      <c r="Q26" s="33">
        <f>339609.12+427827.67</f>
        <v>767436.79</v>
      </c>
      <c r="R26" s="33">
        <f>630+9406</f>
        <v>10036</v>
      </c>
      <c r="S26" s="33">
        <f>0+2000</f>
        <v>2000</v>
      </c>
      <c r="T26" s="33">
        <f>630+8306</f>
        <v>8936</v>
      </c>
      <c r="U26" s="33">
        <f>630+10056</f>
        <v>10686</v>
      </c>
      <c r="V26" s="33">
        <f>0+2500</f>
        <v>2500</v>
      </c>
      <c r="W26" s="33">
        <f>55425+77076</f>
        <v>132501</v>
      </c>
      <c r="X26" s="33">
        <f>30930+37681</f>
        <v>68611</v>
      </c>
      <c r="Y26" s="34">
        <f t="shared" si="14"/>
        <v>63890</v>
      </c>
      <c r="Z26" s="36">
        <v>17</v>
      </c>
      <c r="AA26" s="36">
        <v>17</v>
      </c>
      <c r="AB26" s="36">
        <v>1</v>
      </c>
      <c r="AC26" s="36">
        <v>0</v>
      </c>
      <c r="AD26" s="36">
        <v>2</v>
      </c>
      <c r="AE26" s="37">
        <f t="shared" si="15"/>
        <v>121</v>
      </c>
      <c r="AF26" s="34">
        <f t="shared" si="16"/>
        <v>4016</v>
      </c>
      <c r="AG26" s="25">
        <f t="shared" si="8"/>
        <v>0.426110535130393</v>
      </c>
      <c r="AH26" s="25">
        <f t="shared" si="9"/>
        <v>2.54765132785709</v>
      </c>
      <c r="AI26" s="26">
        <f t="shared" si="10"/>
        <v>5.79193206089011</v>
      </c>
      <c r="AJ26" s="38">
        <v>33</v>
      </c>
      <c r="AK26" s="3"/>
    </row>
    <row r="27" spans="1:37">
      <c r="A27" s="31">
        <v>46225</v>
      </c>
      <c r="B27" s="32">
        <v>6400</v>
      </c>
      <c r="C27" s="32">
        <v>6932</v>
      </c>
      <c r="D27" s="33">
        <v>2150</v>
      </c>
      <c r="E27" s="21">
        <f t="shared" si="11"/>
        <v>258.033333333333</v>
      </c>
      <c r="F27" s="21">
        <f t="shared" si="12"/>
        <v>1.72972972972973</v>
      </c>
      <c r="G27" s="33">
        <f>13+134</f>
        <v>147</v>
      </c>
      <c r="H27" s="33">
        <f>9+55</f>
        <v>64</v>
      </c>
      <c r="I27" s="25">
        <f t="shared" si="1"/>
        <v>0.435374149659864</v>
      </c>
      <c r="J27" s="33">
        <f>8+49</f>
        <v>57</v>
      </c>
      <c r="K27" s="33">
        <f>102+183</f>
        <v>285</v>
      </c>
      <c r="L27" s="34">
        <f t="shared" si="13"/>
        <v>221</v>
      </c>
      <c r="M27" s="35">
        <f t="shared" si="3"/>
        <v>1.75532879818594</v>
      </c>
      <c r="N27" s="35">
        <f t="shared" si="4"/>
        <v>4.03177083333333</v>
      </c>
      <c r="O27" s="34">
        <f t="shared" si="5"/>
        <v>234.6875</v>
      </c>
      <c r="P27" s="34">
        <f t="shared" si="6"/>
        <v>365.487719298246</v>
      </c>
      <c r="Q27" s="33">
        <f>238433.02+444789.02</f>
        <v>683222.04</v>
      </c>
      <c r="R27" s="33">
        <f>1950+10970</f>
        <v>12920</v>
      </c>
      <c r="S27" s="33">
        <f>0+7138</f>
        <v>7138</v>
      </c>
      <c r="T27" s="33">
        <f>1700+8270</f>
        <v>9970</v>
      </c>
      <c r="U27" s="33">
        <f>2250+12770</f>
        <v>15020</v>
      </c>
      <c r="V27" s="33">
        <f>0+9438</f>
        <v>9438</v>
      </c>
      <c r="W27" s="33">
        <f>39840+64324</f>
        <v>104164</v>
      </c>
      <c r="X27" s="33">
        <f>49849+39446</f>
        <v>89295</v>
      </c>
      <c r="Y27" s="34">
        <f t="shared" si="14"/>
        <v>14869</v>
      </c>
      <c r="Z27" s="36">
        <v>11</v>
      </c>
      <c r="AA27" s="36">
        <v>11</v>
      </c>
      <c r="AB27" s="36">
        <v>2</v>
      </c>
      <c r="AC27" s="36">
        <v>0</v>
      </c>
      <c r="AD27" s="36">
        <v>0</v>
      </c>
      <c r="AE27" s="37">
        <f t="shared" si="15"/>
        <v>123</v>
      </c>
      <c r="AF27" s="34">
        <f t="shared" si="16"/>
        <v>4027</v>
      </c>
      <c r="AG27" s="25">
        <f t="shared" si="8"/>
        <v>0.970158894199716</v>
      </c>
      <c r="AH27" s="25">
        <f t="shared" si="9"/>
        <v>0.960405632347242</v>
      </c>
      <c r="AI27" s="26">
        <f t="shared" si="10"/>
        <v>6.55909949694712</v>
      </c>
      <c r="AJ27" s="38">
        <v>37</v>
      </c>
      <c r="AK27" s="3"/>
    </row>
    <row r="28" spans="1:37">
      <c r="A28" s="31">
        <v>46226</v>
      </c>
      <c r="B28" s="32">
        <v>6400</v>
      </c>
      <c r="C28" s="32">
        <v>6932</v>
      </c>
      <c r="D28" s="33">
        <v>2150</v>
      </c>
      <c r="E28" s="21">
        <f t="shared" si="11"/>
        <v>258.033333333333</v>
      </c>
      <c r="F28" s="21">
        <f t="shared" si="12"/>
        <v>2.25</v>
      </c>
      <c r="G28" s="33">
        <f>7+188</f>
        <v>195</v>
      </c>
      <c r="H28" s="33">
        <f>4+77</f>
        <v>81</v>
      </c>
      <c r="I28" s="25">
        <f t="shared" si="1"/>
        <v>0.415384615384615</v>
      </c>
      <c r="J28" s="33">
        <f>1+66</f>
        <v>67</v>
      </c>
      <c r="K28" s="33">
        <f>97+218</f>
        <v>315</v>
      </c>
      <c r="L28" s="34">
        <f t="shared" si="13"/>
        <v>234</v>
      </c>
      <c r="M28" s="35">
        <f t="shared" si="3"/>
        <v>1.32324786324786</v>
      </c>
      <c r="N28" s="35">
        <f t="shared" si="4"/>
        <v>3.18559670781893</v>
      </c>
      <c r="O28" s="34">
        <f t="shared" si="5"/>
        <v>211.641975308642</v>
      </c>
      <c r="P28" s="34">
        <f t="shared" si="6"/>
        <v>445.320634920635</v>
      </c>
      <c r="Q28" s="33">
        <f>406873.12+866353.07</f>
        <v>1273226.19</v>
      </c>
      <c r="R28" s="33">
        <f>100+11215</f>
        <v>11315</v>
      </c>
      <c r="S28" s="33">
        <f>0+11786</f>
        <v>11786</v>
      </c>
      <c r="T28" s="33">
        <f>850+10823</f>
        <v>11673</v>
      </c>
      <c r="U28" s="33">
        <f>3250+13893</f>
        <v>17143</v>
      </c>
      <c r="V28" s="33">
        <f>1200+12086</f>
        <v>13286</v>
      </c>
      <c r="W28" s="33">
        <f>57638+82638</f>
        <v>140276</v>
      </c>
      <c r="X28" s="33">
        <f>70658+140752</f>
        <v>211410</v>
      </c>
      <c r="Y28" s="34">
        <f t="shared" si="14"/>
        <v>-71134</v>
      </c>
      <c r="Z28" s="36">
        <v>11</v>
      </c>
      <c r="AA28" s="36">
        <v>11</v>
      </c>
      <c r="AB28" s="36">
        <v>3</v>
      </c>
      <c r="AC28" s="36">
        <v>0</v>
      </c>
      <c r="AD28" s="36">
        <v>2</v>
      </c>
      <c r="AE28" s="37">
        <f t="shared" si="15"/>
        <v>124</v>
      </c>
      <c r="AF28" s="34">
        <f t="shared" si="16"/>
        <v>4038</v>
      </c>
      <c r="AG28" s="25">
        <f t="shared" si="8"/>
        <v>1.10728588037721</v>
      </c>
      <c r="AH28" s="25">
        <f t="shared" si="9"/>
        <v>-4.59462601731042</v>
      </c>
      <c r="AI28" s="26">
        <f t="shared" si="10"/>
        <v>9.07657895862443</v>
      </c>
      <c r="AJ28" s="38">
        <v>36</v>
      </c>
      <c r="AK28" s="3"/>
    </row>
    <row r="29" spans="1:37">
      <c r="A29" s="31">
        <v>46227</v>
      </c>
      <c r="B29" s="32">
        <v>6400</v>
      </c>
      <c r="C29" s="32">
        <v>6932</v>
      </c>
      <c r="D29" s="33">
        <v>12540</v>
      </c>
      <c r="E29" s="21">
        <f t="shared" si="11"/>
        <v>431.2</v>
      </c>
      <c r="F29" s="21">
        <f t="shared" si="12"/>
        <v>1.6875</v>
      </c>
      <c r="G29" s="33">
        <f>3+133</f>
        <v>136</v>
      </c>
      <c r="H29" s="33">
        <f>2+52</f>
        <v>54</v>
      </c>
      <c r="I29" s="25">
        <f t="shared" si="1"/>
        <v>0.397058823529412</v>
      </c>
      <c r="J29" s="33">
        <f>1+42</f>
        <v>43</v>
      </c>
      <c r="K29" s="33">
        <f>92+204</f>
        <v>296</v>
      </c>
      <c r="L29" s="34">
        <f t="shared" si="13"/>
        <v>242</v>
      </c>
      <c r="M29" s="35">
        <f t="shared" si="3"/>
        <v>3.17058823529412</v>
      </c>
      <c r="N29" s="35">
        <f t="shared" si="4"/>
        <v>7.98518518518518</v>
      </c>
      <c r="O29" s="34">
        <f t="shared" si="5"/>
        <v>280.388888888889</v>
      </c>
      <c r="P29" s="34">
        <f t="shared" si="6"/>
        <v>535.722972972973</v>
      </c>
      <c r="Q29" s="33">
        <f>463670.93+690488.33</f>
        <v>1154159.26</v>
      </c>
      <c r="R29" s="33">
        <f>290+12951</f>
        <v>13241</v>
      </c>
      <c r="S29" s="33">
        <f>0+11225</f>
        <v>11225</v>
      </c>
      <c r="T29" s="33">
        <f>590+11651</f>
        <v>12241</v>
      </c>
      <c r="U29" s="33">
        <f>590+14551</f>
        <v>15141</v>
      </c>
      <c r="V29" s="33">
        <f>0+11725</f>
        <v>11725</v>
      </c>
      <c r="W29" s="33">
        <f>62085+96489</f>
        <v>158574</v>
      </c>
      <c r="X29" s="33">
        <f>57100+91413</f>
        <v>148513</v>
      </c>
      <c r="Y29" s="34">
        <f t="shared" si="14"/>
        <v>10061</v>
      </c>
      <c r="Z29" s="36">
        <v>9</v>
      </c>
      <c r="AA29" s="36">
        <v>9</v>
      </c>
      <c r="AB29" s="36">
        <v>0</v>
      </c>
      <c r="AC29" s="36">
        <v>0</v>
      </c>
      <c r="AD29" s="36">
        <v>1</v>
      </c>
      <c r="AE29" s="37">
        <f t="shared" si="15"/>
        <v>123</v>
      </c>
      <c r="AF29" s="34">
        <f t="shared" si="16"/>
        <v>4047</v>
      </c>
      <c r="AG29" s="25">
        <f t="shared" si="8"/>
        <v>0.585227272727273</v>
      </c>
      <c r="AH29" s="25">
        <f t="shared" si="9"/>
        <v>0.388876004947434</v>
      </c>
      <c r="AI29" s="26">
        <f t="shared" si="10"/>
        <v>7.27836379229886</v>
      </c>
      <c r="AJ29" s="38">
        <v>32</v>
      </c>
      <c r="AK29" s="3"/>
    </row>
    <row r="30" spans="1:37">
      <c r="A30" s="31">
        <v>46228</v>
      </c>
      <c r="B30" s="32">
        <v>6400</v>
      </c>
      <c r="C30" s="32">
        <v>6932</v>
      </c>
      <c r="D30" s="33">
        <v>10563</v>
      </c>
      <c r="E30" s="21">
        <f t="shared" si="11"/>
        <v>398.25</v>
      </c>
      <c r="F30" s="21">
        <f t="shared" si="12"/>
        <v>1.94594594594595</v>
      </c>
      <c r="G30" s="33">
        <f>12+112</f>
        <v>124</v>
      </c>
      <c r="H30" s="33">
        <f>9+63</f>
        <v>72</v>
      </c>
      <c r="I30" s="25">
        <f t="shared" si="1"/>
        <v>0.580645161290323</v>
      </c>
      <c r="J30" s="33">
        <f>8+50</f>
        <v>58</v>
      </c>
      <c r="K30" s="33">
        <f>100+198</f>
        <v>298</v>
      </c>
      <c r="L30" s="34">
        <f t="shared" si="13"/>
        <v>226</v>
      </c>
      <c r="M30" s="35">
        <f t="shared" si="3"/>
        <v>3.2116935483871</v>
      </c>
      <c r="N30" s="35">
        <f t="shared" si="4"/>
        <v>5.53125</v>
      </c>
      <c r="O30" s="34">
        <f t="shared" si="5"/>
        <v>399.138888888889</v>
      </c>
      <c r="P30" s="34">
        <f t="shared" si="6"/>
        <v>583</v>
      </c>
      <c r="Q30" s="33">
        <f>484419.76+622152.69</f>
        <v>1106572.45</v>
      </c>
      <c r="R30" s="33">
        <f>12436+13153</f>
        <v>25589</v>
      </c>
      <c r="S30" s="33">
        <f>1000+4633</f>
        <v>5633</v>
      </c>
      <c r="T30" s="33">
        <f>6200+9933</f>
        <v>16133</v>
      </c>
      <c r="U30" s="33">
        <f>12736+16002</f>
        <v>28738</v>
      </c>
      <c r="V30" s="33">
        <f>1000+5833</f>
        <v>6833</v>
      </c>
      <c r="W30" s="33">
        <f>85766+87968</f>
        <v>173734</v>
      </c>
      <c r="X30" s="33">
        <f>40033+40018</f>
        <v>80051</v>
      </c>
      <c r="Y30" s="34">
        <f t="shared" si="14"/>
        <v>93683</v>
      </c>
      <c r="Z30" s="36">
        <v>6</v>
      </c>
      <c r="AA30" s="36">
        <v>6</v>
      </c>
      <c r="AB30" s="36">
        <v>3</v>
      </c>
      <c r="AC30" s="36">
        <v>0</v>
      </c>
      <c r="AD30" s="36">
        <v>1</v>
      </c>
      <c r="AE30" s="37">
        <f t="shared" si="15"/>
        <v>125</v>
      </c>
      <c r="AF30" s="34">
        <f t="shared" si="16"/>
        <v>4053</v>
      </c>
      <c r="AG30" s="25">
        <f t="shared" si="8"/>
        <v>1.20267838459929</v>
      </c>
      <c r="AH30" s="25">
        <f t="shared" si="9"/>
        <v>3.92061100648671</v>
      </c>
      <c r="AI30" s="26">
        <f t="shared" si="10"/>
        <v>6.36934883212267</v>
      </c>
      <c r="AJ30" s="38">
        <v>37</v>
      </c>
      <c r="AK30" s="3"/>
    </row>
    <row r="31" spans="1:37">
      <c r="A31" s="31">
        <v>46229</v>
      </c>
      <c r="B31" s="32">
        <v>6400</v>
      </c>
      <c r="C31" s="32">
        <v>6932</v>
      </c>
      <c r="D31" s="33"/>
      <c r="E31" s="21">
        <f t="shared" si="11"/>
        <v>222.2</v>
      </c>
      <c r="F31" s="21" t="e">
        <f t="shared" si="12"/>
        <v>#DIV/0!</v>
      </c>
      <c r="G31" s="33">
        <f>5+119</f>
        <v>124</v>
      </c>
      <c r="H31" s="33">
        <f>2+43</f>
        <v>45</v>
      </c>
      <c r="I31" s="25">
        <f t="shared" si="1"/>
        <v>0.362903225806452</v>
      </c>
      <c r="J31" s="33">
        <f>2+40</f>
        <v>42</v>
      </c>
      <c r="K31" s="33">
        <f>93+198</f>
        <v>291</v>
      </c>
      <c r="L31" s="34">
        <f t="shared" si="13"/>
        <v>246</v>
      </c>
      <c r="M31" s="35">
        <f t="shared" si="3"/>
        <v>1.79193548387097</v>
      </c>
      <c r="N31" s="35">
        <f t="shared" si="4"/>
        <v>4.93777777777778</v>
      </c>
      <c r="O31" s="34">
        <f t="shared" si="5"/>
        <v>188</v>
      </c>
      <c r="P31" s="34">
        <f t="shared" si="6"/>
        <v>415.329896907216</v>
      </c>
      <c r="Q31" s="33">
        <f>282986.08+506317.01</f>
        <v>789303.09</v>
      </c>
      <c r="R31" s="33">
        <f>300+7860</f>
        <v>8160</v>
      </c>
      <c r="S31" s="33">
        <f>200+12053</f>
        <v>12253</v>
      </c>
      <c r="T31" s="33">
        <f>300+5500</f>
        <v>5800</v>
      </c>
      <c r="U31" s="33">
        <f>300+8160</f>
        <v>8460</v>
      </c>
      <c r="V31" s="33">
        <f>200+12053</f>
        <v>12253</v>
      </c>
      <c r="W31" s="33">
        <f>36221+84640</f>
        <v>120861</v>
      </c>
      <c r="X31" s="33">
        <f>28057+56907</f>
        <v>84964</v>
      </c>
      <c r="Y31" s="34">
        <f t="shared" si="14"/>
        <v>35897</v>
      </c>
      <c r="Z31" s="36"/>
      <c r="AA31" s="36"/>
      <c r="AB31" s="36"/>
      <c r="AC31" s="36"/>
      <c r="AD31" s="36"/>
      <c r="AE31" s="37">
        <f t="shared" si="15"/>
        <v>125</v>
      </c>
      <c r="AF31" s="34">
        <f t="shared" si="16"/>
        <v>4053</v>
      </c>
      <c r="AG31" s="25">
        <f t="shared" si="8"/>
        <v>0.634563456345635</v>
      </c>
      <c r="AH31" s="25">
        <f t="shared" si="9"/>
        <v>2.69254425442544</v>
      </c>
      <c r="AI31" s="26">
        <f t="shared" si="10"/>
        <v>6.53066820562464</v>
      </c>
      <c r="AJ31" s="38"/>
      <c r="AK31" s="3"/>
    </row>
    <row r="32" spans="1:37">
      <c r="A32" s="31">
        <v>46230</v>
      </c>
      <c r="B32" s="32"/>
      <c r="C32" s="32"/>
      <c r="D32" s="33"/>
      <c r="E32" s="21">
        <f t="shared" si="11"/>
        <v>0</v>
      </c>
      <c r="F32" s="21" t="e">
        <f t="shared" si="12"/>
        <v>#DIV/0!</v>
      </c>
      <c r="G32" s="33"/>
      <c r="H32" s="33"/>
      <c r="I32" s="25" t="e">
        <f t="shared" si="1"/>
        <v>#DIV/0!</v>
      </c>
      <c r="J32" s="33"/>
      <c r="K32" s="33"/>
      <c r="L32" s="34">
        <f t="shared" si="13"/>
        <v>0</v>
      </c>
      <c r="M32" s="35" t="e">
        <f t="shared" si="3"/>
        <v>#DIV/0!</v>
      </c>
      <c r="N32" s="35" t="e">
        <f t="shared" si="4"/>
        <v>#DIV/0!</v>
      </c>
      <c r="O32" s="34" t="e">
        <f t="shared" si="5"/>
        <v>#DIV/0!</v>
      </c>
      <c r="P32" s="34" t="e">
        <f t="shared" si="6"/>
        <v>#DIV/0!</v>
      </c>
      <c r="Q32" s="33"/>
      <c r="R32" s="33"/>
      <c r="S32" s="33"/>
      <c r="T32" s="33"/>
      <c r="U32" s="33"/>
      <c r="V32" s="33"/>
      <c r="W32" s="33"/>
      <c r="X32" s="33"/>
      <c r="Y32" s="34">
        <f t="shared" si="14"/>
        <v>0</v>
      </c>
      <c r="Z32" s="36"/>
      <c r="AA32" s="36"/>
      <c r="AB32" s="36"/>
      <c r="AC32" s="36"/>
      <c r="AD32" s="36"/>
      <c r="AE32" s="37">
        <f t="shared" si="15"/>
        <v>125</v>
      </c>
      <c r="AF32" s="34">
        <f t="shared" si="16"/>
        <v>4053</v>
      </c>
      <c r="AG32" s="25" t="e">
        <f t="shared" si="8"/>
        <v>#DIV/0!</v>
      </c>
      <c r="AH32" s="25" t="e">
        <f t="shared" si="9"/>
        <v>#DIV/0!</v>
      </c>
      <c r="AI32" s="26" t="e">
        <f t="shared" si="10"/>
        <v>#DIV/0!</v>
      </c>
      <c r="AJ32" s="38"/>
      <c r="AK32" s="3"/>
    </row>
    <row r="33" spans="1:37">
      <c r="A33" s="31">
        <v>46231</v>
      </c>
      <c r="B33" s="32"/>
      <c r="C33" s="32"/>
      <c r="D33" s="33"/>
      <c r="E33" s="21">
        <f t="shared" si="11"/>
        <v>0</v>
      </c>
      <c r="F33" s="21" t="e">
        <f t="shared" si="12"/>
        <v>#DIV/0!</v>
      </c>
      <c r="G33" s="33"/>
      <c r="H33" s="33"/>
      <c r="I33" s="25" t="e">
        <f t="shared" si="1"/>
        <v>#DIV/0!</v>
      </c>
      <c r="J33" s="33"/>
      <c r="K33" s="33"/>
      <c r="L33" s="34">
        <f t="shared" si="13"/>
        <v>0</v>
      </c>
      <c r="M33" s="35" t="e">
        <f t="shared" si="3"/>
        <v>#DIV/0!</v>
      </c>
      <c r="N33" s="35" t="e">
        <f t="shared" si="4"/>
        <v>#DIV/0!</v>
      </c>
      <c r="O33" s="34" t="e">
        <f t="shared" si="5"/>
        <v>#DIV/0!</v>
      </c>
      <c r="P33" s="34" t="e">
        <f t="shared" si="6"/>
        <v>#DIV/0!</v>
      </c>
      <c r="Q33" s="33"/>
      <c r="R33" s="33"/>
      <c r="S33" s="33"/>
      <c r="T33" s="33"/>
      <c r="U33" s="33"/>
      <c r="V33" s="33"/>
      <c r="W33" s="33"/>
      <c r="X33" s="33"/>
      <c r="Y33" s="34">
        <f t="shared" si="14"/>
        <v>0</v>
      </c>
      <c r="Z33" s="36"/>
      <c r="AA33" s="36"/>
      <c r="AB33" s="36"/>
      <c r="AC33" s="36"/>
      <c r="AD33" s="36"/>
      <c r="AE33" s="37">
        <f t="shared" si="15"/>
        <v>125</v>
      </c>
      <c r="AF33" s="34">
        <f t="shared" si="16"/>
        <v>4053</v>
      </c>
      <c r="AG33" s="25" t="e">
        <f t="shared" si="8"/>
        <v>#DIV/0!</v>
      </c>
      <c r="AH33" s="25" t="e">
        <f t="shared" si="9"/>
        <v>#DIV/0!</v>
      </c>
      <c r="AI33" s="26" t="e">
        <f t="shared" si="10"/>
        <v>#DIV/0!</v>
      </c>
      <c r="AJ33" s="38"/>
      <c r="AK33" s="3"/>
    </row>
    <row r="34" spans="1:37">
      <c r="A34" s="31">
        <v>46232</v>
      </c>
      <c r="B34" s="32"/>
      <c r="C34" s="32"/>
      <c r="D34" s="33"/>
      <c r="E34" s="21">
        <f t="shared" si="11"/>
        <v>0</v>
      </c>
      <c r="F34" s="21" t="e">
        <f t="shared" si="12"/>
        <v>#DIV/0!</v>
      </c>
      <c r="G34" s="33"/>
      <c r="H34" s="33"/>
      <c r="I34" s="25" t="e">
        <f t="shared" si="1"/>
        <v>#DIV/0!</v>
      </c>
      <c r="J34" s="33"/>
      <c r="K34" s="33"/>
      <c r="L34" s="34">
        <f t="shared" si="13"/>
        <v>0</v>
      </c>
      <c r="M34" s="35" t="e">
        <f t="shared" si="3"/>
        <v>#DIV/0!</v>
      </c>
      <c r="N34" s="35" t="e">
        <f t="shared" si="4"/>
        <v>#DIV/0!</v>
      </c>
      <c r="O34" s="34" t="e">
        <f t="shared" si="5"/>
        <v>#DIV/0!</v>
      </c>
      <c r="P34" s="34" t="e">
        <f t="shared" si="6"/>
        <v>#DIV/0!</v>
      </c>
      <c r="Q34" s="33"/>
      <c r="R34" s="33"/>
      <c r="S34" s="33"/>
      <c r="T34" s="33"/>
      <c r="U34" s="33"/>
      <c r="V34" s="33"/>
      <c r="W34" s="33"/>
      <c r="X34" s="33"/>
      <c r="Y34" s="34">
        <f t="shared" si="14"/>
        <v>0</v>
      </c>
      <c r="Z34" s="36"/>
      <c r="AA34" s="36"/>
      <c r="AB34" s="36"/>
      <c r="AC34" s="36"/>
      <c r="AD34" s="36"/>
      <c r="AE34" s="37">
        <f t="shared" si="15"/>
        <v>125</v>
      </c>
      <c r="AF34" s="34">
        <f t="shared" si="16"/>
        <v>4053</v>
      </c>
      <c r="AG34" s="25" t="e">
        <f t="shared" si="8"/>
        <v>#DIV/0!</v>
      </c>
      <c r="AH34" s="25" t="e">
        <f t="shared" si="9"/>
        <v>#DIV/0!</v>
      </c>
      <c r="AI34" s="26" t="e">
        <f t="shared" si="10"/>
        <v>#DIV/0!</v>
      </c>
      <c r="AJ34" s="38"/>
      <c r="AK34" s="10"/>
    </row>
    <row r="35" spans="1:37">
      <c r="A35" s="31">
        <v>46233</v>
      </c>
      <c r="B35" s="32"/>
      <c r="C35" s="32"/>
      <c r="D35" s="33"/>
      <c r="E35" s="21">
        <f t="shared" si="11"/>
        <v>0</v>
      </c>
      <c r="F35" s="21" t="e">
        <f t="shared" si="12"/>
        <v>#DIV/0!</v>
      </c>
      <c r="G35" s="33"/>
      <c r="H35" s="33"/>
      <c r="I35" s="25" t="e">
        <f t="shared" si="1"/>
        <v>#DIV/0!</v>
      </c>
      <c r="J35" s="33"/>
      <c r="K35" s="33"/>
      <c r="L35" s="34">
        <f t="shared" si="13"/>
        <v>0</v>
      </c>
      <c r="M35" s="35" t="e">
        <f t="shared" si="3"/>
        <v>#DIV/0!</v>
      </c>
      <c r="N35" s="35" t="e">
        <f t="shared" si="4"/>
        <v>#DIV/0!</v>
      </c>
      <c r="O35" s="34" t="e">
        <f t="shared" si="5"/>
        <v>#DIV/0!</v>
      </c>
      <c r="P35" s="34" t="e">
        <f t="shared" si="6"/>
        <v>#DIV/0!</v>
      </c>
      <c r="Q35" s="33"/>
      <c r="R35" s="33"/>
      <c r="S35" s="33"/>
      <c r="T35" s="33"/>
      <c r="U35" s="33"/>
      <c r="V35" s="33"/>
      <c r="W35" s="33"/>
      <c r="X35" s="33"/>
      <c r="Y35" s="34">
        <f t="shared" si="14"/>
        <v>0</v>
      </c>
      <c r="Z35" s="36"/>
      <c r="AA35" s="36"/>
      <c r="AB35" s="36"/>
      <c r="AC35" s="36"/>
      <c r="AD35" s="36"/>
      <c r="AE35" s="37">
        <f t="shared" si="15"/>
        <v>125</v>
      </c>
      <c r="AF35" s="34">
        <f t="shared" si="16"/>
        <v>4053</v>
      </c>
      <c r="AG35" s="25" t="e">
        <f t="shared" si="8"/>
        <v>#DIV/0!</v>
      </c>
      <c r="AH35" s="25" t="e">
        <f t="shared" si="9"/>
        <v>#DIV/0!</v>
      </c>
      <c r="AI35" s="26" t="e">
        <f t="shared" si="10"/>
        <v>#DIV/0!</v>
      </c>
      <c r="AJ35" s="38"/>
      <c r="AK35" s="10"/>
    </row>
    <row r="36" spans="1:37">
      <c r="A36" s="31">
        <v>46234</v>
      </c>
      <c r="B36" s="32"/>
      <c r="C36" s="32"/>
      <c r="D36" s="33"/>
      <c r="E36" s="21">
        <f t="shared" si="11"/>
        <v>0</v>
      </c>
      <c r="F36" s="21" t="e">
        <f t="shared" si="12"/>
        <v>#DIV/0!</v>
      </c>
      <c r="G36" s="33"/>
      <c r="H36" s="33"/>
      <c r="I36" s="25" t="e">
        <f t="shared" si="1"/>
        <v>#DIV/0!</v>
      </c>
      <c r="J36" s="33"/>
      <c r="K36" s="33"/>
      <c r="L36" s="34">
        <f t="shared" si="13"/>
        <v>0</v>
      </c>
      <c r="M36" s="35" t="e">
        <f t="shared" si="3"/>
        <v>#DIV/0!</v>
      </c>
      <c r="N36" s="35" t="e">
        <f t="shared" si="4"/>
        <v>#DIV/0!</v>
      </c>
      <c r="O36" s="34" t="e">
        <f t="shared" si="5"/>
        <v>#DIV/0!</v>
      </c>
      <c r="P36" s="34" t="e">
        <f t="shared" si="6"/>
        <v>#DIV/0!</v>
      </c>
      <c r="Q36" s="33"/>
      <c r="R36" s="33"/>
      <c r="S36" s="33"/>
      <c r="T36" s="33"/>
      <c r="U36" s="33"/>
      <c r="V36" s="33"/>
      <c r="W36" s="33"/>
      <c r="X36" s="33"/>
      <c r="Y36" s="34">
        <f t="shared" si="14"/>
        <v>0</v>
      </c>
      <c r="Z36" s="36"/>
      <c r="AA36" s="36"/>
      <c r="AB36" s="36"/>
      <c r="AC36" s="36"/>
      <c r="AD36" s="36"/>
      <c r="AE36" s="37">
        <f t="shared" si="15"/>
        <v>125</v>
      </c>
      <c r="AF36" s="34">
        <f t="shared" si="16"/>
        <v>4053</v>
      </c>
      <c r="AG36" s="25" t="e">
        <f t="shared" si="8"/>
        <v>#DIV/0!</v>
      </c>
      <c r="AH36" s="25" t="e">
        <f t="shared" si="9"/>
        <v>#DIV/0!</v>
      </c>
      <c r="AI36" s="26" t="e">
        <f t="shared" si="10"/>
        <v>#DIV/0!</v>
      </c>
      <c r="AJ36" s="38"/>
      <c r="AK36" s="10"/>
    </row>
    <row r="37" spans="1:37">
      <c r="A37" s="10"/>
      <c r="B37" s="10">
        <v>2</v>
      </c>
      <c r="C37" s="10">
        <v>4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1"/>
      <c r="AJ37" s="39"/>
      <c r="AK37" s="10"/>
    </row>
    <row r="38" spans="1:37">
      <c r="A38" s="10"/>
      <c r="B38" s="2" t="s">
        <v>364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1"/>
      <c r="AJ38" s="39"/>
      <c r="AK38" s="10"/>
    </row>
    <row r="39" spans="1:37">
      <c r="A39" s="10"/>
      <c r="B39" s="2" t="s">
        <v>365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1"/>
      <c r="AJ39" s="39"/>
      <c r="AK39" s="10"/>
    </row>
    <row r="40" spans="1:3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1"/>
      <c r="AJ40" s="39"/>
      <c r="AK40" s="10"/>
    </row>
    <row r="41" spans="1:37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1"/>
      <c r="AJ41" s="39"/>
      <c r="AK41" s="10"/>
    </row>
  </sheetData>
  <mergeCells count="1">
    <mergeCell ref="A1:AI2"/>
  </mergeCells>
  <conditionalFormatting sqref="AG3">
    <cfRule type="cellIs" dxfId="0" priority="111" operator="lessThan">
      <formula>0</formula>
    </cfRule>
  </conditionalFormatting>
  <conditionalFormatting sqref="AI3">
    <cfRule type="cellIs" dxfId="0" priority="110" operator="lessThan">
      <formula>0</formula>
    </cfRule>
  </conditionalFormatting>
  <conditionalFormatting sqref="AJ3">
    <cfRule type="cellIs" dxfId="0" priority="43" operator="lessThan">
      <formula>0</formula>
    </cfRule>
  </conditionalFormatting>
  <conditionalFormatting sqref="AG4">
    <cfRule type="cellIs" dxfId="0" priority="44" operator="lessThan">
      <formula>0</formula>
    </cfRule>
  </conditionalFormatting>
  <conditionalFormatting sqref="AH4">
    <cfRule type="cellIs" dxfId="0" priority="108" operator="lessThan">
      <formula>0</formula>
    </cfRule>
  </conditionalFormatting>
  <conditionalFormatting sqref="AI4">
    <cfRule type="cellIs" dxfId="0" priority="109" operator="lessThan">
      <formula>0</formula>
    </cfRule>
  </conditionalFormatting>
  <conditionalFormatting sqref="Y5">
    <cfRule type="cellIs" dxfId="0" priority="4" operator="lessThan">
      <formula>0</formula>
    </cfRule>
  </conditionalFormatting>
  <conditionalFormatting sqref="AG5:AH5">
    <cfRule type="cellIs" dxfId="0" priority="3" operator="lessThan">
      <formula>0</formula>
    </cfRule>
  </conditionalFormatting>
  <conditionalFormatting sqref="AI5">
    <cfRule type="cellIs" dxfId="0" priority="2" operator="lessThan">
      <formula>0</formula>
    </cfRule>
  </conditionalFormatting>
  <conditionalFormatting sqref="AJ5">
    <cfRule type="cellIs" dxfId="0" priority="1" operator="lessThan">
      <formula>0</formula>
    </cfRule>
  </conditionalFormatting>
  <conditionalFormatting sqref="Y6">
    <cfRule type="cellIs" dxfId="0" priority="107" operator="lessThan">
      <formula>0</formula>
    </cfRule>
  </conditionalFormatting>
  <conditionalFormatting sqref="AI6">
    <cfRule type="cellIs" dxfId="0" priority="84" operator="lessThan">
      <formula>0</formula>
    </cfRule>
  </conditionalFormatting>
  <conditionalFormatting sqref="AJ6">
    <cfRule type="cellIs" dxfId="0" priority="42" operator="lessThan">
      <formula>0</formula>
    </cfRule>
  </conditionalFormatting>
  <conditionalFormatting sqref="Y7">
    <cfRule type="cellIs" dxfId="0" priority="106" operator="lessThan">
      <formula>0</formula>
    </cfRule>
  </conditionalFormatting>
  <conditionalFormatting sqref="AI7">
    <cfRule type="cellIs" dxfId="0" priority="83" operator="lessThan">
      <formula>0</formula>
    </cfRule>
  </conditionalFormatting>
  <conditionalFormatting sqref="AJ7">
    <cfRule type="cellIs" dxfId="0" priority="41" operator="lessThan">
      <formula>0</formula>
    </cfRule>
  </conditionalFormatting>
  <conditionalFormatting sqref="Y8">
    <cfRule type="cellIs" dxfId="0" priority="105" operator="lessThan">
      <formula>0</formula>
    </cfRule>
  </conditionalFormatting>
  <conditionalFormatting sqref="AI8">
    <cfRule type="cellIs" dxfId="0" priority="82" operator="lessThan">
      <formula>0</formula>
    </cfRule>
  </conditionalFormatting>
  <conditionalFormatting sqref="AJ8">
    <cfRule type="cellIs" dxfId="0" priority="40" operator="lessThan">
      <formula>0</formula>
    </cfRule>
  </conditionalFormatting>
  <conditionalFormatting sqref="Y9">
    <cfRule type="cellIs" dxfId="0" priority="61" operator="lessThan">
      <formula>0</formula>
    </cfRule>
  </conditionalFormatting>
  <conditionalFormatting sqref="AI9">
    <cfRule type="cellIs" dxfId="0" priority="57" operator="lessThan">
      <formula>0</formula>
    </cfRule>
  </conditionalFormatting>
  <conditionalFormatting sqref="AJ9">
    <cfRule type="cellIs" dxfId="0" priority="19" operator="lessThan">
      <formula>0</formula>
    </cfRule>
  </conditionalFormatting>
  <conditionalFormatting sqref="Y10">
    <cfRule type="cellIs" dxfId="0" priority="60" operator="lessThan">
      <formula>0</formula>
    </cfRule>
  </conditionalFormatting>
  <conditionalFormatting sqref="AI10">
    <cfRule type="cellIs" dxfId="0" priority="56" operator="lessThan">
      <formula>0</formula>
    </cfRule>
  </conditionalFormatting>
  <conditionalFormatting sqref="AJ10">
    <cfRule type="cellIs" dxfId="0" priority="18" operator="lessThan">
      <formula>0</formula>
    </cfRule>
  </conditionalFormatting>
  <conditionalFormatting sqref="Y11">
    <cfRule type="cellIs" dxfId="0" priority="59" operator="lessThan">
      <formula>0</formula>
    </cfRule>
  </conditionalFormatting>
  <conditionalFormatting sqref="AI11">
    <cfRule type="cellIs" dxfId="0" priority="55" operator="lessThan">
      <formula>0</formula>
    </cfRule>
  </conditionalFormatting>
  <conditionalFormatting sqref="AJ11">
    <cfRule type="cellIs" dxfId="0" priority="17" operator="lessThan">
      <formula>0</formula>
    </cfRule>
  </conditionalFormatting>
  <conditionalFormatting sqref="Y12">
    <cfRule type="cellIs" dxfId="0" priority="58" operator="lessThan">
      <formula>0</formula>
    </cfRule>
  </conditionalFormatting>
  <conditionalFormatting sqref="AI12">
    <cfRule type="cellIs" dxfId="0" priority="54" operator="lessThan">
      <formula>0</formula>
    </cfRule>
  </conditionalFormatting>
  <conditionalFormatting sqref="AJ12">
    <cfRule type="cellIs" dxfId="0" priority="16" operator="lessThan">
      <formula>0</formula>
    </cfRule>
  </conditionalFormatting>
  <conditionalFormatting sqref="Y13">
    <cfRule type="cellIs" dxfId="0" priority="104" operator="lessThan">
      <formula>0</formula>
    </cfRule>
  </conditionalFormatting>
  <conditionalFormatting sqref="AI13">
    <cfRule type="cellIs" dxfId="0" priority="81" operator="lessThan">
      <formula>0</formula>
    </cfRule>
  </conditionalFormatting>
  <conditionalFormatting sqref="AJ13">
    <cfRule type="cellIs" dxfId="0" priority="39" operator="lessThan">
      <formula>0</formula>
    </cfRule>
  </conditionalFormatting>
  <conditionalFormatting sqref="Y14">
    <cfRule type="cellIs" dxfId="0" priority="103" operator="lessThan">
      <formula>0</formula>
    </cfRule>
  </conditionalFormatting>
  <conditionalFormatting sqref="AI14">
    <cfRule type="cellIs" dxfId="0" priority="80" operator="lessThan">
      <formula>0</formula>
    </cfRule>
  </conditionalFormatting>
  <conditionalFormatting sqref="AJ14">
    <cfRule type="cellIs" dxfId="0" priority="38" operator="lessThan">
      <formula>0</formula>
    </cfRule>
  </conditionalFormatting>
  <conditionalFormatting sqref="Y15">
    <cfRule type="cellIs" dxfId="0" priority="102" operator="lessThan">
      <formula>0</formula>
    </cfRule>
  </conditionalFormatting>
  <conditionalFormatting sqref="AI15">
    <cfRule type="cellIs" dxfId="0" priority="79" operator="lessThan">
      <formula>0</formula>
    </cfRule>
  </conditionalFormatting>
  <conditionalFormatting sqref="AJ15">
    <cfRule type="cellIs" dxfId="0" priority="37" operator="lessThan">
      <formula>0</formula>
    </cfRule>
  </conditionalFormatting>
  <conditionalFormatting sqref="Y16">
    <cfRule type="cellIs" dxfId="0" priority="101" operator="lessThan">
      <formula>0</formula>
    </cfRule>
  </conditionalFormatting>
  <conditionalFormatting sqref="AI16">
    <cfRule type="cellIs" dxfId="0" priority="78" operator="lessThan">
      <formula>0</formula>
    </cfRule>
  </conditionalFormatting>
  <conditionalFormatting sqref="AJ16">
    <cfRule type="cellIs" dxfId="0" priority="36" operator="lessThan">
      <formula>0</formula>
    </cfRule>
  </conditionalFormatting>
  <conditionalFormatting sqref="Y17">
    <cfRule type="cellIs" dxfId="0" priority="100" operator="lessThan">
      <formula>0</formula>
    </cfRule>
  </conditionalFormatting>
  <conditionalFormatting sqref="AI17">
    <cfRule type="cellIs" dxfId="0" priority="77" operator="lessThan">
      <formula>0</formula>
    </cfRule>
  </conditionalFormatting>
  <conditionalFormatting sqref="AJ17">
    <cfRule type="cellIs" dxfId="0" priority="35" operator="lessThan">
      <formula>0</formula>
    </cfRule>
  </conditionalFormatting>
  <conditionalFormatting sqref="Y18">
    <cfRule type="cellIs" dxfId="0" priority="99" operator="lessThan">
      <formula>0</formula>
    </cfRule>
  </conditionalFormatting>
  <conditionalFormatting sqref="AI18">
    <cfRule type="cellIs" dxfId="0" priority="76" operator="lessThan">
      <formula>0</formula>
    </cfRule>
  </conditionalFormatting>
  <conditionalFormatting sqref="AJ18">
    <cfRule type="cellIs" dxfId="0" priority="34" operator="lessThan">
      <formula>0</formula>
    </cfRule>
  </conditionalFormatting>
  <conditionalFormatting sqref="Y19">
    <cfRule type="cellIs" dxfId="0" priority="98" operator="lessThan">
      <formula>0</formula>
    </cfRule>
  </conditionalFormatting>
  <conditionalFormatting sqref="AI19">
    <cfRule type="cellIs" dxfId="0" priority="75" operator="lessThan">
      <formula>0</formula>
    </cfRule>
  </conditionalFormatting>
  <conditionalFormatting sqref="AJ19">
    <cfRule type="cellIs" dxfId="0" priority="33" operator="lessThan">
      <formula>0</formula>
    </cfRule>
  </conditionalFormatting>
  <conditionalFormatting sqref="Y20">
    <cfRule type="cellIs" dxfId="0" priority="97" operator="lessThan">
      <formula>0</formula>
    </cfRule>
  </conditionalFormatting>
  <conditionalFormatting sqref="AI20">
    <cfRule type="cellIs" dxfId="0" priority="74" operator="lessThan">
      <formula>0</formula>
    </cfRule>
  </conditionalFormatting>
  <conditionalFormatting sqref="AJ20">
    <cfRule type="cellIs" dxfId="0" priority="32" operator="lessThan">
      <formula>0</formula>
    </cfRule>
  </conditionalFormatting>
  <conditionalFormatting sqref="Y21">
    <cfRule type="cellIs" dxfId="0" priority="96" operator="lessThan">
      <formula>0</formula>
    </cfRule>
  </conditionalFormatting>
  <conditionalFormatting sqref="AI21">
    <cfRule type="cellIs" dxfId="0" priority="73" operator="lessThan">
      <formula>0</formula>
    </cfRule>
  </conditionalFormatting>
  <conditionalFormatting sqref="AJ21">
    <cfRule type="cellIs" dxfId="0" priority="31" operator="lessThan">
      <formula>0</formula>
    </cfRule>
  </conditionalFormatting>
  <conditionalFormatting sqref="Y22">
    <cfRule type="cellIs" dxfId="0" priority="95" operator="lessThan">
      <formula>0</formula>
    </cfRule>
  </conditionalFormatting>
  <conditionalFormatting sqref="AI22">
    <cfRule type="cellIs" dxfId="0" priority="72" operator="lessThan">
      <formula>0</formula>
    </cfRule>
  </conditionalFormatting>
  <conditionalFormatting sqref="AJ22">
    <cfRule type="cellIs" dxfId="0" priority="30" operator="lessThan">
      <formula>0</formula>
    </cfRule>
  </conditionalFormatting>
  <conditionalFormatting sqref="Y23">
    <cfRule type="cellIs" dxfId="0" priority="94" operator="lessThan">
      <formula>0</formula>
    </cfRule>
  </conditionalFormatting>
  <conditionalFormatting sqref="AI23">
    <cfRule type="cellIs" dxfId="0" priority="71" operator="lessThan">
      <formula>0</formula>
    </cfRule>
  </conditionalFormatting>
  <conditionalFormatting sqref="AJ23">
    <cfRule type="cellIs" dxfId="0" priority="29" operator="lessThan">
      <formula>0</formula>
    </cfRule>
  </conditionalFormatting>
  <conditionalFormatting sqref="Y24">
    <cfRule type="cellIs" dxfId="0" priority="93" operator="lessThan">
      <formula>0</formula>
    </cfRule>
  </conditionalFormatting>
  <conditionalFormatting sqref="AI24">
    <cfRule type="cellIs" dxfId="0" priority="70" operator="lessThan">
      <formula>0</formula>
    </cfRule>
  </conditionalFormatting>
  <conditionalFormatting sqref="AJ24">
    <cfRule type="cellIs" dxfId="0" priority="28" operator="lessThan">
      <formula>0</formula>
    </cfRule>
  </conditionalFormatting>
  <conditionalFormatting sqref="Y25">
    <cfRule type="cellIs" dxfId="0" priority="92" operator="lessThan">
      <formula>0</formula>
    </cfRule>
  </conditionalFormatting>
  <conditionalFormatting sqref="AI25">
    <cfRule type="cellIs" dxfId="0" priority="69" operator="lessThan">
      <formula>0</formula>
    </cfRule>
  </conditionalFormatting>
  <conditionalFormatting sqref="AJ25">
    <cfRule type="cellIs" dxfId="0" priority="27" operator="lessThan">
      <formula>0</formula>
    </cfRule>
  </conditionalFormatting>
  <conditionalFormatting sqref="Y26">
    <cfRule type="cellIs" dxfId="0" priority="91" operator="lessThan">
      <formula>0</formula>
    </cfRule>
  </conditionalFormatting>
  <conditionalFormatting sqref="AI26">
    <cfRule type="cellIs" dxfId="0" priority="68" operator="lessThan">
      <formula>0</formula>
    </cfRule>
  </conditionalFormatting>
  <conditionalFormatting sqref="AJ26">
    <cfRule type="cellIs" dxfId="0" priority="26" operator="lessThan">
      <formula>0</formula>
    </cfRule>
  </conditionalFormatting>
  <conditionalFormatting sqref="Y27">
    <cfRule type="cellIs" dxfId="0" priority="90" operator="lessThan">
      <formula>0</formula>
    </cfRule>
  </conditionalFormatting>
  <conditionalFormatting sqref="AI27">
    <cfRule type="cellIs" dxfId="0" priority="67" operator="lessThan">
      <formula>0</formula>
    </cfRule>
  </conditionalFormatting>
  <conditionalFormatting sqref="AJ27">
    <cfRule type="cellIs" dxfId="0" priority="25" operator="lessThan">
      <formula>0</formula>
    </cfRule>
  </conditionalFormatting>
  <conditionalFormatting sqref="Y28">
    <cfRule type="cellIs" dxfId="0" priority="89" operator="lessThan">
      <formula>0</formula>
    </cfRule>
  </conditionalFormatting>
  <conditionalFormatting sqref="AI28">
    <cfRule type="cellIs" dxfId="0" priority="66" operator="lessThan">
      <formula>0</formula>
    </cfRule>
  </conditionalFormatting>
  <conditionalFormatting sqref="AJ28">
    <cfRule type="cellIs" dxfId="0" priority="24" operator="lessThan">
      <formula>0</formula>
    </cfRule>
  </conditionalFormatting>
  <conditionalFormatting sqref="Y29">
    <cfRule type="cellIs" dxfId="0" priority="88" operator="lessThan">
      <formula>0</formula>
    </cfRule>
  </conditionalFormatting>
  <conditionalFormatting sqref="AI29">
    <cfRule type="cellIs" dxfId="0" priority="65" operator="lessThan">
      <formula>0</formula>
    </cfRule>
  </conditionalFormatting>
  <conditionalFormatting sqref="AJ29">
    <cfRule type="cellIs" dxfId="0" priority="23" operator="lessThan">
      <formula>0</formula>
    </cfRule>
  </conditionalFormatting>
  <conditionalFormatting sqref="Y30">
    <cfRule type="cellIs" dxfId="0" priority="87" operator="lessThan">
      <formula>0</formula>
    </cfRule>
  </conditionalFormatting>
  <conditionalFormatting sqref="AI30">
    <cfRule type="cellIs" dxfId="0" priority="64" operator="lessThan">
      <formula>0</formula>
    </cfRule>
  </conditionalFormatting>
  <conditionalFormatting sqref="AJ30">
    <cfRule type="cellIs" dxfId="0" priority="22" operator="lessThan">
      <formula>0</formula>
    </cfRule>
  </conditionalFormatting>
  <conditionalFormatting sqref="Y31">
    <cfRule type="cellIs" dxfId="0" priority="86" operator="lessThan">
      <formula>0</formula>
    </cfRule>
  </conditionalFormatting>
  <conditionalFormatting sqref="AI31">
    <cfRule type="cellIs" dxfId="0" priority="63" operator="lessThan">
      <formula>0</formula>
    </cfRule>
  </conditionalFormatting>
  <conditionalFormatting sqref="AJ31">
    <cfRule type="cellIs" dxfId="0" priority="21" operator="lessThan">
      <formula>0</formula>
    </cfRule>
  </conditionalFormatting>
  <conditionalFormatting sqref="Y32">
    <cfRule type="cellIs" dxfId="0" priority="85" operator="lessThan">
      <formula>0</formula>
    </cfRule>
  </conditionalFormatting>
  <conditionalFormatting sqref="AI32">
    <cfRule type="cellIs" dxfId="0" priority="62" operator="lessThan">
      <formula>0</formula>
    </cfRule>
  </conditionalFormatting>
  <conditionalFormatting sqref="AJ32">
    <cfRule type="cellIs" dxfId="0" priority="20" operator="lessThan">
      <formula>0</formula>
    </cfRule>
  </conditionalFormatting>
  <conditionalFormatting sqref="Y33">
    <cfRule type="cellIs" dxfId="0" priority="53" operator="lessThan">
      <formula>0</formula>
    </cfRule>
  </conditionalFormatting>
  <conditionalFormatting sqref="AI33">
    <cfRule type="cellIs" dxfId="0" priority="50" operator="lessThan">
      <formula>0</formula>
    </cfRule>
  </conditionalFormatting>
  <conditionalFormatting sqref="AJ33">
    <cfRule type="cellIs" dxfId="0" priority="15" operator="lessThan">
      <formula>0</formula>
    </cfRule>
  </conditionalFormatting>
  <conditionalFormatting sqref="Y34">
    <cfRule type="cellIs" dxfId="0" priority="52" operator="lessThan">
      <formula>0</formula>
    </cfRule>
  </conditionalFormatting>
  <conditionalFormatting sqref="AI34">
    <cfRule type="cellIs" dxfId="0" priority="49" operator="lessThan">
      <formula>0</formula>
    </cfRule>
  </conditionalFormatting>
  <conditionalFormatting sqref="AJ34">
    <cfRule type="cellIs" dxfId="0" priority="14" operator="lessThan">
      <formula>0</formula>
    </cfRule>
  </conditionalFormatting>
  <conditionalFormatting sqref="Y35">
    <cfRule type="cellIs" dxfId="0" priority="51" operator="lessThan">
      <formula>0</formula>
    </cfRule>
  </conditionalFormatting>
  <conditionalFormatting sqref="AI35">
    <cfRule type="cellIs" dxfId="0" priority="48" operator="lessThan">
      <formula>0</formula>
    </cfRule>
  </conditionalFormatting>
  <conditionalFormatting sqref="AJ35">
    <cfRule type="cellIs" dxfId="0" priority="13" operator="lessThan">
      <formula>0</formula>
    </cfRule>
  </conditionalFormatting>
  <conditionalFormatting sqref="Y36">
    <cfRule type="cellIs" dxfId="0" priority="9" operator="lessThan">
      <formula>0</formula>
    </cfRule>
  </conditionalFormatting>
  <conditionalFormatting sqref="AG36">
    <cfRule type="cellIs" dxfId="0" priority="6" operator="lessThan">
      <formula>0</formula>
    </cfRule>
  </conditionalFormatting>
  <conditionalFormatting sqref="AH36">
    <cfRule type="cellIs" dxfId="0" priority="5" operator="lessThan">
      <formula>0</formula>
    </cfRule>
  </conditionalFormatting>
  <conditionalFormatting sqref="AI36">
    <cfRule type="cellIs" dxfId="0" priority="8" operator="lessThan">
      <formula>0</formula>
    </cfRule>
  </conditionalFormatting>
  <conditionalFormatting sqref="AJ36">
    <cfRule type="cellIs" dxfId="0" priority="7" operator="lessThan">
      <formula>0</formula>
    </cfRule>
  </conditionalFormatting>
  <conditionalFormatting sqref="AG6:AG35">
    <cfRule type="cellIs" dxfId="0" priority="11" operator="lessThan">
      <formula>0</formula>
    </cfRule>
  </conditionalFormatting>
  <conditionalFormatting sqref="AH6:AH35">
    <cfRule type="cellIs" dxfId="0" priority="10" operator="lessThan">
      <formula>0</formula>
    </cfRule>
  </conditionalFormatting>
  <conditionalFormatting sqref="Y3 AH3">
    <cfRule type="cellIs" dxfId="0" priority="112" operator="lessThan">
      <formula>0</formula>
    </cfRule>
  </conditionalFormatting>
  <pageMargins left="0.75" right="0.75" top="1" bottom="1" header="0.5" footer="0.5"/>
  <headerFooter/>
  <ignoredErrors>
    <ignoredError sqref="F4:I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0"/>
  <sheetViews>
    <sheetView zoomScale="75" zoomScaleNormal="75" workbookViewId="0">
      <pane ySplit="5" topLeftCell="A6" activePane="bottomLeft" state="frozen"/>
      <selection/>
      <selection pane="bottomLeft" activeCell="Y31" sqref="Y31"/>
    </sheetView>
  </sheetViews>
  <sheetFormatPr defaultColWidth="9.14285714285714" defaultRowHeight="15"/>
  <cols>
    <col min="4" max="4" width="10.0952380952381" customWidth="1"/>
    <col min="17" max="17" width="10.8571428571429" customWidth="1"/>
    <col min="18" max="25" width="11.047619047619" customWidth="1"/>
  </cols>
  <sheetData>
    <row r="1" spans="1:37">
      <c r="A1" s="9" t="s">
        <v>367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1"/>
      <c r="AJ1" s="12"/>
      <c r="AK1" s="3"/>
    </row>
    <row r="2" spans="1:37">
      <c r="A2" s="1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12"/>
      <c r="AK2" s="3"/>
    </row>
    <row r="3" ht="31.5" spans="1:37">
      <c r="A3" s="14" t="s">
        <v>277</v>
      </c>
      <c r="B3" s="14" t="s">
        <v>326</v>
      </c>
      <c r="C3" s="15" t="s">
        <v>327</v>
      </c>
      <c r="D3" s="15" t="s">
        <v>328</v>
      </c>
      <c r="E3" s="15" t="s">
        <v>280</v>
      </c>
      <c r="F3" s="15" t="s">
        <v>24</v>
      </c>
      <c r="G3" s="15" t="s">
        <v>281</v>
      </c>
      <c r="H3" s="15" t="s">
        <v>219</v>
      </c>
      <c r="I3" s="16" t="s">
        <v>282</v>
      </c>
      <c r="J3" s="15" t="s">
        <v>33</v>
      </c>
      <c r="K3" s="15" t="s">
        <v>36</v>
      </c>
      <c r="L3" s="15" t="s">
        <v>37</v>
      </c>
      <c r="M3" s="14" t="s">
        <v>283</v>
      </c>
      <c r="N3" s="14" t="s">
        <v>284</v>
      </c>
      <c r="O3" s="17" t="s">
        <v>157</v>
      </c>
      <c r="P3" s="17" t="s">
        <v>61</v>
      </c>
      <c r="Q3" s="16" t="s">
        <v>285</v>
      </c>
      <c r="R3" s="16" t="s">
        <v>34</v>
      </c>
      <c r="S3" s="16" t="s">
        <v>35</v>
      </c>
      <c r="T3" s="16" t="s">
        <v>27</v>
      </c>
      <c r="U3" s="15" t="s">
        <v>56</v>
      </c>
      <c r="V3" s="15" t="s">
        <v>57</v>
      </c>
      <c r="W3" s="15" t="s">
        <v>286</v>
      </c>
      <c r="X3" s="15" t="s">
        <v>287</v>
      </c>
      <c r="Y3" s="15" t="s">
        <v>288</v>
      </c>
      <c r="Z3" s="14" t="s">
        <v>329</v>
      </c>
      <c r="AA3" s="14" t="s">
        <v>330</v>
      </c>
      <c r="AB3" s="14" t="s">
        <v>330</v>
      </c>
      <c r="AC3" s="14" t="s">
        <v>331</v>
      </c>
      <c r="AD3" s="18" t="s">
        <v>332</v>
      </c>
      <c r="AE3" s="14" t="s">
        <v>289</v>
      </c>
      <c r="AF3" s="14" t="s">
        <v>333</v>
      </c>
      <c r="AG3" s="14" t="s">
        <v>290</v>
      </c>
      <c r="AH3" s="14" t="s">
        <v>291</v>
      </c>
      <c r="AI3" s="14" t="s">
        <v>292</v>
      </c>
      <c r="AJ3" s="14" t="s">
        <v>334</v>
      </c>
      <c r="AK3" s="3"/>
    </row>
    <row r="4" ht="28" customHeight="1" spans="1:37">
      <c r="A4" s="19" t="s">
        <v>335</v>
      </c>
      <c r="B4" s="20">
        <f t="shared" ref="B4:H4" si="0">SUM(B6:B1048575)</f>
        <v>249603</v>
      </c>
      <c r="C4" s="20">
        <f t="shared" si="0"/>
        <v>90118</v>
      </c>
      <c r="D4" s="20">
        <f t="shared" si="0"/>
        <v>331462</v>
      </c>
      <c r="E4" s="20">
        <f t="shared" si="0"/>
        <v>11186.3</v>
      </c>
      <c r="F4" s="21">
        <f>(H4/AJ4)/汇总!S1</f>
        <v>2.35343035343035</v>
      </c>
      <c r="G4" s="20">
        <f t="shared" si="0"/>
        <v>4374</v>
      </c>
      <c r="H4" s="20">
        <f t="shared" si="0"/>
        <v>2264</v>
      </c>
      <c r="I4" s="22">
        <f t="shared" ref="I4:I36" si="1">H4/G4</f>
        <v>0.517604023776863</v>
      </c>
      <c r="J4" s="20">
        <f t="shared" ref="J4:L4" si="2">SUM(J6:J1048575)</f>
        <v>2034</v>
      </c>
      <c r="K4" s="20">
        <f t="shared" si="2"/>
        <v>8992</v>
      </c>
      <c r="L4" s="20">
        <f t="shared" si="2"/>
        <v>6728</v>
      </c>
      <c r="M4" s="23">
        <f t="shared" ref="M4:M36" si="3">E4/G4</f>
        <v>2.55745313214449</v>
      </c>
      <c r="N4" s="23">
        <f t="shared" ref="N4:N36" si="4">E4/H4</f>
        <v>4.94094522968198</v>
      </c>
      <c r="O4" s="20">
        <f t="shared" ref="O4:O36" si="5">U4/H4</f>
        <v>216.322879858657</v>
      </c>
      <c r="P4" s="20">
        <f t="shared" ref="P4:P36" si="6">W4/K4</f>
        <v>506.860602758007</v>
      </c>
      <c r="Q4" s="20">
        <f t="shared" ref="Q4:AD4" si="7">SUM(Q6:Q1048575)</f>
        <v>36862541.3</v>
      </c>
      <c r="R4" s="20">
        <f t="shared" si="7"/>
        <v>396018</v>
      </c>
      <c r="S4" s="20">
        <f t="shared" si="7"/>
        <v>262496</v>
      </c>
      <c r="T4" s="20">
        <f t="shared" si="7"/>
        <v>351982</v>
      </c>
      <c r="U4" s="20">
        <f t="shared" si="7"/>
        <v>489755</v>
      </c>
      <c r="V4" s="20">
        <f t="shared" si="7"/>
        <v>405034.16</v>
      </c>
      <c r="W4" s="20">
        <f t="shared" si="7"/>
        <v>4557690.54</v>
      </c>
      <c r="X4" s="20">
        <f t="shared" si="7"/>
        <v>4055648.62</v>
      </c>
      <c r="Y4" s="20">
        <f t="shared" si="7"/>
        <v>502041.92</v>
      </c>
      <c r="Z4" s="20">
        <f t="shared" si="7"/>
        <v>239</v>
      </c>
      <c r="AA4" s="20">
        <f t="shared" si="7"/>
        <v>239</v>
      </c>
      <c r="AB4" s="20">
        <f t="shared" si="7"/>
        <v>90</v>
      </c>
      <c r="AC4" s="20">
        <f t="shared" si="7"/>
        <v>0</v>
      </c>
      <c r="AD4" s="20">
        <f t="shared" si="7"/>
        <v>86</v>
      </c>
      <c r="AE4" s="20">
        <v>65</v>
      </c>
      <c r="AF4" s="20">
        <v>3752</v>
      </c>
      <c r="AG4" s="24">
        <f t="shared" ref="AG4:AG36" si="8">(U4/60)/E4</f>
        <v>0.729694656261081</v>
      </c>
      <c r="AH4" s="25">
        <f t="shared" ref="AH4:AH36" si="9">(Y4/60)/E4</f>
        <v>0.748001156176156</v>
      </c>
      <c r="AI4" s="26">
        <f t="shared" ref="AI4:AI36" si="10">Q4/W4</f>
        <v>8.08798688205803</v>
      </c>
      <c r="AJ4" s="20">
        <v>37</v>
      </c>
      <c r="AK4" s="3"/>
    </row>
    <row r="5" ht="22.5" spans="1:37">
      <c r="A5" s="27" t="s">
        <v>336</v>
      </c>
      <c r="B5" s="27" t="s">
        <v>337</v>
      </c>
      <c r="C5" s="28" t="s">
        <v>338</v>
      </c>
      <c r="D5" s="28" t="s">
        <v>339</v>
      </c>
      <c r="E5" s="28" t="s">
        <v>340</v>
      </c>
      <c r="F5" s="28" t="s">
        <v>71</v>
      </c>
      <c r="G5" s="28" t="s">
        <v>341</v>
      </c>
      <c r="H5" s="28" t="s">
        <v>342</v>
      </c>
      <c r="I5" s="29" t="s">
        <v>343</v>
      </c>
      <c r="J5" s="28" t="s">
        <v>80</v>
      </c>
      <c r="K5" s="28" t="s">
        <v>83</v>
      </c>
      <c r="L5" s="28" t="s">
        <v>84</v>
      </c>
      <c r="M5" s="27" t="s">
        <v>344</v>
      </c>
      <c r="N5" s="27" t="s">
        <v>345</v>
      </c>
      <c r="O5" s="29" t="s">
        <v>95</v>
      </c>
      <c r="P5" s="29" t="s">
        <v>346</v>
      </c>
      <c r="Q5" s="29" t="s">
        <v>347</v>
      </c>
      <c r="R5" s="29" t="s">
        <v>81</v>
      </c>
      <c r="S5" s="29" t="s">
        <v>82</v>
      </c>
      <c r="T5" s="29" t="s">
        <v>74</v>
      </c>
      <c r="U5" s="28" t="s">
        <v>348</v>
      </c>
      <c r="V5" s="28" t="s">
        <v>349</v>
      </c>
      <c r="W5" s="28" t="s">
        <v>350</v>
      </c>
      <c r="X5" s="28" t="s">
        <v>351</v>
      </c>
      <c r="Y5" s="28" t="s">
        <v>352</v>
      </c>
      <c r="Z5" s="27" t="s">
        <v>353</v>
      </c>
      <c r="AA5" s="27" t="s">
        <v>354</v>
      </c>
      <c r="AB5" s="27" t="s">
        <v>355</v>
      </c>
      <c r="AC5" s="27" t="s">
        <v>356</v>
      </c>
      <c r="AD5" s="30" t="s">
        <v>357</v>
      </c>
      <c r="AE5" s="27" t="s">
        <v>358</v>
      </c>
      <c r="AF5" s="27" t="s">
        <v>359</v>
      </c>
      <c r="AG5" s="27" t="s">
        <v>360</v>
      </c>
      <c r="AH5" s="27" t="s">
        <v>361</v>
      </c>
      <c r="AI5" s="27" t="s">
        <v>362</v>
      </c>
      <c r="AJ5" s="27" t="s">
        <v>363</v>
      </c>
      <c r="AK5" s="3"/>
    </row>
    <row r="6" spans="1:37">
      <c r="A6" s="31">
        <v>46204</v>
      </c>
      <c r="B6" s="32">
        <v>9600</v>
      </c>
      <c r="C6" s="32">
        <v>3466</v>
      </c>
      <c r="D6" s="33">
        <v>121685</v>
      </c>
      <c r="E6" s="21">
        <f t="shared" ref="E6:E36" si="11">(B6+C6+D6)/60</f>
        <v>2245.85</v>
      </c>
      <c r="F6" s="21">
        <f t="shared" ref="F6:F36" si="12">H6/AJ6</f>
        <v>3.36363636363636</v>
      </c>
      <c r="G6" s="33">
        <v>144</v>
      </c>
      <c r="H6" s="33">
        <v>74</v>
      </c>
      <c r="I6" s="25">
        <f t="shared" si="1"/>
        <v>0.513888888888889</v>
      </c>
      <c r="J6" s="33">
        <v>68</v>
      </c>
      <c r="K6" s="33">
        <v>307</v>
      </c>
      <c r="L6" s="34">
        <f t="shared" ref="L6:L36" si="13">K6-H6</f>
        <v>233</v>
      </c>
      <c r="M6" s="35">
        <f t="shared" si="3"/>
        <v>15.5961805555556</v>
      </c>
      <c r="N6" s="35">
        <f t="shared" si="4"/>
        <v>30.3493243243243</v>
      </c>
      <c r="O6" s="34">
        <f t="shared" si="5"/>
        <v>319.540540540541</v>
      </c>
      <c r="P6" s="34">
        <f t="shared" si="6"/>
        <v>674.232964169381</v>
      </c>
      <c r="Q6" s="33">
        <v>1764947.45</v>
      </c>
      <c r="R6" s="33">
        <v>16696</v>
      </c>
      <c r="S6" s="33">
        <v>8533</v>
      </c>
      <c r="T6" s="33">
        <v>14896</v>
      </c>
      <c r="U6" s="33">
        <v>23646</v>
      </c>
      <c r="V6" s="33">
        <v>8533</v>
      </c>
      <c r="W6" s="33">
        <v>206989.52</v>
      </c>
      <c r="X6" s="33">
        <v>197581</v>
      </c>
      <c r="Y6" s="34">
        <f t="shared" ref="Y6:Y36" si="14">W6-X6</f>
        <v>9408.51999999999</v>
      </c>
      <c r="Z6" s="36">
        <v>7</v>
      </c>
      <c r="AA6" s="36">
        <v>7</v>
      </c>
      <c r="AB6" s="36">
        <v>2</v>
      </c>
      <c r="AC6" s="36">
        <v>0</v>
      </c>
      <c r="AD6" s="36">
        <v>2</v>
      </c>
      <c r="AE6" s="37">
        <f>61+AB6-AC6-AD6</f>
        <v>61</v>
      </c>
      <c r="AF6" s="34">
        <f>3513+Z6</f>
        <v>3520</v>
      </c>
      <c r="AG6" s="25">
        <f t="shared" si="8"/>
        <v>0.175479217222878</v>
      </c>
      <c r="AH6" s="25">
        <f t="shared" si="9"/>
        <v>0.0698215226603141</v>
      </c>
      <c r="AI6" s="26">
        <f t="shared" si="10"/>
        <v>8.52674787593111</v>
      </c>
      <c r="AJ6" s="38">
        <v>22</v>
      </c>
      <c r="AK6" s="3"/>
    </row>
    <row r="7" spans="1:37">
      <c r="A7" s="31">
        <v>46205</v>
      </c>
      <c r="B7" s="32">
        <v>9600</v>
      </c>
      <c r="C7" s="32">
        <v>3466</v>
      </c>
      <c r="D7" s="33">
        <v>4563</v>
      </c>
      <c r="E7" s="21">
        <f t="shared" si="11"/>
        <v>293.816666666667</v>
      </c>
      <c r="F7" s="21">
        <f t="shared" si="12"/>
        <v>3</v>
      </c>
      <c r="G7" s="33">
        <f>30+126</f>
        <v>156</v>
      </c>
      <c r="H7" s="33">
        <f>12+87</f>
        <v>99</v>
      </c>
      <c r="I7" s="25">
        <f t="shared" si="1"/>
        <v>0.634615384615385</v>
      </c>
      <c r="J7" s="33">
        <f>10+80</f>
        <v>90</v>
      </c>
      <c r="K7" s="33">
        <f>153+181</f>
        <v>334</v>
      </c>
      <c r="L7" s="34">
        <f t="shared" si="13"/>
        <v>235</v>
      </c>
      <c r="M7" s="35">
        <f t="shared" si="3"/>
        <v>1.88344017094017</v>
      </c>
      <c r="N7" s="35">
        <f t="shared" si="4"/>
        <v>2.96784511784512</v>
      </c>
      <c r="O7" s="34">
        <f t="shared" si="5"/>
        <v>177.484848484848</v>
      </c>
      <c r="P7" s="34">
        <f t="shared" si="6"/>
        <v>617.362275449102</v>
      </c>
      <c r="Q7" s="33">
        <f>491858.44+674993.81</f>
        <v>1166852.25</v>
      </c>
      <c r="R7" s="33">
        <f>1330+12731</f>
        <v>14061</v>
      </c>
      <c r="S7" s="33">
        <f>600+12319</f>
        <v>12919</v>
      </c>
      <c r="T7" s="33">
        <f>1530+12891</f>
        <v>14421</v>
      </c>
      <c r="U7" s="33">
        <f>1630+15941</f>
        <v>17571</v>
      </c>
      <c r="V7" s="33">
        <f>600+15707</f>
        <v>16307</v>
      </c>
      <c r="W7" s="33">
        <f>81151+125048</f>
        <v>206199</v>
      </c>
      <c r="X7" s="33">
        <f>51454+62052</f>
        <v>113506</v>
      </c>
      <c r="Y7" s="34">
        <f t="shared" si="14"/>
        <v>92693</v>
      </c>
      <c r="Z7" s="36">
        <v>7</v>
      </c>
      <c r="AA7" s="36">
        <v>7</v>
      </c>
      <c r="AB7" s="36">
        <v>4</v>
      </c>
      <c r="AC7" s="36">
        <v>0</v>
      </c>
      <c r="AD7" s="36">
        <v>1</v>
      </c>
      <c r="AE7" s="37">
        <f t="shared" ref="AE7:AE36" si="15">AE6+AB7-AC7-AD7</f>
        <v>64</v>
      </c>
      <c r="AF7" s="34">
        <f t="shared" ref="AF7:AF36" si="16">AF6+Z7</f>
        <v>3527</v>
      </c>
      <c r="AG7" s="25">
        <f t="shared" si="8"/>
        <v>0.996709966532418</v>
      </c>
      <c r="AH7" s="25">
        <f t="shared" si="9"/>
        <v>5.25798400363038</v>
      </c>
      <c r="AI7" s="26">
        <f t="shared" si="10"/>
        <v>5.65886473746235</v>
      </c>
      <c r="AJ7" s="38">
        <v>33</v>
      </c>
      <c r="AK7" s="3"/>
    </row>
    <row r="8" spans="1:37">
      <c r="A8" s="31">
        <v>46206</v>
      </c>
      <c r="B8" s="32">
        <v>9600</v>
      </c>
      <c r="C8" s="32">
        <v>3466</v>
      </c>
      <c r="D8" s="33">
        <v>4470</v>
      </c>
      <c r="E8" s="21">
        <f t="shared" si="11"/>
        <v>292.266666666667</v>
      </c>
      <c r="F8" s="21">
        <f t="shared" si="12"/>
        <v>2.55555555555556</v>
      </c>
      <c r="G8" s="33">
        <f>53+109</f>
        <v>162</v>
      </c>
      <c r="H8" s="33">
        <f>21+71</f>
        <v>92</v>
      </c>
      <c r="I8" s="25">
        <f t="shared" si="1"/>
        <v>0.567901234567901</v>
      </c>
      <c r="J8" s="33">
        <f>20+61</f>
        <v>81</v>
      </c>
      <c r="K8" s="33">
        <f>146+188</f>
        <v>334</v>
      </c>
      <c r="L8" s="34">
        <f t="shared" si="13"/>
        <v>242</v>
      </c>
      <c r="M8" s="35">
        <f t="shared" si="3"/>
        <v>1.80411522633745</v>
      </c>
      <c r="N8" s="35">
        <f t="shared" si="4"/>
        <v>3.1768115942029</v>
      </c>
      <c r="O8" s="34">
        <f t="shared" si="5"/>
        <v>186.369565217391</v>
      </c>
      <c r="P8" s="34">
        <f t="shared" si="6"/>
        <v>541.020958083832</v>
      </c>
      <c r="Q8" s="33">
        <f>411877.95+1116564.66</f>
        <v>1528442.61</v>
      </c>
      <c r="R8" s="33">
        <f>4600+10176</f>
        <v>14776</v>
      </c>
      <c r="S8" s="33">
        <f>650+4694</f>
        <v>5344</v>
      </c>
      <c r="T8" s="33">
        <f>2750+11646</f>
        <v>14396</v>
      </c>
      <c r="U8" s="33">
        <f>4700+12446</f>
        <v>17146</v>
      </c>
      <c r="V8" s="33">
        <f>650+4694</f>
        <v>5344</v>
      </c>
      <c r="W8" s="33">
        <f>75079+105622</f>
        <v>180701</v>
      </c>
      <c r="X8" s="33">
        <f>39950+135105</f>
        <v>175055</v>
      </c>
      <c r="Y8" s="34">
        <f t="shared" si="14"/>
        <v>5646</v>
      </c>
      <c r="Z8" s="36">
        <v>11</v>
      </c>
      <c r="AA8" s="36">
        <v>11</v>
      </c>
      <c r="AB8" s="36">
        <v>8</v>
      </c>
      <c r="AC8" s="36">
        <v>0</v>
      </c>
      <c r="AD8" s="36">
        <v>2</v>
      </c>
      <c r="AE8" s="37">
        <f t="shared" si="15"/>
        <v>70</v>
      </c>
      <c r="AF8" s="34">
        <f t="shared" si="16"/>
        <v>3538</v>
      </c>
      <c r="AG8" s="25">
        <f t="shared" si="8"/>
        <v>0.97776003649635</v>
      </c>
      <c r="AH8" s="25">
        <f t="shared" si="9"/>
        <v>0.321966240875912</v>
      </c>
      <c r="AI8" s="26">
        <f t="shared" si="10"/>
        <v>8.45840703703909</v>
      </c>
      <c r="AJ8" s="38">
        <v>36</v>
      </c>
      <c r="AK8" s="3"/>
    </row>
    <row r="9" spans="1:37">
      <c r="A9" s="31">
        <v>46207</v>
      </c>
      <c r="B9" s="32">
        <v>9600</v>
      </c>
      <c r="C9" s="32">
        <v>3466</v>
      </c>
      <c r="D9" s="33">
        <v>3533</v>
      </c>
      <c r="E9" s="21">
        <f t="shared" si="11"/>
        <v>276.65</v>
      </c>
      <c r="F9" s="21">
        <f t="shared" si="12"/>
        <v>3.24137931034483</v>
      </c>
      <c r="G9" s="33">
        <f>31+144</f>
        <v>175</v>
      </c>
      <c r="H9" s="33">
        <f>17+77</f>
        <v>94</v>
      </c>
      <c r="I9" s="25">
        <f t="shared" si="1"/>
        <v>0.537142857142857</v>
      </c>
      <c r="J9" s="33">
        <f>15+75</f>
        <v>90</v>
      </c>
      <c r="K9" s="33">
        <f>156+188</f>
        <v>344</v>
      </c>
      <c r="L9" s="34">
        <f t="shared" si="13"/>
        <v>250</v>
      </c>
      <c r="M9" s="35">
        <f t="shared" si="3"/>
        <v>1.58085714285714</v>
      </c>
      <c r="N9" s="35">
        <f t="shared" si="4"/>
        <v>2.94308510638298</v>
      </c>
      <c r="O9" s="34">
        <f t="shared" si="5"/>
        <v>151.170212765957</v>
      </c>
      <c r="P9" s="34">
        <f t="shared" si="6"/>
        <v>426.790697674419</v>
      </c>
      <c r="Q9" s="33">
        <f>464697.66+645795.09</f>
        <v>1110492.75</v>
      </c>
      <c r="R9" s="33">
        <f>3740+9970</f>
        <v>13710</v>
      </c>
      <c r="S9" s="33">
        <f>1900+5138</f>
        <v>7038</v>
      </c>
      <c r="T9" s="33">
        <f>2290+9350</f>
        <v>11640</v>
      </c>
      <c r="U9" s="33">
        <f>3940+10270</f>
        <v>14210</v>
      </c>
      <c r="V9" s="33">
        <f>2700+5138</f>
        <v>7838</v>
      </c>
      <c r="W9" s="33">
        <f>68426+78390</f>
        <v>146816</v>
      </c>
      <c r="X9" s="33">
        <f>40186+51782</f>
        <v>91968</v>
      </c>
      <c r="Y9" s="34">
        <f t="shared" si="14"/>
        <v>54848</v>
      </c>
      <c r="Z9" s="36">
        <v>3</v>
      </c>
      <c r="AA9" s="36">
        <v>3</v>
      </c>
      <c r="AB9" s="36">
        <v>2</v>
      </c>
      <c r="AC9" s="36">
        <v>0</v>
      </c>
      <c r="AD9" s="36">
        <v>0</v>
      </c>
      <c r="AE9" s="37">
        <f t="shared" si="15"/>
        <v>72</v>
      </c>
      <c r="AF9" s="34">
        <f t="shared" si="16"/>
        <v>3541</v>
      </c>
      <c r="AG9" s="25">
        <f t="shared" si="8"/>
        <v>0.856075667208868</v>
      </c>
      <c r="AH9" s="25">
        <f t="shared" si="9"/>
        <v>3.30429543948431</v>
      </c>
      <c r="AI9" s="26">
        <f t="shared" si="10"/>
        <v>7.56384011279425</v>
      </c>
      <c r="AJ9" s="38">
        <v>29</v>
      </c>
      <c r="AK9" s="3"/>
    </row>
    <row r="10" spans="1:37">
      <c r="A10" s="31">
        <v>46208</v>
      </c>
      <c r="B10" s="32">
        <v>9600</v>
      </c>
      <c r="C10" s="32">
        <v>3466</v>
      </c>
      <c r="D10" s="33">
        <v>2247</v>
      </c>
      <c r="E10" s="21">
        <f t="shared" si="11"/>
        <v>255.216666666667</v>
      </c>
      <c r="F10" s="21">
        <f t="shared" si="12"/>
        <v>2.51351351351351</v>
      </c>
      <c r="G10" s="33">
        <f>29+166</f>
        <v>195</v>
      </c>
      <c r="H10" s="33">
        <f>19+74</f>
        <v>93</v>
      </c>
      <c r="I10" s="25">
        <f t="shared" si="1"/>
        <v>0.476923076923077</v>
      </c>
      <c r="J10" s="33">
        <f>17+67</f>
        <v>84</v>
      </c>
      <c r="K10" s="33">
        <f>163+176</f>
        <v>339</v>
      </c>
      <c r="L10" s="34">
        <f t="shared" si="13"/>
        <v>246</v>
      </c>
      <c r="M10" s="35">
        <f t="shared" si="3"/>
        <v>1.30880341880342</v>
      </c>
      <c r="N10" s="35">
        <f t="shared" si="4"/>
        <v>2.74426523297491</v>
      </c>
      <c r="O10" s="34">
        <f t="shared" si="5"/>
        <v>230.935483870968</v>
      </c>
      <c r="P10" s="34">
        <f t="shared" si="6"/>
        <v>522.286135693215</v>
      </c>
      <c r="Q10" s="33">
        <f>1009374.27+631652.66</f>
        <v>1641026.93</v>
      </c>
      <c r="R10" s="33">
        <f>2849+14848</f>
        <v>17697</v>
      </c>
      <c r="S10" s="33">
        <f>550+4601</f>
        <v>5151</v>
      </c>
      <c r="T10" s="33">
        <f>2340+13698</f>
        <v>16038</v>
      </c>
      <c r="U10" s="33">
        <f>3049+18428</f>
        <v>21477</v>
      </c>
      <c r="V10" s="33">
        <f>550+10101</f>
        <v>10651</v>
      </c>
      <c r="W10" s="33">
        <f>94729+82326</f>
        <v>177055</v>
      </c>
      <c r="X10" s="33">
        <f>38770+47265</f>
        <v>86035</v>
      </c>
      <c r="Y10" s="34">
        <f t="shared" si="14"/>
        <v>91020</v>
      </c>
      <c r="Z10" s="36">
        <v>13</v>
      </c>
      <c r="AA10" s="36">
        <v>13</v>
      </c>
      <c r="AB10" s="36">
        <v>4</v>
      </c>
      <c r="AC10" s="36">
        <v>0</v>
      </c>
      <c r="AD10" s="36">
        <v>4</v>
      </c>
      <c r="AE10" s="37">
        <f t="shared" si="15"/>
        <v>72</v>
      </c>
      <c r="AF10" s="34">
        <f t="shared" si="16"/>
        <v>3554</v>
      </c>
      <c r="AG10" s="25">
        <f t="shared" si="8"/>
        <v>1.40253379481486</v>
      </c>
      <c r="AH10" s="25">
        <f t="shared" si="9"/>
        <v>5.94396917651668</v>
      </c>
      <c r="AI10" s="26">
        <f t="shared" si="10"/>
        <v>9.26845855807517</v>
      </c>
      <c r="AJ10" s="38">
        <v>37</v>
      </c>
      <c r="AK10" s="3"/>
    </row>
    <row r="11" spans="1:37">
      <c r="A11" s="31">
        <v>46209</v>
      </c>
      <c r="B11" s="32">
        <v>9600</v>
      </c>
      <c r="C11" s="32">
        <v>3466</v>
      </c>
      <c r="D11" s="33">
        <v>7203</v>
      </c>
      <c r="E11" s="21">
        <f t="shared" si="11"/>
        <v>337.816666666667</v>
      </c>
      <c r="F11" s="21">
        <f t="shared" si="12"/>
        <v>3.21428571428571</v>
      </c>
      <c r="G11" s="33">
        <f>46+157</f>
        <v>203</v>
      </c>
      <c r="H11" s="33">
        <f>15+75</f>
        <v>90</v>
      </c>
      <c r="I11" s="25">
        <f t="shared" si="1"/>
        <v>0.443349753694581</v>
      </c>
      <c r="J11" s="33">
        <f>13+71</f>
        <v>84</v>
      </c>
      <c r="K11" s="33">
        <f>149+194</f>
        <v>343</v>
      </c>
      <c r="L11" s="34">
        <f t="shared" si="13"/>
        <v>253</v>
      </c>
      <c r="M11" s="35">
        <f t="shared" si="3"/>
        <v>1.66412151067323</v>
      </c>
      <c r="N11" s="35">
        <f t="shared" si="4"/>
        <v>3.75351851851852</v>
      </c>
      <c r="O11" s="34">
        <f t="shared" si="5"/>
        <v>212.711111111111</v>
      </c>
      <c r="P11" s="34">
        <f t="shared" si="6"/>
        <v>515.559766763848</v>
      </c>
      <c r="Q11" s="33">
        <f>664060.21+1005888.03</f>
        <v>1669948.24</v>
      </c>
      <c r="R11" s="33">
        <f>7005+10489</f>
        <v>17494</v>
      </c>
      <c r="S11" s="33">
        <f>2870+6473</f>
        <v>9343</v>
      </c>
      <c r="T11" s="33">
        <f>3305+9829</f>
        <v>13134</v>
      </c>
      <c r="U11" s="33">
        <f>7705+11439</f>
        <v>19144</v>
      </c>
      <c r="V11" s="33">
        <f>3770+6473</f>
        <v>10243</v>
      </c>
      <c r="W11" s="33">
        <f>84428+92409</f>
        <v>176837</v>
      </c>
      <c r="X11" s="33">
        <f>74410+53473</f>
        <v>127883</v>
      </c>
      <c r="Y11" s="34">
        <f t="shared" si="14"/>
        <v>48954</v>
      </c>
      <c r="Z11" s="36">
        <v>15</v>
      </c>
      <c r="AA11" s="36">
        <v>15</v>
      </c>
      <c r="AB11" s="36">
        <v>2</v>
      </c>
      <c r="AC11" s="36">
        <v>0</v>
      </c>
      <c r="AD11" s="36">
        <v>0</v>
      </c>
      <c r="AE11" s="37">
        <f t="shared" si="15"/>
        <v>74</v>
      </c>
      <c r="AF11" s="34">
        <f t="shared" si="16"/>
        <v>3569</v>
      </c>
      <c r="AG11" s="25">
        <f t="shared" si="8"/>
        <v>0.944496521782032</v>
      </c>
      <c r="AH11" s="25">
        <f t="shared" si="9"/>
        <v>2.41521535349549</v>
      </c>
      <c r="AI11" s="26">
        <f t="shared" si="10"/>
        <v>9.44343231337333</v>
      </c>
      <c r="AJ11" s="38">
        <v>28</v>
      </c>
      <c r="AK11" s="3"/>
    </row>
    <row r="12" spans="1:37">
      <c r="A12" s="31">
        <v>46210</v>
      </c>
      <c r="B12" s="32">
        <v>9600</v>
      </c>
      <c r="C12" s="32">
        <v>3466</v>
      </c>
      <c r="D12" s="33">
        <v>6309</v>
      </c>
      <c r="E12" s="21">
        <f t="shared" si="11"/>
        <v>322.916666666667</v>
      </c>
      <c r="F12" s="21">
        <f t="shared" si="12"/>
        <v>3.64285714285714</v>
      </c>
      <c r="G12" s="33">
        <f>23+171</f>
        <v>194</v>
      </c>
      <c r="H12" s="33">
        <f>13+89</f>
        <v>102</v>
      </c>
      <c r="I12" s="25">
        <f t="shared" si="1"/>
        <v>0.525773195876289</v>
      </c>
      <c r="J12" s="33">
        <f>9+79</f>
        <v>88</v>
      </c>
      <c r="K12" s="33">
        <f>164+187</f>
        <v>351</v>
      </c>
      <c r="L12" s="34">
        <f t="shared" si="13"/>
        <v>249</v>
      </c>
      <c r="M12" s="35">
        <f t="shared" si="3"/>
        <v>1.66451890034364</v>
      </c>
      <c r="N12" s="35">
        <f t="shared" si="4"/>
        <v>3.16584967320261</v>
      </c>
      <c r="O12" s="34">
        <f t="shared" si="5"/>
        <v>210.813725490196</v>
      </c>
      <c r="P12" s="34">
        <f t="shared" si="6"/>
        <v>436.524216524217</v>
      </c>
      <c r="Q12" s="33">
        <f>672468.93+611008.84</f>
        <v>1283477.77</v>
      </c>
      <c r="R12" s="33">
        <f>2250+15768</f>
        <v>18018</v>
      </c>
      <c r="S12" s="33">
        <f>900+11880</f>
        <v>12780</v>
      </c>
      <c r="T12" s="33">
        <f>1950+14253</f>
        <v>16203</v>
      </c>
      <c r="U12" s="33">
        <f>2650+18853</f>
        <v>21503</v>
      </c>
      <c r="V12" s="33">
        <f>1500+13230</f>
        <v>14730</v>
      </c>
      <c r="W12" s="33">
        <f>92533+60687</f>
        <v>153220</v>
      </c>
      <c r="X12" s="33">
        <f>96995+58360</f>
        <v>155355</v>
      </c>
      <c r="Y12" s="34">
        <f t="shared" si="14"/>
        <v>-2135</v>
      </c>
      <c r="Z12" s="36">
        <v>7</v>
      </c>
      <c r="AA12" s="36">
        <v>7</v>
      </c>
      <c r="AB12" s="36">
        <v>0</v>
      </c>
      <c r="AC12" s="36">
        <v>0</v>
      </c>
      <c r="AD12" s="36">
        <v>1</v>
      </c>
      <c r="AE12" s="37">
        <f t="shared" si="15"/>
        <v>73</v>
      </c>
      <c r="AF12" s="34">
        <f t="shared" si="16"/>
        <v>3576</v>
      </c>
      <c r="AG12" s="25">
        <f t="shared" si="8"/>
        <v>1.10983225806452</v>
      </c>
      <c r="AH12" s="25">
        <f t="shared" si="9"/>
        <v>-0.110193548387097</v>
      </c>
      <c r="AI12" s="26">
        <f t="shared" si="10"/>
        <v>8.37669866858113</v>
      </c>
      <c r="AJ12" s="38">
        <v>28</v>
      </c>
      <c r="AK12" s="3"/>
    </row>
    <row r="13" spans="1:37">
      <c r="A13" s="31">
        <v>46211</v>
      </c>
      <c r="B13" s="32">
        <v>9600</v>
      </c>
      <c r="C13" s="32">
        <v>3466</v>
      </c>
      <c r="D13" s="33">
        <v>5325</v>
      </c>
      <c r="E13" s="21">
        <f t="shared" si="11"/>
        <v>306.516666666667</v>
      </c>
      <c r="F13" s="21">
        <f t="shared" si="12"/>
        <v>3.2258064516129</v>
      </c>
      <c r="G13" s="33">
        <f>25+197</f>
        <v>222</v>
      </c>
      <c r="H13" s="33">
        <f>11+89</f>
        <v>100</v>
      </c>
      <c r="I13" s="25">
        <f t="shared" si="1"/>
        <v>0.45045045045045</v>
      </c>
      <c r="J13" s="33">
        <f>9+81</f>
        <v>90</v>
      </c>
      <c r="K13" s="33">
        <f>142+197</f>
        <v>339</v>
      </c>
      <c r="L13" s="34">
        <f t="shared" si="13"/>
        <v>239</v>
      </c>
      <c r="M13" s="35">
        <f t="shared" si="3"/>
        <v>1.38070570570571</v>
      </c>
      <c r="N13" s="35">
        <f t="shared" si="4"/>
        <v>3.06516666666667</v>
      </c>
      <c r="O13" s="34">
        <f t="shared" si="5"/>
        <v>274.89</v>
      </c>
      <c r="P13" s="34">
        <f t="shared" si="6"/>
        <v>440.297935103245</v>
      </c>
      <c r="Q13" s="33">
        <f>536052.95+347964.6</f>
        <v>884017.55</v>
      </c>
      <c r="R13" s="33">
        <f>6600+18489</f>
        <v>25089</v>
      </c>
      <c r="S13" s="33">
        <f>5400+5537</f>
        <v>10937</v>
      </c>
      <c r="T13" s="33">
        <f>3000+14149</f>
        <v>17149</v>
      </c>
      <c r="U13" s="33">
        <f>7300+20189</f>
        <v>27489</v>
      </c>
      <c r="V13" s="33">
        <f>5400+6552</f>
        <v>11952</v>
      </c>
      <c r="W13" s="33">
        <f>75057+74204</f>
        <v>149261</v>
      </c>
      <c r="X13" s="33">
        <f>61618+57150</f>
        <v>118768</v>
      </c>
      <c r="Y13" s="34">
        <f t="shared" si="14"/>
        <v>30493</v>
      </c>
      <c r="Z13" s="36">
        <v>20</v>
      </c>
      <c r="AA13" s="36">
        <v>20</v>
      </c>
      <c r="AB13" s="36">
        <v>5</v>
      </c>
      <c r="AC13" s="36">
        <v>0</v>
      </c>
      <c r="AD13" s="36">
        <v>0</v>
      </c>
      <c r="AE13" s="37">
        <f t="shared" si="15"/>
        <v>78</v>
      </c>
      <c r="AF13" s="34">
        <f t="shared" si="16"/>
        <v>3596</v>
      </c>
      <c r="AG13" s="25">
        <f t="shared" si="8"/>
        <v>1.4946984938285</v>
      </c>
      <c r="AH13" s="25">
        <f t="shared" si="9"/>
        <v>1.65803925833288</v>
      </c>
      <c r="AI13" s="26">
        <f t="shared" si="10"/>
        <v>5.92262915296025</v>
      </c>
      <c r="AJ13" s="38">
        <v>31</v>
      </c>
      <c r="AK13" s="3"/>
    </row>
    <row r="14" spans="1:37">
      <c r="A14" s="31">
        <v>46212</v>
      </c>
      <c r="B14" s="32">
        <v>9600</v>
      </c>
      <c r="C14" s="32">
        <v>3466</v>
      </c>
      <c r="D14" s="33">
        <v>5295</v>
      </c>
      <c r="E14" s="21">
        <f t="shared" si="11"/>
        <v>306.016666666667</v>
      </c>
      <c r="F14" s="21">
        <f t="shared" si="12"/>
        <v>4.40909090909091</v>
      </c>
      <c r="G14" s="33">
        <f>10+161</f>
        <v>171</v>
      </c>
      <c r="H14" s="33">
        <f>5+92</f>
        <v>97</v>
      </c>
      <c r="I14" s="25">
        <f t="shared" si="1"/>
        <v>0.567251461988304</v>
      </c>
      <c r="J14" s="33">
        <f>2+85</f>
        <v>87</v>
      </c>
      <c r="K14" s="33">
        <f>155+194</f>
        <v>349</v>
      </c>
      <c r="L14" s="34">
        <f t="shared" si="13"/>
        <v>252</v>
      </c>
      <c r="M14" s="35">
        <f t="shared" si="3"/>
        <v>1.78957115009747</v>
      </c>
      <c r="N14" s="35">
        <f t="shared" si="4"/>
        <v>3.15481099656357</v>
      </c>
      <c r="O14" s="34">
        <f t="shared" si="5"/>
        <v>209.360824742268</v>
      </c>
      <c r="P14" s="34">
        <f t="shared" si="6"/>
        <v>489.481375358166</v>
      </c>
      <c r="Q14" s="33">
        <f>717526.26+507557.31</f>
        <v>1225083.57</v>
      </c>
      <c r="R14" s="33">
        <f>300+14788</f>
        <v>15088</v>
      </c>
      <c r="S14" s="33">
        <f>0+10152</f>
        <v>10152</v>
      </c>
      <c r="T14" s="33">
        <f>1000+15238</f>
        <v>16238</v>
      </c>
      <c r="U14" s="33">
        <f>1000+19308</f>
        <v>20308</v>
      </c>
      <c r="V14" s="33">
        <f>1300+15862</f>
        <v>17162</v>
      </c>
      <c r="W14" s="33">
        <f>104771+66058</f>
        <v>170829</v>
      </c>
      <c r="X14" s="33">
        <f>76737+67660</f>
        <v>144397</v>
      </c>
      <c r="Y14" s="34">
        <f t="shared" si="14"/>
        <v>26432</v>
      </c>
      <c r="Z14" s="36">
        <v>6</v>
      </c>
      <c r="AA14" s="36">
        <v>6</v>
      </c>
      <c r="AB14" s="36">
        <v>6</v>
      </c>
      <c r="AC14" s="36">
        <v>0</v>
      </c>
      <c r="AD14" s="36">
        <v>2</v>
      </c>
      <c r="AE14" s="37">
        <f t="shared" si="15"/>
        <v>82</v>
      </c>
      <c r="AF14" s="34">
        <f t="shared" si="16"/>
        <v>3602</v>
      </c>
      <c r="AG14" s="25">
        <f t="shared" si="8"/>
        <v>1.10603997603616</v>
      </c>
      <c r="AH14" s="25">
        <f t="shared" si="9"/>
        <v>1.4395730080061</v>
      </c>
      <c r="AI14" s="26">
        <f t="shared" si="10"/>
        <v>7.17140280631509</v>
      </c>
      <c r="AJ14" s="38">
        <v>22</v>
      </c>
      <c r="AK14" s="3"/>
    </row>
    <row r="15" spans="1:37">
      <c r="A15" s="31">
        <v>46213</v>
      </c>
      <c r="B15" s="32">
        <v>9600</v>
      </c>
      <c r="C15" s="32">
        <v>3466</v>
      </c>
      <c r="D15" s="33">
        <v>0</v>
      </c>
      <c r="E15" s="21">
        <f t="shared" si="11"/>
        <v>217.766666666667</v>
      </c>
      <c r="F15" s="21">
        <f t="shared" si="12"/>
        <v>3.13157894736842</v>
      </c>
      <c r="G15" s="33">
        <f>13+178</f>
        <v>191</v>
      </c>
      <c r="H15" s="33">
        <f>11+108</f>
        <v>119</v>
      </c>
      <c r="I15" s="25">
        <f t="shared" si="1"/>
        <v>0.62303664921466</v>
      </c>
      <c r="J15" s="33">
        <f>4+96</f>
        <v>100</v>
      </c>
      <c r="K15" s="33">
        <f>150+216</f>
        <v>366</v>
      </c>
      <c r="L15" s="34">
        <f t="shared" si="13"/>
        <v>247</v>
      </c>
      <c r="M15" s="35">
        <f t="shared" si="3"/>
        <v>1.14013961605585</v>
      </c>
      <c r="N15" s="35">
        <f t="shared" si="4"/>
        <v>1.82997198879552</v>
      </c>
      <c r="O15" s="34">
        <f t="shared" si="5"/>
        <v>190.453781512605</v>
      </c>
      <c r="P15" s="34">
        <f t="shared" si="6"/>
        <v>644.314207650273</v>
      </c>
      <c r="Q15" s="33">
        <f>1327127.51+653694.44</f>
        <v>1980821.95</v>
      </c>
      <c r="R15" s="33">
        <f>2215+14991</f>
        <v>17206</v>
      </c>
      <c r="S15" s="33">
        <f>575+4859</f>
        <v>5434</v>
      </c>
      <c r="T15" s="33">
        <f>1515+13999</f>
        <v>15514</v>
      </c>
      <c r="U15" s="33">
        <f>4915+17749</f>
        <v>22664</v>
      </c>
      <c r="V15" s="33">
        <f>1125+6559</f>
        <v>7684</v>
      </c>
      <c r="W15" s="33">
        <f>127412+108407</f>
        <v>235819</v>
      </c>
      <c r="X15" s="33">
        <f>109697+42266</f>
        <v>151963</v>
      </c>
      <c r="Y15" s="34">
        <f t="shared" si="14"/>
        <v>83856</v>
      </c>
      <c r="Z15" s="36">
        <v>16</v>
      </c>
      <c r="AA15" s="36">
        <v>16</v>
      </c>
      <c r="AB15" s="36">
        <v>9</v>
      </c>
      <c r="AC15" s="36">
        <v>0</v>
      </c>
      <c r="AD15" s="36">
        <v>14</v>
      </c>
      <c r="AE15" s="37">
        <f t="shared" si="15"/>
        <v>77</v>
      </c>
      <c r="AF15" s="34">
        <f t="shared" si="16"/>
        <v>3618</v>
      </c>
      <c r="AG15" s="25">
        <f t="shared" si="8"/>
        <v>1.73457829481096</v>
      </c>
      <c r="AH15" s="25">
        <f t="shared" si="9"/>
        <v>6.4178784631869</v>
      </c>
      <c r="AI15" s="26">
        <f t="shared" si="10"/>
        <v>8.39975553284511</v>
      </c>
      <c r="AJ15" s="38">
        <v>38</v>
      </c>
      <c r="AK15" s="3"/>
    </row>
    <row r="16" spans="1:37">
      <c r="A16" s="31">
        <v>46214</v>
      </c>
      <c r="B16" s="32">
        <v>9600</v>
      </c>
      <c r="C16" s="32">
        <v>3466</v>
      </c>
      <c r="D16" s="33">
        <v>10070</v>
      </c>
      <c r="E16" s="21">
        <f t="shared" si="11"/>
        <v>385.6</v>
      </c>
      <c r="F16" s="21">
        <f t="shared" si="12"/>
        <v>2.56410256410256</v>
      </c>
      <c r="G16" s="33">
        <f>15+173</f>
        <v>188</v>
      </c>
      <c r="H16" s="33">
        <f>10+90</f>
        <v>100</v>
      </c>
      <c r="I16" s="25">
        <f t="shared" si="1"/>
        <v>0.531914893617021</v>
      </c>
      <c r="J16" s="33">
        <f>9+83</f>
        <v>92</v>
      </c>
      <c r="K16" s="33">
        <f>162+215</f>
        <v>377</v>
      </c>
      <c r="L16" s="34">
        <f t="shared" si="13"/>
        <v>277</v>
      </c>
      <c r="M16" s="35">
        <f t="shared" si="3"/>
        <v>2.05106382978723</v>
      </c>
      <c r="N16" s="35">
        <f t="shared" si="4"/>
        <v>3.856</v>
      </c>
      <c r="O16" s="34">
        <f t="shared" si="5"/>
        <v>172.06</v>
      </c>
      <c r="P16" s="34">
        <f t="shared" si="6"/>
        <v>520.127320954907</v>
      </c>
      <c r="Q16" s="33">
        <f>519138.53+714439.42</f>
        <v>1233577.95</v>
      </c>
      <c r="R16" s="33">
        <f>2645+12250</f>
        <v>14895</v>
      </c>
      <c r="S16" s="33">
        <f>1200+12447</f>
        <v>13647</v>
      </c>
      <c r="T16" s="33">
        <f>1510+12340</f>
        <v>13850</v>
      </c>
      <c r="U16" s="33">
        <f>3166+14040</f>
        <v>17206</v>
      </c>
      <c r="V16" s="33">
        <f>1940+16847</f>
        <v>18787</v>
      </c>
      <c r="W16" s="33">
        <f>96247+99841</f>
        <v>196088</v>
      </c>
      <c r="X16" s="33">
        <f>43799+110233</f>
        <v>154032</v>
      </c>
      <c r="Y16" s="34">
        <f t="shared" si="14"/>
        <v>42056</v>
      </c>
      <c r="Z16" s="36">
        <v>9</v>
      </c>
      <c r="AA16" s="36">
        <v>9</v>
      </c>
      <c r="AB16" s="36">
        <v>3</v>
      </c>
      <c r="AC16" s="36">
        <v>0</v>
      </c>
      <c r="AD16" s="36">
        <v>1</v>
      </c>
      <c r="AE16" s="37">
        <f t="shared" si="15"/>
        <v>79</v>
      </c>
      <c r="AF16" s="34">
        <f t="shared" si="16"/>
        <v>3627</v>
      </c>
      <c r="AG16" s="25">
        <f t="shared" si="8"/>
        <v>0.74368948824343</v>
      </c>
      <c r="AH16" s="25">
        <f t="shared" si="9"/>
        <v>1.81777316735823</v>
      </c>
      <c r="AI16" s="26">
        <f t="shared" si="10"/>
        <v>6.2909405471013</v>
      </c>
      <c r="AJ16" s="38">
        <v>39</v>
      </c>
      <c r="AK16" s="3"/>
    </row>
    <row r="17" spans="1:37">
      <c r="A17" s="31">
        <v>46215</v>
      </c>
      <c r="B17" s="32">
        <v>9600</v>
      </c>
      <c r="C17" s="32">
        <v>3466</v>
      </c>
      <c r="D17" s="33">
        <v>6418</v>
      </c>
      <c r="E17" s="21">
        <f t="shared" si="11"/>
        <v>324.733333333333</v>
      </c>
      <c r="F17" s="21">
        <f t="shared" si="12"/>
        <v>3.84210526315789</v>
      </c>
      <c r="G17" s="33">
        <f>6+127</f>
        <v>133</v>
      </c>
      <c r="H17" s="33">
        <f>7+66</f>
        <v>73</v>
      </c>
      <c r="I17" s="25">
        <f t="shared" si="1"/>
        <v>0.548872180451128</v>
      </c>
      <c r="J17" s="33">
        <f>1+59</f>
        <v>60</v>
      </c>
      <c r="K17" s="33">
        <f>174+195</f>
        <v>369</v>
      </c>
      <c r="L17" s="34">
        <f t="shared" si="13"/>
        <v>296</v>
      </c>
      <c r="M17" s="35">
        <f t="shared" si="3"/>
        <v>2.44160401002506</v>
      </c>
      <c r="N17" s="35">
        <f t="shared" si="4"/>
        <v>4.44840182648402</v>
      </c>
      <c r="O17" s="34">
        <f t="shared" si="5"/>
        <v>237.438356164384</v>
      </c>
      <c r="P17" s="34">
        <f t="shared" si="6"/>
        <v>603.609756097561</v>
      </c>
      <c r="Q17" s="33">
        <f>1258806.36+582870.36</f>
        <v>1841676.72</v>
      </c>
      <c r="R17" s="33">
        <f>200+13983</f>
        <v>14183</v>
      </c>
      <c r="S17" s="33">
        <f>0+9933</f>
        <v>9933</v>
      </c>
      <c r="T17" s="33">
        <f>1250+10978</f>
        <v>12228</v>
      </c>
      <c r="U17" s="33">
        <f>1750+15583</f>
        <v>17333</v>
      </c>
      <c r="V17" s="33">
        <f>3000+11833</f>
        <v>14833</v>
      </c>
      <c r="W17" s="33">
        <f>131638+91094</f>
        <v>222732</v>
      </c>
      <c r="X17" s="33">
        <f>80471+75975</f>
        <v>156446</v>
      </c>
      <c r="Y17" s="34">
        <f t="shared" si="14"/>
        <v>66286</v>
      </c>
      <c r="Z17" s="36">
        <v>11</v>
      </c>
      <c r="AA17" s="36">
        <v>11</v>
      </c>
      <c r="AB17" s="36">
        <v>0</v>
      </c>
      <c r="AC17" s="36">
        <v>0</v>
      </c>
      <c r="AD17" s="36">
        <v>4</v>
      </c>
      <c r="AE17" s="37">
        <f t="shared" si="15"/>
        <v>75</v>
      </c>
      <c r="AF17" s="34">
        <f t="shared" si="16"/>
        <v>3638</v>
      </c>
      <c r="AG17" s="25">
        <f t="shared" si="8"/>
        <v>0.889601724491891</v>
      </c>
      <c r="AH17" s="25">
        <f t="shared" si="9"/>
        <v>3.40207349620201</v>
      </c>
      <c r="AI17" s="26">
        <f t="shared" si="10"/>
        <v>8.26857712407737</v>
      </c>
      <c r="AJ17" s="38">
        <v>19</v>
      </c>
      <c r="AK17" s="3"/>
    </row>
    <row r="18" spans="1:37">
      <c r="A18" s="31">
        <v>46216</v>
      </c>
      <c r="B18" s="32">
        <v>9600</v>
      </c>
      <c r="C18" s="32">
        <v>3466</v>
      </c>
      <c r="D18" s="33">
        <v>0</v>
      </c>
      <c r="E18" s="21">
        <f t="shared" si="11"/>
        <v>217.766666666667</v>
      </c>
      <c r="F18" s="21">
        <f t="shared" si="12"/>
        <v>2.75862068965517</v>
      </c>
      <c r="G18" s="33">
        <f>13+135</f>
        <v>148</v>
      </c>
      <c r="H18" s="33">
        <f>8+72</f>
        <v>80</v>
      </c>
      <c r="I18" s="25">
        <f t="shared" si="1"/>
        <v>0.540540540540541</v>
      </c>
      <c r="J18" s="33">
        <f>5+63</f>
        <v>68</v>
      </c>
      <c r="K18" s="33">
        <f>153+194</f>
        <v>347</v>
      </c>
      <c r="L18" s="34">
        <f t="shared" si="13"/>
        <v>267</v>
      </c>
      <c r="M18" s="35">
        <f t="shared" si="3"/>
        <v>1.4713963963964</v>
      </c>
      <c r="N18" s="35">
        <f t="shared" si="4"/>
        <v>2.72208333333333</v>
      </c>
      <c r="O18" s="34">
        <f t="shared" si="5"/>
        <v>229.05</v>
      </c>
      <c r="P18" s="34">
        <f t="shared" si="6"/>
        <v>420.775216138329</v>
      </c>
      <c r="Q18" s="33">
        <f>566082.29+527466.32</f>
        <v>1093548.61</v>
      </c>
      <c r="R18" s="33">
        <f>2100+13704</f>
        <v>15804</v>
      </c>
      <c r="S18" s="33">
        <f>2200+18437</f>
        <v>20637</v>
      </c>
      <c r="T18" s="33">
        <f>1700+11774</f>
        <v>13474</v>
      </c>
      <c r="U18" s="33">
        <f>2100+16224</f>
        <v>18324</v>
      </c>
      <c r="V18" s="33">
        <f>2200+19337</f>
        <v>21537</v>
      </c>
      <c r="W18" s="33">
        <f>73468+72541</f>
        <v>146009</v>
      </c>
      <c r="X18" s="33">
        <f>62846+62321</f>
        <v>125167</v>
      </c>
      <c r="Y18" s="34">
        <f t="shared" si="14"/>
        <v>20842</v>
      </c>
      <c r="Z18" s="36">
        <v>5</v>
      </c>
      <c r="AA18" s="36">
        <v>5</v>
      </c>
      <c r="AB18" s="36">
        <v>1</v>
      </c>
      <c r="AC18" s="36">
        <v>0</v>
      </c>
      <c r="AD18" s="36">
        <v>1</v>
      </c>
      <c r="AE18" s="37">
        <f t="shared" si="15"/>
        <v>75</v>
      </c>
      <c r="AF18" s="34">
        <f t="shared" si="16"/>
        <v>3643</v>
      </c>
      <c r="AG18" s="25">
        <f t="shared" si="8"/>
        <v>1.40241849073932</v>
      </c>
      <c r="AH18" s="25">
        <f t="shared" si="9"/>
        <v>1.59513240471453</v>
      </c>
      <c r="AI18" s="26">
        <f t="shared" si="10"/>
        <v>7.48959728509886</v>
      </c>
      <c r="AJ18" s="38">
        <v>29</v>
      </c>
      <c r="AK18" s="3"/>
    </row>
    <row r="19" spans="1:37">
      <c r="A19" s="31">
        <v>46217</v>
      </c>
      <c r="B19" s="32">
        <v>9600</v>
      </c>
      <c r="C19" s="32">
        <v>3466</v>
      </c>
      <c r="D19" s="33">
        <v>0</v>
      </c>
      <c r="E19" s="21">
        <f t="shared" si="11"/>
        <v>217.766666666667</v>
      </c>
      <c r="F19" s="21">
        <f t="shared" si="12"/>
        <v>2.27586206896552</v>
      </c>
      <c r="G19" s="33">
        <f>4+121</f>
        <v>125</v>
      </c>
      <c r="H19" s="33">
        <f>5+61</f>
        <v>66</v>
      </c>
      <c r="I19" s="25">
        <f t="shared" si="1"/>
        <v>0.528</v>
      </c>
      <c r="J19" s="33">
        <f>0+49</f>
        <v>49</v>
      </c>
      <c r="K19" s="33">
        <f>146+172</f>
        <v>318</v>
      </c>
      <c r="L19" s="34">
        <f t="shared" si="13"/>
        <v>252</v>
      </c>
      <c r="M19" s="35">
        <f t="shared" si="3"/>
        <v>1.74213333333333</v>
      </c>
      <c r="N19" s="35">
        <f t="shared" si="4"/>
        <v>3.29949494949495</v>
      </c>
      <c r="O19" s="34">
        <f t="shared" si="5"/>
        <v>163.106060606061</v>
      </c>
      <c r="P19" s="34">
        <f t="shared" si="6"/>
        <v>494.75786163522</v>
      </c>
      <c r="Q19" s="33">
        <f>569313.17+445920.62</f>
        <v>1015233.79</v>
      </c>
      <c r="R19" s="33">
        <f>0+7725</f>
        <v>7725</v>
      </c>
      <c r="S19" s="33">
        <f>0+6561</f>
        <v>6561</v>
      </c>
      <c r="T19" s="33">
        <f>705+8010</f>
        <v>8715</v>
      </c>
      <c r="U19" s="33">
        <f>1105+9660</f>
        <v>10765</v>
      </c>
      <c r="V19" s="33">
        <f>2750+6861</f>
        <v>9611</v>
      </c>
      <c r="W19" s="33">
        <f>86177+71156</f>
        <v>157333</v>
      </c>
      <c r="X19" s="33">
        <f>79381+71181</f>
        <v>150562</v>
      </c>
      <c r="Y19" s="34">
        <f t="shared" si="14"/>
        <v>6771</v>
      </c>
      <c r="Z19" s="36">
        <v>7</v>
      </c>
      <c r="AA19" s="36">
        <v>7</v>
      </c>
      <c r="AB19" s="36">
        <v>5</v>
      </c>
      <c r="AC19" s="36">
        <v>0</v>
      </c>
      <c r="AD19" s="36">
        <v>3</v>
      </c>
      <c r="AE19" s="37">
        <f t="shared" si="15"/>
        <v>77</v>
      </c>
      <c r="AF19" s="34">
        <f t="shared" si="16"/>
        <v>3650</v>
      </c>
      <c r="AG19" s="25">
        <f t="shared" si="8"/>
        <v>0.823894076228379</v>
      </c>
      <c r="AH19" s="25">
        <f t="shared" si="9"/>
        <v>0.518215215061993</v>
      </c>
      <c r="AI19" s="26">
        <f t="shared" si="10"/>
        <v>6.45277081095511</v>
      </c>
      <c r="AJ19" s="38">
        <v>29</v>
      </c>
      <c r="AK19" s="3"/>
    </row>
    <row r="20" spans="1:37">
      <c r="A20" s="31">
        <v>46218</v>
      </c>
      <c r="B20" s="32">
        <v>9600</v>
      </c>
      <c r="C20" s="32">
        <v>3466</v>
      </c>
      <c r="D20" s="33">
        <v>7500</v>
      </c>
      <c r="E20" s="21">
        <f t="shared" si="11"/>
        <v>342.766666666667</v>
      </c>
      <c r="F20" s="21">
        <f t="shared" si="12"/>
        <v>3.51851851851852</v>
      </c>
      <c r="G20" s="33">
        <f>22+153</f>
        <v>175</v>
      </c>
      <c r="H20" s="33">
        <f>3+92</f>
        <v>95</v>
      </c>
      <c r="I20" s="25">
        <f t="shared" si="1"/>
        <v>0.542857142857143</v>
      </c>
      <c r="J20" s="33">
        <f>3+86</f>
        <v>89</v>
      </c>
      <c r="K20" s="33">
        <f>146+205</f>
        <v>351</v>
      </c>
      <c r="L20" s="34">
        <f t="shared" si="13"/>
        <v>256</v>
      </c>
      <c r="M20" s="35">
        <f t="shared" si="3"/>
        <v>1.95866666666667</v>
      </c>
      <c r="N20" s="35">
        <f t="shared" si="4"/>
        <v>3.6080701754386</v>
      </c>
      <c r="O20" s="34">
        <f t="shared" si="5"/>
        <v>217.063157894737</v>
      </c>
      <c r="P20" s="34">
        <f t="shared" si="6"/>
        <v>472.883190883191</v>
      </c>
      <c r="Q20" s="33">
        <f>580302.26+514207.66</f>
        <v>1094509.92</v>
      </c>
      <c r="R20" s="33">
        <f>550+16161</f>
        <v>16711</v>
      </c>
      <c r="S20" s="33">
        <f>1800+11199</f>
        <v>12999</v>
      </c>
      <c r="T20" s="33">
        <f>550+17093</f>
        <v>17643</v>
      </c>
      <c r="U20" s="33">
        <f>550+20071</f>
        <v>20621</v>
      </c>
      <c r="V20" s="33">
        <f>1800+12699</f>
        <v>14499</v>
      </c>
      <c r="W20" s="33">
        <f>87290+78692</f>
        <v>165982</v>
      </c>
      <c r="X20" s="33">
        <f>73527+64019</f>
        <v>137546</v>
      </c>
      <c r="Y20" s="34">
        <f t="shared" si="14"/>
        <v>28436</v>
      </c>
      <c r="Z20" s="36">
        <v>4</v>
      </c>
      <c r="AA20" s="36">
        <v>4</v>
      </c>
      <c r="AB20" s="36">
        <v>2</v>
      </c>
      <c r="AC20" s="36">
        <v>0</v>
      </c>
      <c r="AD20" s="36">
        <v>3</v>
      </c>
      <c r="AE20" s="37">
        <f t="shared" si="15"/>
        <v>76</v>
      </c>
      <c r="AF20" s="34">
        <f t="shared" si="16"/>
        <v>3654</v>
      </c>
      <c r="AG20" s="25">
        <f t="shared" si="8"/>
        <v>1.00267431683361</v>
      </c>
      <c r="AH20" s="25">
        <f t="shared" si="9"/>
        <v>1.38267042691821</v>
      </c>
      <c r="AI20" s="26">
        <f t="shared" si="10"/>
        <v>6.59414828113892</v>
      </c>
      <c r="AJ20" s="38">
        <v>27</v>
      </c>
      <c r="AK20" s="3"/>
    </row>
    <row r="21" spans="1:37">
      <c r="A21" s="31">
        <v>46219</v>
      </c>
      <c r="B21" s="32">
        <v>9600</v>
      </c>
      <c r="C21" s="32">
        <v>3466</v>
      </c>
      <c r="D21" s="33">
        <v>0</v>
      </c>
      <c r="E21" s="21">
        <f t="shared" si="11"/>
        <v>217.766666666667</v>
      </c>
      <c r="F21" s="21">
        <f t="shared" si="12"/>
        <v>2.59259259259259</v>
      </c>
      <c r="G21" s="33">
        <f>5+146</f>
        <v>151</v>
      </c>
      <c r="H21" s="33">
        <f>5+65</f>
        <v>70</v>
      </c>
      <c r="I21" s="25">
        <f t="shared" si="1"/>
        <v>0.463576158940397</v>
      </c>
      <c r="J21" s="33">
        <f>2+58</f>
        <v>60</v>
      </c>
      <c r="K21" s="33">
        <f>160+186</f>
        <v>346</v>
      </c>
      <c r="L21" s="34">
        <f t="shared" si="13"/>
        <v>276</v>
      </c>
      <c r="M21" s="35">
        <f t="shared" si="3"/>
        <v>1.44216335540839</v>
      </c>
      <c r="N21" s="35">
        <f t="shared" si="4"/>
        <v>3.11095238095238</v>
      </c>
      <c r="O21" s="34">
        <f t="shared" si="5"/>
        <v>243.985714285714</v>
      </c>
      <c r="P21" s="34">
        <f t="shared" si="6"/>
        <v>491.453757225434</v>
      </c>
      <c r="Q21" s="33">
        <f>688557.19+468293.05</f>
        <v>1156850.24</v>
      </c>
      <c r="R21" s="33">
        <f>2200+13679</f>
        <v>15879</v>
      </c>
      <c r="S21" s="33">
        <f>0+7650</f>
        <v>7650</v>
      </c>
      <c r="T21" s="33">
        <f>1100+10506</f>
        <v>11606</v>
      </c>
      <c r="U21" s="33">
        <f>2200+14879</f>
        <v>17079</v>
      </c>
      <c r="V21" s="33">
        <f>0+8350</f>
        <v>8350</v>
      </c>
      <c r="W21" s="33">
        <f>100893+69150</f>
        <v>170043</v>
      </c>
      <c r="X21" s="33">
        <f>134004+121806</f>
        <v>255810</v>
      </c>
      <c r="Y21" s="34">
        <f t="shared" si="14"/>
        <v>-85767</v>
      </c>
      <c r="Z21" s="36">
        <v>10</v>
      </c>
      <c r="AA21" s="36">
        <v>10</v>
      </c>
      <c r="AB21" s="36">
        <v>2</v>
      </c>
      <c r="AC21" s="36">
        <v>0</v>
      </c>
      <c r="AD21" s="36">
        <v>7</v>
      </c>
      <c r="AE21" s="37">
        <f t="shared" si="15"/>
        <v>71</v>
      </c>
      <c r="AF21" s="34">
        <f t="shared" si="16"/>
        <v>3664</v>
      </c>
      <c r="AG21" s="25">
        <f t="shared" si="8"/>
        <v>1.30713301699066</v>
      </c>
      <c r="AH21" s="25">
        <f t="shared" si="9"/>
        <v>-6.56413592530231</v>
      </c>
      <c r="AI21" s="26">
        <f t="shared" si="10"/>
        <v>6.80328058197044</v>
      </c>
      <c r="AJ21" s="38">
        <v>27</v>
      </c>
      <c r="AK21" s="3"/>
    </row>
    <row r="22" spans="1:37">
      <c r="A22" s="31">
        <v>46220</v>
      </c>
      <c r="B22" s="32">
        <v>9600</v>
      </c>
      <c r="C22" s="32">
        <v>3466</v>
      </c>
      <c r="D22" s="33">
        <v>111864</v>
      </c>
      <c r="E22" s="21">
        <f t="shared" si="11"/>
        <v>2082.16666666667</v>
      </c>
      <c r="F22" s="21">
        <f t="shared" si="12"/>
        <v>2.73076923076923</v>
      </c>
      <c r="G22" s="33">
        <f>19+128</f>
        <v>147</v>
      </c>
      <c r="H22" s="33">
        <f>6+65</f>
        <v>71</v>
      </c>
      <c r="I22" s="25">
        <f t="shared" si="1"/>
        <v>0.482993197278912</v>
      </c>
      <c r="J22" s="33">
        <f>5+60</f>
        <v>65</v>
      </c>
      <c r="K22" s="33">
        <f>156+179</f>
        <v>335</v>
      </c>
      <c r="L22" s="34">
        <f t="shared" si="13"/>
        <v>264</v>
      </c>
      <c r="M22" s="35">
        <f t="shared" si="3"/>
        <v>14.1643990929705</v>
      </c>
      <c r="N22" s="35">
        <f t="shared" si="4"/>
        <v>29.3262910798122</v>
      </c>
      <c r="O22" s="34">
        <f t="shared" si="5"/>
        <v>190.676056338028</v>
      </c>
      <c r="P22" s="34">
        <f t="shared" si="6"/>
        <v>445.95223880597</v>
      </c>
      <c r="Q22" s="33">
        <f>508612.19+984286.11</f>
        <v>1492898.3</v>
      </c>
      <c r="R22" s="33">
        <f>1650+10488</f>
        <v>12138</v>
      </c>
      <c r="S22" s="33">
        <f>0+8488</f>
        <v>8488</v>
      </c>
      <c r="T22" s="33">
        <f>1500+9510</f>
        <v>11010</v>
      </c>
      <c r="U22" s="33">
        <f>1750+11788</f>
        <v>13538</v>
      </c>
      <c r="V22" s="33">
        <f>0+9588</f>
        <v>9588</v>
      </c>
      <c r="W22" s="33">
        <f>72571+76823</f>
        <v>149394</v>
      </c>
      <c r="X22" s="33">
        <f>45905+142064</f>
        <v>187969</v>
      </c>
      <c r="Y22" s="34">
        <f t="shared" si="14"/>
        <v>-38575</v>
      </c>
      <c r="Z22" s="36">
        <v>9</v>
      </c>
      <c r="AA22" s="36">
        <v>9</v>
      </c>
      <c r="AB22" s="36">
        <v>4</v>
      </c>
      <c r="AC22" s="36">
        <v>0</v>
      </c>
      <c r="AD22" s="36">
        <v>4</v>
      </c>
      <c r="AE22" s="37">
        <f t="shared" si="15"/>
        <v>71</v>
      </c>
      <c r="AF22" s="34">
        <f t="shared" si="16"/>
        <v>3673</v>
      </c>
      <c r="AG22" s="25">
        <f t="shared" si="8"/>
        <v>0.108364684223165</v>
      </c>
      <c r="AH22" s="25">
        <f t="shared" si="9"/>
        <v>-0.308772912831185</v>
      </c>
      <c r="AI22" s="26">
        <f t="shared" si="10"/>
        <v>9.99302716307215</v>
      </c>
      <c r="AJ22" s="38">
        <v>26</v>
      </c>
      <c r="AK22" s="3"/>
    </row>
    <row r="23" spans="1:37">
      <c r="A23" s="31">
        <v>46221</v>
      </c>
      <c r="B23" s="32">
        <v>9600</v>
      </c>
      <c r="C23" s="32">
        <v>3466</v>
      </c>
      <c r="D23" s="33">
        <v>0</v>
      </c>
      <c r="E23" s="21">
        <f t="shared" si="11"/>
        <v>217.766666666667</v>
      </c>
      <c r="F23" s="21">
        <f t="shared" si="12"/>
        <v>2.96153846153846</v>
      </c>
      <c r="G23" s="33">
        <f>11+153</f>
        <v>164</v>
      </c>
      <c r="H23" s="33">
        <f>10+67</f>
        <v>77</v>
      </c>
      <c r="I23" s="25">
        <f t="shared" si="1"/>
        <v>0.469512195121951</v>
      </c>
      <c r="J23" s="33">
        <f>7+53</f>
        <v>60</v>
      </c>
      <c r="K23" s="33">
        <f>147+194</f>
        <v>341</v>
      </c>
      <c r="L23" s="34">
        <f t="shared" si="13"/>
        <v>264</v>
      </c>
      <c r="M23" s="35">
        <f t="shared" si="3"/>
        <v>1.32784552845528</v>
      </c>
      <c r="N23" s="35">
        <f t="shared" si="4"/>
        <v>2.82813852813853</v>
      </c>
      <c r="O23" s="34">
        <f t="shared" si="5"/>
        <v>387.142857142857</v>
      </c>
      <c r="P23" s="34">
        <f t="shared" si="6"/>
        <v>547.064516129032</v>
      </c>
      <c r="Q23" s="33">
        <f>1369602.5+1247037.8</f>
        <v>2616640.3</v>
      </c>
      <c r="R23" s="33">
        <f>2300+9460</f>
        <v>11760</v>
      </c>
      <c r="S23" s="33">
        <f>2010+5200</f>
        <v>7210</v>
      </c>
      <c r="T23" s="33">
        <f>1300+14910</f>
        <v>16210</v>
      </c>
      <c r="U23" s="33">
        <f>2300+27510</f>
        <v>29810</v>
      </c>
      <c r="V23" s="33">
        <f>2010+86800</f>
        <v>88810</v>
      </c>
      <c r="W23" s="33">
        <f>100393+86156</f>
        <v>186549</v>
      </c>
      <c r="X23" s="33">
        <f>179302+174965</f>
        <v>354267</v>
      </c>
      <c r="Y23" s="34">
        <f t="shared" si="14"/>
        <v>-167718</v>
      </c>
      <c r="Z23" s="36">
        <v>7</v>
      </c>
      <c r="AA23" s="36">
        <v>7</v>
      </c>
      <c r="AB23" s="36">
        <v>6</v>
      </c>
      <c r="AC23" s="36">
        <v>0</v>
      </c>
      <c r="AD23" s="36">
        <v>3</v>
      </c>
      <c r="AE23" s="37">
        <f t="shared" si="15"/>
        <v>74</v>
      </c>
      <c r="AF23" s="34">
        <f t="shared" si="16"/>
        <v>3680</v>
      </c>
      <c r="AG23" s="25">
        <f t="shared" si="8"/>
        <v>2.28149395377315</v>
      </c>
      <c r="AH23" s="25">
        <f t="shared" si="9"/>
        <v>-12.8362161334762</v>
      </c>
      <c r="AI23" s="26">
        <f t="shared" si="10"/>
        <v>14.0265576336512</v>
      </c>
      <c r="AJ23" s="38">
        <v>26</v>
      </c>
      <c r="AK23" s="3"/>
    </row>
    <row r="24" spans="1:37">
      <c r="A24" s="31">
        <v>46222</v>
      </c>
      <c r="B24" s="32">
        <v>9600</v>
      </c>
      <c r="C24" s="32">
        <v>3466</v>
      </c>
      <c r="D24" s="33">
        <v>0</v>
      </c>
      <c r="E24" s="21">
        <f t="shared" si="11"/>
        <v>217.766666666667</v>
      </c>
      <c r="F24" s="21">
        <f t="shared" si="12"/>
        <v>2.16666666666667</v>
      </c>
      <c r="G24" s="33">
        <f>9+108</f>
        <v>117</v>
      </c>
      <c r="H24" s="33">
        <f>6+46</f>
        <v>52</v>
      </c>
      <c r="I24" s="25">
        <f t="shared" si="1"/>
        <v>0.444444444444444</v>
      </c>
      <c r="J24" s="33">
        <f>2+40</f>
        <v>42</v>
      </c>
      <c r="K24" s="33">
        <f>158+177</f>
        <v>335</v>
      </c>
      <c r="L24" s="34">
        <f t="shared" si="13"/>
        <v>283</v>
      </c>
      <c r="M24" s="35">
        <f t="shared" si="3"/>
        <v>1.86125356125356</v>
      </c>
      <c r="N24" s="35">
        <f t="shared" si="4"/>
        <v>4.18782051282051</v>
      </c>
      <c r="O24" s="34">
        <f t="shared" si="5"/>
        <v>178.307692307692</v>
      </c>
      <c r="P24" s="34">
        <f t="shared" si="6"/>
        <v>754.400059701493</v>
      </c>
      <c r="Q24" s="33">
        <f>747781.23+1164239.92</f>
        <v>1912021.15</v>
      </c>
      <c r="R24" s="33">
        <f>800+6459</f>
        <v>7259</v>
      </c>
      <c r="S24" s="33">
        <f>2800+2400</f>
        <v>5200</v>
      </c>
      <c r="T24" s="33">
        <f>1183+6048</f>
        <v>7231</v>
      </c>
      <c r="U24" s="33">
        <f>1383+7889</f>
        <v>9272</v>
      </c>
      <c r="V24" s="33">
        <f>2800+2400</f>
        <v>5200</v>
      </c>
      <c r="W24" s="33">
        <f>122207+130517.02</f>
        <v>252724.02</v>
      </c>
      <c r="X24" s="33">
        <f>91894+144420</f>
        <v>236314</v>
      </c>
      <c r="Y24" s="34">
        <f t="shared" si="14"/>
        <v>16410.02</v>
      </c>
      <c r="Z24" s="36">
        <v>3</v>
      </c>
      <c r="AA24" s="36">
        <v>3</v>
      </c>
      <c r="AB24" s="36">
        <v>5</v>
      </c>
      <c r="AC24" s="36">
        <v>0</v>
      </c>
      <c r="AD24" s="36">
        <v>7</v>
      </c>
      <c r="AE24" s="37">
        <f t="shared" si="15"/>
        <v>72</v>
      </c>
      <c r="AF24" s="34">
        <f t="shared" si="16"/>
        <v>3683</v>
      </c>
      <c r="AG24" s="25">
        <f t="shared" si="8"/>
        <v>0.709628042247053</v>
      </c>
      <c r="AH24" s="25">
        <f t="shared" si="9"/>
        <v>1.25593295576305</v>
      </c>
      <c r="AI24" s="26">
        <f t="shared" si="10"/>
        <v>7.56564868665828</v>
      </c>
      <c r="AJ24" s="38">
        <v>24</v>
      </c>
      <c r="AK24" s="3"/>
    </row>
    <row r="25" spans="1:37">
      <c r="A25" s="31">
        <v>46223</v>
      </c>
      <c r="B25" s="32">
        <v>9600</v>
      </c>
      <c r="C25" s="32">
        <v>3466</v>
      </c>
      <c r="D25" s="33">
        <v>3470</v>
      </c>
      <c r="E25" s="21">
        <f t="shared" si="11"/>
        <v>275.6</v>
      </c>
      <c r="F25" s="21">
        <f t="shared" si="12"/>
        <v>3.2</v>
      </c>
      <c r="G25" s="33">
        <f>15+141</f>
        <v>156</v>
      </c>
      <c r="H25" s="33">
        <f>9+71</f>
        <v>80</v>
      </c>
      <c r="I25" s="25">
        <f t="shared" si="1"/>
        <v>0.512820512820513</v>
      </c>
      <c r="J25" s="33">
        <f>6+65</f>
        <v>71</v>
      </c>
      <c r="K25" s="33">
        <f>135+204</f>
        <v>339</v>
      </c>
      <c r="L25" s="34">
        <f t="shared" si="13"/>
        <v>259</v>
      </c>
      <c r="M25" s="35">
        <f t="shared" si="3"/>
        <v>1.76666666666667</v>
      </c>
      <c r="N25" s="35">
        <f t="shared" si="4"/>
        <v>3.445</v>
      </c>
      <c r="O25" s="34">
        <f t="shared" si="5"/>
        <v>145.375</v>
      </c>
      <c r="P25" s="34">
        <f t="shared" si="6"/>
        <v>444.053097345133</v>
      </c>
      <c r="Q25" s="33">
        <f>565428.97+762291.26</f>
        <v>1327720.23</v>
      </c>
      <c r="R25" s="33">
        <f>1200+8430</f>
        <v>9630</v>
      </c>
      <c r="S25" s="33">
        <f>700+5495</f>
        <v>6195</v>
      </c>
      <c r="T25" s="33">
        <f>1100+9430</f>
        <v>10530</v>
      </c>
      <c r="U25" s="33">
        <f>1600+10030</f>
        <v>11630</v>
      </c>
      <c r="V25" s="33">
        <f>700+6295</f>
        <v>6995</v>
      </c>
      <c r="W25" s="33">
        <f>53035+97499</f>
        <v>150534</v>
      </c>
      <c r="X25" s="33">
        <f>53827+67547</f>
        <v>121374</v>
      </c>
      <c r="Y25" s="34">
        <f t="shared" si="14"/>
        <v>29160</v>
      </c>
      <c r="Z25" s="36">
        <v>7</v>
      </c>
      <c r="AA25" s="36">
        <v>7</v>
      </c>
      <c r="AB25" s="36">
        <v>0</v>
      </c>
      <c r="AC25" s="36">
        <v>0</v>
      </c>
      <c r="AD25" s="36">
        <v>4</v>
      </c>
      <c r="AE25" s="37">
        <f t="shared" si="15"/>
        <v>68</v>
      </c>
      <c r="AF25" s="34">
        <f t="shared" si="16"/>
        <v>3690</v>
      </c>
      <c r="AG25" s="25">
        <f t="shared" si="8"/>
        <v>0.703313981615868</v>
      </c>
      <c r="AH25" s="25">
        <f t="shared" si="9"/>
        <v>1.76342525399129</v>
      </c>
      <c r="AI25" s="26">
        <f t="shared" si="10"/>
        <v>8.82006875523138</v>
      </c>
      <c r="AJ25" s="38">
        <v>25</v>
      </c>
      <c r="AK25" s="3"/>
    </row>
    <row r="26" spans="1:37">
      <c r="A26" s="31">
        <v>46224</v>
      </c>
      <c r="B26" s="32">
        <v>9600</v>
      </c>
      <c r="C26" s="32">
        <v>3466</v>
      </c>
      <c r="D26" s="33">
        <v>6630</v>
      </c>
      <c r="E26" s="21">
        <f t="shared" si="11"/>
        <v>328.266666666667</v>
      </c>
      <c r="F26" s="21">
        <f t="shared" si="12"/>
        <v>2.81818181818182</v>
      </c>
      <c r="G26" s="33">
        <f>5+105</f>
        <v>110</v>
      </c>
      <c r="H26" s="33">
        <f>3+59</f>
        <v>62</v>
      </c>
      <c r="I26" s="25">
        <f t="shared" si="1"/>
        <v>0.563636363636364</v>
      </c>
      <c r="J26" s="33">
        <f>1+52</f>
        <v>53</v>
      </c>
      <c r="K26" s="33">
        <f>124+180</f>
        <v>304</v>
      </c>
      <c r="L26" s="34">
        <f t="shared" si="13"/>
        <v>242</v>
      </c>
      <c r="M26" s="35">
        <f t="shared" si="3"/>
        <v>2.98424242424242</v>
      </c>
      <c r="N26" s="35">
        <f t="shared" si="4"/>
        <v>5.29462365591398</v>
      </c>
      <c r="O26" s="34">
        <f t="shared" si="5"/>
        <v>206.91935483871</v>
      </c>
      <c r="P26" s="34">
        <f t="shared" si="6"/>
        <v>570.878289473684</v>
      </c>
      <c r="Q26" s="33">
        <f>603836.27+498608.11</f>
        <v>1102444.38</v>
      </c>
      <c r="R26" s="33">
        <f>4200+7709</f>
        <v>11909</v>
      </c>
      <c r="S26" s="33">
        <f>4200+3830</f>
        <v>8030</v>
      </c>
      <c r="T26" s="33">
        <f>4200+7462</f>
        <v>11662</v>
      </c>
      <c r="U26" s="33">
        <f>4200+8629</f>
        <v>12829</v>
      </c>
      <c r="V26" s="33">
        <f>4200+4330</f>
        <v>8530</v>
      </c>
      <c r="W26" s="33">
        <f>82117+91430</f>
        <v>173547</v>
      </c>
      <c r="X26" s="33">
        <f>29109+49400</f>
        <v>78509</v>
      </c>
      <c r="Y26" s="34">
        <f t="shared" si="14"/>
        <v>95038</v>
      </c>
      <c r="Z26" s="36">
        <v>5</v>
      </c>
      <c r="AA26" s="36">
        <v>5</v>
      </c>
      <c r="AB26" s="36">
        <v>2</v>
      </c>
      <c r="AC26" s="36">
        <v>0</v>
      </c>
      <c r="AD26" s="36">
        <v>2</v>
      </c>
      <c r="AE26" s="37">
        <f t="shared" si="15"/>
        <v>68</v>
      </c>
      <c r="AF26" s="34">
        <f t="shared" si="16"/>
        <v>3695</v>
      </c>
      <c r="AG26" s="25">
        <f t="shared" si="8"/>
        <v>0.651350528025995</v>
      </c>
      <c r="AH26" s="25">
        <f t="shared" si="9"/>
        <v>4.82524370430544</v>
      </c>
      <c r="AI26" s="26">
        <f t="shared" si="10"/>
        <v>6.35242545247109</v>
      </c>
      <c r="AJ26" s="38">
        <v>22</v>
      </c>
      <c r="AK26" s="3"/>
    </row>
    <row r="27" spans="1:37">
      <c r="A27" s="31">
        <v>46225</v>
      </c>
      <c r="B27" s="32">
        <v>9600</v>
      </c>
      <c r="C27" s="32">
        <v>3466</v>
      </c>
      <c r="D27" s="33">
        <v>2580</v>
      </c>
      <c r="E27" s="21">
        <f t="shared" si="11"/>
        <v>260.766666666667</v>
      </c>
      <c r="F27" s="21">
        <f t="shared" si="12"/>
        <v>3.21739130434783</v>
      </c>
      <c r="G27" s="33">
        <f>12+160</f>
        <v>172</v>
      </c>
      <c r="H27" s="33">
        <f>6+68</f>
        <v>74</v>
      </c>
      <c r="I27" s="25">
        <f t="shared" si="1"/>
        <v>0.430232558139535</v>
      </c>
      <c r="J27" s="33">
        <f>4+61</f>
        <v>65</v>
      </c>
      <c r="K27" s="33">
        <f>142+186</f>
        <v>328</v>
      </c>
      <c r="L27" s="34">
        <f t="shared" si="13"/>
        <v>254</v>
      </c>
      <c r="M27" s="35">
        <f t="shared" si="3"/>
        <v>1.51608527131783</v>
      </c>
      <c r="N27" s="35">
        <f t="shared" si="4"/>
        <v>3.52387387387387</v>
      </c>
      <c r="O27" s="34">
        <f t="shared" si="5"/>
        <v>174</v>
      </c>
      <c r="P27" s="34">
        <f t="shared" si="6"/>
        <v>347.689024390244</v>
      </c>
      <c r="Q27" s="33">
        <f>982910.17+377469.41</f>
        <v>1360379.58</v>
      </c>
      <c r="R27" s="33">
        <f>520+9026</f>
        <v>9546</v>
      </c>
      <c r="S27" s="33">
        <f>200+9300</f>
        <v>9500</v>
      </c>
      <c r="T27" s="33">
        <f>820+9606</f>
        <v>10426</v>
      </c>
      <c r="U27" s="33">
        <f>820+12056</f>
        <v>12876</v>
      </c>
      <c r="V27" s="33">
        <f>200+13600</f>
        <v>13800</v>
      </c>
      <c r="W27" s="33">
        <f>55509+58533</f>
        <v>114042</v>
      </c>
      <c r="X27" s="33">
        <f>61608+57315</f>
        <v>118923</v>
      </c>
      <c r="Y27" s="34">
        <f t="shared" si="14"/>
        <v>-4881</v>
      </c>
      <c r="Z27" s="36">
        <v>15</v>
      </c>
      <c r="AA27" s="36">
        <v>15</v>
      </c>
      <c r="AB27" s="36">
        <v>4</v>
      </c>
      <c r="AC27" s="36">
        <v>0</v>
      </c>
      <c r="AD27" s="36">
        <v>6</v>
      </c>
      <c r="AE27" s="37">
        <f t="shared" si="15"/>
        <v>66</v>
      </c>
      <c r="AF27" s="34">
        <f t="shared" si="16"/>
        <v>3710</v>
      </c>
      <c r="AG27" s="25">
        <f t="shared" si="8"/>
        <v>0.822957944522562</v>
      </c>
      <c r="AH27" s="25">
        <f t="shared" si="9"/>
        <v>-0.311964719417103</v>
      </c>
      <c r="AI27" s="26">
        <f t="shared" si="10"/>
        <v>11.9287594044299</v>
      </c>
      <c r="AJ27" s="38">
        <v>23</v>
      </c>
      <c r="AK27" s="3"/>
    </row>
    <row r="28" spans="1:37">
      <c r="A28" s="31">
        <v>46226</v>
      </c>
      <c r="B28" s="32">
        <v>9600</v>
      </c>
      <c r="C28" s="32">
        <v>3466</v>
      </c>
      <c r="D28" s="33">
        <v>20060</v>
      </c>
      <c r="E28" s="21">
        <f t="shared" si="11"/>
        <v>552.1</v>
      </c>
      <c r="F28" s="21">
        <f t="shared" si="12"/>
        <v>3</v>
      </c>
      <c r="G28" s="33">
        <f>12+154</f>
        <v>166</v>
      </c>
      <c r="H28" s="33">
        <f>6+69</f>
        <v>75</v>
      </c>
      <c r="I28" s="25">
        <f t="shared" si="1"/>
        <v>0.451807228915663</v>
      </c>
      <c r="J28" s="33">
        <f>65+65</f>
        <v>130</v>
      </c>
      <c r="K28" s="33">
        <f>142+206</f>
        <v>348</v>
      </c>
      <c r="L28" s="34">
        <f t="shared" si="13"/>
        <v>273</v>
      </c>
      <c r="M28" s="35">
        <f t="shared" si="3"/>
        <v>3.32590361445783</v>
      </c>
      <c r="N28" s="35">
        <f t="shared" si="4"/>
        <v>7.36133333333333</v>
      </c>
      <c r="O28" s="34">
        <f t="shared" si="5"/>
        <v>386.613333333333</v>
      </c>
      <c r="P28" s="34">
        <f t="shared" si="6"/>
        <v>383.278735632184</v>
      </c>
      <c r="Q28" s="33">
        <f>982210.17+551101.91</f>
        <v>1533312.08</v>
      </c>
      <c r="R28" s="33">
        <f>13633+13633</f>
        <v>27266</v>
      </c>
      <c r="S28" s="33">
        <f>5508+5508</f>
        <v>11016</v>
      </c>
      <c r="T28" s="33">
        <f>820+10643</f>
        <v>11463</v>
      </c>
      <c r="U28" s="33">
        <f>14183+14813</f>
        <v>28996</v>
      </c>
      <c r="V28" s="33">
        <f>5508+5508</f>
        <v>11016</v>
      </c>
      <c r="W28" s="33">
        <f>64808+68573</f>
        <v>133381</v>
      </c>
      <c r="X28" s="33">
        <f>89513+49669</f>
        <v>139182</v>
      </c>
      <c r="Y28" s="34">
        <f t="shared" si="14"/>
        <v>-5801</v>
      </c>
      <c r="Z28" s="36">
        <v>10</v>
      </c>
      <c r="AA28" s="36">
        <v>10</v>
      </c>
      <c r="AB28" s="36">
        <v>5</v>
      </c>
      <c r="AC28" s="36">
        <v>0</v>
      </c>
      <c r="AD28" s="36">
        <v>3</v>
      </c>
      <c r="AE28" s="37">
        <f t="shared" si="15"/>
        <v>68</v>
      </c>
      <c r="AF28" s="34">
        <f t="shared" si="16"/>
        <v>3720</v>
      </c>
      <c r="AG28" s="25">
        <f t="shared" si="8"/>
        <v>0.875324518505102</v>
      </c>
      <c r="AH28" s="25">
        <f t="shared" si="9"/>
        <v>-0.17511924168327</v>
      </c>
      <c r="AI28" s="26">
        <f t="shared" si="10"/>
        <v>11.4957308762118</v>
      </c>
      <c r="AJ28" s="38">
        <v>25</v>
      </c>
      <c r="AK28" s="3"/>
    </row>
    <row r="29" spans="1:37">
      <c r="A29" s="31">
        <v>46227</v>
      </c>
      <c r="B29" s="32">
        <v>9600</v>
      </c>
      <c r="C29" s="32">
        <v>3466</v>
      </c>
      <c r="D29" s="33">
        <v>0</v>
      </c>
      <c r="E29" s="21">
        <f t="shared" si="11"/>
        <v>217.766666666667</v>
      </c>
      <c r="F29" s="21">
        <f t="shared" si="12"/>
        <v>3.68965517241379</v>
      </c>
      <c r="G29" s="33">
        <f>4+199</f>
        <v>203</v>
      </c>
      <c r="H29" s="33">
        <f>7+100</f>
        <v>107</v>
      </c>
      <c r="I29" s="25">
        <f t="shared" si="1"/>
        <v>0.527093596059113</v>
      </c>
      <c r="J29" s="33">
        <f>1+84</f>
        <v>85</v>
      </c>
      <c r="K29" s="33">
        <f>131+229</f>
        <v>360</v>
      </c>
      <c r="L29" s="34">
        <f t="shared" si="13"/>
        <v>253</v>
      </c>
      <c r="M29" s="35">
        <f t="shared" si="3"/>
        <v>1.07274220032841</v>
      </c>
      <c r="N29" s="35">
        <f t="shared" si="4"/>
        <v>2.03520249221184</v>
      </c>
      <c r="O29" s="34">
        <f t="shared" si="5"/>
        <v>203.710280373832</v>
      </c>
      <c r="P29" s="34">
        <f t="shared" si="6"/>
        <v>544.808333333333</v>
      </c>
      <c r="Q29" s="33">
        <f>592436.79+796767.38</f>
        <v>1389204.17</v>
      </c>
      <c r="R29" s="33">
        <f>100+16309</f>
        <v>16409</v>
      </c>
      <c r="S29" s="33">
        <f>0+8913</f>
        <v>8913</v>
      </c>
      <c r="T29" s="33">
        <f>1200+14564</f>
        <v>15764</v>
      </c>
      <c r="U29" s="33">
        <f>3100+18697</f>
        <v>21797</v>
      </c>
      <c r="V29" s="33">
        <f>1000+18433.16</f>
        <v>19433.16</v>
      </c>
      <c r="W29" s="33">
        <f>101708+94423</f>
        <v>196131</v>
      </c>
      <c r="X29" s="33">
        <f>89650+59732.16</f>
        <v>149382.16</v>
      </c>
      <c r="Y29" s="34">
        <f t="shared" si="14"/>
        <v>46748.84</v>
      </c>
      <c r="Z29" s="36">
        <v>16</v>
      </c>
      <c r="AA29" s="36">
        <v>16</v>
      </c>
      <c r="AB29" s="36">
        <v>5</v>
      </c>
      <c r="AC29" s="36">
        <v>0</v>
      </c>
      <c r="AD29" s="36">
        <v>6</v>
      </c>
      <c r="AE29" s="37">
        <f t="shared" si="15"/>
        <v>67</v>
      </c>
      <c r="AF29" s="34">
        <f t="shared" si="16"/>
        <v>3736</v>
      </c>
      <c r="AG29" s="25">
        <f t="shared" si="8"/>
        <v>1.6682228685137</v>
      </c>
      <c r="AH29" s="25">
        <f t="shared" si="9"/>
        <v>3.57789989285167</v>
      </c>
      <c r="AI29" s="26">
        <f t="shared" si="10"/>
        <v>7.08304230335847</v>
      </c>
      <c r="AJ29" s="38">
        <v>29</v>
      </c>
      <c r="AK29" s="3"/>
    </row>
    <row r="30" spans="1:37">
      <c r="A30" s="31">
        <v>46228</v>
      </c>
      <c r="B30" s="32">
        <v>9600</v>
      </c>
      <c r="C30" s="32">
        <v>3466</v>
      </c>
      <c r="D30" s="33">
        <v>2240</v>
      </c>
      <c r="E30" s="21">
        <f t="shared" si="11"/>
        <v>255.1</v>
      </c>
      <c r="F30" s="21">
        <f t="shared" si="12"/>
        <v>3.13513513513513</v>
      </c>
      <c r="G30" s="33">
        <f>7+190</f>
        <v>197</v>
      </c>
      <c r="H30" s="33">
        <f>10+106</f>
        <v>116</v>
      </c>
      <c r="I30" s="25">
        <f t="shared" si="1"/>
        <v>0.588832487309645</v>
      </c>
      <c r="J30" s="33">
        <f>5+88</f>
        <v>93</v>
      </c>
      <c r="K30" s="33">
        <f>154+239</f>
        <v>393</v>
      </c>
      <c r="L30" s="34">
        <f t="shared" si="13"/>
        <v>277</v>
      </c>
      <c r="M30" s="35">
        <f t="shared" si="3"/>
        <v>1.29492385786802</v>
      </c>
      <c r="N30" s="35">
        <f t="shared" si="4"/>
        <v>2.19913793103448</v>
      </c>
      <c r="O30" s="34">
        <f t="shared" si="5"/>
        <v>185.362068965517</v>
      </c>
      <c r="P30" s="34">
        <f t="shared" si="6"/>
        <v>398.529262086514</v>
      </c>
      <c r="Q30" s="33">
        <f>554638.66+601250.75</f>
        <v>1155889.41</v>
      </c>
      <c r="R30" s="33">
        <f>1100+15782</f>
        <v>16882</v>
      </c>
      <c r="S30" s="33">
        <f>1600+17787</f>
        <v>19387</v>
      </c>
      <c r="T30" s="33">
        <f>1305+14182</f>
        <v>15487</v>
      </c>
      <c r="U30" s="33">
        <f>1905+19597</f>
        <v>21502</v>
      </c>
      <c r="V30" s="33">
        <f>2700+17987</f>
        <v>20687</v>
      </c>
      <c r="W30" s="33">
        <f>77483+79139</f>
        <v>156622</v>
      </c>
      <c r="X30" s="33">
        <f>102123.3+91709</f>
        <v>193832.3</v>
      </c>
      <c r="Y30" s="34">
        <f t="shared" si="14"/>
        <v>-37210.3</v>
      </c>
      <c r="Z30" s="36">
        <v>16</v>
      </c>
      <c r="AA30" s="36">
        <v>16</v>
      </c>
      <c r="AB30" s="36">
        <v>4</v>
      </c>
      <c r="AC30" s="36">
        <v>0</v>
      </c>
      <c r="AD30" s="36">
        <v>6</v>
      </c>
      <c r="AE30" s="37">
        <f t="shared" si="15"/>
        <v>65</v>
      </c>
      <c r="AF30" s="34">
        <f t="shared" si="16"/>
        <v>3752</v>
      </c>
      <c r="AG30" s="25">
        <f t="shared" si="8"/>
        <v>1.40480857180191</v>
      </c>
      <c r="AH30" s="25">
        <f t="shared" si="9"/>
        <v>-2.43109238207239</v>
      </c>
      <c r="AI30" s="26">
        <f t="shared" si="10"/>
        <v>7.38012163042229</v>
      </c>
      <c r="AJ30" s="38">
        <v>37</v>
      </c>
      <c r="AK30" s="3"/>
    </row>
    <row r="31" spans="1:37">
      <c r="A31" s="31">
        <v>46229</v>
      </c>
      <c r="B31" s="32">
        <v>9600</v>
      </c>
      <c r="C31" s="32">
        <v>3466</v>
      </c>
      <c r="D31" s="33"/>
      <c r="E31" s="21">
        <f t="shared" si="11"/>
        <v>217.766666666667</v>
      </c>
      <c r="F31" s="21" t="e">
        <f t="shared" si="12"/>
        <v>#DIV/0!</v>
      </c>
      <c r="G31" s="33">
        <f>7+202</f>
        <v>209</v>
      </c>
      <c r="H31" s="33">
        <f>6+100</f>
        <v>106</v>
      </c>
      <c r="I31" s="25">
        <f t="shared" si="1"/>
        <v>0.507177033492823</v>
      </c>
      <c r="J31" s="33">
        <f>3+87</f>
        <v>90</v>
      </c>
      <c r="K31" s="33">
        <f>142+253</f>
        <v>395</v>
      </c>
      <c r="L31" s="34">
        <f t="shared" si="13"/>
        <v>289</v>
      </c>
      <c r="M31" s="35">
        <f t="shared" si="3"/>
        <v>1.04194577352472</v>
      </c>
      <c r="N31" s="35">
        <f t="shared" si="4"/>
        <v>2.05440251572327</v>
      </c>
      <c r="O31" s="34">
        <f t="shared" si="5"/>
        <v>198.292452830189</v>
      </c>
      <c r="P31" s="34">
        <f t="shared" si="6"/>
        <v>462.918987341772</v>
      </c>
      <c r="Q31" s="33">
        <f>610401.45+671121.95</f>
        <v>1281523.4</v>
      </c>
      <c r="R31" s="33">
        <f>450+17737</f>
        <v>18187</v>
      </c>
      <c r="S31" s="33">
        <f>0+19499</f>
        <v>19499</v>
      </c>
      <c r="T31" s="33">
        <f>750+14304</f>
        <v>15054</v>
      </c>
      <c r="U31" s="33">
        <f>750+20269</f>
        <v>21019</v>
      </c>
      <c r="V31" s="33">
        <f>0+22914</f>
        <v>22914</v>
      </c>
      <c r="W31" s="33">
        <f>69179+113674</f>
        <v>182853</v>
      </c>
      <c r="X31" s="33">
        <f>71273+62549.16</f>
        <v>133822.16</v>
      </c>
      <c r="Y31" s="34">
        <f t="shared" si="14"/>
        <v>49030.84</v>
      </c>
      <c r="Z31" s="36"/>
      <c r="AA31" s="36"/>
      <c r="AB31" s="36"/>
      <c r="AC31" s="36"/>
      <c r="AD31" s="36"/>
      <c r="AE31" s="37">
        <f t="shared" si="15"/>
        <v>65</v>
      </c>
      <c r="AF31" s="34">
        <f t="shared" si="16"/>
        <v>3752</v>
      </c>
      <c r="AG31" s="25">
        <f t="shared" si="8"/>
        <v>1.60867901423542</v>
      </c>
      <c r="AH31" s="25">
        <f t="shared" si="9"/>
        <v>3.75255166079902</v>
      </c>
      <c r="AI31" s="26">
        <f t="shared" si="10"/>
        <v>7.00848987984884</v>
      </c>
      <c r="AJ31" s="38"/>
      <c r="AK31" s="3"/>
    </row>
    <row r="32" spans="1:37">
      <c r="A32" s="31">
        <v>46230</v>
      </c>
      <c r="B32" s="32"/>
      <c r="C32" s="32"/>
      <c r="D32" s="33"/>
      <c r="E32" s="21">
        <f t="shared" si="11"/>
        <v>0</v>
      </c>
      <c r="F32" s="21" t="e">
        <f t="shared" si="12"/>
        <v>#DIV/0!</v>
      </c>
      <c r="G32" s="33"/>
      <c r="H32" s="33"/>
      <c r="I32" s="25" t="e">
        <f t="shared" si="1"/>
        <v>#DIV/0!</v>
      </c>
      <c r="J32" s="33"/>
      <c r="K32" s="33"/>
      <c r="L32" s="34">
        <f t="shared" si="13"/>
        <v>0</v>
      </c>
      <c r="M32" s="35" t="e">
        <f t="shared" si="3"/>
        <v>#DIV/0!</v>
      </c>
      <c r="N32" s="35" t="e">
        <f t="shared" si="4"/>
        <v>#DIV/0!</v>
      </c>
      <c r="O32" s="34" t="e">
        <f t="shared" si="5"/>
        <v>#DIV/0!</v>
      </c>
      <c r="P32" s="34" t="e">
        <f t="shared" si="6"/>
        <v>#DIV/0!</v>
      </c>
      <c r="Q32" s="33"/>
      <c r="R32" s="33"/>
      <c r="S32" s="33"/>
      <c r="T32" s="33"/>
      <c r="U32" s="33"/>
      <c r="V32" s="33"/>
      <c r="W32" s="33"/>
      <c r="X32" s="33"/>
      <c r="Y32" s="34">
        <f t="shared" si="14"/>
        <v>0</v>
      </c>
      <c r="Z32" s="36"/>
      <c r="AA32" s="36"/>
      <c r="AB32" s="36"/>
      <c r="AC32" s="36"/>
      <c r="AD32" s="36"/>
      <c r="AE32" s="37">
        <f t="shared" si="15"/>
        <v>65</v>
      </c>
      <c r="AF32" s="34">
        <f t="shared" si="16"/>
        <v>3752</v>
      </c>
      <c r="AG32" s="25" t="e">
        <f t="shared" si="8"/>
        <v>#DIV/0!</v>
      </c>
      <c r="AH32" s="25" t="e">
        <f t="shared" si="9"/>
        <v>#DIV/0!</v>
      </c>
      <c r="AI32" s="26" t="e">
        <f t="shared" si="10"/>
        <v>#DIV/0!</v>
      </c>
      <c r="AJ32" s="38"/>
      <c r="AK32" s="3"/>
    </row>
    <row r="33" spans="1:37">
      <c r="A33" s="31">
        <v>46231</v>
      </c>
      <c r="B33" s="32"/>
      <c r="C33" s="32"/>
      <c r="D33" s="33"/>
      <c r="E33" s="21">
        <f t="shared" si="11"/>
        <v>0</v>
      </c>
      <c r="F33" s="21" t="e">
        <f t="shared" si="12"/>
        <v>#DIV/0!</v>
      </c>
      <c r="G33" s="33"/>
      <c r="H33" s="33"/>
      <c r="I33" s="25" t="e">
        <f t="shared" si="1"/>
        <v>#DIV/0!</v>
      </c>
      <c r="J33" s="33"/>
      <c r="K33" s="33"/>
      <c r="L33" s="34">
        <f t="shared" si="13"/>
        <v>0</v>
      </c>
      <c r="M33" s="35" t="e">
        <f t="shared" si="3"/>
        <v>#DIV/0!</v>
      </c>
      <c r="N33" s="35" t="e">
        <f t="shared" si="4"/>
        <v>#DIV/0!</v>
      </c>
      <c r="O33" s="34" t="e">
        <f t="shared" si="5"/>
        <v>#DIV/0!</v>
      </c>
      <c r="P33" s="34" t="e">
        <f t="shared" si="6"/>
        <v>#DIV/0!</v>
      </c>
      <c r="Q33" s="33"/>
      <c r="R33" s="33"/>
      <c r="S33" s="33"/>
      <c r="T33" s="33"/>
      <c r="U33" s="33"/>
      <c r="V33" s="33"/>
      <c r="W33" s="33"/>
      <c r="X33" s="33"/>
      <c r="Y33" s="34">
        <f t="shared" si="14"/>
        <v>0</v>
      </c>
      <c r="Z33" s="36"/>
      <c r="AA33" s="36"/>
      <c r="AB33" s="36"/>
      <c r="AC33" s="36"/>
      <c r="AD33" s="36"/>
      <c r="AE33" s="37">
        <f t="shared" si="15"/>
        <v>65</v>
      </c>
      <c r="AF33" s="34">
        <f t="shared" si="16"/>
        <v>3752</v>
      </c>
      <c r="AG33" s="25" t="e">
        <f t="shared" si="8"/>
        <v>#DIV/0!</v>
      </c>
      <c r="AH33" s="25" t="e">
        <f t="shared" si="9"/>
        <v>#DIV/0!</v>
      </c>
      <c r="AI33" s="26" t="e">
        <f t="shared" si="10"/>
        <v>#DIV/0!</v>
      </c>
      <c r="AJ33" s="38"/>
      <c r="AK33" s="3"/>
    </row>
    <row r="34" spans="1:37">
      <c r="A34" s="31">
        <v>46232</v>
      </c>
      <c r="B34" s="32"/>
      <c r="C34" s="32"/>
      <c r="D34" s="33"/>
      <c r="E34" s="21">
        <f t="shared" si="11"/>
        <v>0</v>
      </c>
      <c r="F34" s="21" t="e">
        <f t="shared" si="12"/>
        <v>#DIV/0!</v>
      </c>
      <c r="G34" s="33"/>
      <c r="H34" s="33"/>
      <c r="I34" s="25" t="e">
        <f t="shared" si="1"/>
        <v>#DIV/0!</v>
      </c>
      <c r="J34" s="33"/>
      <c r="K34" s="33"/>
      <c r="L34" s="34">
        <f t="shared" si="13"/>
        <v>0</v>
      </c>
      <c r="M34" s="35" t="e">
        <f t="shared" si="3"/>
        <v>#DIV/0!</v>
      </c>
      <c r="N34" s="35" t="e">
        <f t="shared" si="4"/>
        <v>#DIV/0!</v>
      </c>
      <c r="O34" s="34" t="e">
        <f t="shared" si="5"/>
        <v>#DIV/0!</v>
      </c>
      <c r="P34" s="34" t="e">
        <f t="shared" si="6"/>
        <v>#DIV/0!</v>
      </c>
      <c r="Q34" s="33"/>
      <c r="R34" s="33"/>
      <c r="S34" s="33"/>
      <c r="T34" s="33"/>
      <c r="U34" s="33"/>
      <c r="V34" s="33"/>
      <c r="W34" s="33"/>
      <c r="X34" s="33"/>
      <c r="Y34" s="34">
        <f t="shared" si="14"/>
        <v>0</v>
      </c>
      <c r="Z34" s="36"/>
      <c r="AA34" s="36"/>
      <c r="AB34" s="36"/>
      <c r="AC34" s="36"/>
      <c r="AD34" s="36"/>
      <c r="AE34" s="37">
        <f t="shared" si="15"/>
        <v>65</v>
      </c>
      <c r="AF34" s="34">
        <f t="shared" si="16"/>
        <v>3752</v>
      </c>
      <c r="AG34" s="25" t="e">
        <f t="shared" si="8"/>
        <v>#DIV/0!</v>
      </c>
      <c r="AH34" s="25" t="e">
        <f t="shared" si="9"/>
        <v>#DIV/0!</v>
      </c>
      <c r="AI34" s="26" t="e">
        <f t="shared" si="10"/>
        <v>#DIV/0!</v>
      </c>
      <c r="AJ34" s="38"/>
      <c r="AK34" s="10"/>
    </row>
    <row r="35" spans="1:37">
      <c r="A35" s="31">
        <v>46233</v>
      </c>
      <c r="B35" s="32"/>
      <c r="C35" s="32"/>
      <c r="D35" s="33"/>
      <c r="E35" s="21">
        <f t="shared" si="11"/>
        <v>0</v>
      </c>
      <c r="F35" s="21" t="e">
        <f t="shared" si="12"/>
        <v>#DIV/0!</v>
      </c>
      <c r="G35" s="33"/>
      <c r="H35" s="33"/>
      <c r="I35" s="25" t="e">
        <f t="shared" si="1"/>
        <v>#DIV/0!</v>
      </c>
      <c r="J35" s="33"/>
      <c r="K35" s="33"/>
      <c r="L35" s="34">
        <f t="shared" si="13"/>
        <v>0</v>
      </c>
      <c r="M35" s="35" t="e">
        <f t="shared" si="3"/>
        <v>#DIV/0!</v>
      </c>
      <c r="N35" s="35" t="e">
        <f t="shared" si="4"/>
        <v>#DIV/0!</v>
      </c>
      <c r="O35" s="34" t="e">
        <f t="shared" si="5"/>
        <v>#DIV/0!</v>
      </c>
      <c r="P35" s="34" t="e">
        <f t="shared" si="6"/>
        <v>#DIV/0!</v>
      </c>
      <c r="Q35" s="33"/>
      <c r="R35" s="33"/>
      <c r="S35" s="33"/>
      <c r="T35" s="33"/>
      <c r="U35" s="33"/>
      <c r="V35" s="33"/>
      <c r="W35" s="33"/>
      <c r="X35" s="33"/>
      <c r="Y35" s="34">
        <f t="shared" si="14"/>
        <v>0</v>
      </c>
      <c r="Z35" s="36"/>
      <c r="AA35" s="36"/>
      <c r="AB35" s="36"/>
      <c r="AC35" s="36"/>
      <c r="AD35" s="36"/>
      <c r="AE35" s="37">
        <f t="shared" si="15"/>
        <v>65</v>
      </c>
      <c r="AF35" s="34">
        <f t="shared" si="16"/>
        <v>3752</v>
      </c>
      <c r="AG35" s="25" t="e">
        <f t="shared" si="8"/>
        <v>#DIV/0!</v>
      </c>
      <c r="AH35" s="25" t="e">
        <f t="shared" si="9"/>
        <v>#DIV/0!</v>
      </c>
      <c r="AI35" s="26" t="e">
        <f t="shared" si="10"/>
        <v>#DIV/0!</v>
      </c>
      <c r="AJ35" s="38"/>
      <c r="AK35" s="10"/>
    </row>
    <row r="36" spans="1:37">
      <c r="A36" s="31">
        <v>46234</v>
      </c>
      <c r="B36" s="32"/>
      <c r="C36" s="32"/>
      <c r="D36" s="33"/>
      <c r="E36" s="21">
        <f t="shared" si="11"/>
        <v>0</v>
      </c>
      <c r="F36" s="21" t="e">
        <f t="shared" si="12"/>
        <v>#DIV/0!</v>
      </c>
      <c r="G36" s="33"/>
      <c r="H36" s="33"/>
      <c r="I36" s="25" t="e">
        <f t="shared" si="1"/>
        <v>#DIV/0!</v>
      </c>
      <c r="J36" s="33"/>
      <c r="K36" s="33"/>
      <c r="L36" s="34">
        <f t="shared" si="13"/>
        <v>0</v>
      </c>
      <c r="M36" s="35" t="e">
        <f t="shared" si="3"/>
        <v>#DIV/0!</v>
      </c>
      <c r="N36" s="35" t="e">
        <f t="shared" si="4"/>
        <v>#DIV/0!</v>
      </c>
      <c r="O36" s="34" t="e">
        <f t="shared" si="5"/>
        <v>#DIV/0!</v>
      </c>
      <c r="P36" s="34" t="e">
        <f t="shared" si="6"/>
        <v>#DIV/0!</v>
      </c>
      <c r="Q36" s="33"/>
      <c r="R36" s="33"/>
      <c r="S36" s="33"/>
      <c r="T36" s="33"/>
      <c r="U36" s="33"/>
      <c r="V36" s="33"/>
      <c r="W36" s="33"/>
      <c r="X36" s="33"/>
      <c r="Y36" s="34">
        <f t="shared" si="14"/>
        <v>0</v>
      </c>
      <c r="Z36" s="36"/>
      <c r="AA36" s="36"/>
      <c r="AB36" s="36"/>
      <c r="AC36" s="36"/>
      <c r="AD36" s="36"/>
      <c r="AE36" s="37">
        <f t="shared" si="15"/>
        <v>65</v>
      </c>
      <c r="AF36" s="34">
        <f t="shared" si="16"/>
        <v>3752</v>
      </c>
      <c r="AG36" s="25" t="e">
        <f t="shared" si="8"/>
        <v>#DIV/0!</v>
      </c>
      <c r="AH36" s="25" t="e">
        <f t="shared" si="9"/>
        <v>#DIV/0!</v>
      </c>
      <c r="AI36" s="26" t="e">
        <f t="shared" si="10"/>
        <v>#DIV/0!</v>
      </c>
      <c r="AJ36" s="38"/>
      <c r="AK36" s="10"/>
    </row>
    <row r="37" spans="1:37">
      <c r="A37" s="10"/>
      <c r="B37" s="10">
        <v>3</v>
      </c>
      <c r="C37" s="10">
        <v>2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1"/>
      <c r="AJ37" s="39"/>
      <c r="AK37" s="10"/>
    </row>
    <row r="38" spans="1:37">
      <c r="A38" s="10"/>
      <c r="B38" s="2" t="s">
        <v>364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1"/>
      <c r="AJ38" s="39"/>
      <c r="AK38" s="10"/>
    </row>
    <row r="39" spans="1:37">
      <c r="A39" s="10"/>
      <c r="B39" s="2" t="s">
        <v>365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1"/>
      <c r="AJ39" s="39"/>
      <c r="AK39" s="10"/>
    </row>
    <row r="40" spans="1:3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1"/>
      <c r="AJ40" s="39"/>
      <c r="AK40" s="10"/>
    </row>
  </sheetData>
  <mergeCells count="1">
    <mergeCell ref="A1:AI2"/>
  </mergeCells>
  <conditionalFormatting sqref="AG3">
    <cfRule type="cellIs" dxfId="0" priority="111" operator="lessThan">
      <formula>0</formula>
    </cfRule>
  </conditionalFormatting>
  <conditionalFormatting sqref="AI3">
    <cfRule type="cellIs" dxfId="0" priority="110" operator="lessThan">
      <formula>0</formula>
    </cfRule>
  </conditionalFormatting>
  <conditionalFormatting sqref="AJ3">
    <cfRule type="cellIs" dxfId="0" priority="43" operator="lessThan">
      <formula>0</formula>
    </cfRule>
  </conditionalFormatting>
  <conditionalFormatting sqref="AG4">
    <cfRule type="cellIs" dxfId="0" priority="44" operator="lessThan">
      <formula>0</formula>
    </cfRule>
  </conditionalFormatting>
  <conditionalFormatting sqref="AH4">
    <cfRule type="cellIs" dxfId="0" priority="108" operator="lessThan">
      <formula>0</formula>
    </cfRule>
  </conditionalFormatting>
  <conditionalFormatting sqref="AI4">
    <cfRule type="cellIs" dxfId="0" priority="109" operator="lessThan">
      <formula>0</formula>
    </cfRule>
  </conditionalFormatting>
  <conditionalFormatting sqref="Y5">
    <cfRule type="cellIs" dxfId="0" priority="4" operator="lessThan">
      <formula>0</formula>
    </cfRule>
  </conditionalFormatting>
  <conditionalFormatting sqref="AG5:AH5">
    <cfRule type="cellIs" dxfId="0" priority="3" operator="lessThan">
      <formula>0</formula>
    </cfRule>
  </conditionalFormatting>
  <conditionalFormatting sqref="AI5">
    <cfRule type="cellIs" dxfId="0" priority="2" operator="lessThan">
      <formula>0</formula>
    </cfRule>
  </conditionalFormatting>
  <conditionalFormatting sqref="AJ5">
    <cfRule type="cellIs" dxfId="0" priority="1" operator="lessThan">
      <formula>0</formula>
    </cfRule>
  </conditionalFormatting>
  <conditionalFormatting sqref="Y6">
    <cfRule type="cellIs" dxfId="0" priority="107" operator="lessThan">
      <formula>0</formula>
    </cfRule>
  </conditionalFormatting>
  <conditionalFormatting sqref="AI6">
    <cfRule type="cellIs" dxfId="0" priority="84" operator="lessThan">
      <formula>0</formula>
    </cfRule>
  </conditionalFormatting>
  <conditionalFormatting sqref="AJ6">
    <cfRule type="cellIs" dxfId="0" priority="42" operator="lessThan">
      <formula>0</formula>
    </cfRule>
  </conditionalFormatting>
  <conditionalFormatting sqref="Y7">
    <cfRule type="cellIs" dxfId="0" priority="106" operator="lessThan">
      <formula>0</formula>
    </cfRule>
  </conditionalFormatting>
  <conditionalFormatting sqref="AI7">
    <cfRule type="cellIs" dxfId="0" priority="83" operator="lessThan">
      <formula>0</formula>
    </cfRule>
  </conditionalFormatting>
  <conditionalFormatting sqref="AJ7">
    <cfRule type="cellIs" dxfId="0" priority="41" operator="lessThan">
      <formula>0</formula>
    </cfRule>
  </conditionalFormatting>
  <conditionalFormatting sqref="Y8">
    <cfRule type="cellIs" dxfId="0" priority="105" operator="lessThan">
      <formula>0</formula>
    </cfRule>
  </conditionalFormatting>
  <conditionalFormatting sqref="AI8">
    <cfRule type="cellIs" dxfId="0" priority="82" operator="lessThan">
      <formula>0</formula>
    </cfRule>
  </conditionalFormatting>
  <conditionalFormatting sqref="AJ8">
    <cfRule type="cellIs" dxfId="0" priority="40" operator="lessThan">
      <formula>0</formula>
    </cfRule>
  </conditionalFormatting>
  <conditionalFormatting sqref="Y9">
    <cfRule type="cellIs" dxfId="0" priority="61" operator="lessThan">
      <formula>0</formula>
    </cfRule>
  </conditionalFormatting>
  <conditionalFormatting sqref="AI9">
    <cfRule type="cellIs" dxfId="0" priority="57" operator="lessThan">
      <formula>0</formula>
    </cfRule>
  </conditionalFormatting>
  <conditionalFormatting sqref="AJ9">
    <cfRule type="cellIs" dxfId="0" priority="19" operator="lessThan">
      <formula>0</formula>
    </cfRule>
  </conditionalFormatting>
  <conditionalFormatting sqref="Y10">
    <cfRule type="cellIs" dxfId="0" priority="60" operator="lessThan">
      <formula>0</formula>
    </cfRule>
  </conditionalFormatting>
  <conditionalFormatting sqref="AI10">
    <cfRule type="cellIs" dxfId="0" priority="56" operator="lessThan">
      <formula>0</formula>
    </cfRule>
  </conditionalFormatting>
  <conditionalFormatting sqref="AJ10">
    <cfRule type="cellIs" dxfId="0" priority="18" operator="lessThan">
      <formula>0</formula>
    </cfRule>
  </conditionalFormatting>
  <conditionalFormatting sqref="Y11">
    <cfRule type="cellIs" dxfId="0" priority="59" operator="lessThan">
      <formula>0</formula>
    </cfRule>
  </conditionalFormatting>
  <conditionalFormatting sqref="AI11">
    <cfRule type="cellIs" dxfId="0" priority="55" operator="lessThan">
      <formula>0</formula>
    </cfRule>
  </conditionalFormatting>
  <conditionalFormatting sqref="AJ11">
    <cfRule type="cellIs" dxfId="0" priority="17" operator="lessThan">
      <formula>0</formula>
    </cfRule>
  </conditionalFormatting>
  <conditionalFormatting sqref="Y12">
    <cfRule type="cellIs" dxfId="0" priority="58" operator="lessThan">
      <formula>0</formula>
    </cfRule>
  </conditionalFormatting>
  <conditionalFormatting sqref="AI12">
    <cfRule type="cellIs" dxfId="0" priority="54" operator="lessThan">
      <formula>0</formula>
    </cfRule>
  </conditionalFormatting>
  <conditionalFormatting sqref="AJ12">
    <cfRule type="cellIs" dxfId="0" priority="16" operator="lessThan">
      <formula>0</formula>
    </cfRule>
  </conditionalFormatting>
  <conditionalFormatting sqref="Y13">
    <cfRule type="cellIs" dxfId="0" priority="104" operator="lessThan">
      <formula>0</formula>
    </cfRule>
  </conditionalFormatting>
  <conditionalFormatting sqref="AI13">
    <cfRule type="cellIs" dxfId="0" priority="81" operator="lessThan">
      <formula>0</formula>
    </cfRule>
  </conditionalFormatting>
  <conditionalFormatting sqref="AJ13">
    <cfRule type="cellIs" dxfId="0" priority="39" operator="lessThan">
      <formula>0</formula>
    </cfRule>
  </conditionalFormatting>
  <conditionalFormatting sqref="Y14">
    <cfRule type="cellIs" dxfId="0" priority="103" operator="lessThan">
      <formula>0</formula>
    </cfRule>
  </conditionalFormatting>
  <conditionalFormatting sqref="AI14">
    <cfRule type="cellIs" dxfId="0" priority="80" operator="lessThan">
      <formula>0</formula>
    </cfRule>
  </conditionalFormatting>
  <conditionalFormatting sqref="AJ14">
    <cfRule type="cellIs" dxfId="0" priority="38" operator="lessThan">
      <formula>0</formula>
    </cfRule>
  </conditionalFormatting>
  <conditionalFormatting sqref="Y15">
    <cfRule type="cellIs" dxfId="0" priority="102" operator="lessThan">
      <formula>0</formula>
    </cfRule>
  </conditionalFormatting>
  <conditionalFormatting sqref="AI15">
    <cfRule type="cellIs" dxfId="0" priority="79" operator="lessThan">
      <formula>0</formula>
    </cfRule>
  </conditionalFormatting>
  <conditionalFormatting sqref="AJ15">
    <cfRule type="cellIs" dxfId="0" priority="37" operator="lessThan">
      <formula>0</formula>
    </cfRule>
  </conditionalFormatting>
  <conditionalFormatting sqref="Y16">
    <cfRule type="cellIs" dxfId="0" priority="101" operator="lessThan">
      <formula>0</formula>
    </cfRule>
  </conditionalFormatting>
  <conditionalFormatting sqref="AI16">
    <cfRule type="cellIs" dxfId="0" priority="78" operator="lessThan">
      <formula>0</formula>
    </cfRule>
  </conditionalFormatting>
  <conditionalFormatting sqref="AJ16">
    <cfRule type="cellIs" dxfId="0" priority="36" operator="lessThan">
      <formula>0</formula>
    </cfRule>
  </conditionalFormatting>
  <conditionalFormatting sqref="Y17">
    <cfRule type="cellIs" dxfId="0" priority="100" operator="lessThan">
      <formula>0</formula>
    </cfRule>
  </conditionalFormatting>
  <conditionalFormatting sqref="AI17">
    <cfRule type="cellIs" dxfId="0" priority="77" operator="lessThan">
      <formula>0</formula>
    </cfRule>
  </conditionalFormatting>
  <conditionalFormatting sqref="AJ17">
    <cfRule type="cellIs" dxfId="0" priority="35" operator="lessThan">
      <formula>0</formula>
    </cfRule>
  </conditionalFormatting>
  <conditionalFormatting sqref="Y18">
    <cfRule type="cellIs" dxfId="0" priority="99" operator="lessThan">
      <formula>0</formula>
    </cfRule>
  </conditionalFormatting>
  <conditionalFormatting sqref="AI18">
    <cfRule type="cellIs" dxfId="0" priority="76" operator="lessThan">
      <formula>0</formula>
    </cfRule>
  </conditionalFormatting>
  <conditionalFormatting sqref="AJ18">
    <cfRule type="cellIs" dxfId="0" priority="34" operator="lessThan">
      <formula>0</formula>
    </cfRule>
  </conditionalFormatting>
  <conditionalFormatting sqref="Y19">
    <cfRule type="cellIs" dxfId="0" priority="98" operator="lessThan">
      <formula>0</formula>
    </cfRule>
  </conditionalFormatting>
  <conditionalFormatting sqref="AI19">
    <cfRule type="cellIs" dxfId="0" priority="75" operator="lessThan">
      <formula>0</formula>
    </cfRule>
  </conditionalFormatting>
  <conditionalFormatting sqref="AJ19">
    <cfRule type="cellIs" dxfId="0" priority="33" operator="lessThan">
      <formula>0</formula>
    </cfRule>
  </conditionalFormatting>
  <conditionalFormatting sqref="Y20">
    <cfRule type="cellIs" dxfId="0" priority="97" operator="lessThan">
      <formula>0</formula>
    </cfRule>
  </conditionalFormatting>
  <conditionalFormatting sqref="AI20">
    <cfRule type="cellIs" dxfId="0" priority="74" operator="lessThan">
      <formula>0</formula>
    </cfRule>
  </conditionalFormatting>
  <conditionalFormatting sqref="AJ20">
    <cfRule type="cellIs" dxfId="0" priority="32" operator="lessThan">
      <formula>0</formula>
    </cfRule>
  </conditionalFormatting>
  <conditionalFormatting sqref="Y21">
    <cfRule type="cellIs" dxfId="0" priority="96" operator="lessThan">
      <formula>0</formula>
    </cfRule>
  </conditionalFormatting>
  <conditionalFormatting sqref="AI21">
    <cfRule type="cellIs" dxfId="0" priority="73" operator="lessThan">
      <formula>0</formula>
    </cfRule>
  </conditionalFormatting>
  <conditionalFormatting sqref="AJ21">
    <cfRule type="cellIs" dxfId="0" priority="31" operator="lessThan">
      <formula>0</formula>
    </cfRule>
  </conditionalFormatting>
  <conditionalFormatting sqref="Y22">
    <cfRule type="cellIs" dxfId="0" priority="95" operator="lessThan">
      <formula>0</formula>
    </cfRule>
  </conditionalFormatting>
  <conditionalFormatting sqref="AI22">
    <cfRule type="cellIs" dxfId="0" priority="72" operator="lessThan">
      <formula>0</formula>
    </cfRule>
  </conditionalFormatting>
  <conditionalFormatting sqref="AJ22">
    <cfRule type="cellIs" dxfId="0" priority="30" operator="lessThan">
      <formula>0</formula>
    </cfRule>
  </conditionalFormatting>
  <conditionalFormatting sqref="Y23">
    <cfRule type="cellIs" dxfId="0" priority="94" operator="lessThan">
      <formula>0</formula>
    </cfRule>
  </conditionalFormatting>
  <conditionalFormatting sqref="AI23">
    <cfRule type="cellIs" dxfId="0" priority="71" operator="lessThan">
      <formula>0</formula>
    </cfRule>
  </conditionalFormatting>
  <conditionalFormatting sqref="AJ23">
    <cfRule type="cellIs" dxfId="0" priority="29" operator="lessThan">
      <formula>0</formula>
    </cfRule>
  </conditionalFormatting>
  <conditionalFormatting sqref="Y24">
    <cfRule type="cellIs" dxfId="0" priority="93" operator="lessThan">
      <formula>0</formula>
    </cfRule>
  </conditionalFormatting>
  <conditionalFormatting sqref="AI24">
    <cfRule type="cellIs" dxfId="0" priority="70" operator="lessThan">
      <formula>0</formula>
    </cfRule>
  </conditionalFormatting>
  <conditionalFormatting sqref="AJ24">
    <cfRule type="cellIs" dxfId="0" priority="28" operator="lessThan">
      <formula>0</formula>
    </cfRule>
  </conditionalFormatting>
  <conditionalFormatting sqref="Y25">
    <cfRule type="cellIs" dxfId="0" priority="92" operator="lessThan">
      <formula>0</formula>
    </cfRule>
  </conditionalFormatting>
  <conditionalFormatting sqref="AI25">
    <cfRule type="cellIs" dxfId="0" priority="69" operator="lessThan">
      <formula>0</formula>
    </cfRule>
  </conditionalFormatting>
  <conditionalFormatting sqref="AJ25">
    <cfRule type="cellIs" dxfId="0" priority="27" operator="lessThan">
      <formula>0</formula>
    </cfRule>
  </conditionalFormatting>
  <conditionalFormatting sqref="Y26">
    <cfRule type="cellIs" dxfId="0" priority="91" operator="lessThan">
      <formula>0</formula>
    </cfRule>
  </conditionalFormatting>
  <conditionalFormatting sqref="AI26">
    <cfRule type="cellIs" dxfId="0" priority="68" operator="lessThan">
      <formula>0</formula>
    </cfRule>
  </conditionalFormatting>
  <conditionalFormatting sqref="AJ26">
    <cfRule type="cellIs" dxfId="0" priority="26" operator="lessThan">
      <formula>0</formula>
    </cfRule>
  </conditionalFormatting>
  <conditionalFormatting sqref="Y27">
    <cfRule type="cellIs" dxfId="0" priority="90" operator="lessThan">
      <formula>0</formula>
    </cfRule>
  </conditionalFormatting>
  <conditionalFormatting sqref="AI27">
    <cfRule type="cellIs" dxfId="0" priority="67" operator="lessThan">
      <formula>0</formula>
    </cfRule>
  </conditionalFormatting>
  <conditionalFormatting sqref="AJ27">
    <cfRule type="cellIs" dxfId="0" priority="25" operator="lessThan">
      <formula>0</formula>
    </cfRule>
  </conditionalFormatting>
  <conditionalFormatting sqref="Y28">
    <cfRule type="cellIs" dxfId="0" priority="89" operator="lessThan">
      <formula>0</formula>
    </cfRule>
  </conditionalFormatting>
  <conditionalFormatting sqref="AI28">
    <cfRule type="cellIs" dxfId="0" priority="66" operator="lessThan">
      <formula>0</formula>
    </cfRule>
  </conditionalFormatting>
  <conditionalFormatting sqref="AJ28">
    <cfRule type="cellIs" dxfId="0" priority="24" operator="lessThan">
      <formula>0</formula>
    </cfRule>
  </conditionalFormatting>
  <conditionalFormatting sqref="Y29">
    <cfRule type="cellIs" dxfId="0" priority="88" operator="lessThan">
      <formula>0</formula>
    </cfRule>
  </conditionalFormatting>
  <conditionalFormatting sqref="AI29">
    <cfRule type="cellIs" dxfId="0" priority="65" operator="lessThan">
      <formula>0</formula>
    </cfRule>
  </conditionalFormatting>
  <conditionalFormatting sqref="AJ29">
    <cfRule type="cellIs" dxfId="0" priority="23" operator="lessThan">
      <formula>0</formula>
    </cfRule>
  </conditionalFormatting>
  <conditionalFormatting sqref="Y30">
    <cfRule type="cellIs" dxfId="0" priority="87" operator="lessThan">
      <formula>0</formula>
    </cfRule>
  </conditionalFormatting>
  <conditionalFormatting sqref="AI30">
    <cfRule type="cellIs" dxfId="0" priority="64" operator="lessThan">
      <formula>0</formula>
    </cfRule>
  </conditionalFormatting>
  <conditionalFormatting sqref="AJ30">
    <cfRule type="cellIs" dxfId="0" priority="22" operator="lessThan">
      <formula>0</formula>
    </cfRule>
  </conditionalFormatting>
  <conditionalFormatting sqref="Y31">
    <cfRule type="cellIs" dxfId="0" priority="86" operator="lessThan">
      <formula>0</formula>
    </cfRule>
  </conditionalFormatting>
  <conditionalFormatting sqref="AI31">
    <cfRule type="cellIs" dxfId="0" priority="63" operator="lessThan">
      <formula>0</formula>
    </cfRule>
  </conditionalFormatting>
  <conditionalFormatting sqref="AJ31">
    <cfRule type="cellIs" dxfId="0" priority="21" operator="lessThan">
      <formula>0</formula>
    </cfRule>
  </conditionalFormatting>
  <conditionalFormatting sqref="Y32">
    <cfRule type="cellIs" dxfId="0" priority="85" operator="lessThan">
      <formula>0</formula>
    </cfRule>
  </conditionalFormatting>
  <conditionalFormatting sqref="AI32">
    <cfRule type="cellIs" dxfId="0" priority="62" operator="lessThan">
      <formula>0</formula>
    </cfRule>
  </conditionalFormatting>
  <conditionalFormatting sqref="AJ32">
    <cfRule type="cellIs" dxfId="0" priority="20" operator="lessThan">
      <formula>0</formula>
    </cfRule>
  </conditionalFormatting>
  <conditionalFormatting sqref="Y33">
    <cfRule type="cellIs" dxfId="0" priority="53" operator="lessThan">
      <formula>0</formula>
    </cfRule>
  </conditionalFormatting>
  <conditionalFormatting sqref="AI33">
    <cfRule type="cellIs" dxfId="0" priority="50" operator="lessThan">
      <formula>0</formula>
    </cfRule>
  </conditionalFormatting>
  <conditionalFormatting sqref="AJ33">
    <cfRule type="cellIs" dxfId="0" priority="15" operator="lessThan">
      <formula>0</formula>
    </cfRule>
  </conditionalFormatting>
  <conditionalFormatting sqref="Y34">
    <cfRule type="cellIs" dxfId="0" priority="52" operator="lessThan">
      <formula>0</formula>
    </cfRule>
  </conditionalFormatting>
  <conditionalFormatting sqref="AI34">
    <cfRule type="cellIs" dxfId="0" priority="49" operator="lessThan">
      <formula>0</formula>
    </cfRule>
  </conditionalFormatting>
  <conditionalFormatting sqref="AJ34">
    <cfRule type="cellIs" dxfId="0" priority="14" operator="lessThan">
      <formula>0</formula>
    </cfRule>
  </conditionalFormatting>
  <conditionalFormatting sqref="Y35">
    <cfRule type="cellIs" dxfId="0" priority="51" operator="lessThan">
      <formula>0</formula>
    </cfRule>
  </conditionalFormatting>
  <conditionalFormatting sqref="AI35">
    <cfRule type="cellIs" dxfId="0" priority="48" operator="lessThan">
      <formula>0</formula>
    </cfRule>
  </conditionalFormatting>
  <conditionalFormatting sqref="AJ35">
    <cfRule type="cellIs" dxfId="0" priority="13" operator="lessThan">
      <formula>0</formula>
    </cfRule>
  </conditionalFormatting>
  <conditionalFormatting sqref="Y36">
    <cfRule type="cellIs" dxfId="0" priority="9" operator="lessThan">
      <formula>0</formula>
    </cfRule>
  </conditionalFormatting>
  <conditionalFormatting sqref="AG36">
    <cfRule type="cellIs" dxfId="0" priority="6" operator="lessThan">
      <formula>0</formula>
    </cfRule>
  </conditionalFormatting>
  <conditionalFormatting sqref="AH36">
    <cfRule type="cellIs" dxfId="0" priority="5" operator="lessThan">
      <formula>0</formula>
    </cfRule>
  </conditionalFormatting>
  <conditionalFormatting sqref="AI36">
    <cfRule type="cellIs" dxfId="0" priority="8" operator="lessThan">
      <formula>0</formula>
    </cfRule>
  </conditionalFormatting>
  <conditionalFormatting sqref="AJ36">
    <cfRule type="cellIs" dxfId="0" priority="7" operator="lessThan">
      <formula>0</formula>
    </cfRule>
  </conditionalFormatting>
  <conditionalFormatting sqref="AG6:AG35">
    <cfRule type="cellIs" dxfId="0" priority="11" operator="lessThan">
      <formula>0</formula>
    </cfRule>
  </conditionalFormatting>
  <conditionalFormatting sqref="AH6:AH35">
    <cfRule type="cellIs" dxfId="0" priority="10" operator="lessThan">
      <formula>0</formula>
    </cfRule>
  </conditionalFormatting>
  <conditionalFormatting sqref="Y3 AH3">
    <cfRule type="cellIs" dxfId="0" priority="112" operator="lessThan">
      <formula>0</formula>
    </cfRule>
  </conditionalFormatting>
  <pageMargins left="0.75" right="0.75" top="1" bottom="1" header="0.5" footer="0.5"/>
  <headerFooter/>
  <ignoredErrors>
    <ignoredError sqref="F4:I4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1"/>
  <sheetViews>
    <sheetView zoomScale="75" zoomScaleNormal="75" workbookViewId="0">
      <pane ySplit="5" topLeftCell="A6" activePane="bottomLeft" state="frozen"/>
      <selection/>
      <selection pane="bottomLeft" activeCell="AJ4" sqref="AJ4"/>
    </sheetView>
  </sheetViews>
  <sheetFormatPr defaultColWidth="9.14285714285714" defaultRowHeight="15"/>
  <cols>
    <col min="4" max="4" width="10.6666666666667" customWidth="1"/>
    <col min="17" max="25" width="10.8571428571429" customWidth="1"/>
  </cols>
  <sheetData>
    <row r="1" spans="1:37">
      <c r="A1" s="9" t="s">
        <v>368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1"/>
      <c r="AJ1" s="12"/>
      <c r="AK1" s="3"/>
    </row>
    <row r="2" spans="1:37">
      <c r="A2" s="1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12"/>
      <c r="AK2" s="3"/>
    </row>
    <row r="3" ht="31.5" spans="1:37">
      <c r="A3" s="14" t="s">
        <v>277</v>
      </c>
      <c r="B3" s="14" t="s">
        <v>326</v>
      </c>
      <c r="C3" s="15" t="s">
        <v>327</v>
      </c>
      <c r="D3" s="15" t="s">
        <v>328</v>
      </c>
      <c r="E3" s="15" t="s">
        <v>280</v>
      </c>
      <c r="F3" s="15" t="s">
        <v>24</v>
      </c>
      <c r="G3" s="15" t="s">
        <v>281</v>
      </c>
      <c r="H3" s="15" t="s">
        <v>219</v>
      </c>
      <c r="I3" s="16" t="s">
        <v>282</v>
      </c>
      <c r="J3" s="15" t="s">
        <v>33</v>
      </c>
      <c r="K3" s="15" t="s">
        <v>36</v>
      </c>
      <c r="L3" s="15" t="s">
        <v>37</v>
      </c>
      <c r="M3" s="14" t="s">
        <v>283</v>
      </c>
      <c r="N3" s="14" t="s">
        <v>284</v>
      </c>
      <c r="O3" s="17" t="s">
        <v>157</v>
      </c>
      <c r="P3" s="17" t="s">
        <v>61</v>
      </c>
      <c r="Q3" s="16" t="s">
        <v>285</v>
      </c>
      <c r="R3" s="16" t="s">
        <v>34</v>
      </c>
      <c r="S3" s="16" t="s">
        <v>35</v>
      </c>
      <c r="T3" s="16" t="s">
        <v>27</v>
      </c>
      <c r="U3" s="15" t="s">
        <v>56</v>
      </c>
      <c r="V3" s="15" t="s">
        <v>57</v>
      </c>
      <c r="W3" s="15" t="s">
        <v>286</v>
      </c>
      <c r="X3" s="15" t="s">
        <v>287</v>
      </c>
      <c r="Y3" s="15" t="s">
        <v>288</v>
      </c>
      <c r="Z3" s="14" t="s">
        <v>329</v>
      </c>
      <c r="AA3" s="14" t="s">
        <v>330</v>
      </c>
      <c r="AB3" s="14" t="s">
        <v>330</v>
      </c>
      <c r="AC3" s="14" t="s">
        <v>331</v>
      </c>
      <c r="AD3" s="18" t="s">
        <v>332</v>
      </c>
      <c r="AE3" s="14" t="s">
        <v>289</v>
      </c>
      <c r="AF3" s="14" t="s">
        <v>333</v>
      </c>
      <c r="AG3" s="14" t="s">
        <v>290</v>
      </c>
      <c r="AH3" s="14" t="s">
        <v>291</v>
      </c>
      <c r="AI3" s="14" t="s">
        <v>292</v>
      </c>
      <c r="AJ3" s="14" t="s">
        <v>334</v>
      </c>
      <c r="AK3" s="3"/>
    </row>
    <row r="4" ht="28" customHeight="1" spans="1:37">
      <c r="A4" s="19" t="s">
        <v>335</v>
      </c>
      <c r="B4" s="20">
        <f t="shared" ref="B4:H4" si="0">SUM(B6:B1048575)</f>
        <v>249603</v>
      </c>
      <c r="C4" s="20">
        <f t="shared" si="0"/>
        <v>51991</v>
      </c>
      <c r="D4" s="20">
        <f t="shared" si="0"/>
        <v>510845</v>
      </c>
      <c r="E4" s="20">
        <f t="shared" si="0"/>
        <v>13540.5833333333</v>
      </c>
      <c r="F4" s="21">
        <f>(H4/AJ4)/汇总!S1</f>
        <v>3.91132478632479</v>
      </c>
      <c r="G4" s="20">
        <f t="shared" si="0"/>
        <v>7790</v>
      </c>
      <c r="H4" s="20">
        <f t="shared" si="0"/>
        <v>3661</v>
      </c>
      <c r="I4" s="22">
        <f t="shared" ref="I4:I36" si="1">H4/G4</f>
        <v>0.469961489088575</v>
      </c>
      <c r="J4" s="20">
        <f t="shared" ref="J4:L4" si="2">SUM(J6:J1048575)</f>
        <v>2996</v>
      </c>
      <c r="K4" s="20">
        <f t="shared" si="2"/>
        <v>16663</v>
      </c>
      <c r="L4" s="20">
        <f t="shared" si="2"/>
        <v>13002</v>
      </c>
      <c r="M4" s="23">
        <f t="shared" ref="M4:M36" si="3">E4/G4</f>
        <v>1.73820068463843</v>
      </c>
      <c r="N4" s="23">
        <f t="shared" ref="N4:N36" si="4">E4/H4</f>
        <v>3.69860238550487</v>
      </c>
      <c r="O4" s="20">
        <f t="shared" ref="O4:O36" si="5">U4/H4</f>
        <v>233.237366839661</v>
      </c>
      <c r="P4" s="20">
        <f t="shared" ref="P4:P36" si="6">W4/K4</f>
        <v>488.124571805797</v>
      </c>
      <c r="Q4" s="20">
        <f t="shared" ref="Q4:AD4" si="7">SUM(Q6:Q1048575)</f>
        <v>61963295.63</v>
      </c>
      <c r="R4" s="20">
        <f t="shared" si="7"/>
        <v>706540</v>
      </c>
      <c r="S4" s="20">
        <f t="shared" si="7"/>
        <v>462970</v>
      </c>
      <c r="T4" s="20">
        <f t="shared" si="7"/>
        <v>626598</v>
      </c>
      <c r="U4" s="20">
        <f t="shared" si="7"/>
        <v>853882</v>
      </c>
      <c r="V4" s="20">
        <f t="shared" si="7"/>
        <v>586999</v>
      </c>
      <c r="W4" s="20">
        <f t="shared" si="7"/>
        <v>8133619.74</v>
      </c>
      <c r="X4" s="20">
        <f t="shared" si="7"/>
        <v>7280993.22</v>
      </c>
      <c r="Y4" s="20">
        <f t="shared" si="7"/>
        <v>852626.52</v>
      </c>
      <c r="Z4" s="20">
        <f t="shared" si="7"/>
        <v>326</v>
      </c>
      <c r="AA4" s="20">
        <f t="shared" si="7"/>
        <v>326</v>
      </c>
      <c r="AB4" s="20">
        <f t="shared" si="7"/>
        <v>137</v>
      </c>
      <c r="AC4" s="20">
        <f t="shared" si="7"/>
        <v>0</v>
      </c>
      <c r="AD4" s="20">
        <f t="shared" si="7"/>
        <v>159</v>
      </c>
      <c r="AE4" s="20">
        <v>73</v>
      </c>
      <c r="AF4" s="20">
        <v>5252</v>
      </c>
      <c r="AG4" s="24">
        <f t="shared" ref="AG4:AG36" si="8">(U4/60)/E4</f>
        <v>1.05101577356958</v>
      </c>
      <c r="AH4" s="25">
        <f t="shared" ref="AH4:AH36" si="9">(Y4/60)/E4</f>
        <v>1.04947044378935</v>
      </c>
      <c r="AI4" s="26">
        <f t="shared" ref="AI4:AI36" si="10">Q4/W4</f>
        <v>7.61816972156606</v>
      </c>
      <c r="AJ4" s="20">
        <v>36</v>
      </c>
      <c r="AK4" s="3"/>
    </row>
    <row r="5" ht="22.5" spans="1:37">
      <c r="A5" s="27" t="s">
        <v>336</v>
      </c>
      <c r="B5" s="27" t="s">
        <v>337</v>
      </c>
      <c r="C5" s="28" t="s">
        <v>338</v>
      </c>
      <c r="D5" s="28" t="s">
        <v>339</v>
      </c>
      <c r="E5" s="28" t="s">
        <v>340</v>
      </c>
      <c r="F5" s="28" t="s">
        <v>71</v>
      </c>
      <c r="G5" s="28" t="s">
        <v>341</v>
      </c>
      <c r="H5" s="28" t="s">
        <v>342</v>
      </c>
      <c r="I5" s="29" t="s">
        <v>343</v>
      </c>
      <c r="J5" s="28" t="s">
        <v>80</v>
      </c>
      <c r="K5" s="28" t="s">
        <v>83</v>
      </c>
      <c r="L5" s="28" t="s">
        <v>84</v>
      </c>
      <c r="M5" s="27" t="s">
        <v>344</v>
      </c>
      <c r="N5" s="27" t="s">
        <v>345</v>
      </c>
      <c r="O5" s="29" t="s">
        <v>95</v>
      </c>
      <c r="P5" s="29" t="s">
        <v>346</v>
      </c>
      <c r="Q5" s="29" t="s">
        <v>347</v>
      </c>
      <c r="R5" s="29" t="s">
        <v>81</v>
      </c>
      <c r="S5" s="29" t="s">
        <v>82</v>
      </c>
      <c r="T5" s="29" t="s">
        <v>74</v>
      </c>
      <c r="U5" s="28" t="s">
        <v>348</v>
      </c>
      <c r="V5" s="28" t="s">
        <v>349</v>
      </c>
      <c r="W5" s="28" t="s">
        <v>350</v>
      </c>
      <c r="X5" s="28" t="s">
        <v>351</v>
      </c>
      <c r="Y5" s="28" t="s">
        <v>352</v>
      </c>
      <c r="Z5" s="27" t="s">
        <v>353</v>
      </c>
      <c r="AA5" s="27" t="s">
        <v>354</v>
      </c>
      <c r="AB5" s="27" t="s">
        <v>355</v>
      </c>
      <c r="AC5" s="27" t="s">
        <v>356</v>
      </c>
      <c r="AD5" s="30" t="s">
        <v>357</v>
      </c>
      <c r="AE5" s="27" t="s">
        <v>358</v>
      </c>
      <c r="AF5" s="27" t="s">
        <v>359</v>
      </c>
      <c r="AG5" s="27" t="s">
        <v>360</v>
      </c>
      <c r="AH5" s="27" t="s">
        <v>361</v>
      </c>
      <c r="AI5" s="27" t="s">
        <v>362</v>
      </c>
      <c r="AJ5" s="27" t="s">
        <v>363</v>
      </c>
      <c r="AK5" s="3"/>
    </row>
    <row r="6" spans="1:37">
      <c r="A6" s="31">
        <v>46204</v>
      </c>
      <c r="B6" s="32">
        <v>9600</v>
      </c>
      <c r="C6" s="32">
        <v>3466</v>
      </c>
      <c r="D6" s="33">
        <v>188639</v>
      </c>
      <c r="E6" s="21">
        <f t="shared" ref="E6:E36" si="11">(B6+C6+D6)/60</f>
        <v>3361.75</v>
      </c>
      <c r="F6" s="21">
        <f t="shared" ref="F6:F36" si="12">H6/AJ6</f>
        <v>4.69444444444444</v>
      </c>
      <c r="G6" s="33">
        <v>331</v>
      </c>
      <c r="H6" s="33">
        <v>169</v>
      </c>
      <c r="I6" s="25">
        <f t="shared" si="1"/>
        <v>0.510574018126888</v>
      </c>
      <c r="J6" s="33">
        <v>130</v>
      </c>
      <c r="K6" s="33">
        <v>658</v>
      </c>
      <c r="L6" s="34">
        <f t="shared" ref="L6:L36" si="13">K6-H6</f>
        <v>489</v>
      </c>
      <c r="M6" s="35">
        <f t="shared" si="3"/>
        <v>10.1563444108761</v>
      </c>
      <c r="N6" s="35">
        <f t="shared" si="4"/>
        <v>19.8920118343195</v>
      </c>
      <c r="O6" s="34">
        <f t="shared" si="5"/>
        <v>234.177514792899</v>
      </c>
      <c r="P6" s="34">
        <f t="shared" si="6"/>
        <v>492.171732522796</v>
      </c>
      <c r="Q6" s="33">
        <v>1899518.52</v>
      </c>
      <c r="R6" s="33">
        <v>31234</v>
      </c>
      <c r="S6" s="33">
        <v>27194</v>
      </c>
      <c r="T6" s="33">
        <v>27251</v>
      </c>
      <c r="U6" s="33">
        <v>39576</v>
      </c>
      <c r="V6" s="33">
        <v>29044</v>
      </c>
      <c r="W6" s="33">
        <v>323849</v>
      </c>
      <c r="X6" s="33">
        <v>173924</v>
      </c>
      <c r="Y6" s="34">
        <f t="shared" ref="Y6:Y36" si="14">W6-X6</f>
        <v>149925</v>
      </c>
      <c r="Z6" s="36">
        <v>8</v>
      </c>
      <c r="AA6" s="36">
        <v>8</v>
      </c>
      <c r="AB6" s="36">
        <v>2</v>
      </c>
      <c r="AC6" s="36">
        <v>0</v>
      </c>
      <c r="AD6" s="36">
        <v>6</v>
      </c>
      <c r="AE6" s="37">
        <f>95+AB6-AC6-AD6</f>
        <v>91</v>
      </c>
      <c r="AF6" s="34">
        <f>4926+Z6</f>
        <v>4934</v>
      </c>
      <c r="AG6" s="24">
        <f t="shared" si="8"/>
        <v>0.196207332490518</v>
      </c>
      <c r="AH6" s="25">
        <f t="shared" si="9"/>
        <v>0.743288465828809</v>
      </c>
      <c r="AI6" s="26">
        <f t="shared" si="10"/>
        <v>5.86544506853503</v>
      </c>
      <c r="AJ6" s="38">
        <v>36</v>
      </c>
      <c r="AK6" s="3"/>
    </row>
    <row r="7" spans="1:37">
      <c r="A7" s="31">
        <v>46205</v>
      </c>
      <c r="B7" s="32">
        <v>9600</v>
      </c>
      <c r="C7" s="32">
        <v>3466</v>
      </c>
      <c r="D7" s="33">
        <v>8591</v>
      </c>
      <c r="E7" s="21">
        <f t="shared" si="11"/>
        <v>360.95</v>
      </c>
      <c r="F7" s="21">
        <f t="shared" si="12"/>
        <v>3.775</v>
      </c>
      <c r="G7" s="33">
        <f>31+289</f>
        <v>320</v>
      </c>
      <c r="H7" s="33">
        <f>13+138</f>
        <v>151</v>
      </c>
      <c r="I7" s="25">
        <f t="shared" si="1"/>
        <v>0.471875</v>
      </c>
      <c r="J7" s="33">
        <f>9+111</f>
        <v>120</v>
      </c>
      <c r="K7" s="33">
        <f>70+555</f>
        <v>625</v>
      </c>
      <c r="L7" s="34">
        <f t="shared" si="13"/>
        <v>474</v>
      </c>
      <c r="M7" s="35">
        <f t="shared" si="3"/>
        <v>1.12796875</v>
      </c>
      <c r="N7" s="35">
        <f t="shared" si="4"/>
        <v>2.39039735099338</v>
      </c>
      <c r="O7" s="34">
        <f t="shared" si="5"/>
        <v>193.430463576159</v>
      </c>
      <c r="P7" s="34">
        <f t="shared" si="6"/>
        <v>428.6032</v>
      </c>
      <c r="Q7" s="33">
        <f>150650.81+1784535.93</f>
        <v>1935186.74</v>
      </c>
      <c r="R7" s="33">
        <f>1100+21620</f>
        <v>22720</v>
      </c>
      <c r="S7" s="33">
        <f>1900+9479</f>
        <v>11379</v>
      </c>
      <c r="T7" s="33">
        <f>1600+22076</f>
        <v>23676</v>
      </c>
      <c r="U7" s="33">
        <f>1700+27508</f>
        <v>29208</v>
      </c>
      <c r="V7" s="33">
        <f>1900+13994</f>
        <v>15894</v>
      </c>
      <c r="W7" s="33">
        <f>16915+250962</f>
        <v>267877</v>
      </c>
      <c r="X7" s="33">
        <f>12400+268416</f>
        <v>280816</v>
      </c>
      <c r="Y7" s="34">
        <f t="shared" si="14"/>
        <v>-12939</v>
      </c>
      <c r="Z7" s="36">
        <v>16</v>
      </c>
      <c r="AA7" s="36">
        <v>16</v>
      </c>
      <c r="AB7" s="36">
        <v>6</v>
      </c>
      <c r="AC7" s="36">
        <v>0</v>
      </c>
      <c r="AD7" s="36">
        <v>7</v>
      </c>
      <c r="AE7" s="37">
        <f t="shared" ref="AE7:AE36" si="15">AE6+AB7-AC7-AD7</f>
        <v>90</v>
      </c>
      <c r="AF7" s="34">
        <f t="shared" ref="AF7:AF36" si="16">AF6+Z7</f>
        <v>4950</v>
      </c>
      <c r="AG7" s="24">
        <f t="shared" si="8"/>
        <v>1.34866324975758</v>
      </c>
      <c r="AH7" s="25">
        <f t="shared" si="9"/>
        <v>-0.597451170522233</v>
      </c>
      <c r="AI7" s="26">
        <f t="shared" si="10"/>
        <v>7.22416161148587</v>
      </c>
      <c r="AJ7" s="38">
        <v>40</v>
      </c>
      <c r="AK7" s="3"/>
    </row>
    <row r="8" spans="1:37">
      <c r="A8" s="31">
        <v>46206</v>
      </c>
      <c r="B8" s="32">
        <v>9600</v>
      </c>
      <c r="C8" s="32">
        <v>3466</v>
      </c>
      <c r="D8" s="33">
        <v>18458</v>
      </c>
      <c r="E8" s="21">
        <f t="shared" si="11"/>
        <v>525.4</v>
      </c>
      <c r="F8" s="21">
        <f t="shared" si="12"/>
        <v>4.8125</v>
      </c>
      <c r="G8" s="33">
        <f>45+278</f>
        <v>323</v>
      </c>
      <c r="H8" s="33">
        <f>16+138</f>
        <v>154</v>
      </c>
      <c r="I8" s="25">
        <f t="shared" si="1"/>
        <v>0.476780185758514</v>
      </c>
      <c r="J8" s="33">
        <f>15+109</f>
        <v>124</v>
      </c>
      <c r="K8" s="33">
        <f>80+551</f>
        <v>631</v>
      </c>
      <c r="L8" s="34">
        <f t="shared" si="13"/>
        <v>477</v>
      </c>
      <c r="M8" s="35">
        <f t="shared" si="3"/>
        <v>1.6266253869969</v>
      </c>
      <c r="N8" s="35">
        <f t="shared" si="4"/>
        <v>3.41168831168831</v>
      </c>
      <c r="O8" s="34">
        <f t="shared" si="5"/>
        <v>215.616883116883</v>
      </c>
      <c r="P8" s="34">
        <f t="shared" si="6"/>
        <v>519.484944532488</v>
      </c>
      <c r="Q8" s="33">
        <f>180979.74+2216609.59</f>
        <v>2397589.33</v>
      </c>
      <c r="R8" s="33">
        <f>2050+24499</f>
        <v>26549</v>
      </c>
      <c r="S8" s="33">
        <f>200+15508</f>
        <v>15708</v>
      </c>
      <c r="T8" s="33">
        <f>1950+22883</f>
        <v>24833</v>
      </c>
      <c r="U8" s="33">
        <f>2150+31055</f>
        <v>33205</v>
      </c>
      <c r="V8" s="33">
        <f>200+20734</f>
        <v>20934</v>
      </c>
      <c r="W8" s="33">
        <f>27314+300481</f>
        <v>327795</v>
      </c>
      <c r="X8" s="33">
        <f>20449+277703</f>
        <v>298152</v>
      </c>
      <c r="Y8" s="34">
        <f t="shared" si="14"/>
        <v>29643</v>
      </c>
      <c r="Z8" s="36">
        <v>8</v>
      </c>
      <c r="AA8" s="36">
        <v>8</v>
      </c>
      <c r="AB8" s="36">
        <v>11</v>
      </c>
      <c r="AC8" s="36">
        <v>0</v>
      </c>
      <c r="AD8" s="36">
        <v>2</v>
      </c>
      <c r="AE8" s="37">
        <f t="shared" si="15"/>
        <v>99</v>
      </c>
      <c r="AF8" s="34">
        <f t="shared" si="16"/>
        <v>4958</v>
      </c>
      <c r="AG8" s="24">
        <f t="shared" si="8"/>
        <v>1.05332445121178</v>
      </c>
      <c r="AH8" s="25">
        <f t="shared" si="9"/>
        <v>0.940331176246669</v>
      </c>
      <c r="AI8" s="26">
        <f t="shared" si="10"/>
        <v>7.31429500144908</v>
      </c>
      <c r="AJ8" s="38">
        <v>32</v>
      </c>
      <c r="AK8" s="3"/>
    </row>
    <row r="9" spans="1:37">
      <c r="A9" s="31">
        <v>46207</v>
      </c>
      <c r="B9" s="32">
        <v>9600</v>
      </c>
      <c r="C9" s="32">
        <v>3466</v>
      </c>
      <c r="D9" s="33">
        <v>7225</v>
      </c>
      <c r="E9" s="21">
        <f t="shared" si="11"/>
        <v>338.183333333333</v>
      </c>
      <c r="F9" s="21">
        <f t="shared" si="12"/>
        <v>4.54838709677419</v>
      </c>
      <c r="G9" s="33">
        <f>67+252</f>
        <v>319</v>
      </c>
      <c r="H9" s="33">
        <f>31+110</f>
        <v>141</v>
      </c>
      <c r="I9" s="25">
        <f t="shared" si="1"/>
        <v>0.442006269592476</v>
      </c>
      <c r="J9" s="33">
        <f>23+96</f>
        <v>119</v>
      </c>
      <c r="K9" s="33">
        <f>83+570</f>
        <v>653</v>
      </c>
      <c r="L9" s="34">
        <f t="shared" si="13"/>
        <v>512</v>
      </c>
      <c r="M9" s="35">
        <f t="shared" si="3"/>
        <v>1.06013584117032</v>
      </c>
      <c r="N9" s="35">
        <f t="shared" si="4"/>
        <v>2.398463356974</v>
      </c>
      <c r="O9" s="34">
        <f t="shared" si="5"/>
        <v>310.666666666667</v>
      </c>
      <c r="P9" s="34">
        <f t="shared" si="6"/>
        <v>427.14088820827</v>
      </c>
      <c r="Q9" s="33">
        <f>210587.85+1807055.22</f>
        <v>2017643.07</v>
      </c>
      <c r="R9" s="33">
        <f>4850+21189</f>
        <v>26039</v>
      </c>
      <c r="S9" s="33">
        <f>2570+15321</f>
        <v>17891</v>
      </c>
      <c r="T9" s="33">
        <f>4870+18407</f>
        <v>23277</v>
      </c>
      <c r="U9" s="33">
        <f>5970+37834</f>
        <v>43804</v>
      </c>
      <c r="V9" s="33">
        <f>3170+27921</f>
        <v>31091</v>
      </c>
      <c r="W9" s="33">
        <f>20492+258431</f>
        <v>278923</v>
      </c>
      <c r="X9" s="33">
        <f>10920+242431</f>
        <v>253351</v>
      </c>
      <c r="Y9" s="34">
        <f t="shared" si="14"/>
        <v>25572</v>
      </c>
      <c r="Z9" s="36">
        <v>15</v>
      </c>
      <c r="AA9" s="36">
        <v>15</v>
      </c>
      <c r="AB9" s="36">
        <v>8</v>
      </c>
      <c r="AC9" s="36">
        <v>0</v>
      </c>
      <c r="AD9" s="36">
        <v>1</v>
      </c>
      <c r="AE9" s="37">
        <f t="shared" si="15"/>
        <v>106</v>
      </c>
      <c r="AF9" s="34">
        <f t="shared" si="16"/>
        <v>4973</v>
      </c>
      <c r="AG9" s="24">
        <f t="shared" si="8"/>
        <v>2.15878961115766</v>
      </c>
      <c r="AH9" s="25">
        <f t="shared" si="9"/>
        <v>1.26026317086393</v>
      </c>
      <c r="AI9" s="26">
        <f t="shared" si="10"/>
        <v>7.23369198667733</v>
      </c>
      <c r="AJ9" s="38">
        <v>31</v>
      </c>
      <c r="AK9" s="3"/>
    </row>
    <row r="10" spans="1:37">
      <c r="A10" s="31">
        <v>46208</v>
      </c>
      <c r="B10" s="32">
        <v>9600</v>
      </c>
      <c r="C10" s="32">
        <v>1733</v>
      </c>
      <c r="D10" s="33">
        <v>5300</v>
      </c>
      <c r="E10" s="21">
        <f t="shared" si="11"/>
        <v>277.216666666667</v>
      </c>
      <c r="F10" s="21">
        <f t="shared" si="12"/>
        <v>4.11111111111111</v>
      </c>
      <c r="G10" s="33">
        <f>59+277</f>
        <v>336</v>
      </c>
      <c r="H10" s="33">
        <f>21+127</f>
        <v>148</v>
      </c>
      <c r="I10" s="25">
        <f t="shared" si="1"/>
        <v>0.44047619047619</v>
      </c>
      <c r="J10" s="33">
        <f>19+111</f>
        <v>130</v>
      </c>
      <c r="K10" s="33">
        <f>79+587</f>
        <v>666</v>
      </c>
      <c r="L10" s="34">
        <f t="shared" si="13"/>
        <v>518</v>
      </c>
      <c r="M10" s="35">
        <f t="shared" si="3"/>
        <v>0.825049603174603</v>
      </c>
      <c r="N10" s="35">
        <f t="shared" si="4"/>
        <v>1.87308558558559</v>
      </c>
      <c r="O10" s="34">
        <f t="shared" si="5"/>
        <v>259.094594594595</v>
      </c>
      <c r="P10" s="34">
        <f t="shared" si="6"/>
        <v>421.326936936937</v>
      </c>
      <c r="Q10" s="33">
        <f>333748.39+1456865.1</f>
        <v>1790613.49</v>
      </c>
      <c r="R10" s="33">
        <f>3385+29561</f>
        <v>32946</v>
      </c>
      <c r="S10" s="33">
        <f>2500+15226</f>
        <v>17726</v>
      </c>
      <c r="T10" s="33">
        <f>2785+26614</f>
        <v>29399</v>
      </c>
      <c r="U10" s="33">
        <f>3585+34761</f>
        <v>38346</v>
      </c>
      <c r="V10" s="33">
        <f>2500+37426</f>
        <v>39926</v>
      </c>
      <c r="W10" s="33">
        <f>23187+257416.74</f>
        <v>280603.74</v>
      </c>
      <c r="X10" s="33">
        <f>31874+237155</f>
        <v>269029</v>
      </c>
      <c r="Y10" s="34">
        <f t="shared" si="14"/>
        <v>11574.74</v>
      </c>
      <c r="Z10" s="36">
        <v>10</v>
      </c>
      <c r="AA10" s="36">
        <v>10</v>
      </c>
      <c r="AB10" s="36">
        <v>2</v>
      </c>
      <c r="AC10" s="36">
        <v>0</v>
      </c>
      <c r="AD10" s="36">
        <v>8</v>
      </c>
      <c r="AE10" s="37">
        <f t="shared" si="15"/>
        <v>100</v>
      </c>
      <c r="AF10" s="34">
        <f t="shared" si="16"/>
        <v>4983</v>
      </c>
      <c r="AG10" s="24">
        <f t="shared" si="8"/>
        <v>2.30541694222329</v>
      </c>
      <c r="AH10" s="25">
        <f t="shared" si="9"/>
        <v>0.695890097997955</v>
      </c>
      <c r="AI10" s="26">
        <f t="shared" si="10"/>
        <v>6.3812887526018</v>
      </c>
      <c r="AJ10" s="38">
        <v>36</v>
      </c>
      <c r="AK10" s="3"/>
    </row>
    <row r="11" spans="1:37">
      <c r="A11" s="31">
        <v>46209</v>
      </c>
      <c r="B11" s="32">
        <v>9600</v>
      </c>
      <c r="C11" s="32">
        <v>1733</v>
      </c>
      <c r="D11" s="33">
        <v>10975</v>
      </c>
      <c r="E11" s="21">
        <f t="shared" si="11"/>
        <v>371.8</v>
      </c>
      <c r="F11" s="21">
        <f t="shared" si="12"/>
        <v>3.65</v>
      </c>
      <c r="G11" s="33">
        <f>80+241</f>
        <v>321</v>
      </c>
      <c r="H11" s="33">
        <f>31+115</f>
        <v>146</v>
      </c>
      <c r="I11" s="25">
        <f t="shared" si="1"/>
        <v>0.454828660436137</v>
      </c>
      <c r="J11" s="33">
        <f>27+91</f>
        <v>118</v>
      </c>
      <c r="K11" s="33">
        <f>93+521</f>
        <v>614</v>
      </c>
      <c r="L11" s="34">
        <f t="shared" si="13"/>
        <v>468</v>
      </c>
      <c r="M11" s="35">
        <f t="shared" si="3"/>
        <v>1.1582554517134</v>
      </c>
      <c r="N11" s="35">
        <f t="shared" si="4"/>
        <v>2.54657534246575</v>
      </c>
      <c r="O11" s="34">
        <f t="shared" si="5"/>
        <v>216.013698630137</v>
      </c>
      <c r="P11" s="34">
        <f t="shared" si="6"/>
        <v>515.977198697068</v>
      </c>
      <c r="Q11" s="33">
        <f>164857.1+1896658.11</f>
        <v>2061515.21</v>
      </c>
      <c r="R11" s="33">
        <f>5590+17498</f>
        <v>23088</v>
      </c>
      <c r="S11" s="33">
        <f>5419+12190</f>
        <v>17609</v>
      </c>
      <c r="T11" s="33">
        <f>5890+18183</f>
        <v>24073</v>
      </c>
      <c r="U11" s="33">
        <f>6490+25048</f>
        <v>31538</v>
      </c>
      <c r="V11" s="33">
        <f>5419+14279</f>
        <v>19698</v>
      </c>
      <c r="W11" s="33">
        <f>26825+289985</f>
        <v>316810</v>
      </c>
      <c r="X11" s="33">
        <f>22134+413882.22</f>
        <v>436016.22</v>
      </c>
      <c r="Y11" s="34">
        <f t="shared" si="14"/>
        <v>-119206.22</v>
      </c>
      <c r="Z11" s="36">
        <v>12</v>
      </c>
      <c r="AA11" s="36">
        <v>12</v>
      </c>
      <c r="AB11" s="36">
        <v>10</v>
      </c>
      <c r="AC11" s="36">
        <v>0</v>
      </c>
      <c r="AD11" s="36">
        <v>5</v>
      </c>
      <c r="AE11" s="37">
        <f t="shared" si="15"/>
        <v>105</v>
      </c>
      <c r="AF11" s="34">
        <f t="shared" si="16"/>
        <v>4995</v>
      </c>
      <c r="AG11" s="24">
        <f t="shared" si="8"/>
        <v>1.41375291375291</v>
      </c>
      <c r="AH11" s="25">
        <f t="shared" si="9"/>
        <v>-5.34365339788417</v>
      </c>
      <c r="AI11" s="26">
        <f t="shared" si="10"/>
        <v>6.50710271140431</v>
      </c>
      <c r="AJ11" s="38">
        <v>40</v>
      </c>
      <c r="AK11" s="3"/>
    </row>
    <row r="12" spans="1:37">
      <c r="A12" s="31">
        <v>46210</v>
      </c>
      <c r="B12" s="32">
        <v>9600</v>
      </c>
      <c r="C12" s="32">
        <v>1733</v>
      </c>
      <c r="D12" s="33">
        <v>5681</v>
      </c>
      <c r="E12" s="21">
        <f t="shared" si="11"/>
        <v>283.566666666667</v>
      </c>
      <c r="F12" s="21">
        <f t="shared" si="12"/>
        <v>3.775</v>
      </c>
      <c r="G12" s="33">
        <f>70+274</f>
        <v>344</v>
      </c>
      <c r="H12" s="33">
        <f>27+124</f>
        <v>151</v>
      </c>
      <c r="I12" s="25">
        <f t="shared" si="1"/>
        <v>0.438953488372093</v>
      </c>
      <c r="J12" s="33">
        <f>19+106</f>
        <v>125</v>
      </c>
      <c r="K12" s="33">
        <f>96+583</f>
        <v>679</v>
      </c>
      <c r="L12" s="34">
        <f t="shared" si="13"/>
        <v>528</v>
      </c>
      <c r="M12" s="35">
        <f t="shared" si="3"/>
        <v>0.824321705426357</v>
      </c>
      <c r="N12" s="35">
        <f t="shared" si="4"/>
        <v>1.87792494481236</v>
      </c>
      <c r="O12" s="34">
        <f t="shared" si="5"/>
        <v>244.913907284768</v>
      </c>
      <c r="P12" s="34">
        <f t="shared" si="6"/>
        <v>550.0088365243</v>
      </c>
      <c r="Q12" s="33">
        <f>192776.62+2243744.75</f>
        <v>2436521.37</v>
      </c>
      <c r="R12" s="33">
        <f>3500+28017</f>
        <v>31517</v>
      </c>
      <c r="S12" s="33">
        <f>4571+7807</f>
        <v>12378</v>
      </c>
      <c r="T12" s="33">
        <f>3225+23622</f>
        <v>26847</v>
      </c>
      <c r="U12" s="33">
        <f>4950+32032</f>
        <v>36982</v>
      </c>
      <c r="V12" s="33">
        <f>4571+9057</f>
        <v>13628</v>
      </c>
      <c r="W12" s="33">
        <f>23455+350001</f>
        <v>373456</v>
      </c>
      <c r="X12" s="33">
        <f>31951+170729</f>
        <v>202680</v>
      </c>
      <c r="Y12" s="34">
        <f t="shared" si="14"/>
        <v>170776</v>
      </c>
      <c r="Z12" s="36">
        <v>15</v>
      </c>
      <c r="AA12" s="36">
        <v>15</v>
      </c>
      <c r="AB12" s="36">
        <v>7</v>
      </c>
      <c r="AC12" s="36">
        <v>0</v>
      </c>
      <c r="AD12" s="36">
        <v>9</v>
      </c>
      <c r="AE12" s="37">
        <f t="shared" si="15"/>
        <v>103</v>
      </c>
      <c r="AF12" s="34">
        <f t="shared" si="16"/>
        <v>5010</v>
      </c>
      <c r="AG12" s="24">
        <f t="shared" si="8"/>
        <v>2.1736217232867</v>
      </c>
      <c r="AH12" s="25">
        <f t="shared" si="9"/>
        <v>10.0373809803691</v>
      </c>
      <c r="AI12" s="26">
        <f t="shared" si="10"/>
        <v>6.5242528437085</v>
      </c>
      <c r="AJ12" s="38">
        <v>40</v>
      </c>
      <c r="AK12" s="3"/>
    </row>
    <row r="13" spans="1:37">
      <c r="A13" s="31">
        <v>46211</v>
      </c>
      <c r="B13" s="32">
        <v>9600</v>
      </c>
      <c r="C13" s="32">
        <v>1733</v>
      </c>
      <c r="D13" s="33">
        <v>1250</v>
      </c>
      <c r="E13" s="21">
        <f t="shared" si="11"/>
        <v>209.716666666667</v>
      </c>
      <c r="F13" s="21">
        <f t="shared" si="12"/>
        <v>4.02380952380952</v>
      </c>
      <c r="G13" s="33">
        <f>114+271</f>
        <v>385</v>
      </c>
      <c r="H13" s="33">
        <f>42+127</f>
        <v>169</v>
      </c>
      <c r="I13" s="25">
        <f t="shared" si="1"/>
        <v>0.438961038961039</v>
      </c>
      <c r="J13" s="33">
        <f>34+98</f>
        <v>132</v>
      </c>
      <c r="K13" s="33">
        <f>106+574</f>
        <v>680</v>
      </c>
      <c r="L13" s="34">
        <f t="shared" si="13"/>
        <v>511</v>
      </c>
      <c r="M13" s="35">
        <f t="shared" si="3"/>
        <v>0.544718614718615</v>
      </c>
      <c r="N13" s="35">
        <f t="shared" si="4"/>
        <v>1.24092702169625</v>
      </c>
      <c r="O13" s="34">
        <f t="shared" si="5"/>
        <v>450.171597633136</v>
      </c>
      <c r="P13" s="34">
        <f t="shared" si="6"/>
        <v>516.230882352941</v>
      </c>
      <c r="Q13" s="33">
        <f>185596.04+3049487.87</f>
        <v>3235083.91</v>
      </c>
      <c r="R13" s="33">
        <f>5280+65444</f>
        <v>70724</v>
      </c>
      <c r="S13" s="33">
        <f>2650+31426</f>
        <v>34076</v>
      </c>
      <c r="T13" s="33">
        <f>5170+34019</f>
        <v>39189</v>
      </c>
      <c r="U13" s="33">
        <f>6580+69499</f>
        <v>76079</v>
      </c>
      <c r="V13" s="33">
        <f>3450+32326</f>
        <v>35776</v>
      </c>
      <c r="W13" s="33">
        <f>22121+328916</f>
        <v>351037</v>
      </c>
      <c r="X13" s="33">
        <f>12621+474094</f>
        <v>486715</v>
      </c>
      <c r="Y13" s="34">
        <f t="shared" si="14"/>
        <v>-135678</v>
      </c>
      <c r="Z13" s="36">
        <v>13</v>
      </c>
      <c r="AA13" s="36">
        <v>13</v>
      </c>
      <c r="AB13" s="36">
        <v>6</v>
      </c>
      <c r="AC13" s="36">
        <v>0</v>
      </c>
      <c r="AD13" s="36">
        <v>2</v>
      </c>
      <c r="AE13" s="37">
        <f t="shared" si="15"/>
        <v>107</v>
      </c>
      <c r="AF13" s="34">
        <f t="shared" si="16"/>
        <v>5023</v>
      </c>
      <c r="AG13" s="24">
        <f t="shared" si="8"/>
        <v>6.04617340856711</v>
      </c>
      <c r="AH13" s="25">
        <f t="shared" si="9"/>
        <v>-10.7826432488278</v>
      </c>
      <c r="AI13" s="26">
        <f t="shared" si="10"/>
        <v>9.21579181111963</v>
      </c>
      <c r="AJ13" s="38">
        <v>42</v>
      </c>
      <c r="AK13" s="3"/>
    </row>
    <row r="14" spans="1:37">
      <c r="A14" s="31">
        <v>46212</v>
      </c>
      <c r="B14" s="32">
        <v>9600</v>
      </c>
      <c r="C14" s="32">
        <v>1733</v>
      </c>
      <c r="D14" s="33">
        <v>7166</v>
      </c>
      <c r="E14" s="21">
        <f t="shared" si="11"/>
        <v>308.316666666667</v>
      </c>
      <c r="F14" s="21">
        <f t="shared" si="12"/>
        <v>4.52631578947368</v>
      </c>
      <c r="G14" s="33">
        <f>80+290</f>
        <v>370</v>
      </c>
      <c r="H14" s="33">
        <f>42+130</f>
        <v>172</v>
      </c>
      <c r="I14" s="25">
        <f t="shared" si="1"/>
        <v>0.464864864864865</v>
      </c>
      <c r="J14" s="33">
        <f>28+117</f>
        <v>145</v>
      </c>
      <c r="K14" s="33">
        <f>107+587</f>
        <v>694</v>
      </c>
      <c r="L14" s="34">
        <f t="shared" si="13"/>
        <v>522</v>
      </c>
      <c r="M14" s="35">
        <f t="shared" si="3"/>
        <v>0.833288288288288</v>
      </c>
      <c r="N14" s="35">
        <f t="shared" si="4"/>
        <v>1.79253875968992</v>
      </c>
      <c r="O14" s="34">
        <f t="shared" si="5"/>
        <v>191.761627906977</v>
      </c>
      <c r="P14" s="34">
        <f t="shared" si="6"/>
        <v>454.508645533141</v>
      </c>
      <c r="Q14" s="33">
        <f>181673.17+2956757.61</f>
        <v>3138430.78</v>
      </c>
      <c r="R14" s="33">
        <f>4410+23803</f>
        <v>28213</v>
      </c>
      <c r="S14" s="33">
        <f>1398+10750</f>
        <v>12148</v>
      </c>
      <c r="T14" s="33">
        <f>5170+19793</f>
        <v>24963</v>
      </c>
      <c r="U14" s="33">
        <f>6790+26193</f>
        <v>32983</v>
      </c>
      <c r="V14" s="33">
        <f>2098+11100</f>
        <v>13198</v>
      </c>
      <c r="W14" s="33">
        <f>25073+290356</f>
        <v>315429</v>
      </c>
      <c r="X14" s="33">
        <f>16558+277048</f>
        <v>293606</v>
      </c>
      <c r="Y14" s="34">
        <f t="shared" si="14"/>
        <v>21823</v>
      </c>
      <c r="Z14" s="36">
        <v>31</v>
      </c>
      <c r="AA14" s="36">
        <v>31</v>
      </c>
      <c r="AB14" s="36">
        <v>9</v>
      </c>
      <c r="AC14" s="36">
        <v>0</v>
      </c>
      <c r="AD14" s="36">
        <v>9</v>
      </c>
      <c r="AE14" s="37">
        <f t="shared" si="15"/>
        <v>107</v>
      </c>
      <c r="AF14" s="34">
        <f t="shared" si="16"/>
        <v>5054</v>
      </c>
      <c r="AG14" s="24">
        <f t="shared" si="8"/>
        <v>1.78296124114817</v>
      </c>
      <c r="AH14" s="25">
        <f t="shared" si="9"/>
        <v>1.17968538839937</v>
      </c>
      <c r="AI14" s="26">
        <f t="shared" si="10"/>
        <v>9.94972174403748</v>
      </c>
      <c r="AJ14" s="38">
        <v>38</v>
      </c>
      <c r="AK14" s="3"/>
    </row>
    <row r="15" spans="1:37">
      <c r="A15" s="31">
        <v>46213</v>
      </c>
      <c r="B15" s="32">
        <v>9600</v>
      </c>
      <c r="C15" s="32">
        <v>1733</v>
      </c>
      <c r="D15" s="33">
        <v>7615</v>
      </c>
      <c r="E15" s="21">
        <f t="shared" si="11"/>
        <v>315.8</v>
      </c>
      <c r="F15" s="21">
        <f t="shared" si="12"/>
        <v>4.35135135135135</v>
      </c>
      <c r="G15" s="33">
        <f>1+343</f>
        <v>344</v>
      </c>
      <c r="H15" s="33">
        <f>1+160</f>
        <v>161</v>
      </c>
      <c r="I15" s="25">
        <f t="shared" si="1"/>
        <v>0.468023255813953</v>
      </c>
      <c r="J15" s="33">
        <f>1+130</f>
        <v>131</v>
      </c>
      <c r="K15" s="33">
        <f>39+626</f>
        <v>665</v>
      </c>
      <c r="L15" s="34">
        <f t="shared" si="13"/>
        <v>504</v>
      </c>
      <c r="M15" s="35">
        <f t="shared" si="3"/>
        <v>0.918023255813953</v>
      </c>
      <c r="N15" s="35">
        <f t="shared" si="4"/>
        <v>1.96149068322981</v>
      </c>
      <c r="O15" s="34">
        <f t="shared" si="5"/>
        <v>256.354037267081</v>
      </c>
      <c r="P15" s="34">
        <f t="shared" si="6"/>
        <v>624.517293233083</v>
      </c>
      <c r="Q15" s="33">
        <f>112676.03+2672808.26</f>
        <v>2785484.29</v>
      </c>
      <c r="R15" s="33">
        <f>100+31813</f>
        <v>31913</v>
      </c>
      <c r="S15" s="33">
        <f>0+15365</f>
        <v>15365</v>
      </c>
      <c r="T15" s="33">
        <f>100+27413</f>
        <v>27513</v>
      </c>
      <c r="U15" s="33">
        <f>100+41173</f>
        <v>41273</v>
      </c>
      <c r="V15" s="33">
        <f>0+23665</f>
        <v>23665</v>
      </c>
      <c r="W15" s="33">
        <f>13743+401561</f>
        <v>415304</v>
      </c>
      <c r="X15" s="33">
        <f>7500+238319</f>
        <v>245819</v>
      </c>
      <c r="Y15" s="34">
        <f t="shared" si="14"/>
        <v>169485</v>
      </c>
      <c r="Z15" s="36">
        <v>14</v>
      </c>
      <c r="AA15" s="36">
        <v>14</v>
      </c>
      <c r="AB15" s="36">
        <v>8</v>
      </c>
      <c r="AC15" s="36">
        <v>0</v>
      </c>
      <c r="AD15" s="36">
        <v>3</v>
      </c>
      <c r="AE15" s="37">
        <f t="shared" si="15"/>
        <v>112</v>
      </c>
      <c r="AF15" s="34">
        <f t="shared" si="16"/>
        <v>5068</v>
      </c>
      <c r="AG15" s="24">
        <f t="shared" si="8"/>
        <v>2.17822461473506</v>
      </c>
      <c r="AH15" s="25">
        <f t="shared" si="9"/>
        <v>8.94474350854972</v>
      </c>
      <c r="AI15" s="26">
        <f t="shared" si="10"/>
        <v>6.70709718663919</v>
      </c>
      <c r="AJ15" s="38">
        <v>37</v>
      </c>
      <c r="AK15" s="3"/>
    </row>
    <row r="16" spans="1:37">
      <c r="A16" s="31">
        <v>46214</v>
      </c>
      <c r="B16" s="32">
        <v>9600</v>
      </c>
      <c r="C16" s="32">
        <v>1733</v>
      </c>
      <c r="D16" s="33">
        <v>15609</v>
      </c>
      <c r="E16" s="21">
        <f t="shared" si="11"/>
        <v>449.033333333333</v>
      </c>
      <c r="F16" s="21">
        <f t="shared" si="12"/>
        <v>4.2</v>
      </c>
      <c r="G16" s="33">
        <f>2+325</f>
        <v>327</v>
      </c>
      <c r="H16" s="33">
        <f>3+165</f>
        <v>168</v>
      </c>
      <c r="I16" s="25">
        <f t="shared" si="1"/>
        <v>0.513761467889908</v>
      </c>
      <c r="J16" s="33">
        <f>0+125</f>
        <v>125</v>
      </c>
      <c r="K16" s="33">
        <f>46+673</f>
        <v>719</v>
      </c>
      <c r="L16" s="34">
        <f t="shared" si="13"/>
        <v>551</v>
      </c>
      <c r="M16" s="35">
        <f t="shared" si="3"/>
        <v>1.37319062181448</v>
      </c>
      <c r="N16" s="35">
        <f t="shared" si="4"/>
        <v>2.67281746031746</v>
      </c>
      <c r="O16" s="34">
        <f t="shared" si="5"/>
        <v>203.547619047619</v>
      </c>
      <c r="P16" s="34">
        <f t="shared" si="6"/>
        <v>545.98331015299</v>
      </c>
      <c r="Q16" s="33">
        <f>100981.16+3211014.53</f>
        <v>3311995.69</v>
      </c>
      <c r="R16" s="33">
        <f>0+24864</f>
        <v>24864</v>
      </c>
      <c r="S16" s="33">
        <f>0+14451</f>
        <v>14451</v>
      </c>
      <c r="T16" s="33">
        <f>300+25669</f>
        <v>25969</v>
      </c>
      <c r="U16" s="33">
        <f>300+33896</f>
        <v>34196</v>
      </c>
      <c r="V16" s="33">
        <f>0+15051</f>
        <v>15051</v>
      </c>
      <c r="W16" s="33">
        <f>11715+380847</f>
        <v>392562</v>
      </c>
      <c r="X16" s="33">
        <f>7250+269101</f>
        <v>276351</v>
      </c>
      <c r="Y16" s="34">
        <f t="shared" si="14"/>
        <v>116211</v>
      </c>
      <c r="Z16" s="36">
        <v>14</v>
      </c>
      <c r="AA16" s="36">
        <v>14</v>
      </c>
      <c r="AB16" s="36">
        <v>6</v>
      </c>
      <c r="AC16" s="36">
        <v>0</v>
      </c>
      <c r="AD16" s="36">
        <v>7</v>
      </c>
      <c r="AE16" s="37">
        <f t="shared" si="15"/>
        <v>111</v>
      </c>
      <c r="AF16" s="34">
        <f t="shared" si="16"/>
        <v>5082</v>
      </c>
      <c r="AG16" s="24">
        <f t="shared" si="8"/>
        <v>1.26924504491129</v>
      </c>
      <c r="AH16" s="25">
        <f t="shared" si="9"/>
        <v>4.31337688367604</v>
      </c>
      <c r="AI16" s="26">
        <f t="shared" si="10"/>
        <v>8.43687287613167</v>
      </c>
      <c r="AJ16" s="38">
        <v>40</v>
      </c>
      <c r="AK16" s="3"/>
    </row>
    <row r="17" spans="1:37">
      <c r="A17" s="31">
        <v>46215</v>
      </c>
      <c r="B17" s="32">
        <v>9600</v>
      </c>
      <c r="C17" s="32">
        <v>1733</v>
      </c>
      <c r="D17" s="33">
        <v>640</v>
      </c>
      <c r="E17" s="21">
        <f t="shared" si="11"/>
        <v>199.55</v>
      </c>
      <c r="F17" s="21">
        <f t="shared" si="12"/>
        <v>4.41025641025641</v>
      </c>
      <c r="G17" s="33">
        <f>1+336</f>
        <v>337</v>
      </c>
      <c r="H17" s="33">
        <f>0+172</f>
        <v>172</v>
      </c>
      <c r="I17" s="25">
        <f t="shared" si="1"/>
        <v>0.510385756676558</v>
      </c>
      <c r="J17" s="33">
        <f>0+147</f>
        <v>147</v>
      </c>
      <c r="K17" s="33">
        <f>51+670</f>
        <v>721</v>
      </c>
      <c r="L17" s="34">
        <f t="shared" si="13"/>
        <v>549</v>
      </c>
      <c r="M17" s="35">
        <f t="shared" si="3"/>
        <v>0.592136498516321</v>
      </c>
      <c r="N17" s="35">
        <f t="shared" si="4"/>
        <v>1.16017441860465</v>
      </c>
      <c r="O17" s="34">
        <f t="shared" si="5"/>
        <v>203.53488372093</v>
      </c>
      <c r="P17" s="34">
        <f t="shared" si="6"/>
        <v>450.067961165049</v>
      </c>
      <c r="Q17" s="33">
        <f>265357.71+2078644.51</f>
        <v>2344002.22</v>
      </c>
      <c r="R17" s="33">
        <f>0+27721</f>
        <v>27721</v>
      </c>
      <c r="S17" s="33">
        <f>0+20238</f>
        <v>20238</v>
      </c>
      <c r="T17" s="33">
        <f>0+24868</f>
        <v>24868</v>
      </c>
      <c r="U17" s="33">
        <f>0+35008</f>
        <v>35008</v>
      </c>
      <c r="V17" s="33">
        <f>0+25488</f>
        <v>25488</v>
      </c>
      <c r="W17" s="33">
        <f>17264+307235</f>
        <v>324499</v>
      </c>
      <c r="X17" s="33">
        <f>11048+219217</f>
        <v>230265</v>
      </c>
      <c r="Y17" s="34">
        <f t="shared" si="14"/>
        <v>94234</v>
      </c>
      <c r="Z17" s="36">
        <v>11</v>
      </c>
      <c r="AA17" s="36">
        <v>11</v>
      </c>
      <c r="AB17" s="36">
        <v>3</v>
      </c>
      <c r="AC17" s="36">
        <v>0</v>
      </c>
      <c r="AD17" s="36">
        <v>1</v>
      </c>
      <c r="AE17" s="37">
        <f t="shared" si="15"/>
        <v>113</v>
      </c>
      <c r="AF17" s="34">
        <f t="shared" si="16"/>
        <v>5093</v>
      </c>
      <c r="AG17" s="24">
        <f t="shared" si="8"/>
        <v>2.92391213563852</v>
      </c>
      <c r="AH17" s="25">
        <f t="shared" si="9"/>
        <v>7.87054205295248</v>
      </c>
      <c r="AI17" s="26">
        <f t="shared" si="10"/>
        <v>7.22344974868952</v>
      </c>
      <c r="AJ17" s="38">
        <v>39</v>
      </c>
      <c r="AK17" s="3"/>
    </row>
    <row r="18" spans="1:37">
      <c r="A18" s="31">
        <v>46216</v>
      </c>
      <c r="B18" s="32">
        <v>9600</v>
      </c>
      <c r="C18" s="32">
        <v>1733</v>
      </c>
      <c r="D18" s="33">
        <v>15030</v>
      </c>
      <c r="E18" s="21">
        <f t="shared" si="11"/>
        <v>439.383333333333</v>
      </c>
      <c r="F18" s="21">
        <f t="shared" si="12"/>
        <v>4.63888888888889</v>
      </c>
      <c r="G18" s="33">
        <f>1+361</f>
        <v>362</v>
      </c>
      <c r="H18" s="33">
        <f>3+164</f>
        <v>167</v>
      </c>
      <c r="I18" s="25">
        <f t="shared" si="1"/>
        <v>0.461325966850829</v>
      </c>
      <c r="J18" s="33">
        <f>1+148</f>
        <v>149</v>
      </c>
      <c r="K18" s="33">
        <f>55+619</f>
        <v>674</v>
      </c>
      <c r="L18" s="34">
        <f t="shared" si="13"/>
        <v>507</v>
      </c>
      <c r="M18" s="35">
        <f t="shared" si="3"/>
        <v>1.21376611418048</v>
      </c>
      <c r="N18" s="35">
        <f t="shared" si="4"/>
        <v>2.6310379241517</v>
      </c>
      <c r="O18" s="34">
        <f t="shared" si="5"/>
        <v>205.101796407186</v>
      </c>
      <c r="P18" s="34">
        <f t="shared" si="6"/>
        <v>493.473293768546</v>
      </c>
      <c r="Q18" s="33">
        <f>183468.18+1818002.2</f>
        <v>2001470.38</v>
      </c>
      <c r="R18" s="33">
        <f>500+30552</f>
        <v>31052</v>
      </c>
      <c r="S18" s="33">
        <f>0+28923</f>
        <v>28923</v>
      </c>
      <c r="T18" s="33">
        <f>700+25570</f>
        <v>26270</v>
      </c>
      <c r="U18" s="33">
        <f>800+33452</f>
        <v>34252</v>
      </c>
      <c r="V18" s="33">
        <f>1000+29823</f>
        <v>30823</v>
      </c>
      <c r="W18" s="33">
        <f>21954+310647</f>
        <v>332601</v>
      </c>
      <c r="X18" s="33">
        <f>17250+353201</f>
        <v>370451</v>
      </c>
      <c r="Y18" s="34">
        <f t="shared" si="14"/>
        <v>-37850</v>
      </c>
      <c r="Z18" s="36">
        <v>13</v>
      </c>
      <c r="AA18" s="36">
        <v>13</v>
      </c>
      <c r="AB18" s="36">
        <v>5</v>
      </c>
      <c r="AC18" s="36">
        <v>0</v>
      </c>
      <c r="AD18" s="36">
        <v>8</v>
      </c>
      <c r="AE18" s="37">
        <f t="shared" si="15"/>
        <v>110</v>
      </c>
      <c r="AF18" s="34">
        <f t="shared" si="16"/>
        <v>5106</v>
      </c>
      <c r="AG18" s="24">
        <f t="shared" si="8"/>
        <v>1.29924515419338</v>
      </c>
      <c r="AH18" s="25">
        <f t="shared" si="9"/>
        <v>-1.43572431058681</v>
      </c>
      <c r="AI18" s="26">
        <f t="shared" si="10"/>
        <v>6.01763187723428</v>
      </c>
      <c r="AJ18" s="38">
        <v>36</v>
      </c>
      <c r="AK18" s="3"/>
    </row>
    <row r="19" spans="1:37">
      <c r="A19" s="31">
        <v>46217</v>
      </c>
      <c r="B19" s="32">
        <v>9600</v>
      </c>
      <c r="C19" s="32">
        <v>1733</v>
      </c>
      <c r="D19" s="33">
        <v>3980</v>
      </c>
      <c r="E19" s="21">
        <f t="shared" si="11"/>
        <v>255.216666666667</v>
      </c>
      <c r="F19" s="21">
        <f t="shared" si="12"/>
        <v>4.91428571428571</v>
      </c>
      <c r="G19" s="33">
        <f>0+375</f>
        <v>375</v>
      </c>
      <c r="H19" s="33">
        <f>0+172</f>
        <v>172</v>
      </c>
      <c r="I19" s="25">
        <f t="shared" si="1"/>
        <v>0.458666666666667</v>
      </c>
      <c r="J19" s="33">
        <f>0+147</f>
        <v>147</v>
      </c>
      <c r="K19" s="33">
        <f>41+642</f>
        <v>683</v>
      </c>
      <c r="L19" s="34">
        <f t="shared" si="13"/>
        <v>511</v>
      </c>
      <c r="M19" s="35">
        <f t="shared" si="3"/>
        <v>0.680577777777778</v>
      </c>
      <c r="N19" s="35">
        <f t="shared" si="4"/>
        <v>1.48381782945736</v>
      </c>
      <c r="O19" s="34">
        <f t="shared" si="5"/>
        <v>199.691860465116</v>
      </c>
      <c r="P19" s="34">
        <f t="shared" si="6"/>
        <v>440.737920937042</v>
      </c>
      <c r="Q19" s="33">
        <f>158837.69+2005118.31</f>
        <v>2163956</v>
      </c>
      <c r="R19" s="33">
        <f>0+31007</f>
        <v>31007</v>
      </c>
      <c r="S19" s="33">
        <f>0+18903</f>
        <v>18903</v>
      </c>
      <c r="T19" s="33">
        <f>0+24703</f>
        <v>24703</v>
      </c>
      <c r="U19" s="33">
        <f>0+34347</f>
        <v>34347</v>
      </c>
      <c r="V19" s="33">
        <f>0+19103</f>
        <v>19103</v>
      </c>
      <c r="W19" s="33">
        <f>25200+275824</f>
        <v>301024</v>
      </c>
      <c r="X19" s="33">
        <f>9400+243466</f>
        <v>252866</v>
      </c>
      <c r="Y19" s="34">
        <f t="shared" si="14"/>
        <v>48158</v>
      </c>
      <c r="Z19" s="36">
        <v>19</v>
      </c>
      <c r="AA19" s="36">
        <v>19</v>
      </c>
      <c r="AB19" s="36">
        <v>4</v>
      </c>
      <c r="AC19" s="36">
        <v>0</v>
      </c>
      <c r="AD19" s="36">
        <v>13</v>
      </c>
      <c r="AE19" s="37">
        <f t="shared" si="15"/>
        <v>101</v>
      </c>
      <c r="AF19" s="34">
        <f t="shared" si="16"/>
        <v>5125</v>
      </c>
      <c r="AG19" s="24">
        <f t="shared" si="8"/>
        <v>2.24299614706459</v>
      </c>
      <c r="AH19" s="25">
        <f t="shared" si="9"/>
        <v>3.14490955397375</v>
      </c>
      <c r="AI19" s="26">
        <f t="shared" si="10"/>
        <v>7.18864941001382</v>
      </c>
      <c r="AJ19" s="38">
        <v>35</v>
      </c>
      <c r="AK19" s="3"/>
    </row>
    <row r="20" spans="1:37">
      <c r="A20" s="31">
        <v>46218</v>
      </c>
      <c r="B20" s="32">
        <v>9600</v>
      </c>
      <c r="C20" s="32">
        <v>1733</v>
      </c>
      <c r="D20" s="33">
        <v>2490</v>
      </c>
      <c r="E20" s="21">
        <f t="shared" si="11"/>
        <v>230.383333333333</v>
      </c>
      <c r="F20" s="21">
        <f t="shared" si="12"/>
        <v>5.36111111111111</v>
      </c>
      <c r="G20" s="33">
        <f>2+417</f>
        <v>419</v>
      </c>
      <c r="H20" s="33">
        <f>2+191</f>
        <v>193</v>
      </c>
      <c r="I20" s="25">
        <f t="shared" si="1"/>
        <v>0.460620525059666</v>
      </c>
      <c r="J20" s="33">
        <f>1+167</f>
        <v>168</v>
      </c>
      <c r="K20" s="33">
        <f>48+675</f>
        <v>723</v>
      </c>
      <c r="L20" s="34">
        <f t="shared" si="13"/>
        <v>530</v>
      </c>
      <c r="M20" s="35">
        <f t="shared" si="3"/>
        <v>0.549840891010342</v>
      </c>
      <c r="N20" s="35">
        <f t="shared" si="4"/>
        <v>1.19369602763385</v>
      </c>
      <c r="O20" s="34">
        <f t="shared" si="5"/>
        <v>240.891191709845</v>
      </c>
      <c r="P20" s="34">
        <f t="shared" si="6"/>
        <v>479.492392807745</v>
      </c>
      <c r="Q20" s="33">
        <f>170398.65+3610639.46</f>
        <v>3781038.11</v>
      </c>
      <c r="R20" s="33">
        <f>6492+35930</f>
        <v>42422</v>
      </c>
      <c r="S20" s="33">
        <f>13000+31834</f>
        <v>44834</v>
      </c>
      <c r="T20" s="33">
        <f>200+34680</f>
        <v>34880</v>
      </c>
      <c r="U20" s="33">
        <f>6592+39900</f>
        <v>46492</v>
      </c>
      <c r="V20" s="33">
        <f>15400+33534</f>
        <v>48934</v>
      </c>
      <c r="W20" s="33">
        <f>26010+320663</f>
        <v>346673</v>
      </c>
      <c r="X20" s="33">
        <f>26125+337599</f>
        <v>363724</v>
      </c>
      <c r="Y20" s="34">
        <f t="shared" si="14"/>
        <v>-17051</v>
      </c>
      <c r="Z20" s="36">
        <v>10</v>
      </c>
      <c r="AA20" s="36">
        <v>10</v>
      </c>
      <c r="AB20" s="36">
        <v>2</v>
      </c>
      <c r="AC20" s="36">
        <v>0</v>
      </c>
      <c r="AD20" s="36">
        <v>7</v>
      </c>
      <c r="AE20" s="37">
        <f t="shared" si="15"/>
        <v>96</v>
      </c>
      <c r="AF20" s="34">
        <f t="shared" si="16"/>
        <v>5135</v>
      </c>
      <c r="AG20" s="24">
        <f t="shared" si="8"/>
        <v>3.36337987412284</v>
      </c>
      <c r="AH20" s="25">
        <f t="shared" si="9"/>
        <v>-1.23352383708312</v>
      </c>
      <c r="AI20" s="26">
        <f t="shared" si="10"/>
        <v>10.9066414459736</v>
      </c>
      <c r="AJ20" s="38">
        <v>36</v>
      </c>
      <c r="AK20" s="3"/>
    </row>
    <row r="21" spans="1:37">
      <c r="A21" s="31">
        <v>46219</v>
      </c>
      <c r="B21" s="32">
        <v>9600</v>
      </c>
      <c r="C21" s="32">
        <v>1733</v>
      </c>
      <c r="D21" s="33">
        <v>125682</v>
      </c>
      <c r="E21" s="21">
        <f t="shared" si="11"/>
        <v>2283.58333333333</v>
      </c>
      <c r="F21" s="21">
        <f t="shared" si="12"/>
        <v>3.5609756097561</v>
      </c>
      <c r="G21" s="33">
        <f>2+305</f>
        <v>307</v>
      </c>
      <c r="H21" s="33">
        <f>1+145</f>
        <v>146</v>
      </c>
      <c r="I21" s="25">
        <f t="shared" si="1"/>
        <v>0.47557003257329</v>
      </c>
      <c r="J21" s="33">
        <f>1+110</f>
        <v>111</v>
      </c>
      <c r="K21" s="33">
        <f>53+590</f>
        <v>643</v>
      </c>
      <c r="L21" s="34">
        <f t="shared" si="13"/>
        <v>497</v>
      </c>
      <c r="M21" s="35">
        <f t="shared" si="3"/>
        <v>7.43838219326819</v>
      </c>
      <c r="N21" s="35">
        <f t="shared" si="4"/>
        <v>15.6409817351598</v>
      </c>
      <c r="O21" s="34">
        <f t="shared" si="5"/>
        <v>197.568493150685</v>
      </c>
      <c r="P21" s="34">
        <f t="shared" si="6"/>
        <v>565.900466562986</v>
      </c>
      <c r="Q21" s="33">
        <f>120993.35+3307875.44</f>
        <v>3428868.79</v>
      </c>
      <c r="R21" s="33">
        <f>100+23934</f>
        <v>24034</v>
      </c>
      <c r="S21" s="33">
        <f>200+21770</f>
        <v>21970</v>
      </c>
      <c r="T21" s="33">
        <f>100+20015</f>
        <v>20115</v>
      </c>
      <c r="U21" s="33">
        <f>100+28745</f>
        <v>28845</v>
      </c>
      <c r="V21" s="33">
        <f>200+23970</f>
        <v>24170</v>
      </c>
      <c r="W21" s="33">
        <f>15188+348686</f>
        <v>363874</v>
      </c>
      <c r="X21" s="33">
        <f>12500+434092</f>
        <v>446592</v>
      </c>
      <c r="Y21" s="34">
        <f t="shared" si="14"/>
        <v>-82718</v>
      </c>
      <c r="Z21" s="36">
        <v>13</v>
      </c>
      <c r="AA21" s="36">
        <v>13</v>
      </c>
      <c r="AB21" s="36">
        <v>13</v>
      </c>
      <c r="AC21" s="36">
        <v>0</v>
      </c>
      <c r="AD21" s="36">
        <v>5</v>
      </c>
      <c r="AE21" s="37">
        <f t="shared" si="15"/>
        <v>104</v>
      </c>
      <c r="AF21" s="34">
        <f t="shared" si="16"/>
        <v>5148</v>
      </c>
      <c r="AG21" s="24">
        <f t="shared" si="8"/>
        <v>0.210524395139218</v>
      </c>
      <c r="AH21" s="25">
        <f t="shared" si="9"/>
        <v>-0.603714921723899</v>
      </c>
      <c r="AI21" s="26">
        <f t="shared" si="10"/>
        <v>9.42323109098204</v>
      </c>
      <c r="AJ21" s="38">
        <v>41</v>
      </c>
      <c r="AK21" s="3"/>
    </row>
    <row r="22" spans="1:37">
      <c r="A22" s="31">
        <v>46220</v>
      </c>
      <c r="B22" s="32">
        <v>9600</v>
      </c>
      <c r="C22" s="32">
        <v>1733</v>
      </c>
      <c r="D22" s="33">
        <v>4565</v>
      </c>
      <c r="E22" s="21">
        <f t="shared" si="11"/>
        <v>264.966666666667</v>
      </c>
      <c r="F22" s="21">
        <f t="shared" si="12"/>
        <v>4.23333333333333</v>
      </c>
      <c r="G22" s="33">
        <f>3+239</f>
        <v>242</v>
      </c>
      <c r="H22" s="33">
        <f>4+123</f>
        <v>127</v>
      </c>
      <c r="I22" s="25">
        <f t="shared" si="1"/>
        <v>0.524793388429752</v>
      </c>
      <c r="J22" s="33">
        <f>5+94</f>
        <v>99</v>
      </c>
      <c r="K22" s="33">
        <f>63+565</f>
        <v>628</v>
      </c>
      <c r="L22" s="34">
        <f t="shared" si="13"/>
        <v>501</v>
      </c>
      <c r="M22" s="35">
        <f t="shared" si="3"/>
        <v>1.09490358126722</v>
      </c>
      <c r="N22" s="35">
        <f t="shared" si="4"/>
        <v>2.08635170603675</v>
      </c>
      <c r="O22" s="34">
        <f t="shared" si="5"/>
        <v>235.07874015748</v>
      </c>
      <c r="P22" s="34">
        <f t="shared" si="6"/>
        <v>745.046178343949</v>
      </c>
      <c r="Q22" s="33">
        <f>138838.97+3111324.23</f>
        <v>3250163.2</v>
      </c>
      <c r="R22" s="33">
        <f>500+23870</f>
        <v>24370</v>
      </c>
      <c r="S22" s="33">
        <f>0+30292</f>
        <v>30292</v>
      </c>
      <c r="T22" s="33">
        <f>500+22449</f>
        <v>22949</v>
      </c>
      <c r="U22" s="33">
        <f>600+29255</f>
        <v>29855</v>
      </c>
      <c r="V22" s="33">
        <f>0+35962</f>
        <v>35962</v>
      </c>
      <c r="W22" s="33">
        <f>17290+450599</f>
        <v>467889</v>
      </c>
      <c r="X22" s="33">
        <f>25100+369890</f>
        <v>394990</v>
      </c>
      <c r="Y22" s="34">
        <f t="shared" si="14"/>
        <v>72899</v>
      </c>
      <c r="Z22" s="36">
        <v>10</v>
      </c>
      <c r="AA22" s="36">
        <v>10</v>
      </c>
      <c r="AB22" s="36">
        <v>5</v>
      </c>
      <c r="AC22" s="36">
        <v>0</v>
      </c>
      <c r="AD22" s="36">
        <v>10</v>
      </c>
      <c r="AE22" s="37">
        <f t="shared" si="15"/>
        <v>99</v>
      </c>
      <c r="AF22" s="34">
        <f t="shared" si="16"/>
        <v>5158</v>
      </c>
      <c r="AG22" s="24">
        <f t="shared" si="8"/>
        <v>1.8779091709649</v>
      </c>
      <c r="AH22" s="25">
        <f t="shared" si="9"/>
        <v>4.58541954962888</v>
      </c>
      <c r="AI22" s="26">
        <f t="shared" si="10"/>
        <v>6.94644071563982</v>
      </c>
      <c r="AJ22" s="38">
        <v>30</v>
      </c>
      <c r="AK22" s="3"/>
    </row>
    <row r="23" spans="1:37">
      <c r="A23" s="31">
        <v>46221</v>
      </c>
      <c r="B23" s="32">
        <v>9600</v>
      </c>
      <c r="C23" s="32">
        <v>1733</v>
      </c>
      <c r="D23" s="33">
        <v>12440</v>
      </c>
      <c r="E23" s="21">
        <f t="shared" si="11"/>
        <v>396.216666666667</v>
      </c>
      <c r="F23" s="21">
        <f t="shared" si="12"/>
        <v>3.5</v>
      </c>
      <c r="G23" s="33">
        <f>1+190</f>
        <v>191</v>
      </c>
      <c r="H23" s="33">
        <f>2+117</f>
        <v>119</v>
      </c>
      <c r="I23" s="25">
        <f t="shared" si="1"/>
        <v>0.62303664921466</v>
      </c>
      <c r="J23" s="33">
        <f>0+89</f>
        <v>89</v>
      </c>
      <c r="K23" s="33">
        <f>62+604</f>
        <v>666</v>
      </c>
      <c r="L23" s="34">
        <f t="shared" si="13"/>
        <v>547</v>
      </c>
      <c r="M23" s="35">
        <f t="shared" si="3"/>
        <v>2.07443280977312</v>
      </c>
      <c r="N23" s="35">
        <f t="shared" si="4"/>
        <v>3.32955182072829</v>
      </c>
      <c r="O23" s="34">
        <f t="shared" si="5"/>
        <v>179.453781512605</v>
      </c>
      <c r="P23" s="34">
        <f t="shared" si="6"/>
        <v>441.537537537538</v>
      </c>
      <c r="Q23" s="33">
        <f>235622.97+1921157.17</f>
        <v>2156780.14</v>
      </c>
      <c r="R23" s="33">
        <f>0+15642</f>
        <v>15642</v>
      </c>
      <c r="S23" s="33">
        <f>0+9650</f>
        <v>9650</v>
      </c>
      <c r="T23" s="33">
        <f>200+16635</f>
        <v>16835</v>
      </c>
      <c r="U23" s="33">
        <f>200+21155</f>
        <v>21355</v>
      </c>
      <c r="V23" s="33">
        <f>400+11750</f>
        <v>12150</v>
      </c>
      <c r="W23" s="33">
        <f>36162+257902</f>
        <v>294064</v>
      </c>
      <c r="X23" s="33">
        <f>33450+219219</f>
        <v>252669</v>
      </c>
      <c r="Y23" s="34">
        <f t="shared" si="14"/>
        <v>41395</v>
      </c>
      <c r="Z23" s="36">
        <v>7</v>
      </c>
      <c r="AA23" s="36">
        <v>7</v>
      </c>
      <c r="AB23" s="36">
        <v>3</v>
      </c>
      <c r="AC23" s="36">
        <v>0</v>
      </c>
      <c r="AD23" s="36">
        <v>2</v>
      </c>
      <c r="AE23" s="37">
        <f t="shared" si="15"/>
        <v>100</v>
      </c>
      <c r="AF23" s="34">
        <f t="shared" si="16"/>
        <v>5165</v>
      </c>
      <c r="AG23" s="24">
        <f t="shared" si="8"/>
        <v>0.898287973751735</v>
      </c>
      <c r="AH23" s="25">
        <f t="shared" si="9"/>
        <v>1.74126109451899</v>
      </c>
      <c r="AI23" s="26">
        <f t="shared" si="10"/>
        <v>7.33439026878503</v>
      </c>
      <c r="AJ23" s="38">
        <v>34</v>
      </c>
      <c r="AK23" s="3"/>
    </row>
    <row r="24" spans="1:37">
      <c r="A24" s="31">
        <v>46222</v>
      </c>
      <c r="B24" s="32">
        <v>9600</v>
      </c>
      <c r="C24" s="32">
        <v>1733</v>
      </c>
      <c r="D24" s="33">
        <v>2553</v>
      </c>
      <c r="E24" s="21">
        <f t="shared" si="11"/>
        <v>231.433333333333</v>
      </c>
      <c r="F24" s="21">
        <f t="shared" si="12"/>
        <v>3.2258064516129</v>
      </c>
      <c r="G24" s="33">
        <f>2+182</f>
        <v>184</v>
      </c>
      <c r="H24" s="33">
        <f>2+98</f>
        <v>100</v>
      </c>
      <c r="I24" s="25">
        <f t="shared" si="1"/>
        <v>0.543478260869565</v>
      </c>
      <c r="J24" s="33">
        <f>0+80</f>
        <v>80</v>
      </c>
      <c r="K24" s="33">
        <f>56+589</f>
        <v>645</v>
      </c>
      <c r="L24" s="34">
        <f t="shared" si="13"/>
        <v>545</v>
      </c>
      <c r="M24" s="35">
        <f t="shared" si="3"/>
        <v>1.25778985507246</v>
      </c>
      <c r="N24" s="35">
        <f t="shared" si="4"/>
        <v>2.31433333333333</v>
      </c>
      <c r="O24" s="34">
        <f t="shared" si="5"/>
        <v>219.07</v>
      </c>
      <c r="P24" s="34">
        <f t="shared" si="6"/>
        <v>384.948837209302</v>
      </c>
      <c r="Q24" s="33">
        <f>211153.37+1727901.83</f>
        <v>1939055.2</v>
      </c>
      <c r="R24" s="33">
        <f>0+18530</f>
        <v>18530</v>
      </c>
      <c r="S24" s="33">
        <f>0+14675</f>
        <v>14675</v>
      </c>
      <c r="T24" s="33">
        <f>300+16967</f>
        <v>17267</v>
      </c>
      <c r="U24" s="33">
        <f>300+21607</f>
        <v>21907</v>
      </c>
      <c r="V24" s="33">
        <f>200+16375</f>
        <v>16575</v>
      </c>
      <c r="W24" s="33">
        <f>26699+221593</f>
        <v>248292</v>
      </c>
      <c r="X24" s="33">
        <f>27713+169248</f>
        <v>196961</v>
      </c>
      <c r="Y24" s="34">
        <f t="shared" si="14"/>
        <v>51331</v>
      </c>
      <c r="Z24" s="36">
        <v>10</v>
      </c>
      <c r="AA24" s="36">
        <v>10</v>
      </c>
      <c r="AB24" s="36">
        <v>1</v>
      </c>
      <c r="AC24" s="36">
        <v>0</v>
      </c>
      <c r="AD24" s="36">
        <v>7</v>
      </c>
      <c r="AE24" s="37">
        <f t="shared" si="15"/>
        <v>94</v>
      </c>
      <c r="AF24" s="34">
        <f t="shared" si="16"/>
        <v>5175</v>
      </c>
      <c r="AG24" s="24">
        <f t="shared" si="8"/>
        <v>1.57763214748668</v>
      </c>
      <c r="AH24" s="25">
        <f t="shared" si="9"/>
        <v>3.69660089298574</v>
      </c>
      <c r="AI24" s="26">
        <f t="shared" si="10"/>
        <v>7.80957582201601</v>
      </c>
      <c r="AJ24" s="38">
        <v>31</v>
      </c>
      <c r="AK24" s="3"/>
    </row>
    <row r="25" spans="1:37">
      <c r="A25" s="31">
        <v>46223</v>
      </c>
      <c r="B25" s="32">
        <v>9600</v>
      </c>
      <c r="C25" s="32">
        <v>1733</v>
      </c>
      <c r="D25" s="33">
        <v>4777</v>
      </c>
      <c r="E25" s="21">
        <f t="shared" si="11"/>
        <v>268.5</v>
      </c>
      <c r="F25" s="21">
        <f t="shared" si="12"/>
        <v>4.65384615384615</v>
      </c>
      <c r="G25" s="33">
        <f>3+254</f>
        <v>257</v>
      </c>
      <c r="H25" s="33">
        <f>3+118</f>
        <v>121</v>
      </c>
      <c r="I25" s="25">
        <f t="shared" si="1"/>
        <v>0.470817120622568</v>
      </c>
      <c r="J25" s="33">
        <f>1+105</f>
        <v>106</v>
      </c>
      <c r="K25" s="33">
        <f>39+523</f>
        <v>562</v>
      </c>
      <c r="L25" s="34">
        <f t="shared" si="13"/>
        <v>441</v>
      </c>
      <c r="M25" s="35">
        <f t="shared" si="3"/>
        <v>1.04474708171206</v>
      </c>
      <c r="N25" s="35">
        <f t="shared" si="4"/>
        <v>2.21900826446281</v>
      </c>
      <c r="O25" s="34">
        <f t="shared" si="5"/>
        <v>178.677685950413</v>
      </c>
      <c r="P25" s="34">
        <f t="shared" si="6"/>
        <v>462.864768683274</v>
      </c>
      <c r="Q25" s="33">
        <f>88193.66+1528573.83</f>
        <v>1616767.49</v>
      </c>
      <c r="R25" s="33">
        <f>600+19270</f>
        <v>19870</v>
      </c>
      <c r="S25" s="33">
        <f>600+7255</f>
        <v>7855</v>
      </c>
      <c r="T25" s="33">
        <f>500+17470</f>
        <v>17970</v>
      </c>
      <c r="U25" s="33">
        <f>900+20720</f>
        <v>21620</v>
      </c>
      <c r="V25" s="33">
        <f>600+8905</f>
        <v>9505</v>
      </c>
      <c r="W25" s="33">
        <f>14145+245985</f>
        <v>260130</v>
      </c>
      <c r="X25" s="33">
        <f>7009+221805</f>
        <v>228814</v>
      </c>
      <c r="Y25" s="34">
        <f t="shared" si="14"/>
        <v>31316</v>
      </c>
      <c r="Z25" s="36">
        <v>10</v>
      </c>
      <c r="AA25" s="36">
        <v>10</v>
      </c>
      <c r="AB25" s="36">
        <v>2</v>
      </c>
      <c r="AC25" s="36">
        <v>0</v>
      </c>
      <c r="AD25" s="36">
        <v>7</v>
      </c>
      <c r="AE25" s="37">
        <f t="shared" si="15"/>
        <v>89</v>
      </c>
      <c r="AF25" s="34">
        <f t="shared" si="16"/>
        <v>5185</v>
      </c>
      <c r="AG25" s="24">
        <f t="shared" si="8"/>
        <v>1.34202358783364</v>
      </c>
      <c r="AH25" s="25">
        <f t="shared" si="9"/>
        <v>1.94388578522657</v>
      </c>
      <c r="AI25" s="26">
        <f t="shared" si="10"/>
        <v>6.21522888555722</v>
      </c>
      <c r="AJ25" s="38">
        <v>26</v>
      </c>
      <c r="AK25" s="3"/>
    </row>
    <row r="26" spans="1:37">
      <c r="A26" s="31">
        <v>46224</v>
      </c>
      <c r="B26" s="32">
        <v>9600</v>
      </c>
      <c r="C26" s="32">
        <v>1733</v>
      </c>
      <c r="D26" s="33">
        <v>11980</v>
      </c>
      <c r="E26" s="21">
        <f t="shared" si="11"/>
        <v>388.55</v>
      </c>
      <c r="F26" s="21">
        <f t="shared" si="12"/>
        <v>2.9</v>
      </c>
      <c r="G26" s="33">
        <f>0+200</f>
        <v>200</v>
      </c>
      <c r="H26" s="33">
        <f>1+86</f>
        <v>87</v>
      </c>
      <c r="I26" s="25">
        <f t="shared" si="1"/>
        <v>0.435</v>
      </c>
      <c r="J26" s="33">
        <f>1+61</f>
        <v>62</v>
      </c>
      <c r="K26" s="33">
        <f>35+506</f>
        <v>541</v>
      </c>
      <c r="L26" s="34">
        <f t="shared" si="13"/>
        <v>454</v>
      </c>
      <c r="M26" s="35">
        <f t="shared" si="3"/>
        <v>1.94275</v>
      </c>
      <c r="N26" s="35">
        <f t="shared" si="4"/>
        <v>4.46609195402299</v>
      </c>
      <c r="O26" s="34">
        <f t="shared" si="5"/>
        <v>257.241379310345</v>
      </c>
      <c r="P26" s="34">
        <f t="shared" si="6"/>
        <v>413.556377079482</v>
      </c>
      <c r="Q26" s="33">
        <f>90762.05+1521116.56</f>
        <v>1611878.61</v>
      </c>
      <c r="R26" s="33">
        <f>0+18200</f>
        <v>18200</v>
      </c>
      <c r="S26" s="33">
        <f>0+8722</f>
        <v>8722</v>
      </c>
      <c r="T26" s="33">
        <f>100+16630</f>
        <v>16730</v>
      </c>
      <c r="U26" s="33">
        <f>100+22280</f>
        <v>22380</v>
      </c>
      <c r="V26" s="33">
        <f>0+13872</f>
        <v>13872</v>
      </c>
      <c r="W26" s="33">
        <f>11484+212250</f>
        <v>223734</v>
      </c>
      <c r="X26" s="33">
        <f>11900+158599</f>
        <v>170499</v>
      </c>
      <c r="Y26" s="34">
        <f t="shared" si="14"/>
        <v>53235</v>
      </c>
      <c r="Z26" s="36">
        <v>7</v>
      </c>
      <c r="AA26" s="36">
        <v>7</v>
      </c>
      <c r="AB26" s="36">
        <v>2</v>
      </c>
      <c r="AC26" s="36">
        <v>0</v>
      </c>
      <c r="AD26" s="36">
        <v>11</v>
      </c>
      <c r="AE26" s="37">
        <f t="shared" si="15"/>
        <v>80</v>
      </c>
      <c r="AF26" s="34">
        <f t="shared" si="16"/>
        <v>5192</v>
      </c>
      <c r="AG26" s="24">
        <f t="shared" si="8"/>
        <v>0.959979410629263</v>
      </c>
      <c r="AH26" s="25">
        <f t="shared" si="9"/>
        <v>2.28348989833998</v>
      </c>
      <c r="AI26" s="26">
        <f t="shared" si="10"/>
        <v>7.20444192657352</v>
      </c>
      <c r="AJ26" s="38">
        <v>30</v>
      </c>
      <c r="AK26" s="3"/>
    </row>
    <row r="27" spans="1:37">
      <c r="A27" s="31">
        <v>46225</v>
      </c>
      <c r="B27" s="32">
        <v>9600</v>
      </c>
      <c r="C27" s="32">
        <v>1733</v>
      </c>
      <c r="D27" s="33">
        <v>12830</v>
      </c>
      <c r="E27" s="21">
        <f t="shared" si="11"/>
        <v>402.716666666667</v>
      </c>
      <c r="F27" s="21">
        <f t="shared" si="12"/>
        <v>2.74285714285714</v>
      </c>
      <c r="G27" s="33">
        <f>1+261</f>
        <v>262</v>
      </c>
      <c r="H27" s="33">
        <f>1+95</f>
        <v>96</v>
      </c>
      <c r="I27" s="25">
        <f t="shared" si="1"/>
        <v>0.366412213740458</v>
      </c>
      <c r="J27" s="33">
        <f>0+83</f>
        <v>83</v>
      </c>
      <c r="K27" s="33">
        <f>30+508</f>
        <v>538</v>
      </c>
      <c r="L27" s="34">
        <f t="shared" si="13"/>
        <v>442</v>
      </c>
      <c r="M27" s="35">
        <f t="shared" si="3"/>
        <v>1.53708651399491</v>
      </c>
      <c r="N27" s="35">
        <f t="shared" si="4"/>
        <v>4.19496527777778</v>
      </c>
      <c r="O27" s="34">
        <f t="shared" si="5"/>
        <v>233.927083333333</v>
      </c>
      <c r="P27" s="34">
        <f t="shared" si="6"/>
        <v>374.423791821561</v>
      </c>
      <c r="Q27" s="33">
        <f>64591.68+1968880.03</f>
        <v>2033471.71</v>
      </c>
      <c r="R27" s="33">
        <f>0+18947</f>
        <v>18947</v>
      </c>
      <c r="S27" s="33">
        <f>0+11401</f>
        <v>11401</v>
      </c>
      <c r="T27" s="33">
        <f>100+14863</f>
        <v>14963</v>
      </c>
      <c r="U27" s="33">
        <f>100+22357</f>
        <v>22457</v>
      </c>
      <c r="V27" s="33">
        <f>0+14451</f>
        <v>14451</v>
      </c>
      <c r="W27" s="33">
        <f>9662+191778</f>
        <v>201440</v>
      </c>
      <c r="X27" s="33">
        <f>1859+245337</f>
        <v>247196</v>
      </c>
      <c r="Y27" s="34">
        <f t="shared" si="14"/>
        <v>-45756</v>
      </c>
      <c r="Z27" s="36">
        <v>18</v>
      </c>
      <c r="AA27" s="36">
        <v>18</v>
      </c>
      <c r="AB27" s="36">
        <v>3</v>
      </c>
      <c r="AC27" s="36">
        <v>0</v>
      </c>
      <c r="AD27" s="36">
        <v>7</v>
      </c>
      <c r="AE27" s="37">
        <f t="shared" si="15"/>
        <v>76</v>
      </c>
      <c r="AF27" s="34">
        <f t="shared" si="16"/>
        <v>5210</v>
      </c>
      <c r="AG27" s="24">
        <f t="shared" si="8"/>
        <v>0.929396184248645</v>
      </c>
      <c r="AH27" s="25">
        <f t="shared" si="9"/>
        <v>-1.89363903488805</v>
      </c>
      <c r="AI27" s="26">
        <f t="shared" si="10"/>
        <v>10.0946768764893</v>
      </c>
      <c r="AJ27" s="38">
        <v>35</v>
      </c>
      <c r="AK27" s="3"/>
    </row>
    <row r="28" spans="1:37">
      <c r="A28" s="31">
        <v>46226</v>
      </c>
      <c r="B28" s="32">
        <v>9600</v>
      </c>
      <c r="C28" s="32">
        <v>1733</v>
      </c>
      <c r="D28" s="33">
        <v>4110</v>
      </c>
      <c r="E28" s="21">
        <f t="shared" si="11"/>
        <v>257.383333333333</v>
      </c>
      <c r="F28" s="21">
        <f t="shared" si="12"/>
        <v>2.69444444444444</v>
      </c>
      <c r="G28" s="33">
        <f>2+225</f>
        <v>227</v>
      </c>
      <c r="H28" s="33">
        <f>3+94</f>
        <v>97</v>
      </c>
      <c r="I28" s="25">
        <f t="shared" si="1"/>
        <v>0.427312775330396</v>
      </c>
      <c r="J28" s="33">
        <f>1+83</f>
        <v>84</v>
      </c>
      <c r="K28" s="33">
        <f>41+514</f>
        <v>555</v>
      </c>
      <c r="L28" s="34">
        <f t="shared" si="13"/>
        <v>458</v>
      </c>
      <c r="M28" s="35">
        <f t="shared" si="3"/>
        <v>1.13384728340675</v>
      </c>
      <c r="N28" s="35">
        <f t="shared" si="4"/>
        <v>2.65343642611684</v>
      </c>
      <c r="O28" s="34">
        <f t="shared" si="5"/>
        <v>267.185567010309</v>
      </c>
      <c r="P28" s="34">
        <f t="shared" si="6"/>
        <v>408.502702702703</v>
      </c>
      <c r="Q28" s="33">
        <f>114993.71+1647133.32</f>
        <v>1762127.03</v>
      </c>
      <c r="R28" s="33">
        <f>200+23177</f>
        <v>23377</v>
      </c>
      <c r="S28" s="33">
        <f>0+13446</f>
        <v>13446</v>
      </c>
      <c r="T28" s="33">
        <f>20437+20437</f>
        <v>40874</v>
      </c>
      <c r="U28" s="33">
        <f>440+25477</f>
        <v>25917</v>
      </c>
      <c r="V28" s="33">
        <f>0+17916</f>
        <v>17916</v>
      </c>
      <c r="W28" s="33">
        <f>12404+214315</f>
        <v>226719</v>
      </c>
      <c r="X28" s="33">
        <f>7200+181121</f>
        <v>188321</v>
      </c>
      <c r="Y28" s="34">
        <f t="shared" si="14"/>
        <v>38398</v>
      </c>
      <c r="Z28" s="36">
        <v>11</v>
      </c>
      <c r="AA28" s="36">
        <v>11</v>
      </c>
      <c r="AB28" s="36">
        <v>2</v>
      </c>
      <c r="AC28" s="36">
        <v>0</v>
      </c>
      <c r="AD28" s="36">
        <v>9</v>
      </c>
      <c r="AE28" s="37">
        <f t="shared" si="15"/>
        <v>69</v>
      </c>
      <c r="AF28" s="34">
        <f t="shared" si="16"/>
        <v>5221</v>
      </c>
      <c r="AG28" s="24">
        <f t="shared" si="8"/>
        <v>1.67823609402318</v>
      </c>
      <c r="AH28" s="25">
        <f t="shared" si="9"/>
        <v>2.48643398303438</v>
      </c>
      <c r="AI28" s="26">
        <f t="shared" si="10"/>
        <v>7.77229535239658</v>
      </c>
      <c r="AJ28" s="38">
        <v>36</v>
      </c>
      <c r="AK28" s="3"/>
    </row>
    <row r="29" spans="1:37">
      <c r="A29" s="31">
        <v>46227</v>
      </c>
      <c r="B29" s="32">
        <v>9600</v>
      </c>
      <c r="C29" s="32">
        <v>1733</v>
      </c>
      <c r="D29" s="33">
        <v>17780</v>
      </c>
      <c r="E29" s="21">
        <f t="shared" si="11"/>
        <v>485.216666666667</v>
      </c>
      <c r="F29" s="21">
        <f t="shared" si="12"/>
        <v>2.62162162162162</v>
      </c>
      <c r="G29" s="33">
        <f>1+226</f>
        <v>227</v>
      </c>
      <c r="H29" s="33">
        <f>3+94</f>
        <v>97</v>
      </c>
      <c r="I29" s="25">
        <f t="shared" si="1"/>
        <v>0.427312775330396</v>
      </c>
      <c r="J29" s="33">
        <f>1+79</f>
        <v>80</v>
      </c>
      <c r="K29" s="33">
        <f>44+547</f>
        <v>591</v>
      </c>
      <c r="L29" s="34">
        <f t="shared" si="13"/>
        <v>494</v>
      </c>
      <c r="M29" s="35">
        <f t="shared" si="3"/>
        <v>2.13751835535976</v>
      </c>
      <c r="N29" s="35">
        <f t="shared" si="4"/>
        <v>5.00223367697595</v>
      </c>
      <c r="O29" s="34">
        <f t="shared" si="5"/>
        <v>252.329896907216</v>
      </c>
      <c r="P29" s="34">
        <f t="shared" si="6"/>
        <v>431.749576988156</v>
      </c>
      <c r="Q29" s="33">
        <f>118835.81+2049243.06</f>
        <v>2168078.87</v>
      </c>
      <c r="R29" s="33">
        <f>300+21288</f>
        <v>21588</v>
      </c>
      <c r="S29" s="33">
        <f>0+5000</f>
        <v>5000</v>
      </c>
      <c r="T29" s="33">
        <f>500+14365</f>
        <v>14865</v>
      </c>
      <c r="U29" s="33">
        <f>500+23976</f>
        <v>24476</v>
      </c>
      <c r="V29" s="33">
        <f>200+24459</f>
        <v>24659</v>
      </c>
      <c r="W29" s="33">
        <f>9925+245239</f>
        <v>255164</v>
      </c>
      <c r="X29" s="33">
        <f>17746+202255</f>
        <v>220001</v>
      </c>
      <c r="Y29" s="34">
        <f t="shared" si="14"/>
        <v>35163</v>
      </c>
      <c r="Z29" s="36">
        <v>8</v>
      </c>
      <c r="AA29" s="36">
        <v>8</v>
      </c>
      <c r="AB29" s="36">
        <v>7</v>
      </c>
      <c r="AC29" s="36">
        <v>0</v>
      </c>
      <c r="AD29" s="36">
        <v>5</v>
      </c>
      <c r="AE29" s="37">
        <f t="shared" si="15"/>
        <v>71</v>
      </c>
      <c r="AF29" s="34">
        <f t="shared" si="16"/>
        <v>5229</v>
      </c>
      <c r="AG29" s="24">
        <f t="shared" si="8"/>
        <v>0.840724075155429</v>
      </c>
      <c r="AH29" s="25">
        <f t="shared" si="9"/>
        <v>1.20781094356473</v>
      </c>
      <c r="AI29" s="26">
        <f t="shared" si="10"/>
        <v>8.49680546628835</v>
      </c>
      <c r="AJ29" s="38">
        <v>37</v>
      </c>
      <c r="AK29" s="3"/>
    </row>
    <row r="30" spans="1:37">
      <c r="A30" s="31">
        <v>46228</v>
      </c>
      <c r="B30" s="32">
        <v>9600</v>
      </c>
      <c r="C30" s="32">
        <v>1733</v>
      </c>
      <c r="D30" s="33">
        <v>7289</v>
      </c>
      <c r="E30" s="21">
        <f t="shared" si="11"/>
        <v>310.366666666667</v>
      </c>
      <c r="F30" s="21">
        <f t="shared" si="12"/>
        <v>3.05263157894737</v>
      </c>
      <c r="G30" s="33">
        <f>1+229</f>
        <v>230</v>
      </c>
      <c r="H30" s="33">
        <f>2+114</f>
        <v>116</v>
      </c>
      <c r="I30" s="25">
        <f t="shared" si="1"/>
        <v>0.504347826086956</v>
      </c>
      <c r="J30" s="33">
        <f>1+99</f>
        <v>100</v>
      </c>
      <c r="K30" s="33">
        <f>60+559</f>
        <v>619</v>
      </c>
      <c r="L30" s="34">
        <f t="shared" si="13"/>
        <v>503</v>
      </c>
      <c r="M30" s="35">
        <f t="shared" si="3"/>
        <v>1.34942028985507</v>
      </c>
      <c r="N30" s="35">
        <f t="shared" si="4"/>
        <v>2.67557471264368</v>
      </c>
      <c r="O30" s="34">
        <f t="shared" si="5"/>
        <v>208.870689655172</v>
      </c>
      <c r="P30" s="34">
        <f t="shared" si="6"/>
        <v>699.588045234249</v>
      </c>
      <c r="Q30" s="33">
        <f>180388.19+2691684.39</f>
        <v>2872072.58</v>
      </c>
      <c r="R30" s="33">
        <f>100+21271</f>
        <v>21371</v>
      </c>
      <c r="S30" s="33">
        <f>0+18880</f>
        <v>18880</v>
      </c>
      <c r="T30" s="33">
        <f>200+20221</f>
        <v>20421</v>
      </c>
      <c r="U30" s="33">
        <f>200+24029</f>
        <v>24229</v>
      </c>
      <c r="V30" s="33">
        <f>0+20480</f>
        <v>20480</v>
      </c>
      <c r="W30" s="33">
        <f>19409+413636</f>
        <v>433045</v>
      </c>
      <c r="X30" s="33">
        <f>11517+339047</f>
        <v>350564</v>
      </c>
      <c r="Y30" s="34">
        <f t="shared" si="14"/>
        <v>82481</v>
      </c>
      <c r="Z30" s="36">
        <v>8</v>
      </c>
      <c r="AA30" s="36">
        <v>8</v>
      </c>
      <c r="AB30" s="36">
        <v>4</v>
      </c>
      <c r="AC30" s="36">
        <v>0</v>
      </c>
      <c r="AD30" s="36">
        <v>4</v>
      </c>
      <c r="AE30" s="37">
        <f t="shared" si="15"/>
        <v>71</v>
      </c>
      <c r="AF30" s="34">
        <f t="shared" si="16"/>
        <v>5237</v>
      </c>
      <c r="AG30" s="24">
        <f t="shared" si="8"/>
        <v>1.30109547846633</v>
      </c>
      <c r="AH30" s="25">
        <f t="shared" si="9"/>
        <v>4.4292234990871</v>
      </c>
      <c r="AI30" s="26">
        <f t="shared" si="10"/>
        <v>6.63227281229433</v>
      </c>
      <c r="AJ30" s="38">
        <v>38</v>
      </c>
      <c r="AK30" s="3"/>
    </row>
    <row r="31" spans="1:37">
      <c r="A31" s="31">
        <v>46229</v>
      </c>
      <c r="B31" s="32">
        <v>9600</v>
      </c>
      <c r="C31" s="32">
        <v>1733</v>
      </c>
      <c r="D31" s="33">
        <v>8190</v>
      </c>
      <c r="E31" s="21">
        <f t="shared" si="11"/>
        <v>325.383333333333</v>
      </c>
      <c r="F31" s="21">
        <f t="shared" si="12"/>
        <v>3.36111111111111</v>
      </c>
      <c r="G31" s="33">
        <f>0+250</f>
        <v>250</v>
      </c>
      <c r="H31" s="33">
        <f>3+118</f>
        <v>121</v>
      </c>
      <c r="I31" s="25">
        <f t="shared" si="1"/>
        <v>0.484</v>
      </c>
      <c r="J31" s="33">
        <f>0+92</f>
        <v>92</v>
      </c>
      <c r="K31" s="33">
        <f>49+541</f>
        <v>590</v>
      </c>
      <c r="L31" s="34">
        <f t="shared" si="13"/>
        <v>469</v>
      </c>
      <c r="M31" s="35">
        <f t="shared" si="3"/>
        <v>1.30153333333333</v>
      </c>
      <c r="N31" s="35">
        <f t="shared" si="4"/>
        <v>2.68911845730028</v>
      </c>
      <c r="O31" s="34">
        <f t="shared" si="5"/>
        <v>194.644628099174</v>
      </c>
      <c r="P31" s="34">
        <f t="shared" si="6"/>
        <v>357.332203389831</v>
      </c>
      <c r="Q31" s="33">
        <f>142993.9+1680989</f>
        <v>1823982.9</v>
      </c>
      <c r="R31" s="33">
        <f>0+18602</f>
        <v>18602</v>
      </c>
      <c r="S31" s="33">
        <f>0+12256</f>
        <v>12256</v>
      </c>
      <c r="T31" s="33">
        <f>300+15598</f>
        <v>15898</v>
      </c>
      <c r="U31" s="33">
        <f>300+23252</f>
        <v>23552</v>
      </c>
      <c r="V31" s="33">
        <f>0+15006</f>
        <v>15006</v>
      </c>
      <c r="W31" s="33">
        <f>14394+196432</f>
        <v>210826</v>
      </c>
      <c r="X31" s="33">
        <f>14004+136617</f>
        <v>150621</v>
      </c>
      <c r="Y31" s="34">
        <f t="shared" si="14"/>
        <v>60205</v>
      </c>
      <c r="Z31" s="36">
        <v>15</v>
      </c>
      <c r="AA31" s="36">
        <v>15</v>
      </c>
      <c r="AB31" s="36">
        <v>6</v>
      </c>
      <c r="AC31" s="36">
        <v>0</v>
      </c>
      <c r="AD31" s="36">
        <v>4</v>
      </c>
      <c r="AE31" s="37">
        <f t="shared" si="15"/>
        <v>73</v>
      </c>
      <c r="AF31" s="34">
        <f t="shared" si="16"/>
        <v>5252</v>
      </c>
      <c r="AG31" s="24">
        <f t="shared" si="8"/>
        <v>1.20637197152077</v>
      </c>
      <c r="AH31" s="25">
        <f t="shared" si="9"/>
        <v>3.08379859652717</v>
      </c>
      <c r="AI31" s="26">
        <f t="shared" si="10"/>
        <v>8.65160321781943</v>
      </c>
      <c r="AJ31" s="38">
        <v>36</v>
      </c>
      <c r="AK31" s="3"/>
    </row>
    <row r="32" spans="1:37">
      <c r="A32" s="31">
        <v>46230</v>
      </c>
      <c r="B32" s="32"/>
      <c r="C32" s="32"/>
      <c r="D32" s="33"/>
      <c r="E32" s="21">
        <f t="shared" si="11"/>
        <v>0</v>
      </c>
      <c r="F32" s="21" t="e">
        <f t="shared" si="12"/>
        <v>#DIV/0!</v>
      </c>
      <c r="G32" s="33"/>
      <c r="H32" s="33"/>
      <c r="I32" s="25" t="e">
        <f t="shared" si="1"/>
        <v>#DIV/0!</v>
      </c>
      <c r="J32" s="33"/>
      <c r="K32" s="33"/>
      <c r="L32" s="34">
        <f t="shared" si="13"/>
        <v>0</v>
      </c>
      <c r="M32" s="35" t="e">
        <f t="shared" si="3"/>
        <v>#DIV/0!</v>
      </c>
      <c r="N32" s="35" t="e">
        <f t="shared" si="4"/>
        <v>#DIV/0!</v>
      </c>
      <c r="O32" s="34" t="e">
        <f t="shared" si="5"/>
        <v>#DIV/0!</v>
      </c>
      <c r="P32" s="34" t="e">
        <f t="shared" si="6"/>
        <v>#DIV/0!</v>
      </c>
      <c r="Q32" s="33"/>
      <c r="R32" s="33"/>
      <c r="S32" s="33"/>
      <c r="T32" s="33"/>
      <c r="U32" s="33"/>
      <c r="V32" s="33"/>
      <c r="W32" s="33"/>
      <c r="X32" s="33"/>
      <c r="Y32" s="34">
        <f t="shared" si="14"/>
        <v>0</v>
      </c>
      <c r="Z32" s="36"/>
      <c r="AA32" s="36"/>
      <c r="AB32" s="36"/>
      <c r="AC32" s="36"/>
      <c r="AD32" s="36"/>
      <c r="AE32" s="37">
        <f t="shared" si="15"/>
        <v>73</v>
      </c>
      <c r="AF32" s="34">
        <f t="shared" si="16"/>
        <v>5252</v>
      </c>
      <c r="AG32" s="24" t="e">
        <f t="shared" si="8"/>
        <v>#DIV/0!</v>
      </c>
      <c r="AH32" s="25" t="e">
        <f t="shared" si="9"/>
        <v>#DIV/0!</v>
      </c>
      <c r="AI32" s="26" t="e">
        <f t="shared" si="10"/>
        <v>#DIV/0!</v>
      </c>
      <c r="AJ32" s="38"/>
      <c r="AK32" s="3"/>
    </row>
    <row r="33" spans="1:37">
      <c r="A33" s="31">
        <v>46231</v>
      </c>
      <c r="B33" s="32"/>
      <c r="C33" s="32"/>
      <c r="D33" s="33"/>
      <c r="E33" s="21">
        <f t="shared" si="11"/>
        <v>0</v>
      </c>
      <c r="F33" s="21" t="e">
        <f t="shared" si="12"/>
        <v>#DIV/0!</v>
      </c>
      <c r="G33" s="33"/>
      <c r="H33" s="33"/>
      <c r="I33" s="25" t="e">
        <f t="shared" si="1"/>
        <v>#DIV/0!</v>
      </c>
      <c r="J33" s="33"/>
      <c r="K33" s="33"/>
      <c r="L33" s="34">
        <f t="shared" si="13"/>
        <v>0</v>
      </c>
      <c r="M33" s="35" t="e">
        <f t="shared" si="3"/>
        <v>#DIV/0!</v>
      </c>
      <c r="N33" s="35" t="e">
        <f t="shared" si="4"/>
        <v>#DIV/0!</v>
      </c>
      <c r="O33" s="34" t="e">
        <f t="shared" si="5"/>
        <v>#DIV/0!</v>
      </c>
      <c r="P33" s="34" t="e">
        <f t="shared" si="6"/>
        <v>#DIV/0!</v>
      </c>
      <c r="Q33" s="33"/>
      <c r="R33" s="33"/>
      <c r="S33" s="33"/>
      <c r="T33" s="33"/>
      <c r="U33" s="33"/>
      <c r="V33" s="33"/>
      <c r="W33" s="33"/>
      <c r="X33" s="33"/>
      <c r="Y33" s="34">
        <f t="shared" si="14"/>
        <v>0</v>
      </c>
      <c r="Z33" s="36"/>
      <c r="AA33" s="36"/>
      <c r="AB33" s="36"/>
      <c r="AC33" s="36"/>
      <c r="AD33" s="36"/>
      <c r="AE33" s="37">
        <f t="shared" si="15"/>
        <v>73</v>
      </c>
      <c r="AF33" s="34">
        <f t="shared" si="16"/>
        <v>5252</v>
      </c>
      <c r="AG33" s="24" t="e">
        <f t="shared" si="8"/>
        <v>#DIV/0!</v>
      </c>
      <c r="AH33" s="25" t="e">
        <f t="shared" si="9"/>
        <v>#DIV/0!</v>
      </c>
      <c r="AI33" s="26" t="e">
        <f t="shared" si="10"/>
        <v>#DIV/0!</v>
      </c>
      <c r="AJ33" s="38"/>
      <c r="AK33" s="3"/>
    </row>
    <row r="34" spans="1:37">
      <c r="A34" s="31">
        <v>46232</v>
      </c>
      <c r="B34" s="32"/>
      <c r="C34" s="32"/>
      <c r="D34" s="33"/>
      <c r="E34" s="21">
        <f t="shared" si="11"/>
        <v>0</v>
      </c>
      <c r="F34" s="21" t="e">
        <f t="shared" si="12"/>
        <v>#DIV/0!</v>
      </c>
      <c r="G34" s="33"/>
      <c r="H34" s="33"/>
      <c r="I34" s="25" t="e">
        <f t="shared" si="1"/>
        <v>#DIV/0!</v>
      </c>
      <c r="J34" s="33"/>
      <c r="K34" s="33"/>
      <c r="L34" s="34">
        <f t="shared" si="13"/>
        <v>0</v>
      </c>
      <c r="M34" s="35" t="e">
        <f t="shared" si="3"/>
        <v>#DIV/0!</v>
      </c>
      <c r="N34" s="35" t="e">
        <f t="shared" si="4"/>
        <v>#DIV/0!</v>
      </c>
      <c r="O34" s="34" t="e">
        <f t="shared" si="5"/>
        <v>#DIV/0!</v>
      </c>
      <c r="P34" s="34" t="e">
        <f t="shared" si="6"/>
        <v>#DIV/0!</v>
      </c>
      <c r="Q34" s="33"/>
      <c r="R34" s="33"/>
      <c r="S34" s="33"/>
      <c r="T34" s="33"/>
      <c r="U34" s="33"/>
      <c r="V34" s="33"/>
      <c r="W34" s="33"/>
      <c r="X34" s="33"/>
      <c r="Y34" s="34">
        <f t="shared" si="14"/>
        <v>0</v>
      </c>
      <c r="Z34" s="36"/>
      <c r="AA34" s="36"/>
      <c r="AB34" s="36"/>
      <c r="AC34" s="36"/>
      <c r="AD34" s="36"/>
      <c r="AE34" s="37">
        <f t="shared" si="15"/>
        <v>73</v>
      </c>
      <c r="AF34" s="34">
        <f t="shared" si="16"/>
        <v>5252</v>
      </c>
      <c r="AG34" s="24" t="e">
        <f t="shared" si="8"/>
        <v>#DIV/0!</v>
      </c>
      <c r="AH34" s="25" t="e">
        <f t="shared" si="9"/>
        <v>#DIV/0!</v>
      </c>
      <c r="AI34" s="26" t="e">
        <f t="shared" si="10"/>
        <v>#DIV/0!</v>
      </c>
      <c r="AJ34" s="38"/>
      <c r="AK34" s="10"/>
    </row>
    <row r="35" spans="1:37">
      <c r="A35" s="31">
        <v>46233</v>
      </c>
      <c r="B35" s="32"/>
      <c r="C35" s="32"/>
      <c r="D35" s="33"/>
      <c r="E35" s="21">
        <f t="shared" si="11"/>
        <v>0</v>
      </c>
      <c r="F35" s="21" t="e">
        <f t="shared" si="12"/>
        <v>#DIV/0!</v>
      </c>
      <c r="G35" s="33"/>
      <c r="H35" s="33"/>
      <c r="I35" s="25" t="e">
        <f t="shared" si="1"/>
        <v>#DIV/0!</v>
      </c>
      <c r="J35" s="33"/>
      <c r="K35" s="33"/>
      <c r="L35" s="34">
        <f t="shared" si="13"/>
        <v>0</v>
      </c>
      <c r="M35" s="35" t="e">
        <f t="shared" si="3"/>
        <v>#DIV/0!</v>
      </c>
      <c r="N35" s="35" t="e">
        <f t="shared" si="4"/>
        <v>#DIV/0!</v>
      </c>
      <c r="O35" s="34" t="e">
        <f t="shared" si="5"/>
        <v>#DIV/0!</v>
      </c>
      <c r="P35" s="34" t="e">
        <f t="shared" si="6"/>
        <v>#DIV/0!</v>
      </c>
      <c r="Q35" s="33"/>
      <c r="R35" s="33"/>
      <c r="S35" s="33"/>
      <c r="T35" s="33"/>
      <c r="U35" s="33"/>
      <c r="V35" s="33"/>
      <c r="W35" s="33"/>
      <c r="X35" s="33"/>
      <c r="Y35" s="34">
        <f t="shared" si="14"/>
        <v>0</v>
      </c>
      <c r="Z35" s="36"/>
      <c r="AA35" s="36"/>
      <c r="AB35" s="36"/>
      <c r="AC35" s="36"/>
      <c r="AD35" s="36"/>
      <c r="AE35" s="37">
        <f t="shared" si="15"/>
        <v>73</v>
      </c>
      <c r="AF35" s="34">
        <f t="shared" si="16"/>
        <v>5252</v>
      </c>
      <c r="AG35" s="24" t="e">
        <f t="shared" si="8"/>
        <v>#DIV/0!</v>
      </c>
      <c r="AH35" s="25" t="e">
        <f t="shared" si="9"/>
        <v>#DIV/0!</v>
      </c>
      <c r="AI35" s="26" t="e">
        <f t="shared" si="10"/>
        <v>#DIV/0!</v>
      </c>
      <c r="AJ35" s="38"/>
      <c r="AK35" s="10"/>
    </row>
    <row r="36" spans="1:37">
      <c r="A36" s="31">
        <v>46234</v>
      </c>
      <c r="B36" s="32"/>
      <c r="C36" s="32"/>
      <c r="D36" s="33"/>
      <c r="E36" s="21">
        <f t="shared" si="11"/>
        <v>0</v>
      </c>
      <c r="F36" s="21" t="e">
        <f t="shared" si="12"/>
        <v>#DIV/0!</v>
      </c>
      <c r="G36" s="33"/>
      <c r="H36" s="33"/>
      <c r="I36" s="25" t="e">
        <f t="shared" si="1"/>
        <v>#DIV/0!</v>
      </c>
      <c r="J36" s="33"/>
      <c r="K36" s="33"/>
      <c r="L36" s="34">
        <f t="shared" si="13"/>
        <v>0</v>
      </c>
      <c r="M36" s="35" t="e">
        <f t="shared" si="3"/>
        <v>#DIV/0!</v>
      </c>
      <c r="N36" s="35" t="e">
        <f t="shared" si="4"/>
        <v>#DIV/0!</v>
      </c>
      <c r="O36" s="34" t="e">
        <f t="shared" si="5"/>
        <v>#DIV/0!</v>
      </c>
      <c r="P36" s="34" t="e">
        <f t="shared" si="6"/>
        <v>#DIV/0!</v>
      </c>
      <c r="Q36" s="33"/>
      <c r="R36" s="33"/>
      <c r="S36" s="33"/>
      <c r="T36" s="33"/>
      <c r="U36" s="33"/>
      <c r="V36" s="33"/>
      <c r="W36" s="33"/>
      <c r="X36" s="33"/>
      <c r="Y36" s="34">
        <f t="shared" si="14"/>
        <v>0</v>
      </c>
      <c r="Z36" s="36"/>
      <c r="AA36" s="36"/>
      <c r="AB36" s="36"/>
      <c r="AC36" s="36"/>
      <c r="AD36" s="36"/>
      <c r="AE36" s="37">
        <f t="shared" si="15"/>
        <v>73</v>
      </c>
      <c r="AF36" s="34">
        <f t="shared" si="16"/>
        <v>5252</v>
      </c>
      <c r="AG36" s="24" t="e">
        <f t="shared" si="8"/>
        <v>#DIV/0!</v>
      </c>
      <c r="AH36" s="25" t="e">
        <f t="shared" si="9"/>
        <v>#DIV/0!</v>
      </c>
      <c r="AI36" s="26" t="e">
        <f t="shared" si="10"/>
        <v>#DIV/0!</v>
      </c>
      <c r="AJ36" s="38"/>
      <c r="AK36" s="10"/>
    </row>
    <row r="37" spans="1:37">
      <c r="A37" s="10"/>
      <c r="B37" s="10">
        <v>3</v>
      </c>
      <c r="C37" s="10">
        <v>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1"/>
      <c r="AJ37" s="39"/>
      <c r="AK37" s="10"/>
    </row>
    <row r="38" spans="1:37">
      <c r="A38" s="10"/>
      <c r="B38" s="2" t="s">
        <v>364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1"/>
      <c r="AJ38" s="39"/>
      <c r="AK38" s="10"/>
    </row>
    <row r="39" spans="1:37">
      <c r="A39" s="10"/>
      <c r="B39" s="2" t="s">
        <v>365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1"/>
      <c r="AJ39" s="39"/>
      <c r="AK39" s="10"/>
    </row>
    <row r="40" spans="1:3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1"/>
      <c r="AJ40" s="39"/>
      <c r="AK40" s="10"/>
    </row>
    <row r="41" spans="1:37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1"/>
      <c r="AJ41" s="39"/>
      <c r="AK41" s="10"/>
    </row>
  </sheetData>
  <mergeCells count="1">
    <mergeCell ref="A1:AI2"/>
  </mergeCells>
  <conditionalFormatting sqref="AG3">
    <cfRule type="cellIs" dxfId="0" priority="111" operator="lessThan">
      <formula>0</formula>
    </cfRule>
  </conditionalFormatting>
  <conditionalFormatting sqref="AI3">
    <cfRule type="cellIs" dxfId="0" priority="110" operator="lessThan">
      <formula>0</formula>
    </cfRule>
  </conditionalFormatting>
  <conditionalFormatting sqref="AJ3">
    <cfRule type="cellIs" dxfId="0" priority="43" operator="lessThan">
      <formula>0</formula>
    </cfRule>
  </conditionalFormatting>
  <conditionalFormatting sqref="AG4">
    <cfRule type="cellIs" dxfId="0" priority="44" operator="lessThan">
      <formula>0</formula>
    </cfRule>
  </conditionalFormatting>
  <conditionalFormatting sqref="AH4">
    <cfRule type="cellIs" dxfId="0" priority="108" operator="lessThan">
      <formula>0</formula>
    </cfRule>
  </conditionalFormatting>
  <conditionalFormatting sqref="AI4">
    <cfRule type="cellIs" dxfId="0" priority="109" operator="lessThan">
      <formula>0</formula>
    </cfRule>
  </conditionalFormatting>
  <conditionalFormatting sqref="Y5">
    <cfRule type="cellIs" dxfId="0" priority="4" operator="lessThan">
      <formula>0</formula>
    </cfRule>
  </conditionalFormatting>
  <conditionalFormatting sqref="AG5:AH5">
    <cfRule type="cellIs" dxfId="0" priority="3" operator="lessThan">
      <formula>0</formula>
    </cfRule>
  </conditionalFormatting>
  <conditionalFormatting sqref="AI5">
    <cfRule type="cellIs" dxfId="0" priority="2" operator="lessThan">
      <formula>0</formula>
    </cfRule>
  </conditionalFormatting>
  <conditionalFormatting sqref="AJ5">
    <cfRule type="cellIs" dxfId="0" priority="1" operator="lessThan">
      <formula>0</formula>
    </cfRule>
  </conditionalFormatting>
  <conditionalFormatting sqref="Y6">
    <cfRule type="cellIs" dxfId="0" priority="107" operator="lessThan">
      <formula>0</formula>
    </cfRule>
  </conditionalFormatting>
  <conditionalFormatting sqref="AI6">
    <cfRule type="cellIs" dxfId="0" priority="84" operator="lessThan">
      <formula>0</formula>
    </cfRule>
  </conditionalFormatting>
  <conditionalFormatting sqref="AJ6">
    <cfRule type="cellIs" dxfId="0" priority="42" operator="lessThan">
      <formula>0</formula>
    </cfRule>
  </conditionalFormatting>
  <conditionalFormatting sqref="Y7">
    <cfRule type="cellIs" dxfId="0" priority="106" operator="lessThan">
      <formula>0</formula>
    </cfRule>
  </conditionalFormatting>
  <conditionalFormatting sqref="AI7">
    <cfRule type="cellIs" dxfId="0" priority="83" operator="lessThan">
      <formula>0</formula>
    </cfRule>
  </conditionalFormatting>
  <conditionalFormatting sqref="AJ7">
    <cfRule type="cellIs" dxfId="0" priority="41" operator="lessThan">
      <formula>0</formula>
    </cfRule>
  </conditionalFormatting>
  <conditionalFormatting sqref="Y8">
    <cfRule type="cellIs" dxfId="0" priority="105" operator="lessThan">
      <formula>0</formula>
    </cfRule>
  </conditionalFormatting>
  <conditionalFormatting sqref="AI8">
    <cfRule type="cellIs" dxfId="0" priority="82" operator="lessThan">
      <formula>0</formula>
    </cfRule>
  </conditionalFormatting>
  <conditionalFormatting sqref="AJ8">
    <cfRule type="cellIs" dxfId="0" priority="40" operator="lessThan">
      <formula>0</formula>
    </cfRule>
  </conditionalFormatting>
  <conditionalFormatting sqref="Y9">
    <cfRule type="cellIs" dxfId="0" priority="61" operator="lessThan">
      <formula>0</formula>
    </cfRule>
  </conditionalFormatting>
  <conditionalFormatting sqref="AI9">
    <cfRule type="cellIs" dxfId="0" priority="57" operator="lessThan">
      <formula>0</formula>
    </cfRule>
  </conditionalFormatting>
  <conditionalFormatting sqref="AJ9">
    <cfRule type="cellIs" dxfId="0" priority="19" operator="lessThan">
      <formula>0</formula>
    </cfRule>
  </conditionalFormatting>
  <conditionalFormatting sqref="Y10">
    <cfRule type="cellIs" dxfId="0" priority="60" operator="lessThan">
      <formula>0</formula>
    </cfRule>
  </conditionalFormatting>
  <conditionalFormatting sqref="AI10">
    <cfRule type="cellIs" dxfId="0" priority="56" operator="lessThan">
      <formula>0</formula>
    </cfRule>
  </conditionalFormatting>
  <conditionalFormatting sqref="AJ10">
    <cfRule type="cellIs" dxfId="0" priority="18" operator="lessThan">
      <formula>0</formula>
    </cfRule>
  </conditionalFormatting>
  <conditionalFormatting sqref="Y11">
    <cfRule type="cellIs" dxfId="0" priority="59" operator="lessThan">
      <formula>0</formula>
    </cfRule>
  </conditionalFormatting>
  <conditionalFormatting sqref="AI11">
    <cfRule type="cellIs" dxfId="0" priority="55" operator="lessThan">
      <formula>0</formula>
    </cfRule>
  </conditionalFormatting>
  <conditionalFormatting sqref="AJ11">
    <cfRule type="cellIs" dxfId="0" priority="17" operator="lessThan">
      <formula>0</formula>
    </cfRule>
  </conditionalFormatting>
  <conditionalFormatting sqref="Y12">
    <cfRule type="cellIs" dxfId="0" priority="58" operator="lessThan">
      <formula>0</formula>
    </cfRule>
  </conditionalFormatting>
  <conditionalFormatting sqref="AI12">
    <cfRule type="cellIs" dxfId="0" priority="54" operator="lessThan">
      <formula>0</formula>
    </cfRule>
  </conditionalFormatting>
  <conditionalFormatting sqref="AJ12">
    <cfRule type="cellIs" dxfId="0" priority="16" operator="lessThan">
      <formula>0</formula>
    </cfRule>
  </conditionalFormatting>
  <conditionalFormatting sqref="Y13">
    <cfRule type="cellIs" dxfId="0" priority="104" operator="lessThan">
      <formula>0</formula>
    </cfRule>
  </conditionalFormatting>
  <conditionalFormatting sqref="AI13">
    <cfRule type="cellIs" dxfId="0" priority="81" operator="lessThan">
      <formula>0</formula>
    </cfRule>
  </conditionalFormatting>
  <conditionalFormatting sqref="AJ13">
    <cfRule type="cellIs" dxfId="0" priority="39" operator="lessThan">
      <formula>0</formula>
    </cfRule>
  </conditionalFormatting>
  <conditionalFormatting sqref="Y14">
    <cfRule type="cellIs" dxfId="0" priority="103" operator="lessThan">
      <formula>0</formula>
    </cfRule>
  </conditionalFormatting>
  <conditionalFormatting sqref="AI14">
    <cfRule type="cellIs" dxfId="0" priority="80" operator="lessThan">
      <formula>0</formula>
    </cfRule>
  </conditionalFormatting>
  <conditionalFormatting sqref="AJ14">
    <cfRule type="cellIs" dxfId="0" priority="38" operator="lessThan">
      <formula>0</formula>
    </cfRule>
  </conditionalFormatting>
  <conditionalFormatting sqref="Y15">
    <cfRule type="cellIs" dxfId="0" priority="102" operator="lessThan">
      <formula>0</formula>
    </cfRule>
  </conditionalFormatting>
  <conditionalFormatting sqref="AI15">
    <cfRule type="cellIs" dxfId="0" priority="79" operator="lessThan">
      <formula>0</formula>
    </cfRule>
  </conditionalFormatting>
  <conditionalFormatting sqref="AJ15">
    <cfRule type="cellIs" dxfId="0" priority="37" operator="lessThan">
      <formula>0</formula>
    </cfRule>
  </conditionalFormatting>
  <conditionalFormatting sqref="Y16">
    <cfRule type="cellIs" dxfId="0" priority="101" operator="lessThan">
      <formula>0</formula>
    </cfRule>
  </conditionalFormatting>
  <conditionalFormatting sqref="AI16">
    <cfRule type="cellIs" dxfId="0" priority="78" operator="lessThan">
      <formula>0</formula>
    </cfRule>
  </conditionalFormatting>
  <conditionalFormatting sqref="AJ16">
    <cfRule type="cellIs" dxfId="0" priority="36" operator="lessThan">
      <formula>0</formula>
    </cfRule>
  </conditionalFormatting>
  <conditionalFormatting sqref="Y17">
    <cfRule type="cellIs" dxfId="0" priority="100" operator="lessThan">
      <formula>0</formula>
    </cfRule>
  </conditionalFormatting>
  <conditionalFormatting sqref="AI17">
    <cfRule type="cellIs" dxfId="0" priority="77" operator="lessThan">
      <formula>0</formula>
    </cfRule>
  </conditionalFormatting>
  <conditionalFormatting sqref="AJ17">
    <cfRule type="cellIs" dxfId="0" priority="35" operator="lessThan">
      <formula>0</formula>
    </cfRule>
  </conditionalFormatting>
  <conditionalFormatting sqref="Y18">
    <cfRule type="cellIs" dxfId="0" priority="99" operator="lessThan">
      <formula>0</formula>
    </cfRule>
  </conditionalFormatting>
  <conditionalFormatting sqref="AI18">
    <cfRule type="cellIs" dxfId="0" priority="76" operator="lessThan">
      <formula>0</formula>
    </cfRule>
  </conditionalFormatting>
  <conditionalFormatting sqref="AJ18">
    <cfRule type="cellIs" dxfId="0" priority="34" operator="lessThan">
      <formula>0</formula>
    </cfRule>
  </conditionalFormatting>
  <conditionalFormatting sqref="Y19">
    <cfRule type="cellIs" dxfId="0" priority="98" operator="lessThan">
      <formula>0</formula>
    </cfRule>
  </conditionalFormatting>
  <conditionalFormatting sqref="AI19">
    <cfRule type="cellIs" dxfId="0" priority="75" operator="lessThan">
      <formula>0</formula>
    </cfRule>
  </conditionalFormatting>
  <conditionalFormatting sqref="AJ19">
    <cfRule type="cellIs" dxfId="0" priority="33" operator="lessThan">
      <formula>0</formula>
    </cfRule>
  </conditionalFormatting>
  <conditionalFormatting sqref="Y20">
    <cfRule type="cellIs" dxfId="0" priority="97" operator="lessThan">
      <formula>0</formula>
    </cfRule>
  </conditionalFormatting>
  <conditionalFormatting sqref="AI20">
    <cfRule type="cellIs" dxfId="0" priority="74" operator="lessThan">
      <formula>0</formula>
    </cfRule>
  </conditionalFormatting>
  <conditionalFormatting sqref="AJ20">
    <cfRule type="cellIs" dxfId="0" priority="32" operator="lessThan">
      <formula>0</formula>
    </cfRule>
  </conditionalFormatting>
  <conditionalFormatting sqref="Y21">
    <cfRule type="cellIs" dxfId="0" priority="96" operator="lessThan">
      <formula>0</formula>
    </cfRule>
  </conditionalFormatting>
  <conditionalFormatting sqref="AI21">
    <cfRule type="cellIs" dxfId="0" priority="73" operator="lessThan">
      <formula>0</formula>
    </cfRule>
  </conditionalFormatting>
  <conditionalFormatting sqref="AJ21">
    <cfRule type="cellIs" dxfId="0" priority="31" operator="lessThan">
      <formula>0</formula>
    </cfRule>
  </conditionalFormatting>
  <conditionalFormatting sqref="Y22">
    <cfRule type="cellIs" dxfId="0" priority="95" operator="lessThan">
      <formula>0</formula>
    </cfRule>
  </conditionalFormatting>
  <conditionalFormatting sqref="AI22">
    <cfRule type="cellIs" dxfId="0" priority="72" operator="lessThan">
      <formula>0</formula>
    </cfRule>
  </conditionalFormatting>
  <conditionalFormatting sqref="AJ22">
    <cfRule type="cellIs" dxfId="0" priority="30" operator="lessThan">
      <formula>0</formula>
    </cfRule>
  </conditionalFormatting>
  <conditionalFormatting sqref="Y23">
    <cfRule type="cellIs" dxfId="0" priority="94" operator="lessThan">
      <formula>0</formula>
    </cfRule>
  </conditionalFormatting>
  <conditionalFormatting sqref="AI23">
    <cfRule type="cellIs" dxfId="0" priority="71" operator="lessThan">
      <formula>0</formula>
    </cfRule>
  </conditionalFormatting>
  <conditionalFormatting sqref="AJ23">
    <cfRule type="cellIs" dxfId="0" priority="29" operator="lessThan">
      <formula>0</formula>
    </cfRule>
  </conditionalFormatting>
  <conditionalFormatting sqref="Y24">
    <cfRule type="cellIs" dxfId="0" priority="93" operator="lessThan">
      <formula>0</formula>
    </cfRule>
  </conditionalFormatting>
  <conditionalFormatting sqref="AI24">
    <cfRule type="cellIs" dxfId="0" priority="70" operator="lessThan">
      <formula>0</formula>
    </cfRule>
  </conditionalFormatting>
  <conditionalFormatting sqref="AJ24">
    <cfRule type="cellIs" dxfId="0" priority="28" operator="lessThan">
      <formula>0</formula>
    </cfRule>
  </conditionalFormatting>
  <conditionalFormatting sqref="Y25">
    <cfRule type="cellIs" dxfId="0" priority="92" operator="lessThan">
      <formula>0</formula>
    </cfRule>
  </conditionalFormatting>
  <conditionalFormatting sqref="AI25">
    <cfRule type="cellIs" dxfId="0" priority="69" operator="lessThan">
      <formula>0</formula>
    </cfRule>
  </conditionalFormatting>
  <conditionalFormatting sqref="AJ25">
    <cfRule type="cellIs" dxfId="0" priority="27" operator="lessThan">
      <formula>0</formula>
    </cfRule>
  </conditionalFormatting>
  <conditionalFormatting sqref="Y26">
    <cfRule type="cellIs" dxfId="0" priority="91" operator="lessThan">
      <formula>0</formula>
    </cfRule>
  </conditionalFormatting>
  <conditionalFormatting sqref="AI26">
    <cfRule type="cellIs" dxfId="0" priority="68" operator="lessThan">
      <formula>0</formula>
    </cfRule>
  </conditionalFormatting>
  <conditionalFormatting sqref="AJ26">
    <cfRule type="cellIs" dxfId="0" priority="26" operator="lessThan">
      <formula>0</formula>
    </cfRule>
  </conditionalFormatting>
  <conditionalFormatting sqref="Y27">
    <cfRule type="cellIs" dxfId="0" priority="90" operator="lessThan">
      <formula>0</formula>
    </cfRule>
  </conditionalFormatting>
  <conditionalFormatting sqref="AI27">
    <cfRule type="cellIs" dxfId="0" priority="67" operator="lessThan">
      <formula>0</formula>
    </cfRule>
  </conditionalFormatting>
  <conditionalFormatting sqref="AJ27">
    <cfRule type="cellIs" dxfId="0" priority="25" operator="lessThan">
      <formula>0</formula>
    </cfRule>
  </conditionalFormatting>
  <conditionalFormatting sqref="Y28">
    <cfRule type="cellIs" dxfId="0" priority="89" operator="lessThan">
      <formula>0</formula>
    </cfRule>
  </conditionalFormatting>
  <conditionalFormatting sqref="AI28">
    <cfRule type="cellIs" dxfId="0" priority="66" operator="lessThan">
      <formula>0</formula>
    </cfRule>
  </conditionalFormatting>
  <conditionalFormatting sqref="AJ28">
    <cfRule type="cellIs" dxfId="0" priority="24" operator="lessThan">
      <formula>0</formula>
    </cfRule>
  </conditionalFormatting>
  <conditionalFormatting sqref="Y29">
    <cfRule type="cellIs" dxfId="0" priority="88" operator="lessThan">
      <formula>0</formula>
    </cfRule>
  </conditionalFormatting>
  <conditionalFormatting sqref="AI29">
    <cfRule type="cellIs" dxfId="0" priority="65" operator="lessThan">
      <formula>0</formula>
    </cfRule>
  </conditionalFormatting>
  <conditionalFormatting sqref="AJ29">
    <cfRule type="cellIs" dxfId="0" priority="23" operator="lessThan">
      <formula>0</formula>
    </cfRule>
  </conditionalFormatting>
  <conditionalFormatting sqref="Y30">
    <cfRule type="cellIs" dxfId="0" priority="87" operator="lessThan">
      <formula>0</formula>
    </cfRule>
  </conditionalFormatting>
  <conditionalFormatting sqref="AI30">
    <cfRule type="cellIs" dxfId="0" priority="64" operator="lessThan">
      <formula>0</formula>
    </cfRule>
  </conditionalFormatting>
  <conditionalFormatting sqref="AJ30">
    <cfRule type="cellIs" dxfId="0" priority="22" operator="lessThan">
      <formula>0</formula>
    </cfRule>
  </conditionalFormatting>
  <conditionalFormatting sqref="Y31">
    <cfRule type="cellIs" dxfId="0" priority="86" operator="lessThan">
      <formula>0</formula>
    </cfRule>
  </conditionalFormatting>
  <conditionalFormatting sqref="AI31">
    <cfRule type="cellIs" dxfId="0" priority="63" operator="lessThan">
      <formula>0</formula>
    </cfRule>
  </conditionalFormatting>
  <conditionalFormatting sqref="AJ31">
    <cfRule type="cellIs" dxfId="0" priority="21" operator="lessThan">
      <formula>0</formula>
    </cfRule>
  </conditionalFormatting>
  <conditionalFormatting sqref="Y32">
    <cfRule type="cellIs" dxfId="0" priority="85" operator="lessThan">
      <formula>0</formula>
    </cfRule>
  </conditionalFormatting>
  <conditionalFormatting sqref="AI32">
    <cfRule type="cellIs" dxfId="0" priority="62" operator="lessThan">
      <formula>0</formula>
    </cfRule>
  </conditionalFormatting>
  <conditionalFormatting sqref="AJ32">
    <cfRule type="cellIs" dxfId="0" priority="20" operator="lessThan">
      <formula>0</formula>
    </cfRule>
  </conditionalFormatting>
  <conditionalFormatting sqref="Y33">
    <cfRule type="cellIs" dxfId="0" priority="53" operator="lessThan">
      <formula>0</formula>
    </cfRule>
  </conditionalFormatting>
  <conditionalFormatting sqref="AI33">
    <cfRule type="cellIs" dxfId="0" priority="50" operator="lessThan">
      <formula>0</formula>
    </cfRule>
  </conditionalFormatting>
  <conditionalFormatting sqref="AJ33">
    <cfRule type="cellIs" dxfId="0" priority="15" operator="lessThan">
      <formula>0</formula>
    </cfRule>
  </conditionalFormatting>
  <conditionalFormatting sqref="Y34">
    <cfRule type="cellIs" dxfId="0" priority="52" operator="lessThan">
      <formula>0</formula>
    </cfRule>
  </conditionalFormatting>
  <conditionalFormatting sqref="AI34">
    <cfRule type="cellIs" dxfId="0" priority="49" operator="lessThan">
      <formula>0</formula>
    </cfRule>
  </conditionalFormatting>
  <conditionalFormatting sqref="AJ34">
    <cfRule type="cellIs" dxfId="0" priority="14" operator="lessThan">
      <formula>0</formula>
    </cfRule>
  </conditionalFormatting>
  <conditionalFormatting sqref="Y35">
    <cfRule type="cellIs" dxfId="0" priority="51" operator="lessThan">
      <formula>0</formula>
    </cfRule>
  </conditionalFormatting>
  <conditionalFormatting sqref="AI35">
    <cfRule type="cellIs" dxfId="0" priority="48" operator="lessThan">
      <formula>0</formula>
    </cfRule>
  </conditionalFormatting>
  <conditionalFormatting sqref="AJ35">
    <cfRule type="cellIs" dxfId="0" priority="13" operator="lessThan">
      <formula>0</formula>
    </cfRule>
  </conditionalFormatting>
  <conditionalFormatting sqref="Y36">
    <cfRule type="cellIs" dxfId="0" priority="9" operator="lessThan">
      <formula>0</formula>
    </cfRule>
  </conditionalFormatting>
  <conditionalFormatting sqref="AG36">
    <cfRule type="cellIs" dxfId="0" priority="5" operator="lessThan">
      <formula>0</formula>
    </cfRule>
  </conditionalFormatting>
  <conditionalFormatting sqref="AH36">
    <cfRule type="cellIs" dxfId="0" priority="6" operator="lessThan">
      <formula>0</formula>
    </cfRule>
  </conditionalFormatting>
  <conditionalFormatting sqref="AI36">
    <cfRule type="cellIs" dxfId="0" priority="8" operator="lessThan">
      <formula>0</formula>
    </cfRule>
  </conditionalFormatting>
  <conditionalFormatting sqref="AJ36">
    <cfRule type="cellIs" dxfId="0" priority="7" operator="lessThan">
      <formula>0</formula>
    </cfRule>
  </conditionalFormatting>
  <conditionalFormatting sqref="AG6:AG35">
    <cfRule type="cellIs" dxfId="0" priority="10" operator="lessThan">
      <formula>0</formula>
    </cfRule>
  </conditionalFormatting>
  <conditionalFormatting sqref="AH6:AH35">
    <cfRule type="cellIs" dxfId="0" priority="11" operator="lessThan">
      <formula>0</formula>
    </cfRule>
  </conditionalFormatting>
  <conditionalFormatting sqref="Y3 AH3">
    <cfRule type="cellIs" dxfId="0" priority="112" operator="lessThan">
      <formula>0</formula>
    </cfRule>
  </conditionalFormatting>
  <pageMargins left="0.75" right="0.75" top="1" bottom="1" header="0.5" footer="0.5"/>
  <headerFooter/>
  <ignoredErrors>
    <ignoredError sqref="H18 J18 F4:I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1"/>
  <sheetViews>
    <sheetView zoomScale="75" zoomScaleNormal="75" workbookViewId="0">
      <pane ySplit="5" topLeftCell="A6" activePane="bottomLeft" state="frozen"/>
      <selection/>
      <selection pane="bottomLeft" activeCell="AJ4" sqref="AJ4"/>
    </sheetView>
  </sheetViews>
  <sheetFormatPr defaultColWidth="9.14285714285714" defaultRowHeight="15"/>
  <cols>
    <col min="17" max="25" width="11.047619047619" customWidth="1"/>
  </cols>
  <sheetData>
    <row r="1" spans="1:37">
      <c r="A1" s="9" t="s">
        <v>369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1"/>
      <c r="AJ1" s="12"/>
      <c r="AK1" s="3"/>
    </row>
    <row r="2" spans="1:37">
      <c r="A2" s="13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1"/>
      <c r="AJ2" s="12"/>
      <c r="AK2" s="3"/>
    </row>
    <row r="3" ht="31.5" spans="1:37">
      <c r="A3" s="14" t="s">
        <v>277</v>
      </c>
      <c r="B3" s="14" t="s">
        <v>326</v>
      </c>
      <c r="C3" s="15" t="s">
        <v>327</v>
      </c>
      <c r="D3" s="15" t="s">
        <v>328</v>
      </c>
      <c r="E3" s="15" t="s">
        <v>280</v>
      </c>
      <c r="F3" s="15" t="s">
        <v>24</v>
      </c>
      <c r="G3" s="15" t="s">
        <v>281</v>
      </c>
      <c r="H3" s="15" t="s">
        <v>219</v>
      </c>
      <c r="I3" s="16" t="s">
        <v>282</v>
      </c>
      <c r="J3" s="15" t="s">
        <v>33</v>
      </c>
      <c r="K3" s="15" t="s">
        <v>36</v>
      </c>
      <c r="L3" s="15" t="s">
        <v>37</v>
      </c>
      <c r="M3" s="14" t="s">
        <v>283</v>
      </c>
      <c r="N3" s="14" t="s">
        <v>284</v>
      </c>
      <c r="O3" s="17" t="s">
        <v>157</v>
      </c>
      <c r="P3" s="17" t="s">
        <v>61</v>
      </c>
      <c r="Q3" s="16" t="s">
        <v>285</v>
      </c>
      <c r="R3" s="16" t="s">
        <v>34</v>
      </c>
      <c r="S3" s="16" t="s">
        <v>35</v>
      </c>
      <c r="T3" s="16" t="s">
        <v>27</v>
      </c>
      <c r="U3" s="15" t="s">
        <v>56</v>
      </c>
      <c r="V3" s="15" t="s">
        <v>57</v>
      </c>
      <c r="W3" s="15" t="s">
        <v>286</v>
      </c>
      <c r="X3" s="15" t="s">
        <v>287</v>
      </c>
      <c r="Y3" s="15" t="s">
        <v>288</v>
      </c>
      <c r="Z3" s="14" t="s">
        <v>329</v>
      </c>
      <c r="AA3" s="14" t="s">
        <v>330</v>
      </c>
      <c r="AB3" s="14" t="s">
        <v>330</v>
      </c>
      <c r="AC3" s="14" t="s">
        <v>331</v>
      </c>
      <c r="AD3" s="18" t="s">
        <v>332</v>
      </c>
      <c r="AE3" s="14" t="s">
        <v>289</v>
      </c>
      <c r="AF3" s="14" t="s">
        <v>333</v>
      </c>
      <c r="AG3" s="14" t="s">
        <v>290</v>
      </c>
      <c r="AH3" s="14" t="s">
        <v>291</v>
      </c>
      <c r="AI3" s="14" t="s">
        <v>292</v>
      </c>
      <c r="AJ3" s="14" t="s">
        <v>334</v>
      </c>
      <c r="AK3" s="3"/>
    </row>
    <row r="4" ht="28" customHeight="1" spans="1:37">
      <c r="A4" s="19" t="s">
        <v>335</v>
      </c>
      <c r="B4" s="20">
        <f t="shared" ref="B4:H4" si="0">SUM(B6:B1048575)</f>
        <v>83201</v>
      </c>
      <c r="C4" s="20">
        <f t="shared" si="0"/>
        <v>0</v>
      </c>
      <c r="D4" s="20">
        <f t="shared" si="0"/>
        <v>150719</v>
      </c>
      <c r="E4" s="20">
        <f t="shared" si="0"/>
        <v>3898.65</v>
      </c>
      <c r="F4" s="21">
        <f>(H4/AJ4)/汇总!S1</f>
        <v>2.57239819004525</v>
      </c>
      <c r="G4" s="20">
        <f t="shared" si="0"/>
        <v>1712</v>
      </c>
      <c r="H4" s="20">
        <f t="shared" si="0"/>
        <v>1137</v>
      </c>
      <c r="I4" s="22">
        <f t="shared" ref="I4:I36" si="1">H4/G4</f>
        <v>0.664135514018692</v>
      </c>
      <c r="J4" s="20">
        <f t="shared" ref="J4:L4" si="2">SUM(J6:J1048575)</f>
        <v>1047</v>
      </c>
      <c r="K4" s="20">
        <f t="shared" si="2"/>
        <v>2128</v>
      </c>
      <c r="L4" s="20">
        <f t="shared" si="2"/>
        <v>991</v>
      </c>
      <c r="M4" s="23">
        <f t="shared" ref="M4:M36" si="3">E4/G4</f>
        <v>2.2772488317757</v>
      </c>
      <c r="N4" s="23">
        <f t="shared" ref="N4:N36" si="4">E4/H4</f>
        <v>3.42889182058048</v>
      </c>
      <c r="O4" s="20">
        <f t="shared" ref="O4:O36" si="5">U4/H4</f>
        <v>334.698328935796</v>
      </c>
      <c r="P4" s="20">
        <f t="shared" ref="P4:P36" si="6">W4/K4</f>
        <v>451.187969924812</v>
      </c>
      <c r="Q4" s="20">
        <f t="shared" ref="Q4:AD4" si="7">SUM(Q6:Q1048575)</f>
        <v>5846246.35</v>
      </c>
      <c r="R4" s="20">
        <f t="shared" si="7"/>
        <v>360303</v>
      </c>
      <c r="S4" s="20">
        <f t="shared" si="7"/>
        <v>295322</v>
      </c>
      <c r="T4" s="20">
        <f t="shared" si="7"/>
        <v>292884</v>
      </c>
      <c r="U4" s="20">
        <f t="shared" si="7"/>
        <v>380552</v>
      </c>
      <c r="V4" s="20">
        <f t="shared" si="7"/>
        <v>324686</v>
      </c>
      <c r="W4" s="20">
        <f t="shared" si="7"/>
        <v>960128</v>
      </c>
      <c r="X4" s="20">
        <f t="shared" si="7"/>
        <v>830473</v>
      </c>
      <c r="Y4" s="20">
        <f t="shared" si="7"/>
        <v>129655</v>
      </c>
      <c r="Z4" s="20">
        <f t="shared" si="7"/>
        <v>36</v>
      </c>
      <c r="AA4" s="20">
        <f t="shared" si="7"/>
        <v>36</v>
      </c>
      <c r="AB4" s="20">
        <f t="shared" si="7"/>
        <v>20</v>
      </c>
      <c r="AC4" s="20">
        <f t="shared" si="7"/>
        <v>1</v>
      </c>
      <c r="AD4" s="20">
        <f t="shared" si="7"/>
        <v>15</v>
      </c>
      <c r="AE4" s="20">
        <v>19</v>
      </c>
      <c r="AF4" s="20">
        <v>83</v>
      </c>
      <c r="AG4" s="24">
        <f t="shared" ref="AG4:AG36" si="8">(U4/60)/E4</f>
        <v>1.62685373996982</v>
      </c>
      <c r="AH4" s="25">
        <f t="shared" ref="AH4:AH36" si="9">(Y4/60)/E4</f>
        <v>0.55427306033285</v>
      </c>
      <c r="AI4" s="26">
        <f t="shared" ref="AI4:AI36" si="10">Q4/W4</f>
        <v>6.08902807750633</v>
      </c>
      <c r="AJ4" s="20">
        <v>17</v>
      </c>
      <c r="AK4" s="3"/>
    </row>
    <row r="5" ht="22.5" spans="1:37">
      <c r="A5" s="27" t="s">
        <v>336</v>
      </c>
      <c r="B5" s="27" t="s">
        <v>337</v>
      </c>
      <c r="C5" s="28" t="s">
        <v>338</v>
      </c>
      <c r="D5" s="28" t="s">
        <v>339</v>
      </c>
      <c r="E5" s="28" t="s">
        <v>340</v>
      </c>
      <c r="F5" s="28" t="s">
        <v>71</v>
      </c>
      <c r="G5" s="28" t="s">
        <v>341</v>
      </c>
      <c r="H5" s="28" t="s">
        <v>342</v>
      </c>
      <c r="I5" s="29" t="s">
        <v>343</v>
      </c>
      <c r="J5" s="28" t="s">
        <v>80</v>
      </c>
      <c r="K5" s="28" t="s">
        <v>83</v>
      </c>
      <c r="L5" s="28" t="s">
        <v>84</v>
      </c>
      <c r="M5" s="27" t="s">
        <v>344</v>
      </c>
      <c r="N5" s="27" t="s">
        <v>345</v>
      </c>
      <c r="O5" s="29" t="s">
        <v>95</v>
      </c>
      <c r="P5" s="29" t="s">
        <v>346</v>
      </c>
      <c r="Q5" s="29" t="s">
        <v>347</v>
      </c>
      <c r="R5" s="29" t="s">
        <v>81</v>
      </c>
      <c r="S5" s="29" t="s">
        <v>82</v>
      </c>
      <c r="T5" s="29" t="s">
        <v>74</v>
      </c>
      <c r="U5" s="28" t="s">
        <v>348</v>
      </c>
      <c r="V5" s="28" t="s">
        <v>349</v>
      </c>
      <c r="W5" s="28" t="s">
        <v>350</v>
      </c>
      <c r="X5" s="28" t="s">
        <v>351</v>
      </c>
      <c r="Y5" s="28" t="s">
        <v>352</v>
      </c>
      <c r="Z5" s="27" t="s">
        <v>353</v>
      </c>
      <c r="AA5" s="27" t="s">
        <v>354</v>
      </c>
      <c r="AB5" s="27" t="s">
        <v>355</v>
      </c>
      <c r="AC5" s="27" t="s">
        <v>356</v>
      </c>
      <c r="AD5" s="30" t="s">
        <v>357</v>
      </c>
      <c r="AE5" s="27" t="s">
        <v>358</v>
      </c>
      <c r="AF5" s="27" t="s">
        <v>359</v>
      </c>
      <c r="AG5" s="27" t="s">
        <v>360</v>
      </c>
      <c r="AH5" s="27" t="s">
        <v>361</v>
      </c>
      <c r="AI5" s="27" t="s">
        <v>362</v>
      </c>
      <c r="AJ5" s="27" t="s">
        <v>363</v>
      </c>
      <c r="AK5" s="3"/>
    </row>
    <row r="6" spans="1:37">
      <c r="A6" s="31">
        <v>46204</v>
      </c>
      <c r="B6" s="32">
        <v>3200</v>
      </c>
      <c r="C6" s="32">
        <v>0</v>
      </c>
      <c r="D6" s="33">
        <v>1790</v>
      </c>
      <c r="E6" s="21">
        <f t="shared" ref="E6:E36" si="11">(B6+C6+D6)/60</f>
        <v>83.1666666666667</v>
      </c>
      <c r="F6" s="21">
        <f t="shared" ref="F6:F36" si="12">H6/AJ6</f>
        <v>5</v>
      </c>
      <c r="G6" s="33">
        <v>47</v>
      </c>
      <c r="H6" s="33">
        <v>35</v>
      </c>
      <c r="I6" s="25">
        <f t="shared" si="1"/>
        <v>0.74468085106383</v>
      </c>
      <c r="J6" s="33">
        <v>30</v>
      </c>
      <c r="K6" s="33">
        <v>68</v>
      </c>
      <c r="L6" s="34">
        <f t="shared" ref="L6:L36" si="13">K6-H6</f>
        <v>33</v>
      </c>
      <c r="M6" s="35">
        <f t="shared" si="3"/>
        <v>1.76950354609929</v>
      </c>
      <c r="N6" s="35">
        <f t="shared" si="4"/>
        <v>2.37619047619048</v>
      </c>
      <c r="O6" s="34">
        <f t="shared" si="5"/>
        <v>233.085714285714</v>
      </c>
      <c r="P6" s="34">
        <f t="shared" si="6"/>
        <v>436.102941176471</v>
      </c>
      <c r="Q6" s="33">
        <v>245074.8</v>
      </c>
      <c r="R6" s="33">
        <v>7918</v>
      </c>
      <c r="S6" s="33">
        <v>3714</v>
      </c>
      <c r="T6" s="33">
        <v>6918</v>
      </c>
      <c r="U6" s="33">
        <v>8158</v>
      </c>
      <c r="V6" s="33">
        <v>4314</v>
      </c>
      <c r="W6" s="33">
        <v>29655</v>
      </c>
      <c r="X6" s="33">
        <v>32153</v>
      </c>
      <c r="Y6" s="34">
        <f t="shared" ref="Y6:Y36" si="14">W6-X6</f>
        <v>-2498</v>
      </c>
      <c r="Z6" s="36">
        <v>3</v>
      </c>
      <c r="AA6" s="36">
        <v>3</v>
      </c>
      <c r="AB6" s="36">
        <v>1</v>
      </c>
      <c r="AC6" s="36">
        <v>0</v>
      </c>
      <c r="AD6" s="36">
        <v>0</v>
      </c>
      <c r="AE6" s="37">
        <f>15+AB6-AC6-AD6</f>
        <v>16</v>
      </c>
      <c r="AF6" s="34">
        <f>47+Z6</f>
        <v>50</v>
      </c>
      <c r="AG6" s="24">
        <f t="shared" si="8"/>
        <v>1.63486973947896</v>
      </c>
      <c r="AH6" s="25">
        <f t="shared" si="9"/>
        <v>-0.50060120240481</v>
      </c>
      <c r="AI6" s="26">
        <f t="shared" si="10"/>
        <v>8.26419828022256</v>
      </c>
      <c r="AJ6" s="38">
        <v>7</v>
      </c>
      <c r="AK6" s="3"/>
    </row>
    <row r="7" spans="1:37">
      <c r="A7" s="31">
        <v>46205</v>
      </c>
      <c r="B7" s="32">
        <v>3200</v>
      </c>
      <c r="C7" s="32">
        <v>0</v>
      </c>
      <c r="D7" s="33">
        <v>17900</v>
      </c>
      <c r="E7" s="21">
        <f t="shared" si="11"/>
        <v>351.666666666667</v>
      </c>
      <c r="F7" s="21">
        <f t="shared" si="12"/>
        <v>2.41666666666667</v>
      </c>
      <c r="G7" s="33">
        <v>64</v>
      </c>
      <c r="H7" s="33">
        <v>29</v>
      </c>
      <c r="I7" s="25">
        <f t="shared" si="1"/>
        <v>0.453125</v>
      </c>
      <c r="J7" s="33">
        <v>28</v>
      </c>
      <c r="K7" s="33">
        <v>56</v>
      </c>
      <c r="L7" s="34">
        <f t="shared" si="13"/>
        <v>27</v>
      </c>
      <c r="M7" s="35">
        <f t="shared" si="3"/>
        <v>5.49479166666667</v>
      </c>
      <c r="N7" s="35">
        <f t="shared" si="4"/>
        <v>12.1264367816092</v>
      </c>
      <c r="O7" s="34">
        <f t="shared" si="5"/>
        <v>559.931034482759</v>
      </c>
      <c r="P7" s="34">
        <f t="shared" si="6"/>
        <v>486.714285714286</v>
      </c>
      <c r="Q7" s="33">
        <v>144378.81</v>
      </c>
      <c r="R7" s="33">
        <v>15938</v>
      </c>
      <c r="S7" s="33">
        <v>4810</v>
      </c>
      <c r="T7" s="33">
        <v>10638</v>
      </c>
      <c r="U7" s="33">
        <v>16238</v>
      </c>
      <c r="V7" s="33">
        <v>4810</v>
      </c>
      <c r="W7" s="33">
        <v>27256</v>
      </c>
      <c r="X7" s="33">
        <v>12066</v>
      </c>
      <c r="Y7" s="34">
        <f t="shared" si="14"/>
        <v>15190</v>
      </c>
      <c r="Z7" s="36">
        <v>2</v>
      </c>
      <c r="AA7" s="36">
        <v>2</v>
      </c>
      <c r="AB7" s="36">
        <v>1</v>
      </c>
      <c r="AC7" s="36">
        <v>0</v>
      </c>
      <c r="AD7" s="36">
        <v>0</v>
      </c>
      <c r="AE7" s="37">
        <f t="shared" ref="AE7:AE36" si="15">AE6+AB7-AC7-AD7</f>
        <v>17</v>
      </c>
      <c r="AF7" s="34">
        <f t="shared" ref="AF7:AF36" si="16">AF6+Z7</f>
        <v>52</v>
      </c>
      <c r="AG7" s="24">
        <f t="shared" si="8"/>
        <v>0.76957345971564</v>
      </c>
      <c r="AH7" s="25">
        <f t="shared" si="9"/>
        <v>0.719905213270142</v>
      </c>
      <c r="AI7" s="26">
        <f t="shared" si="10"/>
        <v>5.29713861168183</v>
      </c>
      <c r="AJ7" s="38">
        <v>12</v>
      </c>
      <c r="AK7" s="3"/>
    </row>
    <row r="8" spans="1:37">
      <c r="A8" s="31">
        <v>46206</v>
      </c>
      <c r="B8" s="32">
        <v>3200</v>
      </c>
      <c r="C8" s="32">
        <v>0</v>
      </c>
      <c r="D8" s="33">
        <v>0</v>
      </c>
      <c r="E8" s="21">
        <f t="shared" si="11"/>
        <v>53.3333333333333</v>
      </c>
      <c r="F8" s="21">
        <f t="shared" si="12"/>
        <v>2.6</v>
      </c>
      <c r="G8" s="33">
        <v>49</v>
      </c>
      <c r="H8" s="33">
        <v>26</v>
      </c>
      <c r="I8" s="25">
        <f t="shared" si="1"/>
        <v>0.530612244897959</v>
      </c>
      <c r="J8" s="33">
        <v>23</v>
      </c>
      <c r="K8" s="33">
        <v>52</v>
      </c>
      <c r="L8" s="34">
        <f t="shared" si="13"/>
        <v>26</v>
      </c>
      <c r="M8" s="35">
        <f t="shared" si="3"/>
        <v>1.08843537414966</v>
      </c>
      <c r="N8" s="35">
        <f t="shared" si="4"/>
        <v>2.05128205128205</v>
      </c>
      <c r="O8" s="34">
        <f t="shared" si="5"/>
        <v>370.269230769231</v>
      </c>
      <c r="P8" s="34">
        <f t="shared" si="6"/>
        <v>457.75</v>
      </c>
      <c r="Q8" s="33">
        <v>118529.63</v>
      </c>
      <c r="R8" s="33">
        <v>9177</v>
      </c>
      <c r="S8" s="33">
        <v>1400</v>
      </c>
      <c r="T8" s="33">
        <v>6000</v>
      </c>
      <c r="U8" s="33">
        <v>9627</v>
      </c>
      <c r="V8" s="33">
        <v>1400</v>
      </c>
      <c r="W8" s="33">
        <v>23803</v>
      </c>
      <c r="X8" s="33">
        <v>17056</v>
      </c>
      <c r="Y8" s="34">
        <f t="shared" si="14"/>
        <v>6747</v>
      </c>
      <c r="Z8" s="36">
        <v>2</v>
      </c>
      <c r="AA8" s="36">
        <v>2</v>
      </c>
      <c r="AB8" s="36">
        <v>2</v>
      </c>
      <c r="AC8" s="36">
        <v>0</v>
      </c>
      <c r="AD8" s="36">
        <v>1</v>
      </c>
      <c r="AE8" s="37">
        <f t="shared" si="15"/>
        <v>18</v>
      </c>
      <c r="AF8" s="34">
        <f t="shared" si="16"/>
        <v>54</v>
      </c>
      <c r="AG8" s="24">
        <f t="shared" si="8"/>
        <v>3.0084375</v>
      </c>
      <c r="AH8" s="25">
        <f t="shared" si="9"/>
        <v>2.1084375</v>
      </c>
      <c r="AI8" s="26">
        <f t="shared" si="10"/>
        <v>4.97960887283116</v>
      </c>
      <c r="AJ8" s="38">
        <v>10</v>
      </c>
      <c r="AK8" s="3"/>
    </row>
    <row r="9" spans="1:37">
      <c r="A9" s="31">
        <v>46207</v>
      </c>
      <c r="B9" s="32">
        <v>3200</v>
      </c>
      <c r="C9" s="32">
        <v>0</v>
      </c>
      <c r="D9" s="33">
        <v>2658</v>
      </c>
      <c r="E9" s="21">
        <f t="shared" si="11"/>
        <v>97.6333333333333</v>
      </c>
      <c r="F9" s="21">
        <f t="shared" si="12"/>
        <v>3</v>
      </c>
      <c r="G9" s="33">
        <v>35</v>
      </c>
      <c r="H9" s="33">
        <v>24</v>
      </c>
      <c r="I9" s="25">
        <f t="shared" si="1"/>
        <v>0.685714285714286</v>
      </c>
      <c r="J9" s="33">
        <v>20</v>
      </c>
      <c r="K9" s="33">
        <v>56</v>
      </c>
      <c r="L9" s="34">
        <f t="shared" si="13"/>
        <v>32</v>
      </c>
      <c r="M9" s="35">
        <f t="shared" si="3"/>
        <v>2.78952380952381</v>
      </c>
      <c r="N9" s="35">
        <f t="shared" si="4"/>
        <v>4.06805555555556</v>
      </c>
      <c r="O9" s="34">
        <f t="shared" si="5"/>
        <v>205.083333333333</v>
      </c>
      <c r="P9" s="34">
        <f t="shared" si="6"/>
        <v>621.946428571429</v>
      </c>
      <c r="Q9" s="33">
        <v>105532.09</v>
      </c>
      <c r="R9" s="33">
        <v>3758</v>
      </c>
      <c r="S9" s="33">
        <v>801</v>
      </c>
      <c r="T9" s="33">
        <v>3388</v>
      </c>
      <c r="U9" s="33">
        <v>4922</v>
      </c>
      <c r="V9" s="33">
        <v>1301</v>
      </c>
      <c r="W9" s="33">
        <v>34829</v>
      </c>
      <c r="X9" s="33">
        <v>11751</v>
      </c>
      <c r="Y9" s="34">
        <f t="shared" si="14"/>
        <v>23078</v>
      </c>
      <c r="Z9" s="36">
        <v>3</v>
      </c>
      <c r="AA9" s="36">
        <v>3</v>
      </c>
      <c r="AB9" s="36">
        <v>0</v>
      </c>
      <c r="AC9" s="36">
        <v>0</v>
      </c>
      <c r="AD9" s="36">
        <v>2</v>
      </c>
      <c r="AE9" s="37">
        <f t="shared" si="15"/>
        <v>16</v>
      </c>
      <c r="AF9" s="34">
        <f t="shared" si="16"/>
        <v>57</v>
      </c>
      <c r="AG9" s="24">
        <f t="shared" si="8"/>
        <v>0.840218504609082</v>
      </c>
      <c r="AH9" s="25">
        <f t="shared" si="9"/>
        <v>3.93956981905087</v>
      </c>
      <c r="AI9" s="26">
        <f t="shared" si="10"/>
        <v>3.03000631657527</v>
      </c>
      <c r="AJ9" s="38">
        <v>8</v>
      </c>
      <c r="AK9" s="3"/>
    </row>
    <row r="10" spans="1:37">
      <c r="A10" s="31">
        <v>46208</v>
      </c>
      <c r="B10" s="32">
        <v>3200</v>
      </c>
      <c r="C10" s="32">
        <v>0</v>
      </c>
      <c r="D10" s="33">
        <v>2226</v>
      </c>
      <c r="E10" s="21">
        <f t="shared" si="11"/>
        <v>90.4333333333333</v>
      </c>
      <c r="F10" s="21">
        <f t="shared" si="12"/>
        <v>3.22222222222222</v>
      </c>
      <c r="G10" s="33">
        <v>39</v>
      </c>
      <c r="H10" s="33">
        <v>29</v>
      </c>
      <c r="I10" s="25">
        <f t="shared" si="1"/>
        <v>0.743589743589744</v>
      </c>
      <c r="J10" s="33">
        <v>26</v>
      </c>
      <c r="K10" s="33">
        <v>67</v>
      </c>
      <c r="L10" s="34">
        <f t="shared" si="13"/>
        <v>38</v>
      </c>
      <c r="M10" s="35">
        <f t="shared" si="3"/>
        <v>2.31880341880342</v>
      </c>
      <c r="N10" s="35">
        <f t="shared" si="4"/>
        <v>3.1183908045977</v>
      </c>
      <c r="O10" s="34">
        <f t="shared" si="5"/>
        <v>376.896551724138</v>
      </c>
      <c r="P10" s="34">
        <f t="shared" si="6"/>
        <v>532.283582089552</v>
      </c>
      <c r="Q10" s="33">
        <v>210858.65</v>
      </c>
      <c r="R10" s="33">
        <v>7700</v>
      </c>
      <c r="S10" s="33">
        <v>7500</v>
      </c>
      <c r="T10" s="33">
        <v>7000</v>
      </c>
      <c r="U10" s="33">
        <v>10930</v>
      </c>
      <c r="V10" s="33">
        <v>20500</v>
      </c>
      <c r="W10" s="33">
        <v>35663</v>
      </c>
      <c r="X10" s="33">
        <v>46135</v>
      </c>
      <c r="Y10" s="34">
        <f t="shared" si="14"/>
        <v>-10472</v>
      </c>
      <c r="Z10" s="36">
        <v>0</v>
      </c>
      <c r="AA10" s="36">
        <v>0</v>
      </c>
      <c r="AB10" s="36">
        <v>0</v>
      </c>
      <c r="AC10" s="36">
        <v>0</v>
      </c>
      <c r="AD10" s="36">
        <v>0</v>
      </c>
      <c r="AE10" s="37">
        <f t="shared" si="15"/>
        <v>16</v>
      </c>
      <c r="AF10" s="34">
        <f t="shared" si="16"/>
        <v>57</v>
      </c>
      <c r="AG10" s="24">
        <f t="shared" si="8"/>
        <v>2.01437523037228</v>
      </c>
      <c r="AH10" s="25">
        <f t="shared" si="9"/>
        <v>-1.92996682639145</v>
      </c>
      <c r="AI10" s="26">
        <f t="shared" si="10"/>
        <v>5.91253259680902</v>
      </c>
      <c r="AJ10" s="38">
        <v>9</v>
      </c>
      <c r="AK10" s="3"/>
    </row>
    <row r="11" spans="1:37">
      <c r="A11" s="31">
        <v>46209</v>
      </c>
      <c r="B11" s="32">
        <v>3200</v>
      </c>
      <c r="C11" s="32">
        <v>0</v>
      </c>
      <c r="D11" s="33">
        <v>0</v>
      </c>
      <c r="E11" s="21">
        <f t="shared" si="11"/>
        <v>53.3333333333333</v>
      </c>
      <c r="F11" s="21">
        <f t="shared" si="12"/>
        <v>2</v>
      </c>
      <c r="G11" s="33">
        <v>52</v>
      </c>
      <c r="H11" s="33">
        <v>24</v>
      </c>
      <c r="I11" s="25">
        <f t="shared" si="1"/>
        <v>0.461538461538462</v>
      </c>
      <c r="J11" s="33">
        <v>24</v>
      </c>
      <c r="K11" s="33">
        <v>60</v>
      </c>
      <c r="L11" s="34">
        <f t="shared" si="13"/>
        <v>36</v>
      </c>
      <c r="M11" s="35">
        <f t="shared" si="3"/>
        <v>1.02564102564103</v>
      </c>
      <c r="N11" s="35">
        <f t="shared" si="4"/>
        <v>2.22222222222222</v>
      </c>
      <c r="O11" s="34">
        <f t="shared" si="5"/>
        <v>268.708333333333</v>
      </c>
      <c r="P11" s="34">
        <f t="shared" si="6"/>
        <v>569.45</v>
      </c>
      <c r="Q11" s="33">
        <v>194190.32</v>
      </c>
      <c r="R11" s="33">
        <v>6449</v>
      </c>
      <c r="S11" s="33">
        <v>12536</v>
      </c>
      <c r="T11" s="33">
        <v>5186</v>
      </c>
      <c r="U11" s="33">
        <v>6449</v>
      </c>
      <c r="V11" s="33">
        <v>12536</v>
      </c>
      <c r="W11" s="33">
        <v>34167</v>
      </c>
      <c r="X11" s="33">
        <v>35349</v>
      </c>
      <c r="Y11" s="34">
        <f t="shared" si="14"/>
        <v>-1182</v>
      </c>
      <c r="Z11" s="36">
        <v>2</v>
      </c>
      <c r="AA11" s="36">
        <v>2</v>
      </c>
      <c r="AB11" s="36">
        <v>0</v>
      </c>
      <c r="AC11" s="36">
        <v>0</v>
      </c>
      <c r="AD11" s="36">
        <v>0</v>
      </c>
      <c r="AE11" s="37">
        <f t="shared" si="15"/>
        <v>16</v>
      </c>
      <c r="AF11" s="34">
        <f t="shared" si="16"/>
        <v>59</v>
      </c>
      <c r="AG11" s="24">
        <f t="shared" si="8"/>
        <v>2.0153125</v>
      </c>
      <c r="AH11" s="25">
        <f t="shared" si="9"/>
        <v>-0.369375</v>
      </c>
      <c r="AI11" s="26">
        <f t="shared" si="10"/>
        <v>5.68356367254954</v>
      </c>
      <c r="AJ11" s="38">
        <v>12</v>
      </c>
      <c r="AK11" s="3"/>
    </row>
    <row r="12" spans="1:37">
      <c r="A12" s="31">
        <v>46210</v>
      </c>
      <c r="B12" s="32">
        <v>3200</v>
      </c>
      <c r="C12" s="32">
        <v>0</v>
      </c>
      <c r="D12" s="33">
        <v>5575</v>
      </c>
      <c r="E12" s="21">
        <f t="shared" si="11"/>
        <v>146.25</v>
      </c>
      <c r="F12" s="21">
        <f t="shared" si="12"/>
        <v>2.63636363636364</v>
      </c>
      <c r="G12" s="33">
        <v>40</v>
      </c>
      <c r="H12" s="33">
        <v>29</v>
      </c>
      <c r="I12" s="25">
        <f t="shared" si="1"/>
        <v>0.725</v>
      </c>
      <c r="J12" s="33">
        <v>23</v>
      </c>
      <c r="K12" s="33">
        <v>59</v>
      </c>
      <c r="L12" s="34">
        <f t="shared" si="13"/>
        <v>30</v>
      </c>
      <c r="M12" s="35">
        <f t="shared" si="3"/>
        <v>3.65625</v>
      </c>
      <c r="N12" s="35">
        <f t="shared" si="4"/>
        <v>5.04310344827586</v>
      </c>
      <c r="O12" s="34">
        <f t="shared" si="5"/>
        <v>366.931034482759</v>
      </c>
      <c r="P12" s="34">
        <f t="shared" si="6"/>
        <v>495.949152542373</v>
      </c>
      <c r="Q12" s="33">
        <v>150499.23</v>
      </c>
      <c r="R12" s="33">
        <v>9582</v>
      </c>
      <c r="S12" s="33">
        <v>2500</v>
      </c>
      <c r="T12" s="33">
        <v>6332</v>
      </c>
      <c r="U12" s="33">
        <v>10641</v>
      </c>
      <c r="V12" s="33">
        <v>7164</v>
      </c>
      <c r="W12" s="33">
        <v>29261</v>
      </c>
      <c r="X12" s="33">
        <v>21371</v>
      </c>
      <c r="Y12" s="34">
        <f t="shared" si="14"/>
        <v>7890</v>
      </c>
      <c r="Z12" s="36">
        <v>2</v>
      </c>
      <c r="AA12" s="36">
        <v>2</v>
      </c>
      <c r="AB12" s="36">
        <v>2</v>
      </c>
      <c r="AC12" s="36">
        <v>0</v>
      </c>
      <c r="AD12" s="36">
        <v>3</v>
      </c>
      <c r="AE12" s="37">
        <f t="shared" si="15"/>
        <v>15</v>
      </c>
      <c r="AF12" s="34">
        <f t="shared" si="16"/>
        <v>61</v>
      </c>
      <c r="AG12" s="24">
        <f t="shared" si="8"/>
        <v>1.21264957264957</v>
      </c>
      <c r="AH12" s="25">
        <f t="shared" si="9"/>
        <v>0.899145299145299</v>
      </c>
      <c r="AI12" s="26">
        <f t="shared" si="10"/>
        <v>5.1433385735279</v>
      </c>
      <c r="AJ12" s="38">
        <v>11</v>
      </c>
      <c r="AK12" s="3"/>
    </row>
    <row r="13" spans="1:37">
      <c r="A13" s="31">
        <v>46211</v>
      </c>
      <c r="B13" s="32">
        <v>3200</v>
      </c>
      <c r="C13" s="32">
        <v>0</v>
      </c>
      <c r="D13" s="33">
        <v>0</v>
      </c>
      <c r="E13" s="21">
        <f t="shared" si="11"/>
        <v>53.3333333333333</v>
      </c>
      <c r="F13" s="21">
        <f t="shared" si="12"/>
        <v>3</v>
      </c>
      <c r="G13" s="33">
        <v>43</v>
      </c>
      <c r="H13" s="33">
        <v>30</v>
      </c>
      <c r="I13" s="25">
        <f t="shared" si="1"/>
        <v>0.697674418604651</v>
      </c>
      <c r="J13" s="33">
        <v>28</v>
      </c>
      <c r="K13" s="33">
        <v>68</v>
      </c>
      <c r="L13" s="34">
        <f t="shared" si="13"/>
        <v>38</v>
      </c>
      <c r="M13" s="35">
        <f t="shared" si="3"/>
        <v>1.24031007751938</v>
      </c>
      <c r="N13" s="35">
        <f t="shared" si="4"/>
        <v>1.77777777777778</v>
      </c>
      <c r="O13" s="34">
        <f t="shared" si="5"/>
        <v>268</v>
      </c>
      <c r="P13" s="34">
        <f t="shared" si="6"/>
        <v>377.941176470588</v>
      </c>
      <c r="Q13" s="33">
        <v>147791.46</v>
      </c>
      <c r="R13" s="33">
        <v>7840</v>
      </c>
      <c r="S13" s="33">
        <v>6720</v>
      </c>
      <c r="T13" s="33">
        <v>7140</v>
      </c>
      <c r="U13" s="33">
        <v>8040</v>
      </c>
      <c r="V13" s="33">
        <v>6720</v>
      </c>
      <c r="W13" s="33">
        <v>25700</v>
      </c>
      <c r="X13" s="33">
        <v>42195</v>
      </c>
      <c r="Y13" s="34">
        <f t="shared" si="14"/>
        <v>-16495</v>
      </c>
      <c r="Z13" s="36">
        <v>1</v>
      </c>
      <c r="AA13" s="36">
        <v>1</v>
      </c>
      <c r="AB13" s="36">
        <v>0</v>
      </c>
      <c r="AC13" s="36">
        <v>0</v>
      </c>
      <c r="AD13" s="36">
        <v>0</v>
      </c>
      <c r="AE13" s="37">
        <f t="shared" si="15"/>
        <v>15</v>
      </c>
      <c r="AF13" s="34">
        <f t="shared" si="16"/>
        <v>62</v>
      </c>
      <c r="AG13" s="24">
        <f t="shared" si="8"/>
        <v>2.5125</v>
      </c>
      <c r="AH13" s="25">
        <f t="shared" si="9"/>
        <v>-5.1546875</v>
      </c>
      <c r="AI13" s="26">
        <f t="shared" si="10"/>
        <v>5.75064046692607</v>
      </c>
      <c r="AJ13" s="38">
        <v>10</v>
      </c>
      <c r="AK13" s="3"/>
    </row>
    <row r="14" spans="1:37">
      <c r="A14" s="31">
        <v>46212</v>
      </c>
      <c r="B14" s="32">
        <v>3200</v>
      </c>
      <c r="C14" s="32">
        <v>0</v>
      </c>
      <c r="D14" s="33">
        <v>0</v>
      </c>
      <c r="E14" s="21">
        <f t="shared" si="11"/>
        <v>53.3333333333333</v>
      </c>
      <c r="F14" s="21">
        <f t="shared" si="12"/>
        <v>3.71428571428571</v>
      </c>
      <c r="G14" s="33">
        <v>72</v>
      </c>
      <c r="H14" s="33">
        <v>52</v>
      </c>
      <c r="I14" s="25">
        <f t="shared" si="1"/>
        <v>0.722222222222222</v>
      </c>
      <c r="J14" s="33">
        <v>51</v>
      </c>
      <c r="K14" s="33">
        <v>76</v>
      </c>
      <c r="L14" s="34">
        <f t="shared" si="13"/>
        <v>24</v>
      </c>
      <c r="M14" s="35">
        <f t="shared" si="3"/>
        <v>0.740740740740741</v>
      </c>
      <c r="N14" s="35">
        <f t="shared" si="4"/>
        <v>1.02564102564103</v>
      </c>
      <c r="O14" s="34">
        <f t="shared" si="5"/>
        <v>365.75</v>
      </c>
      <c r="P14" s="34">
        <f t="shared" si="6"/>
        <v>377.736842105263</v>
      </c>
      <c r="Q14" s="33">
        <v>174014.57</v>
      </c>
      <c r="R14" s="33">
        <v>18919</v>
      </c>
      <c r="S14" s="33">
        <v>23290</v>
      </c>
      <c r="T14" s="33">
        <v>14667</v>
      </c>
      <c r="U14" s="33">
        <v>19019</v>
      </c>
      <c r="V14" s="33">
        <v>23290</v>
      </c>
      <c r="W14" s="33">
        <v>28708</v>
      </c>
      <c r="X14" s="33">
        <v>33957</v>
      </c>
      <c r="Y14" s="34">
        <f t="shared" si="14"/>
        <v>-5249</v>
      </c>
      <c r="Z14" s="36">
        <v>2</v>
      </c>
      <c r="AA14" s="36">
        <v>2</v>
      </c>
      <c r="AB14" s="36">
        <v>1</v>
      </c>
      <c r="AC14" s="36">
        <v>0</v>
      </c>
      <c r="AD14" s="36">
        <v>1</v>
      </c>
      <c r="AE14" s="37">
        <f t="shared" si="15"/>
        <v>15</v>
      </c>
      <c r="AF14" s="34">
        <f t="shared" si="16"/>
        <v>64</v>
      </c>
      <c r="AG14" s="24">
        <f t="shared" si="8"/>
        <v>5.9434375</v>
      </c>
      <c r="AH14" s="25">
        <f t="shared" si="9"/>
        <v>-1.6403125</v>
      </c>
      <c r="AI14" s="26">
        <f t="shared" si="10"/>
        <v>6.06153580883378</v>
      </c>
      <c r="AJ14" s="38">
        <v>14</v>
      </c>
      <c r="AK14" s="3"/>
    </row>
    <row r="15" spans="1:37">
      <c r="A15" s="31">
        <v>46213</v>
      </c>
      <c r="B15" s="32">
        <v>3200</v>
      </c>
      <c r="C15" s="32">
        <v>0</v>
      </c>
      <c r="D15" s="33">
        <v>0</v>
      </c>
      <c r="E15" s="21">
        <f t="shared" si="11"/>
        <v>53.3333333333333</v>
      </c>
      <c r="F15" s="21">
        <f t="shared" si="12"/>
        <v>3.18181818181818</v>
      </c>
      <c r="G15" s="33">
        <v>50</v>
      </c>
      <c r="H15" s="33">
        <v>35</v>
      </c>
      <c r="I15" s="25">
        <f t="shared" si="1"/>
        <v>0.7</v>
      </c>
      <c r="J15" s="33">
        <v>30</v>
      </c>
      <c r="K15" s="33">
        <v>74</v>
      </c>
      <c r="L15" s="34">
        <f t="shared" si="13"/>
        <v>39</v>
      </c>
      <c r="M15" s="35">
        <f t="shared" si="3"/>
        <v>1.06666666666667</v>
      </c>
      <c r="N15" s="35">
        <f t="shared" si="4"/>
        <v>1.52380952380952</v>
      </c>
      <c r="O15" s="34">
        <f t="shared" si="5"/>
        <v>217.342857142857</v>
      </c>
      <c r="P15" s="34">
        <f t="shared" si="6"/>
        <v>347.513513513513</v>
      </c>
      <c r="Q15" s="33">
        <v>177384.51</v>
      </c>
      <c r="R15" s="33">
        <v>7057</v>
      </c>
      <c r="S15" s="33">
        <v>2431</v>
      </c>
      <c r="T15" s="33">
        <v>7407</v>
      </c>
      <c r="U15" s="33">
        <v>7607</v>
      </c>
      <c r="V15" s="33">
        <v>2631</v>
      </c>
      <c r="W15" s="33">
        <v>25716</v>
      </c>
      <c r="X15" s="33">
        <v>14785</v>
      </c>
      <c r="Y15" s="34">
        <f t="shared" si="14"/>
        <v>10931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7">
        <f t="shared" si="15"/>
        <v>15</v>
      </c>
      <c r="AF15" s="34">
        <f t="shared" si="16"/>
        <v>64</v>
      </c>
      <c r="AG15" s="24">
        <f t="shared" si="8"/>
        <v>2.3771875</v>
      </c>
      <c r="AH15" s="25">
        <f t="shared" si="9"/>
        <v>3.4159375</v>
      </c>
      <c r="AI15" s="26">
        <f t="shared" si="10"/>
        <v>6.89782664489034</v>
      </c>
      <c r="AJ15" s="38">
        <v>11</v>
      </c>
      <c r="AK15" s="3"/>
    </row>
    <row r="16" spans="1:37">
      <c r="A16" s="31">
        <v>46214</v>
      </c>
      <c r="B16" s="32">
        <v>3200</v>
      </c>
      <c r="C16" s="32">
        <v>0</v>
      </c>
      <c r="D16" s="33">
        <v>500</v>
      </c>
      <c r="E16" s="21">
        <f t="shared" si="11"/>
        <v>61.6666666666667</v>
      </c>
      <c r="F16" s="21">
        <f t="shared" si="12"/>
        <v>5.84615384615385</v>
      </c>
      <c r="G16" s="33">
        <v>84</v>
      </c>
      <c r="H16" s="33">
        <v>76</v>
      </c>
      <c r="I16" s="25">
        <f t="shared" si="1"/>
        <v>0.904761904761905</v>
      </c>
      <c r="J16" s="33">
        <v>73</v>
      </c>
      <c r="K16" s="33">
        <v>116</v>
      </c>
      <c r="L16" s="34">
        <f t="shared" si="13"/>
        <v>40</v>
      </c>
      <c r="M16" s="35">
        <f t="shared" si="3"/>
        <v>0.734126984126984</v>
      </c>
      <c r="N16" s="35">
        <f t="shared" si="4"/>
        <v>0.81140350877193</v>
      </c>
      <c r="O16" s="34">
        <f t="shared" si="5"/>
        <v>498.75</v>
      </c>
      <c r="P16" s="34">
        <f t="shared" si="6"/>
        <v>543.094827586207</v>
      </c>
      <c r="Q16" s="33">
        <v>354601.06</v>
      </c>
      <c r="R16" s="33">
        <v>37605</v>
      </c>
      <c r="S16" s="33">
        <v>9782</v>
      </c>
      <c r="T16" s="33">
        <v>36365</v>
      </c>
      <c r="U16" s="33">
        <v>37905</v>
      </c>
      <c r="V16" s="33">
        <v>9782</v>
      </c>
      <c r="W16" s="33">
        <v>62999</v>
      </c>
      <c r="X16" s="33">
        <v>27626</v>
      </c>
      <c r="Y16" s="34">
        <f t="shared" si="14"/>
        <v>35373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7">
        <f t="shared" si="15"/>
        <v>15</v>
      </c>
      <c r="AF16" s="34">
        <f t="shared" si="16"/>
        <v>64</v>
      </c>
      <c r="AG16" s="24">
        <f t="shared" si="8"/>
        <v>10.2445945945946</v>
      </c>
      <c r="AH16" s="25">
        <f t="shared" si="9"/>
        <v>9.56027027027027</v>
      </c>
      <c r="AI16" s="26">
        <f t="shared" si="10"/>
        <v>5.62867759805711</v>
      </c>
      <c r="AJ16" s="38">
        <v>13</v>
      </c>
      <c r="AK16" s="3"/>
    </row>
    <row r="17" spans="1:37">
      <c r="A17" s="31">
        <v>46215</v>
      </c>
      <c r="B17" s="32">
        <v>3200</v>
      </c>
      <c r="C17" s="32">
        <v>0</v>
      </c>
      <c r="D17" s="33">
        <v>0</v>
      </c>
      <c r="E17" s="21">
        <f t="shared" si="11"/>
        <v>53.3333333333333</v>
      </c>
      <c r="F17" s="21">
        <f t="shared" si="12"/>
        <v>5.16666666666667</v>
      </c>
      <c r="G17" s="33">
        <v>80</v>
      </c>
      <c r="H17" s="33">
        <v>62</v>
      </c>
      <c r="I17" s="25">
        <f t="shared" si="1"/>
        <v>0.775</v>
      </c>
      <c r="J17" s="33">
        <v>56</v>
      </c>
      <c r="K17" s="33">
        <v>99</v>
      </c>
      <c r="L17" s="34">
        <f t="shared" si="13"/>
        <v>37</v>
      </c>
      <c r="M17" s="35">
        <f t="shared" si="3"/>
        <v>0.666666666666667</v>
      </c>
      <c r="N17" s="35">
        <f t="shared" si="4"/>
        <v>0.860215053763441</v>
      </c>
      <c r="O17" s="34">
        <f t="shared" si="5"/>
        <v>392.548387096774</v>
      </c>
      <c r="P17" s="34">
        <f t="shared" si="6"/>
        <v>475.141414141414</v>
      </c>
      <c r="Q17" s="33">
        <v>406822.79</v>
      </c>
      <c r="R17" s="33">
        <v>23298</v>
      </c>
      <c r="S17" s="33">
        <v>18596</v>
      </c>
      <c r="T17" s="33">
        <v>22438</v>
      </c>
      <c r="U17" s="33">
        <v>24338</v>
      </c>
      <c r="V17" s="33">
        <v>20296</v>
      </c>
      <c r="W17" s="33">
        <v>47039</v>
      </c>
      <c r="X17" s="33">
        <v>57266</v>
      </c>
      <c r="Y17" s="34">
        <f t="shared" si="14"/>
        <v>-10227</v>
      </c>
      <c r="Z17" s="36">
        <v>2</v>
      </c>
      <c r="AA17" s="36">
        <v>2</v>
      </c>
      <c r="AB17" s="36">
        <v>1</v>
      </c>
      <c r="AC17" s="36">
        <v>0</v>
      </c>
      <c r="AD17" s="36">
        <v>0</v>
      </c>
      <c r="AE17" s="37">
        <f t="shared" si="15"/>
        <v>16</v>
      </c>
      <c r="AF17" s="34">
        <f t="shared" si="16"/>
        <v>66</v>
      </c>
      <c r="AG17" s="24">
        <f t="shared" si="8"/>
        <v>7.605625</v>
      </c>
      <c r="AH17" s="25">
        <f t="shared" si="9"/>
        <v>-3.1959375</v>
      </c>
      <c r="AI17" s="26">
        <f t="shared" si="10"/>
        <v>8.64862752184358</v>
      </c>
      <c r="AJ17" s="38">
        <v>12</v>
      </c>
      <c r="AK17" s="3"/>
    </row>
    <row r="18" spans="1:37">
      <c r="A18" s="31">
        <v>46216</v>
      </c>
      <c r="B18" s="32">
        <v>3200</v>
      </c>
      <c r="C18" s="32">
        <v>0</v>
      </c>
      <c r="D18" s="33">
        <v>0</v>
      </c>
      <c r="E18" s="21">
        <f t="shared" si="11"/>
        <v>53.3333333333333</v>
      </c>
      <c r="F18" s="21">
        <f t="shared" si="12"/>
        <v>5.1875</v>
      </c>
      <c r="G18" s="33">
        <v>99</v>
      </c>
      <c r="H18" s="33">
        <v>83</v>
      </c>
      <c r="I18" s="25">
        <f t="shared" si="1"/>
        <v>0.838383838383838</v>
      </c>
      <c r="J18" s="33">
        <v>77</v>
      </c>
      <c r="K18" s="33">
        <v>125</v>
      </c>
      <c r="L18" s="34">
        <f t="shared" si="13"/>
        <v>42</v>
      </c>
      <c r="M18" s="35">
        <f t="shared" si="3"/>
        <v>0.538720538720539</v>
      </c>
      <c r="N18" s="35">
        <f t="shared" si="4"/>
        <v>0.642570281124498</v>
      </c>
      <c r="O18" s="34">
        <f t="shared" si="5"/>
        <v>346.33734939759</v>
      </c>
      <c r="P18" s="34">
        <f t="shared" si="6"/>
        <v>401.712</v>
      </c>
      <c r="Q18" s="33">
        <v>312799.83</v>
      </c>
      <c r="R18" s="33">
        <v>27046</v>
      </c>
      <c r="S18" s="33">
        <v>16990</v>
      </c>
      <c r="T18" s="33">
        <v>22483</v>
      </c>
      <c r="U18" s="33">
        <v>28746</v>
      </c>
      <c r="V18" s="33">
        <v>16990</v>
      </c>
      <c r="W18" s="33">
        <v>50214</v>
      </c>
      <c r="X18" s="33">
        <v>34890</v>
      </c>
      <c r="Y18" s="34">
        <f t="shared" si="14"/>
        <v>15324</v>
      </c>
      <c r="Z18" s="36">
        <v>2</v>
      </c>
      <c r="AA18" s="36">
        <v>2</v>
      </c>
      <c r="AB18" s="36">
        <v>2</v>
      </c>
      <c r="AC18" s="36">
        <v>0</v>
      </c>
      <c r="AD18" s="36">
        <v>1</v>
      </c>
      <c r="AE18" s="37">
        <f t="shared" si="15"/>
        <v>17</v>
      </c>
      <c r="AF18" s="34">
        <f t="shared" si="16"/>
        <v>68</v>
      </c>
      <c r="AG18" s="24">
        <f t="shared" si="8"/>
        <v>8.983125</v>
      </c>
      <c r="AH18" s="25">
        <f t="shared" si="9"/>
        <v>4.78875</v>
      </c>
      <c r="AI18" s="26">
        <f t="shared" si="10"/>
        <v>6.22933504600311</v>
      </c>
      <c r="AJ18" s="38">
        <v>16</v>
      </c>
      <c r="AK18" s="3"/>
    </row>
    <row r="19" spans="1:37">
      <c r="A19" s="31">
        <v>46217</v>
      </c>
      <c r="B19" s="32">
        <v>3200</v>
      </c>
      <c r="C19" s="32">
        <v>0</v>
      </c>
      <c r="D19" s="33">
        <v>7770</v>
      </c>
      <c r="E19" s="21">
        <f t="shared" si="11"/>
        <v>182.833333333333</v>
      </c>
      <c r="F19" s="21">
        <f t="shared" si="12"/>
        <v>4.57142857142857</v>
      </c>
      <c r="G19" s="33">
        <v>85</v>
      </c>
      <c r="H19" s="33">
        <v>64</v>
      </c>
      <c r="I19" s="25">
        <f t="shared" si="1"/>
        <v>0.752941176470588</v>
      </c>
      <c r="J19" s="33">
        <v>58</v>
      </c>
      <c r="K19" s="33">
        <v>96</v>
      </c>
      <c r="L19" s="34">
        <f t="shared" si="13"/>
        <v>32</v>
      </c>
      <c r="M19" s="35">
        <f t="shared" si="3"/>
        <v>2.15098039215686</v>
      </c>
      <c r="N19" s="35">
        <f t="shared" si="4"/>
        <v>2.85677083333333</v>
      </c>
      <c r="O19" s="34">
        <f t="shared" si="5"/>
        <v>297.296875</v>
      </c>
      <c r="P19" s="34">
        <f t="shared" si="6"/>
        <v>321.760416666667</v>
      </c>
      <c r="Q19" s="33">
        <v>216281.99</v>
      </c>
      <c r="R19" s="33">
        <v>18077</v>
      </c>
      <c r="S19" s="33">
        <v>5623</v>
      </c>
      <c r="T19" s="33">
        <v>17162</v>
      </c>
      <c r="U19" s="33">
        <v>19027</v>
      </c>
      <c r="V19" s="33">
        <v>6723</v>
      </c>
      <c r="W19" s="33">
        <v>30889</v>
      </c>
      <c r="X19" s="33">
        <v>26889</v>
      </c>
      <c r="Y19" s="34">
        <f t="shared" si="14"/>
        <v>4000</v>
      </c>
      <c r="Z19" s="36">
        <v>0</v>
      </c>
      <c r="AA19" s="36">
        <v>0</v>
      </c>
      <c r="AB19" s="36">
        <v>1</v>
      </c>
      <c r="AC19" s="36">
        <v>0</v>
      </c>
      <c r="AD19" s="36">
        <v>0</v>
      </c>
      <c r="AE19" s="37">
        <f t="shared" si="15"/>
        <v>18</v>
      </c>
      <c r="AF19" s="34">
        <f t="shared" si="16"/>
        <v>68</v>
      </c>
      <c r="AG19" s="24">
        <f t="shared" si="8"/>
        <v>1.73445761166819</v>
      </c>
      <c r="AH19" s="25">
        <f t="shared" si="9"/>
        <v>0.364630811303555</v>
      </c>
      <c r="AI19" s="26">
        <f t="shared" si="10"/>
        <v>7.00190974133187</v>
      </c>
      <c r="AJ19" s="38">
        <v>14</v>
      </c>
      <c r="AK19" s="3"/>
    </row>
    <row r="20" spans="1:37">
      <c r="A20" s="31">
        <v>46218</v>
      </c>
      <c r="B20" s="32">
        <v>3200</v>
      </c>
      <c r="C20" s="32">
        <v>0</v>
      </c>
      <c r="D20" s="33">
        <v>0</v>
      </c>
      <c r="E20" s="21">
        <f t="shared" si="11"/>
        <v>53.3333333333333</v>
      </c>
      <c r="F20" s="21">
        <f t="shared" si="12"/>
        <v>3.46153846153846</v>
      </c>
      <c r="G20" s="33">
        <v>71</v>
      </c>
      <c r="H20" s="33">
        <v>45</v>
      </c>
      <c r="I20" s="25">
        <f t="shared" si="1"/>
        <v>0.633802816901408</v>
      </c>
      <c r="J20" s="33">
        <v>42</v>
      </c>
      <c r="K20" s="33">
        <v>74</v>
      </c>
      <c r="L20" s="34">
        <f t="shared" si="13"/>
        <v>29</v>
      </c>
      <c r="M20" s="35">
        <f t="shared" si="3"/>
        <v>0.751173708920188</v>
      </c>
      <c r="N20" s="35">
        <f t="shared" si="4"/>
        <v>1.18518518518519</v>
      </c>
      <c r="O20" s="34">
        <f t="shared" si="5"/>
        <v>418.488888888889</v>
      </c>
      <c r="P20" s="34">
        <f t="shared" si="6"/>
        <v>463.148648648649</v>
      </c>
      <c r="Q20" s="33">
        <v>221661.42</v>
      </c>
      <c r="R20" s="33">
        <v>18131</v>
      </c>
      <c r="S20" s="33">
        <v>22626</v>
      </c>
      <c r="T20" s="33">
        <v>13672</v>
      </c>
      <c r="U20" s="33">
        <v>18832</v>
      </c>
      <c r="V20" s="33">
        <v>24626</v>
      </c>
      <c r="W20" s="33">
        <v>34273</v>
      </c>
      <c r="X20" s="33">
        <v>33587</v>
      </c>
      <c r="Y20" s="34">
        <f t="shared" si="14"/>
        <v>686</v>
      </c>
      <c r="Z20" s="36">
        <v>1</v>
      </c>
      <c r="AA20" s="36">
        <v>1</v>
      </c>
      <c r="AB20" s="36">
        <v>1</v>
      </c>
      <c r="AC20" s="36">
        <v>0</v>
      </c>
      <c r="AD20" s="36">
        <v>0</v>
      </c>
      <c r="AE20" s="37">
        <f t="shared" si="15"/>
        <v>19</v>
      </c>
      <c r="AF20" s="34">
        <f t="shared" si="16"/>
        <v>69</v>
      </c>
      <c r="AG20" s="24">
        <f t="shared" si="8"/>
        <v>5.885</v>
      </c>
      <c r="AH20" s="25">
        <f t="shared" si="9"/>
        <v>0.214375</v>
      </c>
      <c r="AI20" s="26">
        <f t="shared" si="10"/>
        <v>6.46752312315817</v>
      </c>
      <c r="AJ20" s="38">
        <v>13</v>
      </c>
      <c r="AK20" s="3"/>
    </row>
    <row r="21" spans="1:37">
      <c r="A21" s="31">
        <v>46219</v>
      </c>
      <c r="B21" s="32">
        <v>3200</v>
      </c>
      <c r="C21" s="32">
        <v>0</v>
      </c>
      <c r="D21" s="33">
        <v>94140</v>
      </c>
      <c r="E21" s="21">
        <f t="shared" si="11"/>
        <v>1622.33333333333</v>
      </c>
      <c r="F21" s="21">
        <f t="shared" si="12"/>
        <v>3.64285714285714</v>
      </c>
      <c r="G21" s="33">
        <v>76</v>
      </c>
      <c r="H21" s="33">
        <v>51</v>
      </c>
      <c r="I21" s="25">
        <f t="shared" si="1"/>
        <v>0.671052631578947</v>
      </c>
      <c r="J21" s="33">
        <v>49</v>
      </c>
      <c r="K21" s="33">
        <v>93</v>
      </c>
      <c r="L21" s="34">
        <f t="shared" si="13"/>
        <v>42</v>
      </c>
      <c r="M21" s="35">
        <f t="shared" si="3"/>
        <v>21.3464912280702</v>
      </c>
      <c r="N21" s="35">
        <f t="shared" si="4"/>
        <v>31.8104575163399</v>
      </c>
      <c r="O21" s="34">
        <f t="shared" si="5"/>
        <v>502.372549019608</v>
      </c>
      <c r="P21" s="34">
        <f t="shared" si="6"/>
        <v>451.967741935484</v>
      </c>
      <c r="Q21" s="33">
        <v>272386.35</v>
      </c>
      <c r="R21" s="33">
        <v>25321</v>
      </c>
      <c r="S21" s="33">
        <v>35105</v>
      </c>
      <c r="T21" s="33">
        <v>16719</v>
      </c>
      <c r="U21" s="33">
        <v>25621</v>
      </c>
      <c r="V21" s="33">
        <v>34405</v>
      </c>
      <c r="W21" s="33">
        <v>42033</v>
      </c>
      <c r="X21" s="33">
        <v>43050</v>
      </c>
      <c r="Y21" s="34">
        <f t="shared" si="14"/>
        <v>-1017</v>
      </c>
      <c r="Z21" s="36">
        <v>2</v>
      </c>
      <c r="AA21" s="36">
        <v>2</v>
      </c>
      <c r="AB21" s="36">
        <v>0</v>
      </c>
      <c r="AC21" s="36">
        <v>0</v>
      </c>
      <c r="AD21" s="36">
        <v>3</v>
      </c>
      <c r="AE21" s="37">
        <f t="shared" si="15"/>
        <v>16</v>
      </c>
      <c r="AF21" s="34">
        <f t="shared" si="16"/>
        <v>71</v>
      </c>
      <c r="AG21" s="24">
        <f t="shared" si="8"/>
        <v>0.263211423875077</v>
      </c>
      <c r="AH21" s="25">
        <f t="shared" si="9"/>
        <v>-0.0104479145264023</v>
      </c>
      <c r="AI21" s="26">
        <f t="shared" si="10"/>
        <v>6.48029762329598</v>
      </c>
      <c r="AJ21" s="38">
        <v>14</v>
      </c>
      <c r="AK21" s="3"/>
    </row>
    <row r="22" spans="1:37">
      <c r="A22" s="31">
        <v>46220</v>
      </c>
      <c r="B22" s="32">
        <v>3200</v>
      </c>
      <c r="C22" s="32">
        <v>0</v>
      </c>
      <c r="D22" s="33">
        <v>0</v>
      </c>
      <c r="E22" s="21">
        <f t="shared" si="11"/>
        <v>53.3333333333333</v>
      </c>
      <c r="F22" s="21">
        <f t="shared" si="12"/>
        <v>3.28571428571429</v>
      </c>
      <c r="G22" s="33">
        <v>81</v>
      </c>
      <c r="H22" s="33">
        <v>46</v>
      </c>
      <c r="I22" s="25">
        <f t="shared" si="1"/>
        <v>0.567901234567901</v>
      </c>
      <c r="J22" s="33">
        <v>42</v>
      </c>
      <c r="K22" s="33">
        <v>91</v>
      </c>
      <c r="L22" s="34">
        <f t="shared" si="13"/>
        <v>45</v>
      </c>
      <c r="M22" s="35">
        <f t="shared" si="3"/>
        <v>0.65843621399177</v>
      </c>
      <c r="N22" s="35">
        <f t="shared" si="4"/>
        <v>1.15942028985507</v>
      </c>
      <c r="O22" s="34">
        <f t="shared" si="5"/>
        <v>309.891304347826</v>
      </c>
      <c r="P22" s="34">
        <f t="shared" si="6"/>
        <v>424.989010989011</v>
      </c>
      <c r="Q22" s="33">
        <v>309680.64</v>
      </c>
      <c r="R22" s="33">
        <v>13455</v>
      </c>
      <c r="S22" s="33">
        <v>18500</v>
      </c>
      <c r="T22" s="33">
        <v>11805</v>
      </c>
      <c r="U22" s="33">
        <v>14255</v>
      </c>
      <c r="V22" s="33">
        <v>19050</v>
      </c>
      <c r="W22" s="33">
        <v>38674</v>
      </c>
      <c r="X22" s="33">
        <v>44255</v>
      </c>
      <c r="Y22" s="34">
        <f t="shared" si="14"/>
        <v>-5581</v>
      </c>
      <c r="Z22" s="36">
        <v>1</v>
      </c>
      <c r="AA22" s="36">
        <v>1</v>
      </c>
      <c r="AB22" s="36">
        <v>1</v>
      </c>
      <c r="AC22" s="36">
        <v>0</v>
      </c>
      <c r="AD22" s="36">
        <v>0</v>
      </c>
      <c r="AE22" s="37">
        <f t="shared" si="15"/>
        <v>17</v>
      </c>
      <c r="AF22" s="34">
        <f t="shared" si="16"/>
        <v>72</v>
      </c>
      <c r="AG22" s="24">
        <f t="shared" si="8"/>
        <v>4.4546875</v>
      </c>
      <c r="AH22" s="25">
        <f t="shared" si="9"/>
        <v>-1.7440625</v>
      </c>
      <c r="AI22" s="26">
        <f t="shared" si="10"/>
        <v>8.0074634121115</v>
      </c>
      <c r="AJ22" s="38">
        <v>14</v>
      </c>
      <c r="AK22" s="3"/>
    </row>
    <row r="23" spans="1:37">
      <c r="A23" s="31">
        <v>46221</v>
      </c>
      <c r="B23" s="32">
        <v>3200</v>
      </c>
      <c r="C23" s="32">
        <v>0</v>
      </c>
      <c r="D23" s="33">
        <v>0</v>
      </c>
      <c r="E23" s="21">
        <f t="shared" si="11"/>
        <v>53.3333333333333</v>
      </c>
      <c r="F23" s="21">
        <f t="shared" si="12"/>
        <v>5.33333333333333</v>
      </c>
      <c r="G23" s="33">
        <v>66</v>
      </c>
      <c r="H23" s="33">
        <v>48</v>
      </c>
      <c r="I23" s="25">
        <f t="shared" si="1"/>
        <v>0.727272727272727</v>
      </c>
      <c r="J23" s="33">
        <v>44</v>
      </c>
      <c r="K23" s="33">
        <v>96</v>
      </c>
      <c r="L23" s="34">
        <f t="shared" si="13"/>
        <v>48</v>
      </c>
      <c r="M23" s="35">
        <f t="shared" si="3"/>
        <v>0.808080808080808</v>
      </c>
      <c r="N23" s="35">
        <f t="shared" si="4"/>
        <v>1.11111111111111</v>
      </c>
      <c r="O23" s="34">
        <f t="shared" si="5"/>
        <v>575.520833333333</v>
      </c>
      <c r="P23" s="34">
        <f t="shared" si="6"/>
        <v>557.802083333333</v>
      </c>
      <c r="Q23" s="33">
        <v>290181.77</v>
      </c>
      <c r="R23" s="33">
        <v>27025</v>
      </c>
      <c r="S23" s="33">
        <v>23060</v>
      </c>
      <c r="T23" s="33">
        <v>13660</v>
      </c>
      <c r="U23" s="33">
        <v>27625</v>
      </c>
      <c r="V23" s="33">
        <v>23060</v>
      </c>
      <c r="W23" s="33">
        <v>53549</v>
      </c>
      <c r="X23" s="33">
        <v>34828</v>
      </c>
      <c r="Y23" s="34">
        <f t="shared" si="14"/>
        <v>18721</v>
      </c>
      <c r="Z23" s="36">
        <v>0</v>
      </c>
      <c r="AA23" s="36">
        <v>0</v>
      </c>
      <c r="AB23" s="36">
        <v>1</v>
      </c>
      <c r="AC23" s="36">
        <v>0</v>
      </c>
      <c r="AD23" s="36">
        <v>0</v>
      </c>
      <c r="AE23" s="37">
        <f t="shared" si="15"/>
        <v>18</v>
      </c>
      <c r="AF23" s="34">
        <f t="shared" si="16"/>
        <v>72</v>
      </c>
      <c r="AG23" s="24">
        <f t="shared" si="8"/>
        <v>8.6328125</v>
      </c>
      <c r="AH23" s="25">
        <f t="shared" si="9"/>
        <v>5.8503125</v>
      </c>
      <c r="AI23" s="26">
        <f t="shared" si="10"/>
        <v>5.4189951259594</v>
      </c>
      <c r="AJ23" s="38">
        <v>9</v>
      </c>
      <c r="AK23" s="3"/>
    </row>
    <row r="24" spans="1:37">
      <c r="A24" s="31">
        <v>46222</v>
      </c>
      <c r="B24" s="32">
        <v>3200</v>
      </c>
      <c r="C24" s="32">
        <v>0</v>
      </c>
      <c r="D24" s="33">
        <v>0</v>
      </c>
      <c r="E24" s="21">
        <f t="shared" si="11"/>
        <v>53.3333333333333</v>
      </c>
      <c r="F24" s="21">
        <f t="shared" si="12"/>
        <v>4</v>
      </c>
      <c r="G24" s="33">
        <v>65</v>
      </c>
      <c r="H24" s="33">
        <v>40</v>
      </c>
      <c r="I24" s="25">
        <f t="shared" si="1"/>
        <v>0.615384615384615</v>
      </c>
      <c r="J24" s="33">
        <v>36</v>
      </c>
      <c r="K24" s="33">
        <v>85</v>
      </c>
      <c r="L24" s="34">
        <f t="shared" si="13"/>
        <v>45</v>
      </c>
      <c r="M24" s="35">
        <f t="shared" si="3"/>
        <v>0.820512820512821</v>
      </c>
      <c r="N24" s="35">
        <f t="shared" si="4"/>
        <v>1.33333333333333</v>
      </c>
      <c r="O24" s="34">
        <f t="shared" si="5"/>
        <v>298.375</v>
      </c>
      <c r="P24" s="34">
        <f t="shared" si="6"/>
        <v>408.517647058824</v>
      </c>
      <c r="Q24" s="33">
        <v>184545.09</v>
      </c>
      <c r="R24" s="33">
        <v>10470</v>
      </c>
      <c r="S24" s="33">
        <v>11339</v>
      </c>
      <c r="T24" s="33">
        <v>9585</v>
      </c>
      <c r="U24" s="33">
        <v>11935</v>
      </c>
      <c r="V24" s="33">
        <v>11339</v>
      </c>
      <c r="W24" s="33">
        <v>34724</v>
      </c>
      <c r="X24" s="33">
        <v>20426</v>
      </c>
      <c r="Y24" s="34">
        <f t="shared" si="14"/>
        <v>14298</v>
      </c>
      <c r="Z24" s="36">
        <v>0</v>
      </c>
      <c r="AA24" s="36">
        <v>0</v>
      </c>
      <c r="AB24" s="36">
        <v>0</v>
      </c>
      <c r="AC24" s="36">
        <v>0</v>
      </c>
      <c r="AD24" s="36">
        <v>2</v>
      </c>
      <c r="AE24" s="37">
        <f t="shared" si="15"/>
        <v>16</v>
      </c>
      <c r="AF24" s="34">
        <f t="shared" si="16"/>
        <v>72</v>
      </c>
      <c r="AG24" s="24">
        <f t="shared" si="8"/>
        <v>3.7296875</v>
      </c>
      <c r="AH24" s="25">
        <f t="shared" si="9"/>
        <v>4.468125</v>
      </c>
      <c r="AI24" s="26">
        <f t="shared" si="10"/>
        <v>5.31462648312406</v>
      </c>
      <c r="AJ24" s="38">
        <v>10</v>
      </c>
      <c r="AK24" s="3"/>
    </row>
    <row r="25" spans="1:37">
      <c r="A25" s="31">
        <v>46223</v>
      </c>
      <c r="B25" s="32">
        <v>3200</v>
      </c>
      <c r="C25" s="32">
        <v>0</v>
      </c>
      <c r="D25" s="33">
        <v>8830</v>
      </c>
      <c r="E25" s="21">
        <f t="shared" si="11"/>
        <v>200.5</v>
      </c>
      <c r="F25" s="21">
        <f t="shared" si="12"/>
        <v>2.58333333333333</v>
      </c>
      <c r="G25" s="33">
        <v>56</v>
      </c>
      <c r="H25" s="33">
        <v>31</v>
      </c>
      <c r="I25" s="25">
        <f t="shared" si="1"/>
        <v>0.553571428571429</v>
      </c>
      <c r="J25" s="33">
        <v>29</v>
      </c>
      <c r="K25" s="33">
        <v>71</v>
      </c>
      <c r="L25" s="34">
        <f t="shared" si="13"/>
        <v>40</v>
      </c>
      <c r="M25" s="35">
        <f t="shared" si="3"/>
        <v>3.58035714285714</v>
      </c>
      <c r="N25" s="35">
        <f t="shared" si="4"/>
        <v>6.46774193548387</v>
      </c>
      <c r="O25" s="34">
        <f t="shared" si="5"/>
        <v>174.193548387097</v>
      </c>
      <c r="P25" s="34">
        <f t="shared" si="6"/>
        <v>354.929577464789</v>
      </c>
      <c r="Q25" s="33">
        <v>149642.82</v>
      </c>
      <c r="R25" s="33">
        <v>5100</v>
      </c>
      <c r="S25" s="33">
        <v>8701</v>
      </c>
      <c r="T25" s="33">
        <v>4700</v>
      </c>
      <c r="U25" s="33">
        <v>5400</v>
      </c>
      <c r="V25" s="33">
        <v>9101</v>
      </c>
      <c r="W25" s="33">
        <v>25200</v>
      </c>
      <c r="X25" s="33">
        <v>18367</v>
      </c>
      <c r="Y25" s="34">
        <f t="shared" si="14"/>
        <v>6833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7">
        <f t="shared" si="15"/>
        <v>16</v>
      </c>
      <c r="AF25" s="34">
        <f t="shared" si="16"/>
        <v>72</v>
      </c>
      <c r="AG25" s="24">
        <f t="shared" si="8"/>
        <v>0.448877805486284</v>
      </c>
      <c r="AH25" s="25">
        <f t="shared" si="9"/>
        <v>0.567996674979219</v>
      </c>
      <c r="AI25" s="26">
        <f t="shared" si="10"/>
        <v>5.93820714285714</v>
      </c>
      <c r="AJ25" s="38">
        <v>12</v>
      </c>
      <c r="AK25" s="3"/>
    </row>
    <row r="26" spans="1:37">
      <c r="A26" s="31">
        <v>46224</v>
      </c>
      <c r="B26" s="32">
        <v>3200</v>
      </c>
      <c r="C26" s="32">
        <v>0</v>
      </c>
      <c r="D26" s="33">
        <v>800</v>
      </c>
      <c r="E26" s="21">
        <f t="shared" si="11"/>
        <v>66.6666666666667</v>
      </c>
      <c r="F26" s="21">
        <f t="shared" si="12"/>
        <v>4.2</v>
      </c>
      <c r="G26" s="33">
        <v>76</v>
      </c>
      <c r="H26" s="33">
        <v>42</v>
      </c>
      <c r="I26" s="25">
        <f t="shared" si="1"/>
        <v>0.552631578947368</v>
      </c>
      <c r="J26" s="33">
        <v>36</v>
      </c>
      <c r="K26" s="33">
        <v>83</v>
      </c>
      <c r="L26" s="34">
        <f t="shared" si="13"/>
        <v>41</v>
      </c>
      <c r="M26" s="35">
        <f t="shared" si="3"/>
        <v>0.87719298245614</v>
      </c>
      <c r="N26" s="35">
        <f t="shared" si="4"/>
        <v>1.58730158730159</v>
      </c>
      <c r="O26" s="34">
        <f t="shared" si="5"/>
        <v>246.190476190476</v>
      </c>
      <c r="P26" s="34">
        <f t="shared" si="6"/>
        <v>283.421686746988</v>
      </c>
      <c r="Q26" s="33">
        <v>157919.96</v>
      </c>
      <c r="R26" s="33">
        <v>9290</v>
      </c>
      <c r="S26" s="33">
        <v>7073</v>
      </c>
      <c r="T26" s="33">
        <v>8590</v>
      </c>
      <c r="U26" s="33">
        <f>10340</f>
        <v>10340</v>
      </c>
      <c r="V26" s="33">
        <f>10123</f>
        <v>10123</v>
      </c>
      <c r="W26" s="33">
        <v>23524</v>
      </c>
      <c r="X26" s="33">
        <v>13624</v>
      </c>
      <c r="Y26" s="34">
        <f t="shared" si="14"/>
        <v>9900</v>
      </c>
      <c r="Z26" s="36">
        <v>0</v>
      </c>
      <c r="AA26" s="36">
        <v>0</v>
      </c>
      <c r="AB26" s="36">
        <v>1</v>
      </c>
      <c r="AC26" s="36">
        <v>0</v>
      </c>
      <c r="AD26" s="36">
        <v>0</v>
      </c>
      <c r="AE26" s="37">
        <f t="shared" si="15"/>
        <v>17</v>
      </c>
      <c r="AF26" s="34">
        <f t="shared" si="16"/>
        <v>72</v>
      </c>
      <c r="AG26" s="24">
        <f t="shared" si="8"/>
        <v>2.585</v>
      </c>
      <c r="AH26" s="25">
        <f t="shared" si="9"/>
        <v>2.475</v>
      </c>
      <c r="AI26" s="26">
        <f t="shared" si="10"/>
        <v>6.71314232273423</v>
      </c>
      <c r="AJ26" s="38">
        <v>10</v>
      </c>
      <c r="AK26" s="3"/>
    </row>
    <row r="27" spans="1:37">
      <c r="A27" s="31">
        <v>46225</v>
      </c>
      <c r="B27" s="32">
        <v>3200</v>
      </c>
      <c r="C27" s="32">
        <v>0</v>
      </c>
      <c r="D27" s="33">
        <v>4530</v>
      </c>
      <c r="E27" s="21">
        <f t="shared" si="11"/>
        <v>128.833333333333</v>
      </c>
      <c r="F27" s="21">
        <f t="shared" si="12"/>
        <v>2.09090909090909</v>
      </c>
      <c r="G27" s="33">
        <v>36</v>
      </c>
      <c r="H27" s="33">
        <v>23</v>
      </c>
      <c r="I27" s="25">
        <f t="shared" si="1"/>
        <v>0.638888888888889</v>
      </c>
      <c r="J27" s="33">
        <v>20</v>
      </c>
      <c r="K27" s="33">
        <v>70</v>
      </c>
      <c r="L27" s="34">
        <f t="shared" si="13"/>
        <v>47</v>
      </c>
      <c r="M27" s="35">
        <f t="shared" si="3"/>
        <v>3.5787037037037</v>
      </c>
      <c r="N27" s="35">
        <f t="shared" si="4"/>
        <v>5.60144927536232</v>
      </c>
      <c r="O27" s="34">
        <f t="shared" si="5"/>
        <v>279.130434782609</v>
      </c>
      <c r="P27" s="34">
        <f t="shared" si="6"/>
        <v>527.085714285714</v>
      </c>
      <c r="Q27" s="33">
        <v>159800.07</v>
      </c>
      <c r="R27" s="33">
        <v>4620</v>
      </c>
      <c r="S27" s="33">
        <v>900</v>
      </c>
      <c r="T27" s="33">
        <v>3920</v>
      </c>
      <c r="U27" s="33">
        <v>6420</v>
      </c>
      <c r="V27" s="33">
        <v>2400</v>
      </c>
      <c r="W27" s="33">
        <v>36896</v>
      </c>
      <c r="X27" s="33">
        <v>33389</v>
      </c>
      <c r="Y27" s="34">
        <f t="shared" si="14"/>
        <v>3507</v>
      </c>
      <c r="Z27" s="36">
        <v>0</v>
      </c>
      <c r="AA27" s="36">
        <v>0</v>
      </c>
      <c r="AB27" s="36">
        <v>0</v>
      </c>
      <c r="AC27" s="36">
        <v>1</v>
      </c>
      <c r="AD27" s="36">
        <v>0</v>
      </c>
      <c r="AE27" s="37">
        <f t="shared" si="15"/>
        <v>16</v>
      </c>
      <c r="AF27" s="34">
        <f t="shared" si="16"/>
        <v>72</v>
      </c>
      <c r="AG27" s="24">
        <f t="shared" si="8"/>
        <v>0.830530401034929</v>
      </c>
      <c r="AH27" s="25">
        <f t="shared" si="9"/>
        <v>0.453686934023286</v>
      </c>
      <c r="AI27" s="26">
        <f t="shared" si="10"/>
        <v>4.33109469861232</v>
      </c>
      <c r="AJ27" s="38">
        <v>11</v>
      </c>
      <c r="AK27" s="3"/>
    </row>
    <row r="28" spans="1:37">
      <c r="A28" s="31">
        <v>46226</v>
      </c>
      <c r="B28" s="32">
        <v>3200</v>
      </c>
      <c r="C28" s="32">
        <v>0</v>
      </c>
      <c r="D28" s="33">
        <v>0</v>
      </c>
      <c r="E28" s="21">
        <f t="shared" si="11"/>
        <v>53.3333333333333</v>
      </c>
      <c r="F28" s="21">
        <f t="shared" si="12"/>
        <v>3.54545454545455</v>
      </c>
      <c r="G28" s="33">
        <v>72</v>
      </c>
      <c r="H28" s="33">
        <v>39</v>
      </c>
      <c r="I28" s="25">
        <f t="shared" si="1"/>
        <v>0.541666666666667</v>
      </c>
      <c r="J28" s="33">
        <v>38</v>
      </c>
      <c r="K28" s="33">
        <v>85</v>
      </c>
      <c r="L28" s="34">
        <f t="shared" si="13"/>
        <v>46</v>
      </c>
      <c r="M28" s="35">
        <f t="shared" si="3"/>
        <v>0.740740740740741</v>
      </c>
      <c r="N28" s="35">
        <f t="shared" si="4"/>
        <v>1.36752136752137</v>
      </c>
      <c r="O28" s="34">
        <f t="shared" si="5"/>
        <v>221.564102564103</v>
      </c>
      <c r="P28" s="34">
        <f t="shared" si="6"/>
        <v>429.905882352941</v>
      </c>
      <c r="Q28" s="33">
        <v>205709</v>
      </c>
      <c r="R28" s="33">
        <v>8441</v>
      </c>
      <c r="S28" s="33">
        <v>5854</v>
      </c>
      <c r="T28" s="33">
        <v>6681</v>
      </c>
      <c r="U28" s="33">
        <v>8641</v>
      </c>
      <c r="V28" s="33">
        <v>5854</v>
      </c>
      <c r="W28" s="33">
        <v>36542</v>
      </c>
      <c r="X28" s="33">
        <v>36491</v>
      </c>
      <c r="Y28" s="34">
        <f t="shared" si="14"/>
        <v>51</v>
      </c>
      <c r="Z28" s="36">
        <v>1</v>
      </c>
      <c r="AA28" s="36">
        <v>1</v>
      </c>
      <c r="AB28" s="36">
        <v>0</v>
      </c>
      <c r="AC28" s="36">
        <v>0</v>
      </c>
      <c r="AD28" s="36">
        <v>0</v>
      </c>
      <c r="AE28" s="37">
        <f t="shared" si="15"/>
        <v>16</v>
      </c>
      <c r="AF28" s="34">
        <f t="shared" si="16"/>
        <v>73</v>
      </c>
      <c r="AG28" s="24">
        <f t="shared" si="8"/>
        <v>2.7003125</v>
      </c>
      <c r="AH28" s="25">
        <f t="shared" si="9"/>
        <v>0.0159375</v>
      </c>
      <c r="AI28" s="26">
        <f t="shared" si="10"/>
        <v>5.62938536478573</v>
      </c>
      <c r="AJ28" s="38">
        <v>11</v>
      </c>
      <c r="AK28" s="3"/>
    </row>
    <row r="29" spans="1:37">
      <c r="A29" s="31">
        <v>46227</v>
      </c>
      <c r="B29" s="32">
        <v>3200</v>
      </c>
      <c r="C29" s="32">
        <v>0</v>
      </c>
      <c r="D29" s="33">
        <v>4000</v>
      </c>
      <c r="E29" s="21">
        <f t="shared" si="11"/>
        <v>120</v>
      </c>
      <c r="F29" s="21">
        <f t="shared" si="12"/>
        <v>6</v>
      </c>
      <c r="G29" s="33">
        <v>95</v>
      </c>
      <c r="H29" s="33">
        <v>78</v>
      </c>
      <c r="I29" s="25">
        <f t="shared" si="1"/>
        <v>0.821052631578947</v>
      </c>
      <c r="J29" s="33">
        <v>77</v>
      </c>
      <c r="K29" s="33">
        <v>122</v>
      </c>
      <c r="L29" s="34">
        <f t="shared" si="13"/>
        <v>44</v>
      </c>
      <c r="M29" s="35">
        <f t="shared" si="3"/>
        <v>1.26315789473684</v>
      </c>
      <c r="N29" s="35">
        <f t="shared" si="4"/>
        <v>1.53846153846154</v>
      </c>
      <c r="O29" s="34">
        <f t="shared" si="5"/>
        <v>199.346153846154</v>
      </c>
      <c r="P29" s="34">
        <f t="shared" si="6"/>
        <v>401.909836065574</v>
      </c>
      <c r="Q29" s="33">
        <v>321836.18</v>
      </c>
      <c r="R29" s="33">
        <v>15349</v>
      </c>
      <c r="S29" s="33">
        <v>11072</v>
      </c>
      <c r="T29" s="33">
        <v>13591</v>
      </c>
      <c r="U29" s="33">
        <v>15549</v>
      </c>
      <c r="V29" s="33">
        <v>11072</v>
      </c>
      <c r="W29" s="33">
        <v>49033</v>
      </c>
      <c r="X29" s="33">
        <v>44142</v>
      </c>
      <c r="Y29" s="34">
        <f t="shared" si="14"/>
        <v>4891</v>
      </c>
      <c r="Z29" s="36">
        <v>2</v>
      </c>
      <c r="AA29" s="36">
        <v>2</v>
      </c>
      <c r="AB29" s="36">
        <v>1</v>
      </c>
      <c r="AC29" s="36">
        <v>0</v>
      </c>
      <c r="AD29" s="36">
        <v>1</v>
      </c>
      <c r="AE29" s="37">
        <f t="shared" si="15"/>
        <v>16</v>
      </c>
      <c r="AF29" s="34">
        <f t="shared" si="16"/>
        <v>75</v>
      </c>
      <c r="AG29" s="24">
        <f t="shared" si="8"/>
        <v>2.15958333333333</v>
      </c>
      <c r="AH29" s="25">
        <f t="shared" si="9"/>
        <v>0.679305555555555</v>
      </c>
      <c r="AI29" s="26">
        <f t="shared" si="10"/>
        <v>6.56366487875512</v>
      </c>
      <c r="AJ29" s="38">
        <v>13</v>
      </c>
      <c r="AK29" s="3"/>
    </row>
    <row r="30" spans="1:37">
      <c r="A30" s="31">
        <v>46228</v>
      </c>
      <c r="B30" s="32">
        <v>3200</v>
      </c>
      <c r="C30" s="32">
        <v>0</v>
      </c>
      <c r="D30" s="33">
        <v>0</v>
      </c>
      <c r="E30" s="21">
        <f t="shared" si="11"/>
        <v>53.3333333333333</v>
      </c>
      <c r="F30" s="21">
        <f t="shared" si="12"/>
        <v>3.28571428571429</v>
      </c>
      <c r="G30" s="33">
        <v>94</v>
      </c>
      <c r="H30" s="33">
        <v>46</v>
      </c>
      <c r="I30" s="25">
        <f t="shared" si="1"/>
        <v>0.48936170212766</v>
      </c>
      <c r="J30" s="33">
        <v>44</v>
      </c>
      <c r="K30" s="33">
        <v>85</v>
      </c>
      <c r="L30" s="34">
        <f t="shared" si="13"/>
        <v>39</v>
      </c>
      <c r="M30" s="35">
        <f t="shared" si="3"/>
        <v>0.567375886524823</v>
      </c>
      <c r="N30" s="35">
        <f t="shared" si="4"/>
        <v>1.15942028985507</v>
      </c>
      <c r="O30" s="34">
        <f t="shared" si="5"/>
        <v>226.717391304348</v>
      </c>
      <c r="P30" s="34">
        <f t="shared" si="6"/>
        <v>603.858823529412</v>
      </c>
      <c r="Q30" s="33">
        <v>248163.16</v>
      </c>
      <c r="R30" s="33">
        <v>9929</v>
      </c>
      <c r="S30" s="33">
        <v>5010</v>
      </c>
      <c r="T30" s="33">
        <v>7329</v>
      </c>
      <c r="U30" s="33">
        <v>10429</v>
      </c>
      <c r="V30" s="33">
        <v>5010</v>
      </c>
      <c r="W30" s="33">
        <v>51328</v>
      </c>
      <c r="X30" s="33">
        <v>48384</v>
      </c>
      <c r="Y30" s="34">
        <f t="shared" si="14"/>
        <v>2944</v>
      </c>
      <c r="Z30" s="36">
        <v>6</v>
      </c>
      <c r="AA30" s="36">
        <v>6</v>
      </c>
      <c r="AB30" s="36">
        <v>2</v>
      </c>
      <c r="AC30" s="36">
        <v>0</v>
      </c>
      <c r="AD30" s="36">
        <v>0</v>
      </c>
      <c r="AE30" s="37">
        <f t="shared" si="15"/>
        <v>18</v>
      </c>
      <c r="AF30" s="34">
        <f t="shared" si="16"/>
        <v>81</v>
      </c>
      <c r="AG30" s="24">
        <f t="shared" si="8"/>
        <v>3.2590625</v>
      </c>
      <c r="AH30" s="25">
        <f t="shared" si="9"/>
        <v>0.92</v>
      </c>
      <c r="AI30" s="26">
        <f t="shared" si="10"/>
        <v>4.83484959476309</v>
      </c>
      <c r="AJ30" s="38">
        <v>14</v>
      </c>
      <c r="AK30" s="3"/>
    </row>
    <row r="31" spans="1:37">
      <c r="A31" s="31">
        <v>46229</v>
      </c>
      <c r="B31" s="32">
        <v>3200</v>
      </c>
      <c r="C31" s="32">
        <v>0</v>
      </c>
      <c r="D31" s="33">
        <v>0</v>
      </c>
      <c r="E31" s="21">
        <f t="shared" si="11"/>
        <v>53.3333333333333</v>
      </c>
      <c r="F31" s="21">
        <f t="shared" si="12"/>
        <v>2.94117647058824</v>
      </c>
      <c r="G31" s="33">
        <v>85</v>
      </c>
      <c r="H31" s="33">
        <v>50</v>
      </c>
      <c r="I31" s="25">
        <f t="shared" si="1"/>
        <v>0.588235294117647</v>
      </c>
      <c r="J31" s="33">
        <v>43</v>
      </c>
      <c r="K31" s="33">
        <v>101</v>
      </c>
      <c r="L31" s="34">
        <f t="shared" si="13"/>
        <v>51</v>
      </c>
      <c r="M31" s="35">
        <f t="shared" si="3"/>
        <v>0.627450980392157</v>
      </c>
      <c r="N31" s="35">
        <f t="shared" si="4"/>
        <v>1.06666666666667</v>
      </c>
      <c r="O31" s="34">
        <f t="shared" si="5"/>
        <v>277.16</v>
      </c>
      <c r="P31" s="34">
        <f t="shared" si="6"/>
        <v>479.732673267327</v>
      </c>
      <c r="Q31" s="33">
        <v>365960.15</v>
      </c>
      <c r="R31" s="33">
        <v>12808</v>
      </c>
      <c r="S31" s="33">
        <v>29389</v>
      </c>
      <c r="T31" s="33">
        <v>9508</v>
      </c>
      <c r="U31" s="33">
        <v>13858</v>
      </c>
      <c r="V31" s="33">
        <v>30189</v>
      </c>
      <c r="W31" s="33">
        <v>48453</v>
      </c>
      <c r="X31" s="33">
        <v>46441</v>
      </c>
      <c r="Y31" s="34">
        <f t="shared" si="14"/>
        <v>2012</v>
      </c>
      <c r="Z31" s="36">
        <v>2</v>
      </c>
      <c r="AA31" s="36">
        <v>2</v>
      </c>
      <c r="AB31" s="36">
        <v>2</v>
      </c>
      <c r="AC31" s="36">
        <v>0</v>
      </c>
      <c r="AD31" s="36">
        <v>1</v>
      </c>
      <c r="AE31" s="37">
        <f t="shared" si="15"/>
        <v>19</v>
      </c>
      <c r="AF31" s="34">
        <f t="shared" si="16"/>
        <v>83</v>
      </c>
      <c r="AG31" s="24">
        <f t="shared" si="8"/>
        <v>4.330625</v>
      </c>
      <c r="AH31" s="25">
        <f t="shared" si="9"/>
        <v>0.62875</v>
      </c>
      <c r="AI31" s="26">
        <f t="shared" si="10"/>
        <v>7.55288939797329</v>
      </c>
      <c r="AJ31" s="38">
        <v>17</v>
      </c>
      <c r="AK31" s="3"/>
    </row>
    <row r="32" spans="1:37">
      <c r="A32" s="31">
        <v>46230</v>
      </c>
      <c r="B32" s="32"/>
      <c r="C32" s="32"/>
      <c r="D32" s="33"/>
      <c r="E32" s="21">
        <f t="shared" si="11"/>
        <v>0</v>
      </c>
      <c r="F32" s="21" t="e">
        <f t="shared" si="12"/>
        <v>#DIV/0!</v>
      </c>
      <c r="G32" s="33"/>
      <c r="H32" s="33"/>
      <c r="I32" s="25" t="e">
        <f t="shared" si="1"/>
        <v>#DIV/0!</v>
      </c>
      <c r="J32" s="33"/>
      <c r="K32" s="33"/>
      <c r="L32" s="34">
        <f t="shared" si="13"/>
        <v>0</v>
      </c>
      <c r="M32" s="35" t="e">
        <f t="shared" si="3"/>
        <v>#DIV/0!</v>
      </c>
      <c r="N32" s="35" t="e">
        <f t="shared" si="4"/>
        <v>#DIV/0!</v>
      </c>
      <c r="O32" s="34" t="e">
        <f t="shared" si="5"/>
        <v>#DIV/0!</v>
      </c>
      <c r="P32" s="34" t="e">
        <f t="shared" si="6"/>
        <v>#DIV/0!</v>
      </c>
      <c r="Q32" s="33"/>
      <c r="R32" s="33"/>
      <c r="S32" s="33"/>
      <c r="T32" s="33"/>
      <c r="U32" s="33"/>
      <c r="V32" s="33"/>
      <c r="W32" s="33"/>
      <c r="X32" s="33"/>
      <c r="Y32" s="34">
        <f t="shared" si="14"/>
        <v>0</v>
      </c>
      <c r="Z32" s="36"/>
      <c r="AA32" s="36"/>
      <c r="AB32" s="36"/>
      <c r="AC32" s="36"/>
      <c r="AD32" s="36"/>
      <c r="AE32" s="37">
        <f t="shared" si="15"/>
        <v>19</v>
      </c>
      <c r="AF32" s="34">
        <f t="shared" si="16"/>
        <v>83</v>
      </c>
      <c r="AG32" s="24" t="e">
        <f t="shared" si="8"/>
        <v>#DIV/0!</v>
      </c>
      <c r="AH32" s="25" t="e">
        <f t="shared" si="9"/>
        <v>#DIV/0!</v>
      </c>
      <c r="AI32" s="26" t="e">
        <f t="shared" si="10"/>
        <v>#DIV/0!</v>
      </c>
      <c r="AJ32" s="38"/>
      <c r="AK32" s="3"/>
    </row>
    <row r="33" spans="1:37">
      <c r="A33" s="31">
        <v>46231</v>
      </c>
      <c r="B33" s="32"/>
      <c r="C33" s="32"/>
      <c r="D33" s="33"/>
      <c r="E33" s="21">
        <f t="shared" si="11"/>
        <v>0</v>
      </c>
      <c r="F33" s="21" t="e">
        <f t="shared" si="12"/>
        <v>#DIV/0!</v>
      </c>
      <c r="G33" s="33"/>
      <c r="H33" s="33"/>
      <c r="I33" s="25" t="e">
        <f t="shared" si="1"/>
        <v>#DIV/0!</v>
      </c>
      <c r="J33" s="33"/>
      <c r="K33" s="33"/>
      <c r="L33" s="34">
        <f t="shared" si="13"/>
        <v>0</v>
      </c>
      <c r="M33" s="35" t="e">
        <f t="shared" si="3"/>
        <v>#DIV/0!</v>
      </c>
      <c r="N33" s="35" t="e">
        <f t="shared" si="4"/>
        <v>#DIV/0!</v>
      </c>
      <c r="O33" s="34" t="e">
        <f t="shared" si="5"/>
        <v>#DIV/0!</v>
      </c>
      <c r="P33" s="34" t="e">
        <f t="shared" si="6"/>
        <v>#DIV/0!</v>
      </c>
      <c r="Q33" s="33"/>
      <c r="R33" s="33"/>
      <c r="S33" s="33"/>
      <c r="T33" s="33"/>
      <c r="U33" s="33"/>
      <c r="V33" s="33"/>
      <c r="W33" s="33"/>
      <c r="X33" s="33"/>
      <c r="Y33" s="34">
        <f t="shared" si="14"/>
        <v>0</v>
      </c>
      <c r="Z33" s="36"/>
      <c r="AA33" s="36"/>
      <c r="AB33" s="36"/>
      <c r="AC33" s="36"/>
      <c r="AD33" s="36"/>
      <c r="AE33" s="37">
        <f t="shared" si="15"/>
        <v>19</v>
      </c>
      <c r="AF33" s="34">
        <f t="shared" si="16"/>
        <v>83</v>
      </c>
      <c r="AG33" s="24" t="e">
        <f t="shared" si="8"/>
        <v>#DIV/0!</v>
      </c>
      <c r="AH33" s="25" t="e">
        <f t="shared" si="9"/>
        <v>#DIV/0!</v>
      </c>
      <c r="AI33" s="26" t="e">
        <f t="shared" si="10"/>
        <v>#DIV/0!</v>
      </c>
      <c r="AJ33" s="38"/>
      <c r="AK33" s="3"/>
    </row>
    <row r="34" spans="1:37">
      <c r="A34" s="31">
        <v>46232</v>
      </c>
      <c r="B34" s="32"/>
      <c r="C34" s="32"/>
      <c r="D34" s="33"/>
      <c r="E34" s="21">
        <f t="shared" si="11"/>
        <v>0</v>
      </c>
      <c r="F34" s="21" t="e">
        <f t="shared" si="12"/>
        <v>#DIV/0!</v>
      </c>
      <c r="G34" s="33"/>
      <c r="H34" s="33"/>
      <c r="I34" s="25" t="e">
        <f t="shared" si="1"/>
        <v>#DIV/0!</v>
      </c>
      <c r="J34" s="33"/>
      <c r="K34" s="33"/>
      <c r="L34" s="34">
        <f t="shared" si="13"/>
        <v>0</v>
      </c>
      <c r="M34" s="35" t="e">
        <f t="shared" si="3"/>
        <v>#DIV/0!</v>
      </c>
      <c r="N34" s="35" t="e">
        <f t="shared" si="4"/>
        <v>#DIV/0!</v>
      </c>
      <c r="O34" s="34" t="e">
        <f t="shared" si="5"/>
        <v>#DIV/0!</v>
      </c>
      <c r="P34" s="34" t="e">
        <f t="shared" si="6"/>
        <v>#DIV/0!</v>
      </c>
      <c r="Q34" s="33"/>
      <c r="R34" s="33"/>
      <c r="S34" s="33"/>
      <c r="T34" s="33"/>
      <c r="U34" s="33"/>
      <c r="V34" s="33"/>
      <c r="W34" s="33"/>
      <c r="X34" s="33"/>
      <c r="Y34" s="34">
        <f t="shared" si="14"/>
        <v>0</v>
      </c>
      <c r="Z34" s="36"/>
      <c r="AA34" s="36"/>
      <c r="AB34" s="36"/>
      <c r="AC34" s="36"/>
      <c r="AD34" s="36"/>
      <c r="AE34" s="37">
        <f t="shared" si="15"/>
        <v>19</v>
      </c>
      <c r="AF34" s="34">
        <f t="shared" si="16"/>
        <v>83</v>
      </c>
      <c r="AG34" s="24" t="e">
        <f t="shared" si="8"/>
        <v>#DIV/0!</v>
      </c>
      <c r="AH34" s="25" t="e">
        <f t="shared" si="9"/>
        <v>#DIV/0!</v>
      </c>
      <c r="AI34" s="26" t="e">
        <f t="shared" si="10"/>
        <v>#DIV/0!</v>
      </c>
      <c r="AJ34" s="38"/>
      <c r="AK34" s="10"/>
    </row>
    <row r="35" spans="1:37">
      <c r="A35" s="31">
        <v>46233</v>
      </c>
      <c r="B35" s="32"/>
      <c r="C35" s="32"/>
      <c r="D35" s="33"/>
      <c r="E35" s="21">
        <f t="shared" si="11"/>
        <v>0</v>
      </c>
      <c r="F35" s="21" t="e">
        <f t="shared" si="12"/>
        <v>#DIV/0!</v>
      </c>
      <c r="G35" s="33"/>
      <c r="H35" s="33"/>
      <c r="I35" s="25" t="e">
        <f t="shared" si="1"/>
        <v>#DIV/0!</v>
      </c>
      <c r="J35" s="33"/>
      <c r="K35" s="33"/>
      <c r="L35" s="34">
        <f t="shared" si="13"/>
        <v>0</v>
      </c>
      <c r="M35" s="35" t="e">
        <f t="shared" si="3"/>
        <v>#DIV/0!</v>
      </c>
      <c r="N35" s="35" t="e">
        <f t="shared" si="4"/>
        <v>#DIV/0!</v>
      </c>
      <c r="O35" s="34" t="e">
        <f t="shared" si="5"/>
        <v>#DIV/0!</v>
      </c>
      <c r="P35" s="34" t="e">
        <f t="shared" si="6"/>
        <v>#DIV/0!</v>
      </c>
      <c r="Q35" s="33"/>
      <c r="R35" s="33"/>
      <c r="S35" s="33"/>
      <c r="T35" s="33"/>
      <c r="U35" s="33"/>
      <c r="V35" s="33"/>
      <c r="W35" s="33"/>
      <c r="X35" s="33"/>
      <c r="Y35" s="34">
        <f t="shared" si="14"/>
        <v>0</v>
      </c>
      <c r="Z35" s="36"/>
      <c r="AA35" s="36"/>
      <c r="AB35" s="36"/>
      <c r="AC35" s="36"/>
      <c r="AD35" s="36"/>
      <c r="AE35" s="37">
        <f t="shared" si="15"/>
        <v>19</v>
      </c>
      <c r="AF35" s="34">
        <f t="shared" si="16"/>
        <v>83</v>
      </c>
      <c r="AG35" s="24" t="e">
        <f t="shared" si="8"/>
        <v>#DIV/0!</v>
      </c>
      <c r="AH35" s="25" t="e">
        <f t="shared" si="9"/>
        <v>#DIV/0!</v>
      </c>
      <c r="AI35" s="26" t="e">
        <f t="shared" si="10"/>
        <v>#DIV/0!</v>
      </c>
      <c r="AJ35" s="38"/>
      <c r="AK35" s="10"/>
    </row>
    <row r="36" spans="1:37">
      <c r="A36" s="31">
        <v>46234</v>
      </c>
      <c r="B36" s="32"/>
      <c r="C36" s="32"/>
      <c r="D36" s="33"/>
      <c r="E36" s="21">
        <f t="shared" si="11"/>
        <v>0</v>
      </c>
      <c r="F36" s="21" t="e">
        <f t="shared" si="12"/>
        <v>#DIV/0!</v>
      </c>
      <c r="G36" s="33"/>
      <c r="H36" s="33"/>
      <c r="I36" s="25" t="e">
        <f t="shared" si="1"/>
        <v>#DIV/0!</v>
      </c>
      <c r="J36" s="33"/>
      <c r="K36" s="33"/>
      <c r="L36" s="34">
        <f t="shared" si="13"/>
        <v>0</v>
      </c>
      <c r="M36" s="35" t="e">
        <f t="shared" si="3"/>
        <v>#DIV/0!</v>
      </c>
      <c r="N36" s="35" t="e">
        <f t="shared" si="4"/>
        <v>#DIV/0!</v>
      </c>
      <c r="O36" s="34" t="e">
        <f t="shared" si="5"/>
        <v>#DIV/0!</v>
      </c>
      <c r="P36" s="34" t="e">
        <f t="shared" si="6"/>
        <v>#DIV/0!</v>
      </c>
      <c r="Q36" s="33"/>
      <c r="R36" s="33"/>
      <c r="S36" s="33"/>
      <c r="T36" s="33"/>
      <c r="U36" s="33"/>
      <c r="V36" s="33"/>
      <c r="W36" s="33"/>
      <c r="X36" s="33"/>
      <c r="Y36" s="34">
        <f t="shared" si="14"/>
        <v>0</v>
      </c>
      <c r="Z36" s="36"/>
      <c r="AA36" s="36"/>
      <c r="AB36" s="36"/>
      <c r="AC36" s="36"/>
      <c r="AD36" s="36"/>
      <c r="AE36" s="37">
        <f t="shared" si="15"/>
        <v>19</v>
      </c>
      <c r="AF36" s="34">
        <f t="shared" si="16"/>
        <v>83</v>
      </c>
      <c r="AG36" s="24" t="e">
        <f t="shared" si="8"/>
        <v>#DIV/0!</v>
      </c>
      <c r="AH36" s="25" t="e">
        <f t="shared" si="9"/>
        <v>#DIV/0!</v>
      </c>
      <c r="AI36" s="26" t="e">
        <f t="shared" si="10"/>
        <v>#DIV/0!</v>
      </c>
      <c r="AJ36" s="38"/>
      <c r="AK36" s="10"/>
    </row>
    <row r="37" spans="1:37">
      <c r="A37" s="10"/>
      <c r="B37" s="10">
        <v>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1"/>
      <c r="AJ37" s="39"/>
      <c r="AK37" s="10"/>
    </row>
    <row r="38" spans="1:37">
      <c r="A38" s="10"/>
      <c r="B38" s="2" t="s">
        <v>364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1"/>
      <c r="AJ38" s="39"/>
      <c r="AK38" s="10"/>
    </row>
    <row r="39" spans="1:37">
      <c r="A39" s="10"/>
      <c r="B39" s="2" t="s">
        <v>365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1"/>
      <c r="AJ39" s="39"/>
      <c r="AK39" s="10"/>
    </row>
    <row r="40" spans="1:37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1"/>
      <c r="AJ40" s="39"/>
      <c r="AK40" s="10"/>
    </row>
    <row r="41" spans="1:37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1"/>
      <c r="AJ41" s="39"/>
      <c r="AK41" s="10"/>
    </row>
  </sheetData>
  <mergeCells count="1">
    <mergeCell ref="A1:AI2"/>
  </mergeCells>
  <conditionalFormatting sqref="AG3">
    <cfRule type="cellIs" dxfId="0" priority="111" operator="lessThan">
      <formula>0</formula>
    </cfRule>
  </conditionalFormatting>
  <conditionalFormatting sqref="AI3">
    <cfRule type="cellIs" dxfId="0" priority="110" operator="lessThan">
      <formula>0</formula>
    </cfRule>
  </conditionalFormatting>
  <conditionalFormatting sqref="AJ3">
    <cfRule type="cellIs" dxfId="0" priority="43" operator="lessThan">
      <formula>0</formula>
    </cfRule>
  </conditionalFormatting>
  <conditionalFormatting sqref="AG4">
    <cfRule type="cellIs" dxfId="0" priority="44" operator="lessThan">
      <formula>0</formula>
    </cfRule>
  </conditionalFormatting>
  <conditionalFormatting sqref="AH4">
    <cfRule type="cellIs" dxfId="0" priority="108" operator="lessThan">
      <formula>0</formula>
    </cfRule>
  </conditionalFormatting>
  <conditionalFormatting sqref="AI4">
    <cfRule type="cellIs" dxfId="0" priority="109" operator="lessThan">
      <formula>0</formula>
    </cfRule>
  </conditionalFormatting>
  <conditionalFormatting sqref="Y5">
    <cfRule type="cellIs" dxfId="0" priority="4" operator="lessThan">
      <formula>0</formula>
    </cfRule>
  </conditionalFormatting>
  <conditionalFormatting sqref="AG5:AH5">
    <cfRule type="cellIs" dxfId="0" priority="3" operator="lessThan">
      <formula>0</formula>
    </cfRule>
  </conditionalFormatting>
  <conditionalFormatting sqref="AI5">
    <cfRule type="cellIs" dxfId="0" priority="2" operator="lessThan">
      <formula>0</formula>
    </cfRule>
  </conditionalFormatting>
  <conditionalFormatting sqref="AJ5">
    <cfRule type="cellIs" dxfId="0" priority="1" operator="lessThan">
      <formula>0</formula>
    </cfRule>
  </conditionalFormatting>
  <conditionalFormatting sqref="Y6">
    <cfRule type="cellIs" dxfId="0" priority="107" operator="lessThan">
      <formula>0</formula>
    </cfRule>
  </conditionalFormatting>
  <conditionalFormatting sqref="AI6">
    <cfRule type="cellIs" dxfId="0" priority="84" operator="lessThan">
      <formula>0</formula>
    </cfRule>
  </conditionalFormatting>
  <conditionalFormatting sqref="AJ6">
    <cfRule type="cellIs" dxfId="0" priority="42" operator="lessThan">
      <formula>0</formula>
    </cfRule>
  </conditionalFormatting>
  <conditionalFormatting sqref="Y7">
    <cfRule type="cellIs" dxfId="0" priority="106" operator="lessThan">
      <formula>0</formula>
    </cfRule>
  </conditionalFormatting>
  <conditionalFormatting sqref="AI7">
    <cfRule type="cellIs" dxfId="0" priority="83" operator="lessThan">
      <formula>0</formula>
    </cfRule>
  </conditionalFormatting>
  <conditionalFormatting sqref="AJ7">
    <cfRule type="cellIs" dxfId="0" priority="41" operator="lessThan">
      <formula>0</formula>
    </cfRule>
  </conditionalFormatting>
  <conditionalFormatting sqref="Y8">
    <cfRule type="cellIs" dxfId="0" priority="105" operator="lessThan">
      <formula>0</formula>
    </cfRule>
  </conditionalFormatting>
  <conditionalFormatting sqref="AI8">
    <cfRule type="cellIs" dxfId="0" priority="82" operator="lessThan">
      <formula>0</formula>
    </cfRule>
  </conditionalFormatting>
  <conditionalFormatting sqref="AJ8">
    <cfRule type="cellIs" dxfId="0" priority="40" operator="lessThan">
      <formula>0</formula>
    </cfRule>
  </conditionalFormatting>
  <conditionalFormatting sqref="Y9">
    <cfRule type="cellIs" dxfId="0" priority="61" operator="lessThan">
      <formula>0</formula>
    </cfRule>
  </conditionalFormatting>
  <conditionalFormatting sqref="AI9">
    <cfRule type="cellIs" dxfId="0" priority="57" operator="lessThan">
      <formula>0</formula>
    </cfRule>
  </conditionalFormatting>
  <conditionalFormatting sqref="AJ9">
    <cfRule type="cellIs" dxfId="0" priority="19" operator="lessThan">
      <formula>0</formula>
    </cfRule>
  </conditionalFormatting>
  <conditionalFormatting sqref="Y10">
    <cfRule type="cellIs" dxfId="0" priority="60" operator="lessThan">
      <formula>0</formula>
    </cfRule>
  </conditionalFormatting>
  <conditionalFormatting sqref="AI10">
    <cfRule type="cellIs" dxfId="0" priority="56" operator="lessThan">
      <formula>0</formula>
    </cfRule>
  </conditionalFormatting>
  <conditionalFormatting sqref="AJ10">
    <cfRule type="cellIs" dxfId="0" priority="18" operator="lessThan">
      <formula>0</formula>
    </cfRule>
  </conditionalFormatting>
  <conditionalFormatting sqref="Y11">
    <cfRule type="cellIs" dxfId="0" priority="59" operator="lessThan">
      <formula>0</formula>
    </cfRule>
  </conditionalFormatting>
  <conditionalFormatting sqref="AI11">
    <cfRule type="cellIs" dxfId="0" priority="55" operator="lessThan">
      <formula>0</formula>
    </cfRule>
  </conditionalFormatting>
  <conditionalFormatting sqref="AJ11">
    <cfRule type="cellIs" dxfId="0" priority="17" operator="lessThan">
      <formula>0</formula>
    </cfRule>
  </conditionalFormatting>
  <conditionalFormatting sqref="Y12">
    <cfRule type="cellIs" dxfId="0" priority="58" operator="lessThan">
      <formula>0</formula>
    </cfRule>
  </conditionalFormatting>
  <conditionalFormatting sqref="AI12">
    <cfRule type="cellIs" dxfId="0" priority="54" operator="lessThan">
      <formula>0</formula>
    </cfRule>
  </conditionalFormatting>
  <conditionalFormatting sqref="AJ12">
    <cfRule type="cellIs" dxfId="0" priority="16" operator="lessThan">
      <formula>0</formula>
    </cfRule>
  </conditionalFormatting>
  <conditionalFormatting sqref="Y13">
    <cfRule type="cellIs" dxfId="0" priority="104" operator="lessThan">
      <formula>0</formula>
    </cfRule>
  </conditionalFormatting>
  <conditionalFormatting sqref="AI13">
    <cfRule type="cellIs" dxfId="0" priority="81" operator="lessThan">
      <formula>0</formula>
    </cfRule>
  </conditionalFormatting>
  <conditionalFormatting sqref="AJ13">
    <cfRule type="cellIs" dxfId="0" priority="39" operator="lessThan">
      <formula>0</formula>
    </cfRule>
  </conditionalFormatting>
  <conditionalFormatting sqref="Y14">
    <cfRule type="cellIs" dxfId="0" priority="103" operator="lessThan">
      <formula>0</formula>
    </cfRule>
  </conditionalFormatting>
  <conditionalFormatting sqref="AI14">
    <cfRule type="cellIs" dxfId="0" priority="80" operator="lessThan">
      <formula>0</formula>
    </cfRule>
  </conditionalFormatting>
  <conditionalFormatting sqref="AJ14">
    <cfRule type="cellIs" dxfId="0" priority="38" operator="lessThan">
      <formula>0</formula>
    </cfRule>
  </conditionalFormatting>
  <conditionalFormatting sqref="Y15">
    <cfRule type="cellIs" dxfId="0" priority="102" operator="lessThan">
      <formula>0</formula>
    </cfRule>
  </conditionalFormatting>
  <conditionalFormatting sqref="AI15">
    <cfRule type="cellIs" dxfId="0" priority="79" operator="lessThan">
      <formula>0</formula>
    </cfRule>
  </conditionalFormatting>
  <conditionalFormatting sqref="AJ15">
    <cfRule type="cellIs" dxfId="0" priority="37" operator="lessThan">
      <formula>0</formula>
    </cfRule>
  </conditionalFormatting>
  <conditionalFormatting sqref="Y16">
    <cfRule type="cellIs" dxfId="0" priority="101" operator="lessThan">
      <formula>0</formula>
    </cfRule>
  </conditionalFormatting>
  <conditionalFormatting sqref="AI16">
    <cfRule type="cellIs" dxfId="0" priority="78" operator="lessThan">
      <formula>0</formula>
    </cfRule>
  </conditionalFormatting>
  <conditionalFormatting sqref="AJ16">
    <cfRule type="cellIs" dxfId="0" priority="36" operator="lessThan">
      <formula>0</formula>
    </cfRule>
  </conditionalFormatting>
  <conditionalFormatting sqref="Y17">
    <cfRule type="cellIs" dxfId="0" priority="100" operator="lessThan">
      <formula>0</formula>
    </cfRule>
  </conditionalFormatting>
  <conditionalFormatting sqref="AI17">
    <cfRule type="cellIs" dxfId="0" priority="77" operator="lessThan">
      <formula>0</formula>
    </cfRule>
  </conditionalFormatting>
  <conditionalFormatting sqref="AJ17">
    <cfRule type="cellIs" dxfId="0" priority="35" operator="lessThan">
      <formula>0</formula>
    </cfRule>
  </conditionalFormatting>
  <conditionalFormatting sqref="Y18">
    <cfRule type="cellIs" dxfId="0" priority="99" operator="lessThan">
      <formula>0</formula>
    </cfRule>
  </conditionalFormatting>
  <conditionalFormatting sqref="AI18">
    <cfRule type="cellIs" dxfId="0" priority="76" operator="lessThan">
      <formula>0</formula>
    </cfRule>
  </conditionalFormatting>
  <conditionalFormatting sqref="AJ18">
    <cfRule type="cellIs" dxfId="0" priority="34" operator="lessThan">
      <formula>0</formula>
    </cfRule>
  </conditionalFormatting>
  <conditionalFormatting sqref="Y19">
    <cfRule type="cellIs" dxfId="0" priority="98" operator="lessThan">
      <formula>0</formula>
    </cfRule>
  </conditionalFormatting>
  <conditionalFormatting sqref="AI19">
    <cfRule type="cellIs" dxfId="0" priority="75" operator="lessThan">
      <formula>0</formula>
    </cfRule>
  </conditionalFormatting>
  <conditionalFormatting sqref="AJ19">
    <cfRule type="cellIs" dxfId="0" priority="33" operator="lessThan">
      <formula>0</formula>
    </cfRule>
  </conditionalFormatting>
  <conditionalFormatting sqref="Y20">
    <cfRule type="cellIs" dxfId="0" priority="97" operator="lessThan">
      <formula>0</formula>
    </cfRule>
  </conditionalFormatting>
  <conditionalFormatting sqref="AI20">
    <cfRule type="cellIs" dxfId="0" priority="74" operator="lessThan">
      <formula>0</formula>
    </cfRule>
  </conditionalFormatting>
  <conditionalFormatting sqref="AJ20">
    <cfRule type="cellIs" dxfId="0" priority="32" operator="lessThan">
      <formula>0</formula>
    </cfRule>
  </conditionalFormatting>
  <conditionalFormatting sqref="Y21">
    <cfRule type="cellIs" dxfId="0" priority="96" operator="lessThan">
      <formula>0</formula>
    </cfRule>
  </conditionalFormatting>
  <conditionalFormatting sqref="AI21">
    <cfRule type="cellIs" dxfId="0" priority="73" operator="lessThan">
      <formula>0</formula>
    </cfRule>
  </conditionalFormatting>
  <conditionalFormatting sqref="AJ21">
    <cfRule type="cellIs" dxfId="0" priority="31" operator="lessThan">
      <formula>0</formula>
    </cfRule>
  </conditionalFormatting>
  <conditionalFormatting sqref="Y22">
    <cfRule type="cellIs" dxfId="0" priority="95" operator="lessThan">
      <formula>0</formula>
    </cfRule>
  </conditionalFormatting>
  <conditionalFormatting sqref="AI22">
    <cfRule type="cellIs" dxfId="0" priority="72" operator="lessThan">
      <formula>0</formula>
    </cfRule>
  </conditionalFormatting>
  <conditionalFormatting sqref="AJ22">
    <cfRule type="cellIs" dxfId="0" priority="30" operator="lessThan">
      <formula>0</formula>
    </cfRule>
  </conditionalFormatting>
  <conditionalFormatting sqref="Y23">
    <cfRule type="cellIs" dxfId="0" priority="94" operator="lessThan">
      <formula>0</formula>
    </cfRule>
  </conditionalFormatting>
  <conditionalFormatting sqref="AI23">
    <cfRule type="cellIs" dxfId="0" priority="71" operator="lessThan">
      <formula>0</formula>
    </cfRule>
  </conditionalFormatting>
  <conditionalFormatting sqref="AJ23">
    <cfRule type="cellIs" dxfId="0" priority="29" operator="lessThan">
      <formula>0</formula>
    </cfRule>
  </conditionalFormatting>
  <conditionalFormatting sqref="Y24">
    <cfRule type="cellIs" dxfId="0" priority="93" operator="lessThan">
      <formula>0</formula>
    </cfRule>
  </conditionalFormatting>
  <conditionalFormatting sqref="AI24">
    <cfRule type="cellIs" dxfId="0" priority="70" operator="lessThan">
      <formula>0</formula>
    </cfRule>
  </conditionalFormatting>
  <conditionalFormatting sqref="AJ24">
    <cfRule type="cellIs" dxfId="0" priority="28" operator="lessThan">
      <formula>0</formula>
    </cfRule>
  </conditionalFormatting>
  <conditionalFormatting sqref="Y25">
    <cfRule type="cellIs" dxfId="0" priority="92" operator="lessThan">
      <formula>0</formula>
    </cfRule>
  </conditionalFormatting>
  <conditionalFormatting sqref="AI25">
    <cfRule type="cellIs" dxfId="0" priority="69" operator="lessThan">
      <formula>0</formula>
    </cfRule>
  </conditionalFormatting>
  <conditionalFormatting sqref="AJ25">
    <cfRule type="cellIs" dxfId="0" priority="27" operator="lessThan">
      <formula>0</formula>
    </cfRule>
  </conditionalFormatting>
  <conditionalFormatting sqref="Y26">
    <cfRule type="cellIs" dxfId="0" priority="91" operator="lessThan">
      <formula>0</formula>
    </cfRule>
  </conditionalFormatting>
  <conditionalFormatting sqref="AI26">
    <cfRule type="cellIs" dxfId="0" priority="68" operator="lessThan">
      <formula>0</formula>
    </cfRule>
  </conditionalFormatting>
  <conditionalFormatting sqref="AJ26">
    <cfRule type="cellIs" dxfId="0" priority="26" operator="lessThan">
      <formula>0</formula>
    </cfRule>
  </conditionalFormatting>
  <conditionalFormatting sqref="Y27">
    <cfRule type="cellIs" dxfId="0" priority="90" operator="lessThan">
      <formula>0</formula>
    </cfRule>
  </conditionalFormatting>
  <conditionalFormatting sqref="AI27">
    <cfRule type="cellIs" dxfId="0" priority="67" operator="lessThan">
      <formula>0</formula>
    </cfRule>
  </conditionalFormatting>
  <conditionalFormatting sqref="AJ27">
    <cfRule type="cellIs" dxfId="0" priority="25" operator="lessThan">
      <formula>0</formula>
    </cfRule>
  </conditionalFormatting>
  <conditionalFormatting sqref="Y28">
    <cfRule type="cellIs" dxfId="0" priority="89" operator="lessThan">
      <formula>0</formula>
    </cfRule>
  </conditionalFormatting>
  <conditionalFormatting sqref="AI28">
    <cfRule type="cellIs" dxfId="0" priority="66" operator="lessThan">
      <formula>0</formula>
    </cfRule>
  </conditionalFormatting>
  <conditionalFormatting sqref="AJ28">
    <cfRule type="cellIs" dxfId="0" priority="24" operator="lessThan">
      <formula>0</formula>
    </cfRule>
  </conditionalFormatting>
  <conditionalFormatting sqref="Y29">
    <cfRule type="cellIs" dxfId="0" priority="88" operator="lessThan">
      <formula>0</formula>
    </cfRule>
  </conditionalFormatting>
  <conditionalFormatting sqref="AI29">
    <cfRule type="cellIs" dxfId="0" priority="65" operator="lessThan">
      <formula>0</formula>
    </cfRule>
  </conditionalFormatting>
  <conditionalFormatting sqref="AJ29">
    <cfRule type="cellIs" dxfId="0" priority="23" operator="lessThan">
      <formula>0</formula>
    </cfRule>
  </conditionalFormatting>
  <conditionalFormatting sqref="Y30">
    <cfRule type="cellIs" dxfId="0" priority="87" operator="lessThan">
      <formula>0</formula>
    </cfRule>
  </conditionalFormatting>
  <conditionalFormatting sqref="AI30">
    <cfRule type="cellIs" dxfId="0" priority="64" operator="lessThan">
      <formula>0</formula>
    </cfRule>
  </conditionalFormatting>
  <conditionalFormatting sqref="AJ30">
    <cfRule type="cellIs" dxfId="0" priority="22" operator="lessThan">
      <formula>0</formula>
    </cfRule>
  </conditionalFormatting>
  <conditionalFormatting sqref="Y31">
    <cfRule type="cellIs" dxfId="0" priority="86" operator="lessThan">
      <formula>0</formula>
    </cfRule>
  </conditionalFormatting>
  <conditionalFormatting sqref="AI31">
    <cfRule type="cellIs" dxfId="0" priority="63" operator="lessThan">
      <formula>0</formula>
    </cfRule>
  </conditionalFormatting>
  <conditionalFormatting sqref="AJ31">
    <cfRule type="cellIs" dxfId="0" priority="21" operator="lessThan">
      <formula>0</formula>
    </cfRule>
  </conditionalFormatting>
  <conditionalFormatting sqref="Y32">
    <cfRule type="cellIs" dxfId="0" priority="85" operator="lessThan">
      <formula>0</formula>
    </cfRule>
  </conditionalFormatting>
  <conditionalFormatting sqref="AI32">
    <cfRule type="cellIs" dxfId="0" priority="62" operator="lessThan">
      <formula>0</formula>
    </cfRule>
  </conditionalFormatting>
  <conditionalFormatting sqref="AJ32">
    <cfRule type="cellIs" dxfId="0" priority="20" operator="lessThan">
      <formula>0</formula>
    </cfRule>
  </conditionalFormatting>
  <conditionalFormatting sqref="Y33">
    <cfRule type="cellIs" dxfId="0" priority="53" operator="lessThan">
      <formula>0</formula>
    </cfRule>
  </conditionalFormatting>
  <conditionalFormatting sqref="AI33">
    <cfRule type="cellIs" dxfId="0" priority="50" operator="lessThan">
      <formula>0</formula>
    </cfRule>
  </conditionalFormatting>
  <conditionalFormatting sqref="AJ33">
    <cfRule type="cellIs" dxfId="0" priority="15" operator="lessThan">
      <formula>0</formula>
    </cfRule>
  </conditionalFormatting>
  <conditionalFormatting sqref="Y34">
    <cfRule type="cellIs" dxfId="0" priority="52" operator="lessThan">
      <formula>0</formula>
    </cfRule>
  </conditionalFormatting>
  <conditionalFormatting sqref="AI34">
    <cfRule type="cellIs" dxfId="0" priority="49" operator="lessThan">
      <formula>0</formula>
    </cfRule>
  </conditionalFormatting>
  <conditionalFormatting sqref="AJ34">
    <cfRule type="cellIs" dxfId="0" priority="14" operator="lessThan">
      <formula>0</formula>
    </cfRule>
  </conditionalFormatting>
  <conditionalFormatting sqref="Y35">
    <cfRule type="cellIs" dxfId="0" priority="51" operator="lessThan">
      <formula>0</formula>
    </cfRule>
  </conditionalFormatting>
  <conditionalFormatting sqref="AI35">
    <cfRule type="cellIs" dxfId="0" priority="48" operator="lessThan">
      <formula>0</formula>
    </cfRule>
  </conditionalFormatting>
  <conditionalFormatting sqref="AJ35">
    <cfRule type="cellIs" dxfId="0" priority="13" operator="lessThan">
      <formula>0</formula>
    </cfRule>
  </conditionalFormatting>
  <conditionalFormatting sqref="Y36">
    <cfRule type="cellIs" dxfId="0" priority="9" operator="lessThan">
      <formula>0</formula>
    </cfRule>
  </conditionalFormatting>
  <conditionalFormatting sqref="AG36">
    <cfRule type="cellIs" dxfId="0" priority="5" operator="lessThan">
      <formula>0</formula>
    </cfRule>
  </conditionalFormatting>
  <conditionalFormatting sqref="AH36">
    <cfRule type="cellIs" dxfId="0" priority="6" operator="lessThan">
      <formula>0</formula>
    </cfRule>
  </conditionalFormatting>
  <conditionalFormatting sqref="AI36">
    <cfRule type="cellIs" dxfId="0" priority="8" operator="lessThan">
      <formula>0</formula>
    </cfRule>
  </conditionalFormatting>
  <conditionalFormatting sqref="AJ36">
    <cfRule type="cellIs" dxfId="0" priority="7" operator="lessThan">
      <formula>0</formula>
    </cfRule>
  </conditionalFormatting>
  <conditionalFormatting sqref="AG6:AG35">
    <cfRule type="cellIs" dxfId="0" priority="10" operator="lessThan">
      <formula>0</formula>
    </cfRule>
  </conditionalFormatting>
  <conditionalFormatting sqref="AH6:AH35">
    <cfRule type="cellIs" dxfId="0" priority="11" operator="lessThan">
      <formula>0</formula>
    </cfRule>
  </conditionalFormatting>
  <conditionalFormatting sqref="Y3 AH3">
    <cfRule type="cellIs" dxfId="0" priority="112" operator="lessThan">
      <formula>0</formula>
    </cfRule>
  </conditionalFormatting>
  <pageMargins left="0.75" right="0.75" top="1" bottom="1" header="0.5" footer="0.5"/>
  <headerFooter/>
  <ignoredErrors>
    <ignoredError sqref="F4:I4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85" zoomScaleNormal="85" workbookViewId="0">
      <pane xSplit="1" topLeftCell="B1" activePane="topRight" state="frozen"/>
      <selection/>
      <selection pane="topRight" activeCell="A32" sqref="A1:B27 A32:B33"/>
    </sheetView>
  </sheetViews>
  <sheetFormatPr defaultColWidth="9.14285714285714" defaultRowHeight="15"/>
  <cols>
    <col min="1" max="1" width="28.9047619047619" customWidth="1"/>
    <col min="2" max="2" width="10.5714285714286"/>
  </cols>
  <sheetData>
    <row r="1" spans="1:10">
      <c r="A1" s="1" t="s">
        <v>370</v>
      </c>
      <c r="B1" s="2"/>
      <c r="C1" s="3"/>
      <c r="D1" s="3"/>
      <c r="E1" s="3">
        <f>'PH09'!AA30+'PH25'!AA30+'PH18'!AA30+'PH30'!AA30+'PH35'!AA30</f>
        <v>51</v>
      </c>
      <c r="F1" s="3"/>
      <c r="G1" s="3"/>
      <c r="H1" s="3"/>
      <c r="I1" s="3"/>
      <c r="J1" s="3"/>
    </row>
    <row r="2" spans="1:10">
      <c r="A2" s="4" t="s">
        <v>371</v>
      </c>
      <c r="B2" s="2">
        <f>当日汇总!O2</f>
        <v>26</v>
      </c>
      <c r="C2" s="3"/>
      <c r="D2" s="3"/>
      <c r="E2" s="3"/>
      <c r="F2" s="3"/>
      <c r="G2" s="3"/>
      <c r="H2" s="3"/>
      <c r="I2" s="3"/>
      <c r="J2" s="3"/>
    </row>
    <row r="3" spans="1:10">
      <c r="A3" s="1"/>
      <c r="B3" s="2"/>
      <c r="C3" s="3"/>
      <c r="D3" s="3"/>
      <c r="E3" s="3"/>
      <c r="F3" s="3"/>
      <c r="G3" s="3"/>
      <c r="H3" s="3"/>
      <c r="I3" s="3"/>
      <c r="J3" s="3"/>
    </row>
    <row r="4" spans="1:10">
      <c r="A4" s="1" t="s">
        <v>372</v>
      </c>
      <c r="B4" s="2"/>
      <c r="C4" s="3"/>
      <c r="D4" s="3"/>
      <c r="E4" s="3"/>
      <c r="F4" s="3"/>
      <c r="G4" s="3"/>
      <c r="H4" s="3"/>
      <c r="I4" s="3"/>
      <c r="J4" s="3"/>
    </row>
    <row r="5" spans="1:10">
      <c r="A5" s="1" t="s">
        <v>373</v>
      </c>
      <c r="B5" s="2">
        <f>当日汇总!B13+当日汇总!C13</f>
        <v>20</v>
      </c>
      <c r="C5" s="3"/>
      <c r="D5" s="3"/>
      <c r="E5" s="3"/>
      <c r="F5" s="3"/>
      <c r="G5" s="3"/>
      <c r="H5" s="3"/>
      <c r="I5" s="3"/>
      <c r="J5" s="3"/>
    </row>
    <row r="6" spans="1:10">
      <c r="A6" s="1" t="s">
        <v>374</v>
      </c>
      <c r="B6" s="2">
        <f>当日汇总!Y13</f>
        <v>155</v>
      </c>
      <c r="C6" s="3"/>
      <c r="D6" s="3"/>
      <c r="E6" s="5" t="s">
        <v>375</v>
      </c>
      <c r="F6" s="3"/>
      <c r="G6" s="3"/>
      <c r="H6" s="3"/>
      <c r="I6" s="3"/>
      <c r="J6" s="3"/>
    </row>
    <row r="7" spans="1:10">
      <c r="A7" s="1"/>
      <c r="B7" s="2"/>
      <c r="C7" s="3"/>
      <c r="D7" s="3"/>
      <c r="E7" s="3"/>
      <c r="F7" s="3"/>
      <c r="G7" s="3"/>
      <c r="H7" s="3"/>
      <c r="I7" s="3"/>
      <c r="J7" s="3"/>
    </row>
    <row r="8" spans="1:10">
      <c r="A8" s="1" t="s">
        <v>376</v>
      </c>
      <c r="B8" s="2"/>
      <c r="C8" s="3"/>
      <c r="D8" s="3"/>
      <c r="E8" s="6" t="s">
        <v>377</v>
      </c>
      <c r="F8" s="2">
        <f>B33</f>
        <v>501</v>
      </c>
      <c r="G8" s="2" t="s">
        <v>378</v>
      </c>
      <c r="H8" s="7">
        <f>B33/B6</f>
        <v>3.23225806451613</v>
      </c>
      <c r="I8" s="3"/>
      <c r="J8" s="3"/>
    </row>
    <row r="9" spans="1:10">
      <c r="A9" s="1"/>
      <c r="B9" s="2"/>
      <c r="C9" s="3"/>
      <c r="D9" s="3"/>
      <c r="E9" s="6"/>
      <c r="F9" s="2"/>
      <c r="G9" s="2"/>
      <c r="H9" s="8"/>
      <c r="I9" s="3"/>
      <c r="J9" s="3"/>
    </row>
    <row r="10" spans="1:10">
      <c r="A10" s="1" t="s">
        <v>379</v>
      </c>
      <c r="B10" s="2"/>
      <c r="C10" s="3"/>
      <c r="D10" s="3"/>
      <c r="E10" s="3"/>
      <c r="F10" s="3"/>
      <c r="G10" s="3"/>
      <c r="H10" s="3"/>
      <c r="I10" s="3"/>
      <c r="J10" s="3"/>
    </row>
    <row r="11" spans="1:10">
      <c r="A11" s="1"/>
      <c r="B11" s="2"/>
      <c r="C11" s="3"/>
      <c r="D11" s="3"/>
      <c r="E11" s="3"/>
      <c r="F11" s="3"/>
      <c r="G11" s="3"/>
      <c r="H11" s="3"/>
      <c r="I11" s="3"/>
      <c r="J11" s="3"/>
    </row>
    <row r="12" spans="1:10">
      <c r="A12" s="1" t="s">
        <v>380</v>
      </c>
      <c r="B12" s="2"/>
      <c r="C12" s="3"/>
      <c r="D12" s="3"/>
      <c r="E12" s="5" t="s">
        <v>375</v>
      </c>
      <c r="F12" s="3"/>
      <c r="G12" s="3"/>
      <c r="H12" s="3"/>
      <c r="I12" s="3"/>
      <c r="J12" s="3"/>
    </row>
    <row r="13" spans="1:10">
      <c r="A13" s="1" t="s">
        <v>381</v>
      </c>
      <c r="B13" s="2">
        <f>当日汇总!G5</f>
        <v>179</v>
      </c>
      <c r="C13" s="3"/>
      <c r="D13" s="3"/>
      <c r="E13" s="3"/>
      <c r="F13" s="3"/>
      <c r="G13" s="3"/>
      <c r="H13" s="3"/>
      <c r="I13" s="3"/>
      <c r="J13" s="3"/>
    </row>
    <row r="14" spans="1:10">
      <c r="A14" s="1" t="s">
        <v>382</v>
      </c>
      <c r="B14" s="8">
        <f>当日汇总!N5</f>
        <v>228.357541899441</v>
      </c>
      <c r="C14" s="3"/>
      <c r="D14" s="3"/>
      <c r="E14" s="6" t="s">
        <v>377</v>
      </c>
      <c r="F14" s="2">
        <v>488</v>
      </c>
      <c r="G14" s="2" t="s">
        <v>378</v>
      </c>
      <c r="H14" s="8">
        <v>3</v>
      </c>
      <c r="I14" s="3"/>
      <c r="J14" s="3"/>
    </row>
    <row r="15" spans="1:10">
      <c r="A15" s="1"/>
      <c r="B15" s="2"/>
      <c r="C15" s="3"/>
      <c r="D15" s="3"/>
      <c r="E15" s="6"/>
      <c r="F15" s="2"/>
      <c r="G15" s="2"/>
      <c r="H15" s="8"/>
      <c r="I15" s="3"/>
      <c r="J15" s="3"/>
    </row>
    <row r="16" spans="1:10">
      <c r="A16" s="1" t="s">
        <v>383</v>
      </c>
      <c r="B16" s="2"/>
      <c r="C16" s="3"/>
      <c r="D16" s="3"/>
      <c r="E16" s="3"/>
      <c r="F16" s="3"/>
      <c r="G16" s="3"/>
      <c r="H16" s="3"/>
      <c r="I16" s="3"/>
      <c r="J16" s="3"/>
    </row>
    <row r="17" spans="1:10">
      <c r="A17" s="1" t="s">
        <v>381</v>
      </c>
      <c r="B17" s="2">
        <f>当日汇总!G7</f>
        <v>45</v>
      </c>
      <c r="C17" s="3"/>
      <c r="D17" s="3"/>
      <c r="E17" s="3"/>
      <c r="F17" s="3"/>
      <c r="G17" s="3"/>
      <c r="H17" s="3"/>
      <c r="I17" s="3"/>
      <c r="J17" s="3"/>
    </row>
    <row r="18" spans="1:10">
      <c r="A18" s="1" t="s">
        <v>382</v>
      </c>
      <c r="B18" s="8">
        <f>当日汇总!N7</f>
        <v>188</v>
      </c>
      <c r="C18" s="3"/>
      <c r="D18" s="3"/>
      <c r="E18" s="3"/>
      <c r="F18" s="3"/>
      <c r="G18" s="3"/>
      <c r="H18" s="3"/>
      <c r="I18" s="3"/>
      <c r="J18" s="3"/>
    </row>
    <row r="19" spans="1:10">
      <c r="A19" s="1"/>
      <c r="B19" s="2"/>
      <c r="C19" s="3"/>
      <c r="D19" s="3"/>
      <c r="E19" s="3"/>
      <c r="F19" s="3"/>
      <c r="G19" s="3"/>
      <c r="H19" s="3"/>
      <c r="I19" s="3"/>
      <c r="J19" s="3"/>
    </row>
    <row r="20" spans="1:10">
      <c r="A20" s="1" t="s">
        <v>384</v>
      </c>
      <c r="B20" s="2"/>
      <c r="C20" s="3"/>
      <c r="D20" s="3"/>
      <c r="E20" s="3"/>
      <c r="F20" s="3"/>
      <c r="G20" s="3"/>
      <c r="H20" s="3"/>
      <c r="I20" s="3"/>
      <c r="J20" s="3"/>
    </row>
    <row r="21" spans="1:10">
      <c r="A21" s="1" t="s">
        <v>381</v>
      </c>
      <c r="B21" s="2">
        <f>当日汇总!G8</f>
        <v>106</v>
      </c>
      <c r="C21" s="3"/>
      <c r="D21" s="3"/>
      <c r="E21" s="3"/>
      <c r="F21" s="3"/>
      <c r="G21" s="3"/>
      <c r="H21" s="3"/>
      <c r="I21" s="3"/>
      <c r="J21" s="3"/>
    </row>
    <row r="22" spans="1:10">
      <c r="A22" s="1" t="s">
        <v>382</v>
      </c>
      <c r="B22" s="8">
        <f>当日汇总!N8</f>
        <v>198.292452830189</v>
      </c>
      <c r="C22" s="3"/>
      <c r="D22" s="3"/>
      <c r="E22" s="3"/>
      <c r="F22" s="3"/>
      <c r="G22" s="3"/>
      <c r="H22" s="3"/>
      <c r="I22" s="3"/>
      <c r="J22" s="3"/>
    </row>
    <row r="23" spans="1:10">
      <c r="A23" s="1"/>
      <c r="B23" s="2"/>
      <c r="C23" s="3"/>
      <c r="D23" s="3"/>
      <c r="E23" s="3"/>
      <c r="F23" s="3"/>
      <c r="G23" s="3"/>
      <c r="H23" s="3"/>
      <c r="I23" s="3"/>
      <c r="J23" s="3"/>
    </row>
    <row r="24" spans="1:10">
      <c r="A24" s="1" t="s">
        <v>385</v>
      </c>
      <c r="B24" s="2"/>
      <c r="C24" s="3"/>
      <c r="D24" s="3"/>
      <c r="E24" s="3"/>
      <c r="F24" s="3"/>
      <c r="G24" s="3"/>
      <c r="H24" s="3"/>
      <c r="I24" s="3"/>
      <c r="J24" s="3"/>
    </row>
    <row r="25" spans="1:10">
      <c r="A25" s="1" t="s">
        <v>381</v>
      </c>
      <c r="B25" s="2">
        <f>当日汇总!G9</f>
        <v>121</v>
      </c>
      <c r="C25" s="3"/>
      <c r="D25" s="3"/>
      <c r="E25" s="3"/>
      <c r="F25" s="3"/>
      <c r="G25" s="3"/>
      <c r="H25" s="3"/>
      <c r="I25" s="3"/>
      <c r="J25" s="3"/>
    </row>
    <row r="26" spans="1:10">
      <c r="A26" s="1" t="s">
        <v>382</v>
      </c>
      <c r="B26" s="8">
        <f>当日汇总!N9</f>
        <v>194.644628099174</v>
      </c>
      <c r="C26" s="3"/>
      <c r="D26" s="3"/>
      <c r="E26" s="3"/>
      <c r="F26" s="3"/>
      <c r="G26" s="3"/>
      <c r="H26" s="3"/>
      <c r="I26" s="3"/>
      <c r="J26" s="3"/>
    </row>
    <row r="27" spans="1:10">
      <c r="A27" s="1"/>
      <c r="B27" s="2"/>
      <c r="C27" s="3"/>
      <c r="D27" s="3"/>
      <c r="E27" s="3"/>
      <c r="F27" s="3"/>
      <c r="G27" s="3"/>
      <c r="H27" s="3"/>
      <c r="I27" s="3"/>
      <c r="J27" s="3"/>
    </row>
    <row r="28" spans="1:10">
      <c r="A28" s="1" t="s">
        <v>386</v>
      </c>
      <c r="B28" s="2"/>
      <c r="C28" s="3"/>
      <c r="D28" s="3"/>
      <c r="E28" s="3"/>
      <c r="F28" s="3"/>
      <c r="G28" s="3"/>
      <c r="H28" s="3"/>
      <c r="I28" s="3"/>
      <c r="J28" s="3"/>
    </row>
    <row r="29" spans="1:10">
      <c r="A29" s="1" t="s">
        <v>381</v>
      </c>
      <c r="B29" s="2">
        <f>当日汇总!G12</f>
        <v>50</v>
      </c>
      <c r="C29" s="3"/>
      <c r="D29" s="3"/>
      <c r="E29" s="3"/>
      <c r="F29" s="3"/>
      <c r="G29" s="3"/>
      <c r="H29" s="3"/>
      <c r="I29" s="3"/>
      <c r="J29" s="3"/>
    </row>
    <row r="30" spans="1:10">
      <c r="A30" s="1" t="s">
        <v>382</v>
      </c>
      <c r="B30" s="8">
        <f>当日汇总!N12</f>
        <v>277.16</v>
      </c>
      <c r="C30" s="3"/>
      <c r="D30" s="3"/>
      <c r="E30" s="3"/>
      <c r="F30" s="3"/>
      <c r="G30" s="3"/>
      <c r="H30" s="3"/>
      <c r="I30" s="3"/>
      <c r="J30" s="3"/>
    </row>
    <row r="31" spans="1:10">
      <c r="A31" s="1"/>
      <c r="B31" s="2"/>
      <c r="C31" s="3"/>
      <c r="D31" s="3"/>
      <c r="E31" s="3"/>
      <c r="F31" s="3"/>
      <c r="G31" s="3"/>
      <c r="H31" s="3"/>
      <c r="I31" s="3"/>
      <c r="J31" s="3"/>
    </row>
    <row r="32" spans="1:10">
      <c r="A32" s="1" t="s">
        <v>376</v>
      </c>
      <c r="B32" s="2"/>
      <c r="C32" s="3"/>
      <c r="D32" s="3"/>
      <c r="E32" s="3"/>
      <c r="F32" s="3"/>
      <c r="G32" s="3"/>
      <c r="H32" s="3"/>
      <c r="I32" s="3"/>
      <c r="J32" s="3"/>
    </row>
    <row r="33" spans="1:10">
      <c r="A33" s="1" t="s">
        <v>387</v>
      </c>
      <c r="B33" s="8">
        <f>当日汇总!G13</f>
        <v>501</v>
      </c>
      <c r="C33" s="3"/>
      <c r="D33" s="3"/>
      <c r="E33" s="3"/>
      <c r="F33" s="3"/>
      <c r="G33" s="3"/>
      <c r="H33" s="3"/>
      <c r="I33" s="3"/>
      <c r="J33" s="3"/>
    </row>
    <row r="34" spans="1:10">
      <c r="A34" s="1"/>
      <c r="B34" s="2"/>
      <c r="C34" s="3"/>
      <c r="D34" s="3"/>
      <c r="E34" s="3"/>
      <c r="F34" s="3"/>
      <c r="G34" s="3"/>
      <c r="H34" s="3"/>
      <c r="I34" s="3"/>
      <c r="J34" s="3"/>
    </row>
    <row r="35" spans="1:10">
      <c r="A35" s="1"/>
      <c r="B35" s="2"/>
      <c r="C35" s="3"/>
      <c r="D35" s="3"/>
      <c r="E35" s="3"/>
      <c r="F35" s="3"/>
      <c r="G35" s="3"/>
      <c r="H35" s="3"/>
      <c r="I35" s="3"/>
      <c r="J3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汇总</vt:lpstr>
      <vt:lpstr>支出小计</vt:lpstr>
      <vt:lpstr>当日汇总</vt:lpstr>
      <vt:lpstr>PH09</vt:lpstr>
      <vt:lpstr>PH25</vt:lpstr>
      <vt:lpstr>PH18</vt:lpstr>
      <vt:lpstr>PH30</vt:lpstr>
      <vt:lpstr>PH35</vt:lpstr>
      <vt:lpstr>单价汇总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ak481</dc:creator>
  <cp:lastModifiedBy>AK AK</cp:lastModifiedBy>
  <dcterms:created xsi:type="dcterms:W3CDTF">2026-07-17T04:23:00Z</dcterms:created>
  <dcterms:modified xsi:type="dcterms:W3CDTF">2026-07-27T07:28:39Z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1CFE95C3FB064291B280D0A294039E96_11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